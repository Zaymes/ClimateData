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20" yWindow="-120" windowWidth="20730" windowHeight="11160" tabRatio="929"/>
  </bookViews>
  <sheets>
    <sheet name="daily report" sheetId="1" r:id="rId1"/>
    <sheet name="3rd wave namelist" sheetId="32" r:id="rId2"/>
    <sheet name="workout sheet" sheetId="24" r:id="rId3"/>
    <sheet name="death list" sheetId="3" r:id="rId4"/>
    <sheet name="beljhundi isolation" sheetId="6" r:id="rId5"/>
    <sheet name="active cases" sheetId="16" r:id="rId6"/>
    <sheet name="1st and 2nd wave" sheetId="2" r:id="rId7"/>
    <sheet name="other isolation" sheetId="17" r:id="rId8"/>
    <sheet name="metro hospital" sheetId="26" r:id="rId9"/>
    <sheet name="metro report" sheetId="27" r:id="rId10"/>
    <sheet name="Sheet2" sheetId="29" r:id="rId11"/>
    <sheet name="Sheet1" sheetId="30" r:id="rId12"/>
    <sheet name="Sheet3" sheetId="31" r:id="rId13"/>
  </sheets>
  <externalReferences>
    <externalReference r:id="rId14"/>
  </externalReferences>
  <definedNames>
    <definedName name="_xlnm.Print_Area" localSheetId="5">'active cases'!$A$1:$K$8</definedName>
    <definedName name="_xlnm.Print_Area" localSheetId="4">'beljhundi isolation'!$A$1:$K$1</definedName>
    <definedName name="_xlnm.Print_Area" localSheetId="0">'daily report'!$A$1:$M$86</definedName>
    <definedName name="_xlnm.Print_Area" localSheetId="3">'death list'!$A$1:$V$120</definedName>
    <definedName name="_xlnm.Print_Area" localSheetId="9">'metro report'!$A$1:$Q$20</definedName>
  </definedNames>
  <calcPr calcId="144525"/>
</workbook>
</file>

<file path=xl/calcChain.xml><?xml version="1.0" encoding="utf-8"?>
<calcChain xmlns="http://schemas.openxmlformats.org/spreadsheetml/2006/main">
  <c r="D77" i="1" l="1"/>
  <c r="E67" i="1"/>
  <c r="A4" i="16"/>
  <c r="A5" i="16" s="1"/>
  <c r="A6" i="16" s="1"/>
  <c r="A7" i="16" s="1"/>
  <c r="A8" i="16" s="1"/>
  <c r="A834" i="32"/>
  <c r="A835" i="32"/>
  <c r="A836" i="32"/>
  <c r="A830" i="32" l="1"/>
  <c r="A831" i="32" s="1"/>
  <c r="A832" i="32" s="1"/>
  <c r="A833" i="32" s="1"/>
  <c r="A5" i="30"/>
  <c r="E77" i="1"/>
  <c r="B77" i="1"/>
  <c r="A77" i="1"/>
  <c r="A827" i="32" l="1"/>
  <c r="A828" i="32"/>
  <c r="A829" i="32"/>
  <c r="A825" i="32" l="1"/>
  <c r="A826" i="32"/>
  <c r="A819" i="32" l="1"/>
  <c r="A820" i="32" s="1"/>
  <c r="A821" i="32" s="1"/>
  <c r="A822" i="32" s="1"/>
  <c r="A823" i="32" s="1"/>
  <c r="A824" i="32" s="1"/>
  <c r="I77" i="1"/>
  <c r="F77" i="1"/>
  <c r="C77" i="1"/>
  <c r="C83" i="1"/>
  <c r="A813" i="32" l="1"/>
  <c r="A814" i="32"/>
  <c r="A815" i="32" s="1"/>
  <c r="A816" i="32" s="1"/>
  <c r="A817" i="32" s="1"/>
  <c r="A818" i="32" s="1"/>
  <c r="G77" i="1"/>
  <c r="A808" i="32" l="1"/>
  <c r="A809" i="32"/>
  <c r="A810" i="32"/>
  <c r="A811" i="32" s="1"/>
  <c r="A812" i="32" s="1"/>
  <c r="A802" i="32" l="1"/>
  <c r="A803" i="32"/>
  <c r="A804" i="32" s="1"/>
  <c r="A805" i="32" s="1"/>
  <c r="A806" i="32" s="1"/>
  <c r="A807" i="32" s="1"/>
  <c r="A798" i="32"/>
  <c r="A799" i="32"/>
  <c r="A800" i="32"/>
  <c r="A801" i="32" s="1"/>
  <c r="A787" i="32" l="1"/>
  <c r="A788" i="32"/>
  <c r="A789" i="32" s="1"/>
  <c r="A790" i="32" s="1"/>
  <c r="A791" i="32" s="1"/>
  <c r="A792" i="32" s="1"/>
  <c r="A793" i="32" s="1"/>
  <c r="A794" i="32" s="1"/>
  <c r="A795" i="32" s="1"/>
  <c r="A796" i="32" s="1"/>
  <c r="A797" i="32" s="1"/>
  <c r="A774" i="32" l="1"/>
  <c r="A775" i="32" s="1"/>
  <c r="A776" i="32" s="1"/>
  <c r="A777" i="32" s="1"/>
  <c r="A778" i="32" s="1"/>
  <c r="A779" i="32" s="1"/>
  <c r="A780" i="32" s="1"/>
  <c r="A781" i="32" s="1"/>
  <c r="A782" i="32" s="1"/>
  <c r="A783" i="32" s="1"/>
  <c r="A784" i="32" s="1"/>
  <c r="A785" i="32" s="1"/>
  <c r="A786" i="32" s="1"/>
  <c r="L77" i="1"/>
  <c r="I74" i="1" l="1"/>
  <c r="H74" i="1"/>
  <c r="A3" i="32" l="1"/>
  <c r="A4" i="32" s="1"/>
  <c r="A5" i="32" s="1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A43" i="32" s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A632" i="32" s="1"/>
  <c r="A633" i="32" s="1"/>
  <c r="A634" i="32" s="1"/>
  <c r="A635" i="32" s="1"/>
  <c r="A636" i="32" s="1"/>
  <c r="A637" i="32" s="1"/>
  <c r="A638" i="32" s="1"/>
  <c r="A639" i="32" s="1"/>
  <c r="A640" i="32" s="1"/>
  <c r="A641" i="32" s="1"/>
  <c r="A642" i="32" s="1"/>
  <c r="A643" i="32" s="1"/>
  <c r="A644" i="32" s="1"/>
  <c r="A645" i="32" s="1"/>
  <c r="A646" i="32" s="1"/>
  <c r="A647" i="32" s="1"/>
  <c r="A648" i="32" s="1"/>
  <c r="A649" i="32" s="1"/>
  <c r="A650" i="32" s="1"/>
  <c r="A651" i="32" s="1"/>
  <c r="A652" i="32" s="1"/>
  <c r="A653" i="32" s="1"/>
  <c r="A654" i="32" s="1"/>
  <c r="A655" i="32" s="1"/>
  <c r="A656" i="32" s="1"/>
  <c r="A657" i="32" s="1"/>
  <c r="A658" i="32" s="1"/>
  <c r="A659" i="32" s="1"/>
  <c r="A660" i="32" s="1"/>
  <c r="A661" i="32" s="1"/>
  <c r="A662" i="32" s="1"/>
  <c r="A663" i="32" s="1"/>
  <c r="A664" i="32" s="1"/>
  <c r="A665" i="32" s="1"/>
  <c r="A666" i="32" s="1"/>
  <c r="A667" i="32" s="1"/>
  <c r="A668" i="32" s="1"/>
  <c r="A669" i="32" s="1"/>
  <c r="A670" i="32" s="1"/>
  <c r="A671" i="32" s="1"/>
  <c r="A672" i="32" s="1"/>
  <c r="A673" i="32" s="1"/>
  <c r="A674" i="32" s="1"/>
  <c r="A675" i="32" s="1"/>
  <c r="A676" i="32" s="1"/>
  <c r="A677" i="32" s="1"/>
  <c r="A678" i="32" s="1"/>
  <c r="A679" i="32" s="1"/>
  <c r="A680" i="32" s="1"/>
  <c r="A681" i="32" s="1"/>
  <c r="A682" i="32" s="1"/>
  <c r="A683" i="32" s="1"/>
  <c r="A684" i="32" s="1"/>
  <c r="A685" i="32" s="1"/>
  <c r="A686" i="32" s="1"/>
  <c r="A687" i="32" s="1"/>
  <c r="A688" i="32" s="1"/>
  <c r="A689" i="32" s="1"/>
  <c r="A690" i="32" s="1"/>
  <c r="A691" i="32" s="1"/>
  <c r="A692" i="32" s="1"/>
  <c r="A693" i="32" s="1"/>
  <c r="A694" i="32" s="1"/>
  <c r="A695" i="32" s="1"/>
  <c r="A696" i="32" s="1"/>
  <c r="A697" i="32" s="1"/>
  <c r="A698" i="32" s="1"/>
  <c r="A699" i="32" s="1"/>
  <c r="A700" i="32" s="1"/>
  <c r="A701" i="32" s="1"/>
  <c r="A702" i="32" s="1"/>
  <c r="A703" i="32" s="1"/>
  <c r="A704" i="32" s="1"/>
  <c r="A705" i="32" s="1"/>
  <c r="A706" i="32" s="1"/>
  <c r="A707" i="32" s="1"/>
  <c r="A708" i="32" s="1"/>
  <c r="A709" i="32" s="1"/>
  <c r="A710" i="32" s="1"/>
  <c r="A711" i="32" s="1"/>
  <c r="A712" i="32" s="1"/>
  <c r="A713" i="32" s="1"/>
  <c r="A714" i="32" s="1"/>
  <c r="A715" i="32" s="1"/>
  <c r="A716" i="32" s="1"/>
  <c r="A717" i="32" s="1"/>
  <c r="A718" i="32" s="1"/>
  <c r="A719" i="32" s="1"/>
  <c r="A720" i="32" s="1"/>
  <c r="A721" i="32" s="1"/>
  <c r="A722" i="32" s="1"/>
  <c r="A723" i="32" s="1"/>
  <c r="A724" i="32" s="1"/>
  <c r="A725" i="32" s="1"/>
  <c r="A726" i="32" s="1"/>
  <c r="A727" i="32" s="1"/>
  <c r="A728" i="32" s="1"/>
  <c r="A729" i="32" s="1"/>
  <c r="A730" i="32" s="1"/>
  <c r="A731" i="32" s="1"/>
  <c r="A732" i="32" s="1"/>
  <c r="A733" i="32" s="1"/>
  <c r="A734" i="32" s="1"/>
  <c r="A735" i="32" s="1"/>
  <c r="A736" i="32" s="1"/>
  <c r="A737" i="32" s="1"/>
  <c r="A738" i="32" s="1"/>
  <c r="A739" i="32" s="1"/>
  <c r="A740" i="32" s="1"/>
  <c r="A741" i="32" s="1"/>
  <c r="A742" i="32" s="1"/>
  <c r="A743" i="32" s="1"/>
  <c r="A744" i="32" s="1"/>
  <c r="A745" i="32" s="1"/>
  <c r="A746" i="32" s="1"/>
  <c r="A747" i="32" s="1"/>
  <c r="A748" i="32" s="1"/>
  <c r="A749" i="32" s="1"/>
  <c r="A750" i="32" s="1"/>
  <c r="A751" i="32" s="1"/>
  <c r="A752" i="32" s="1"/>
  <c r="A753" i="32" s="1"/>
  <c r="A754" i="32" s="1"/>
  <c r="A755" i="32" s="1"/>
  <c r="A756" i="32" s="1"/>
  <c r="A757" i="32" s="1"/>
  <c r="A758" i="32" s="1"/>
  <c r="A759" i="32" s="1"/>
  <c r="A760" i="32" s="1"/>
  <c r="A761" i="32" s="1"/>
  <c r="A762" i="32" s="1"/>
  <c r="A763" i="32" s="1"/>
  <c r="A764" i="32" s="1"/>
  <c r="A765" i="32" s="1"/>
  <c r="A766" i="32" s="1"/>
  <c r="A767" i="32" s="1"/>
  <c r="A768" i="32" s="1"/>
  <c r="A769" i="32" s="1"/>
  <c r="A770" i="32" s="1"/>
  <c r="A771" i="32" s="1"/>
  <c r="A772" i="32" s="1"/>
  <c r="A773" i="32" s="1"/>
  <c r="L70" i="1" l="1"/>
  <c r="G74" i="1" l="1"/>
  <c r="D74" i="1"/>
  <c r="M13" i="27"/>
  <c r="G19" i="27" s="1"/>
  <c r="L13" i="27"/>
  <c r="E19" i="27" s="1"/>
  <c r="C19" i="27" s="1"/>
  <c r="J13" i="27"/>
  <c r="G18" i="27" s="1"/>
  <c r="G13" i="27"/>
  <c r="G17" i="27" s="1"/>
  <c r="F13" i="27"/>
  <c r="E17" i="27" s="1"/>
  <c r="D13" i="27"/>
  <c r="G20" i="27" s="1"/>
  <c r="P12" i="27"/>
  <c r="O12" i="27"/>
  <c r="Q12" i="27" s="1"/>
  <c r="N12" i="27"/>
  <c r="K12" i="27"/>
  <c r="H12" i="27"/>
  <c r="E12" i="27"/>
  <c r="C12" i="27"/>
  <c r="P11" i="27"/>
  <c r="O11" i="27"/>
  <c r="Q11" i="27" s="1"/>
  <c r="N11" i="27"/>
  <c r="I11" i="27"/>
  <c r="K11" i="27" s="1"/>
  <c r="H11" i="27"/>
  <c r="C11" i="27"/>
  <c r="E11" i="27" s="1"/>
  <c r="P10" i="27"/>
  <c r="Q10" i="27" s="1"/>
  <c r="O10" i="27"/>
  <c r="N10" i="27"/>
  <c r="K10" i="27"/>
  <c r="H10" i="27"/>
  <c r="E10" i="27"/>
  <c r="P9" i="27"/>
  <c r="O9" i="27"/>
  <c r="Q9" i="27" s="1"/>
  <c r="N9" i="27"/>
  <c r="K9" i="27"/>
  <c r="H9" i="27"/>
  <c r="E9" i="27"/>
  <c r="C9" i="27"/>
  <c r="C13" i="27" s="1"/>
  <c r="E20" i="27" s="1"/>
  <c r="C20" i="27" s="1"/>
  <c r="P8" i="27"/>
  <c r="O8" i="27"/>
  <c r="Q8" i="27" s="1"/>
  <c r="N8" i="27"/>
  <c r="K8" i="27"/>
  <c r="H8" i="27"/>
  <c r="E8" i="27"/>
  <c r="P7" i="27"/>
  <c r="O7" i="27"/>
  <c r="Q7" i="27" s="1"/>
  <c r="N7" i="27"/>
  <c r="K7" i="27"/>
  <c r="H7" i="27"/>
  <c r="E7" i="27"/>
  <c r="E13" i="27" s="1"/>
  <c r="Q6" i="27"/>
  <c r="P6" i="27"/>
  <c r="O6" i="27"/>
  <c r="N6" i="27"/>
  <c r="K6" i="27"/>
  <c r="H6" i="27"/>
  <c r="E6" i="27"/>
  <c r="P5" i="27"/>
  <c r="Q5" i="27" s="1"/>
  <c r="Q13" i="27" s="1"/>
  <c r="O5" i="27"/>
  <c r="O13" i="27" s="1"/>
  <c r="E16" i="27" s="1"/>
  <c r="N5" i="27"/>
  <c r="N13" i="27" s="1"/>
  <c r="K5" i="27"/>
  <c r="K13" i="27" s="1"/>
  <c r="H5" i="27"/>
  <c r="H13" i="27" s="1"/>
  <c r="E5" i="27"/>
  <c r="Q2" i="27"/>
  <c r="B2" i="27"/>
  <c r="T181" i="26"/>
  <c r="T180" i="26"/>
  <c r="T179" i="26"/>
  <c r="T178" i="26"/>
  <c r="T177" i="26"/>
  <c r="T176" i="26"/>
  <c r="T175" i="26"/>
  <c r="T174" i="26"/>
  <c r="T173" i="26"/>
  <c r="T172" i="26"/>
  <c r="T171" i="26"/>
  <c r="T170" i="26"/>
  <c r="T169" i="26"/>
  <c r="T168" i="26"/>
  <c r="T167" i="26"/>
  <c r="T166" i="26"/>
  <c r="T165" i="26"/>
  <c r="T164" i="26"/>
  <c r="A164" i="26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T163" i="26"/>
  <c r="A163" i="26"/>
  <c r="T162" i="26"/>
  <c r="T161" i="26"/>
  <c r="T160" i="26"/>
  <c r="T159" i="26"/>
  <c r="T158" i="26"/>
  <c r="T157" i="26"/>
  <c r="T156" i="26"/>
  <c r="T155" i="26"/>
  <c r="T154" i="26"/>
  <c r="T153" i="26"/>
  <c r="T152" i="26"/>
  <c r="T151" i="26"/>
  <c r="T150" i="26"/>
  <c r="T149" i="26"/>
  <c r="T148" i="26"/>
  <c r="T147" i="26"/>
  <c r="T146" i="26"/>
  <c r="T145" i="26"/>
  <c r="T144" i="26"/>
  <c r="T143" i="26"/>
  <c r="T142" i="26"/>
  <c r="T141" i="26"/>
  <c r="T140" i="26"/>
  <c r="T139" i="26"/>
  <c r="T138" i="26"/>
  <c r="T137" i="26"/>
  <c r="T136" i="26"/>
  <c r="T135" i="26"/>
  <c r="T134" i="26"/>
  <c r="T133" i="26"/>
  <c r="T132" i="26"/>
  <c r="T131" i="26"/>
  <c r="T130" i="26"/>
  <c r="T129" i="26"/>
  <c r="T128" i="26"/>
  <c r="T127" i="26"/>
  <c r="T126" i="26"/>
  <c r="T125" i="26"/>
  <c r="T124" i="26"/>
  <c r="T123" i="26"/>
  <c r="T122" i="26"/>
  <c r="T121" i="26"/>
  <c r="T120" i="26"/>
  <c r="T119" i="26"/>
  <c r="T118" i="26"/>
  <c r="T117" i="26"/>
  <c r="T116" i="26"/>
  <c r="T115" i="26"/>
  <c r="T114" i="26"/>
  <c r="T113" i="26"/>
  <c r="T112" i="26"/>
  <c r="T111" i="26"/>
  <c r="T110" i="26"/>
  <c r="T109" i="26"/>
  <c r="T108" i="26"/>
  <c r="T107" i="26"/>
  <c r="T106" i="26"/>
  <c r="T105" i="26"/>
  <c r="T104" i="26"/>
  <c r="T103" i="26"/>
  <c r="T102" i="26"/>
  <c r="T101" i="26"/>
  <c r="T100" i="26"/>
  <c r="T99" i="26"/>
  <c r="T98" i="26"/>
  <c r="T97" i="26"/>
  <c r="T96" i="26"/>
  <c r="T95" i="26"/>
  <c r="T94" i="26"/>
  <c r="T93" i="26"/>
  <c r="T92" i="26"/>
  <c r="T91" i="26"/>
  <c r="T90" i="26"/>
  <c r="T89" i="26"/>
  <c r="T88" i="26"/>
  <c r="T87" i="26"/>
  <c r="T86" i="26"/>
  <c r="T85" i="26"/>
  <c r="T84" i="26"/>
  <c r="T83" i="26"/>
  <c r="T82" i="26"/>
  <c r="T81" i="26"/>
  <c r="T80" i="26"/>
  <c r="T79" i="26"/>
  <c r="T78" i="26"/>
  <c r="T77" i="26"/>
  <c r="T76" i="26"/>
  <c r="T75" i="26"/>
  <c r="T74" i="26"/>
  <c r="T73" i="26"/>
  <c r="T72" i="26"/>
  <c r="T71" i="26"/>
  <c r="T70" i="26"/>
  <c r="T69" i="26"/>
  <c r="T68" i="26"/>
  <c r="T67" i="26"/>
  <c r="T66" i="26"/>
  <c r="T65" i="26"/>
  <c r="T64" i="26"/>
  <c r="T63" i="26"/>
  <c r="T62" i="26"/>
  <c r="T61" i="26"/>
  <c r="T60" i="26"/>
  <c r="T59" i="26"/>
  <c r="T58" i="26"/>
  <c r="T57" i="26"/>
  <c r="T56" i="26"/>
  <c r="T55" i="26"/>
  <c r="T54" i="26"/>
  <c r="T53" i="26"/>
  <c r="T52" i="26"/>
  <c r="T51" i="26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A3" i="26"/>
  <c r="A4" i="26" s="1"/>
  <c r="A5" i="26" s="1"/>
  <c r="A6" i="26" s="1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3" i="17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7" i="3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7" i="3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Z22" i="24"/>
  <c r="Y22" i="24"/>
  <c r="W22" i="24"/>
  <c r="V22" i="24"/>
  <c r="T22" i="24"/>
  <c r="S22" i="24"/>
  <c r="R22" i="24"/>
  <c r="Q22" i="24"/>
  <c r="P22" i="24"/>
  <c r="L22" i="24"/>
  <c r="K22" i="24"/>
  <c r="AW8" i="24" s="1"/>
  <c r="H22" i="24"/>
  <c r="G22" i="24"/>
  <c r="E22" i="24"/>
  <c r="AU7" i="24" s="1"/>
  <c r="B22" i="24"/>
  <c r="AW7" i="24" s="1"/>
  <c r="AK21" i="24"/>
  <c r="AJ21" i="24"/>
  <c r="AH21" i="24"/>
  <c r="AG21" i="24"/>
  <c r="AE21" i="24"/>
  <c r="AD21" i="24"/>
  <c r="AA21" i="24"/>
  <c r="M21" i="24"/>
  <c r="I21" i="24"/>
  <c r="F21" i="24"/>
  <c r="AK20" i="24"/>
  <c r="AJ20" i="24"/>
  <c r="AH20" i="24"/>
  <c r="AG20" i="24"/>
  <c r="AE20" i="24"/>
  <c r="AD20" i="24"/>
  <c r="AA20" i="24"/>
  <c r="M20" i="24"/>
  <c r="I20" i="24"/>
  <c r="F20" i="24"/>
  <c r="AK19" i="24"/>
  <c r="AJ19" i="24"/>
  <c r="AH19" i="24"/>
  <c r="AG19" i="24"/>
  <c r="AE19" i="24"/>
  <c r="AD19" i="24"/>
  <c r="AA19" i="24"/>
  <c r="M19" i="24"/>
  <c r="I19" i="24"/>
  <c r="F19" i="24"/>
  <c r="AK18" i="24"/>
  <c r="AJ18" i="24"/>
  <c r="AH18" i="24"/>
  <c r="AG18" i="24"/>
  <c r="AE18" i="24"/>
  <c r="AD18" i="24"/>
  <c r="AA18" i="24"/>
  <c r="M18" i="24"/>
  <c r="I18" i="24"/>
  <c r="F18" i="24"/>
  <c r="AK17" i="24"/>
  <c r="AJ17" i="24"/>
  <c r="AH17" i="24"/>
  <c r="AG17" i="24"/>
  <c r="AE17" i="24"/>
  <c r="AD17" i="24"/>
  <c r="AA17" i="24"/>
  <c r="M17" i="24"/>
  <c r="I17" i="24"/>
  <c r="F17" i="24"/>
  <c r="AK16" i="24"/>
  <c r="AJ16" i="24"/>
  <c r="AH16" i="24"/>
  <c r="AG16" i="24"/>
  <c r="AE16" i="24"/>
  <c r="AD16" i="24"/>
  <c r="AA16" i="24"/>
  <c r="M16" i="24"/>
  <c r="I16" i="24"/>
  <c r="F16" i="24"/>
  <c r="AK15" i="24"/>
  <c r="AJ15" i="24"/>
  <c r="AH15" i="24"/>
  <c r="AG15" i="24"/>
  <c r="AE15" i="24"/>
  <c r="AD15" i="24"/>
  <c r="AA15" i="24"/>
  <c r="M15" i="24"/>
  <c r="I15" i="24"/>
  <c r="F15" i="24"/>
  <c r="AK14" i="24"/>
  <c r="AJ14" i="24"/>
  <c r="AH14" i="24"/>
  <c r="AG14" i="24"/>
  <c r="AE14" i="24"/>
  <c r="AD14" i="24"/>
  <c r="AA14" i="24"/>
  <c r="M14" i="24"/>
  <c r="I14" i="24"/>
  <c r="F14" i="24"/>
  <c r="AS13" i="24"/>
  <c r="AK13" i="24"/>
  <c r="AJ13" i="24"/>
  <c r="AH13" i="24"/>
  <c r="AG13" i="24"/>
  <c r="AE13" i="24"/>
  <c r="AD13" i="24"/>
  <c r="AA13" i="24"/>
  <c r="M13" i="24"/>
  <c r="I13" i="24"/>
  <c r="F13" i="24"/>
  <c r="AW12" i="24"/>
  <c r="AS12" i="24" s="1"/>
  <c r="AU12" i="24"/>
  <c r="AK12" i="24"/>
  <c r="AJ12" i="24"/>
  <c r="AH12" i="24"/>
  <c r="AG12" i="24"/>
  <c r="AE12" i="24"/>
  <c r="AD12" i="24"/>
  <c r="AA12" i="24"/>
  <c r="M12" i="24"/>
  <c r="I12" i="24"/>
  <c r="F12" i="24"/>
  <c r="AU11" i="24"/>
  <c r="AK11" i="24"/>
  <c r="AJ11" i="24"/>
  <c r="AH11" i="24"/>
  <c r="AG11" i="24"/>
  <c r="AE11" i="24"/>
  <c r="AD11" i="24"/>
  <c r="AA11" i="24"/>
  <c r="M11" i="24"/>
  <c r="I11" i="24"/>
  <c r="F11" i="24"/>
  <c r="AW10" i="24"/>
  <c r="AK10" i="24"/>
  <c r="AJ10" i="24"/>
  <c r="AH10" i="24"/>
  <c r="AG10" i="24"/>
  <c r="AE10" i="24"/>
  <c r="AD10" i="24"/>
  <c r="AA10" i="24"/>
  <c r="M10" i="24"/>
  <c r="I10" i="24"/>
  <c r="F10" i="24"/>
  <c r="AK9" i="24"/>
  <c r="AJ9" i="24"/>
  <c r="AH9" i="24"/>
  <c r="AG9" i="24"/>
  <c r="AE9" i="24"/>
  <c r="AD9" i="24"/>
  <c r="AA9" i="24"/>
  <c r="M9" i="24"/>
  <c r="I9" i="24"/>
  <c r="F9" i="24"/>
  <c r="BK8" i="24"/>
  <c r="BJ8" i="24"/>
  <c r="BI8" i="24"/>
  <c r="BH8" i="24"/>
  <c r="BG8" i="24"/>
  <c r="BF8" i="24"/>
  <c r="BE8" i="24"/>
  <c r="BD8" i="24"/>
  <c r="BC8" i="24"/>
  <c r="BB8" i="24"/>
  <c r="AU8" i="24"/>
  <c r="AS8" i="24" s="1"/>
  <c r="AK8" i="24"/>
  <c r="AJ8" i="24"/>
  <c r="AH8" i="24"/>
  <c r="AG8" i="24"/>
  <c r="AE8" i="24"/>
  <c r="AD8" i="24"/>
  <c r="AA8" i="24"/>
  <c r="M8" i="24"/>
  <c r="I8" i="24"/>
  <c r="F8" i="24"/>
  <c r="AK7" i="24"/>
  <c r="AJ7" i="24"/>
  <c r="AH7" i="24"/>
  <c r="AG7" i="24"/>
  <c r="AE7" i="24"/>
  <c r="AD7" i="24"/>
  <c r="AA7" i="24"/>
  <c r="M7" i="24"/>
  <c r="I7" i="24"/>
  <c r="F7" i="24"/>
  <c r="AK6" i="24"/>
  <c r="AJ6" i="24"/>
  <c r="AH6" i="24"/>
  <c r="AG6" i="24"/>
  <c r="AE6" i="24"/>
  <c r="AD6" i="24"/>
  <c r="AA6" i="24"/>
  <c r="M6" i="24"/>
  <c r="I6" i="24"/>
  <c r="F6" i="24"/>
  <c r="A6" i="24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K5" i="24"/>
  <c r="AJ5" i="24"/>
  <c r="AH5" i="24"/>
  <c r="AG5" i="24"/>
  <c r="AE5" i="24"/>
  <c r="AD5" i="24"/>
  <c r="AA5" i="24"/>
  <c r="M5" i="24"/>
  <c r="I5" i="24"/>
  <c r="F5" i="24"/>
  <c r="A5" i="24"/>
  <c r="AK4" i="24"/>
  <c r="AJ4" i="24"/>
  <c r="AH4" i="24"/>
  <c r="AG4" i="24"/>
  <c r="AE4" i="24"/>
  <c r="AD4" i="24"/>
  <c r="AA4" i="24"/>
  <c r="M4" i="24"/>
  <c r="I4" i="24"/>
  <c r="F4" i="24"/>
  <c r="AK3" i="24"/>
  <c r="AJ3" i="24"/>
  <c r="AH3" i="24"/>
  <c r="AG3" i="24"/>
  <c r="AE3" i="24"/>
  <c r="AD3" i="24"/>
  <c r="AA3" i="24"/>
  <c r="M3" i="24"/>
  <c r="M22" i="24" s="1"/>
  <c r="I3" i="24"/>
  <c r="F3" i="24"/>
  <c r="A849" i="2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2027" i="2" s="1"/>
  <c r="A2028" i="2" s="1"/>
  <c r="A2029" i="2" s="1"/>
  <c r="A2030" i="2" s="1"/>
  <c r="A2031" i="2" s="1"/>
  <c r="A2032" i="2" s="1"/>
  <c r="A2033" i="2" s="1"/>
  <c r="A2034" i="2" s="1"/>
  <c r="A2035" i="2" s="1"/>
  <c r="A2036" i="2" s="1"/>
  <c r="A2037" i="2" s="1"/>
  <c r="A2038" i="2" s="1"/>
  <c r="A2039" i="2" s="1"/>
  <c r="A2040" i="2" s="1"/>
  <c r="A2041" i="2" s="1"/>
  <c r="A2042" i="2" s="1"/>
  <c r="A2043" i="2" s="1"/>
  <c r="A2044" i="2" s="1"/>
  <c r="A2045" i="2" s="1"/>
  <c r="A2046" i="2" s="1"/>
  <c r="A2047" i="2" s="1"/>
  <c r="A2048" i="2" s="1"/>
  <c r="A2049" i="2" s="1"/>
  <c r="A2050" i="2" s="1"/>
  <c r="A2051" i="2" s="1"/>
  <c r="A2052" i="2" s="1"/>
  <c r="A2053" i="2" s="1"/>
  <c r="A2054" i="2" s="1"/>
  <c r="A2055" i="2" s="1"/>
  <c r="A2056" i="2" s="1"/>
  <c r="A2057" i="2" s="1"/>
  <c r="A2058" i="2" s="1"/>
  <c r="A2059" i="2" s="1"/>
  <c r="A2060" i="2" s="1"/>
  <c r="A2061" i="2" s="1"/>
  <c r="A2062" i="2" s="1"/>
  <c r="A2063" i="2" s="1"/>
  <c r="A2064" i="2" s="1"/>
  <c r="A2065" i="2" s="1"/>
  <c r="A2066" i="2" s="1"/>
  <c r="A2067" i="2" s="1"/>
  <c r="A2068" i="2" s="1"/>
  <c r="A2069" i="2" s="1"/>
  <c r="A2070" i="2" s="1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89" i="2" s="1"/>
  <c r="A2090" i="2" s="1"/>
  <c r="A2091" i="2" s="1"/>
  <c r="A2092" i="2" s="1"/>
  <c r="A2093" i="2" s="1"/>
  <c r="A2094" i="2" s="1"/>
  <c r="A2095" i="2" s="1"/>
  <c r="A2096" i="2" s="1"/>
  <c r="A2097" i="2" s="1"/>
  <c r="A2098" i="2" s="1"/>
  <c r="A2099" i="2" s="1"/>
  <c r="A2100" i="2" s="1"/>
  <c r="A2101" i="2" s="1"/>
  <c r="A2102" i="2" s="1"/>
  <c r="A2103" i="2" s="1"/>
  <c r="A2104" i="2" s="1"/>
  <c r="A2105" i="2" s="1"/>
  <c r="A2106" i="2" s="1"/>
  <c r="A2107" i="2" s="1"/>
  <c r="A2108" i="2" s="1"/>
  <c r="A2109" i="2" s="1"/>
  <c r="A2110" i="2" s="1"/>
  <c r="A2111" i="2" s="1"/>
  <c r="A2112" i="2" s="1"/>
  <c r="A2113" i="2" s="1"/>
  <c r="A2114" i="2" s="1"/>
  <c r="A2115" i="2" s="1"/>
  <c r="A2116" i="2" s="1"/>
  <c r="A2117" i="2" s="1"/>
  <c r="A2118" i="2" s="1"/>
  <c r="A2119" i="2" s="1"/>
  <c r="A2120" i="2" s="1"/>
  <c r="A2121" i="2" s="1"/>
  <c r="A2122" i="2" s="1"/>
  <c r="A2123" i="2" s="1"/>
  <c r="A2124" i="2" s="1"/>
  <c r="A2125" i="2" s="1"/>
  <c r="A2126" i="2" s="1"/>
  <c r="A2127" i="2" s="1"/>
  <c r="A2128" i="2" s="1"/>
  <c r="A2129" i="2" s="1"/>
  <c r="A2130" i="2" s="1"/>
  <c r="A2131" i="2" s="1"/>
  <c r="A2132" i="2" s="1"/>
  <c r="A2133" i="2" s="1"/>
  <c r="A2134" i="2" s="1"/>
  <c r="A2135" i="2" s="1"/>
  <c r="A2136" i="2" s="1"/>
  <c r="A2137" i="2" s="1"/>
  <c r="A2138" i="2" s="1"/>
  <c r="A2139" i="2" s="1"/>
  <c r="A2140" i="2" s="1"/>
  <c r="A2141" i="2" s="1"/>
  <c r="A2142" i="2" s="1"/>
  <c r="A2143" i="2" s="1"/>
  <c r="A2144" i="2" s="1"/>
  <c r="A2145" i="2" s="1"/>
  <c r="A2146" i="2" s="1"/>
  <c r="A2147" i="2" s="1"/>
  <c r="A2148" i="2" s="1"/>
  <c r="A2149" i="2" s="1"/>
  <c r="A2150" i="2" s="1"/>
  <c r="A2151" i="2" s="1"/>
  <c r="A2152" i="2" s="1"/>
  <c r="A2153" i="2" s="1"/>
  <c r="A2154" i="2" s="1"/>
  <c r="A2155" i="2" s="1"/>
  <c r="A2156" i="2" s="1"/>
  <c r="A2157" i="2" s="1"/>
  <c r="A2158" i="2" s="1"/>
  <c r="A2159" i="2" s="1"/>
  <c r="A2160" i="2" s="1"/>
  <c r="A2161" i="2" s="1"/>
  <c r="A2162" i="2" s="1"/>
  <c r="A2163" i="2" s="1"/>
  <c r="A2164" i="2" s="1"/>
  <c r="A2165" i="2" s="1"/>
  <c r="A2166" i="2" s="1"/>
  <c r="A2167" i="2" s="1"/>
  <c r="A2168" i="2" s="1"/>
  <c r="A2169" i="2" s="1"/>
  <c r="A2170" i="2" s="1"/>
  <c r="A2171" i="2" s="1"/>
  <c r="A2172" i="2" s="1"/>
  <c r="A2173" i="2" s="1"/>
  <c r="A2174" i="2" s="1"/>
  <c r="A2175" i="2" s="1"/>
  <c r="A2176" i="2" s="1"/>
  <c r="A2177" i="2" s="1"/>
  <c r="A2178" i="2" s="1"/>
  <c r="A2179" i="2" s="1"/>
  <c r="A2180" i="2" s="1"/>
  <c r="A2181" i="2" s="1"/>
  <c r="A2182" i="2" s="1"/>
  <c r="A2183" i="2" s="1"/>
  <c r="A2184" i="2" s="1"/>
  <c r="A2185" i="2" s="1"/>
  <c r="A2186" i="2" s="1"/>
  <c r="A2187" i="2" s="1"/>
  <c r="A2188" i="2" s="1"/>
  <c r="A2189" i="2" s="1"/>
  <c r="A2190" i="2" s="1"/>
  <c r="A2191" i="2" s="1"/>
  <c r="A2192" i="2" s="1"/>
  <c r="A2193" i="2" s="1"/>
  <c r="A2194" i="2" s="1"/>
  <c r="A2195" i="2" s="1"/>
  <c r="A2196" i="2" s="1"/>
  <c r="A2197" i="2" s="1"/>
  <c r="A2198" i="2" s="1"/>
  <c r="A2199" i="2" s="1"/>
  <c r="A2200" i="2" s="1"/>
  <c r="A2201" i="2" s="1"/>
  <c r="A2202" i="2" s="1"/>
  <c r="A2203" i="2" s="1"/>
  <c r="A2204" i="2" s="1"/>
  <c r="A2205" i="2" s="1"/>
  <c r="A2206" i="2" s="1"/>
  <c r="A2207" i="2" s="1"/>
  <c r="A2208" i="2" s="1"/>
  <c r="A2209" i="2" s="1"/>
  <c r="A2210" i="2" s="1"/>
  <c r="A2211" i="2" s="1"/>
  <c r="A2212" i="2" s="1"/>
  <c r="A2213" i="2" s="1"/>
  <c r="A2214" i="2" s="1"/>
  <c r="A2215" i="2" s="1"/>
  <c r="A2216" i="2" s="1"/>
  <c r="A2217" i="2" s="1"/>
  <c r="A2218" i="2" s="1"/>
  <c r="A2219" i="2" s="1"/>
  <c r="A2220" i="2" s="1"/>
  <c r="A2221" i="2" s="1"/>
  <c r="A2222" i="2" s="1"/>
  <c r="A2223" i="2" s="1"/>
  <c r="A2224" i="2" s="1"/>
  <c r="A2225" i="2" s="1"/>
  <c r="A2226" i="2" s="1"/>
  <c r="A2227" i="2" s="1"/>
  <c r="A2228" i="2" s="1"/>
  <c r="A2229" i="2" s="1"/>
  <c r="A2230" i="2" s="1"/>
  <c r="A2231" i="2" s="1"/>
  <c r="A2232" i="2" s="1"/>
  <c r="A2233" i="2" s="1"/>
  <c r="A2234" i="2" s="1"/>
  <c r="A2235" i="2" s="1"/>
  <c r="A2236" i="2" s="1"/>
  <c r="A2237" i="2" s="1"/>
  <c r="A2238" i="2" s="1"/>
  <c r="A2239" i="2" s="1"/>
  <c r="A2240" i="2" s="1"/>
  <c r="A2241" i="2" s="1"/>
  <c r="A2242" i="2" s="1"/>
  <c r="A2243" i="2" s="1"/>
  <c r="A2244" i="2" s="1"/>
  <c r="A2245" i="2" s="1"/>
  <c r="A2246" i="2" s="1"/>
  <c r="A2247" i="2" s="1"/>
  <c r="A2248" i="2" s="1"/>
  <c r="A2249" i="2" s="1"/>
  <c r="A2250" i="2" s="1"/>
  <c r="A2251" i="2" s="1"/>
  <c r="A2252" i="2" s="1"/>
  <c r="A2253" i="2" s="1"/>
  <c r="A2254" i="2" s="1"/>
  <c r="A2255" i="2" s="1"/>
  <c r="A2256" i="2" s="1"/>
  <c r="A2257" i="2" s="1"/>
  <c r="A2258" i="2" s="1"/>
  <c r="A2259" i="2" s="1"/>
  <c r="A2260" i="2" s="1"/>
  <c r="A2261" i="2" s="1"/>
  <c r="A2262" i="2" s="1"/>
  <c r="A2263" i="2" s="1"/>
  <c r="A2264" i="2" s="1"/>
  <c r="A2265" i="2" s="1"/>
  <c r="A2266" i="2" s="1"/>
  <c r="A2267" i="2" s="1"/>
  <c r="A2268" i="2" s="1"/>
  <c r="A2269" i="2" s="1"/>
  <c r="A2270" i="2" s="1"/>
  <c r="A2271" i="2" s="1"/>
  <c r="A2272" i="2" s="1"/>
  <c r="A2273" i="2" s="1"/>
  <c r="A2274" i="2" s="1"/>
  <c r="A2275" i="2" s="1"/>
  <c r="A2276" i="2" s="1"/>
  <c r="A2277" i="2" s="1"/>
  <c r="A2278" i="2" s="1"/>
  <c r="A2279" i="2" s="1"/>
  <c r="A2280" i="2" s="1"/>
  <c r="A2281" i="2" s="1"/>
  <c r="A2282" i="2" s="1"/>
  <c r="A2283" i="2" s="1"/>
  <c r="A2284" i="2" s="1"/>
  <c r="A2285" i="2" s="1"/>
  <c r="A2286" i="2" s="1"/>
  <c r="A2287" i="2" s="1"/>
  <c r="A2288" i="2" s="1"/>
  <c r="A2289" i="2" s="1"/>
  <c r="A2290" i="2" s="1"/>
  <c r="A2291" i="2" s="1"/>
  <c r="A2292" i="2" s="1"/>
  <c r="A2293" i="2" s="1"/>
  <c r="A2294" i="2" s="1"/>
  <c r="A2295" i="2" s="1"/>
  <c r="A2296" i="2" s="1"/>
  <c r="A2297" i="2" s="1"/>
  <c r="A2298" i="2" s="1"/>
  <c r="A2299" i="2" s="1"/>
  <c r="A2300" i="2" s="1"/>
  <c r="A2301" i="2" s="1"/>
  <c r="A2302" i="2" s="1"/>
  <c r="A2303" i="2" s="1"/>
  <c r="A2304" i="2" s="1"/>
  <c r="A2305" i="2" s="1"/>
  <c r="A2306" i="2" s="1"/>
  <c r="A2307" i="2" s="1"/>
  <c r="A2308" i="2" s="1"/>
  <c r="A2309" i="2" s="1"/>
  <c r="A2310" i="2" s="1"/>
  <c r="A2311" i="2" s="1"/>
  <c r="A2312" i="2" s="1"/>
  <c r="A2313" i="2" s="1"/>
  <c r="A2314" i="2" s="1"/>
  <c r="A2315" i="2" s="1"/>
  <c r="A2316" i="2" s="1"/>
  <c r="A2317" i="2" s="1"/>
  <c r="A2318" i="2" s="1"/>
  <c r="A2319" i="2" s="1"/>
  <c r="A2320" i="2" s="1"/>
  <c r="A2321" i="2" s="1"/>
  <c r="A2322" i="2" s="1"/>
  <c r="A2323" i="2" s="1"/>
  <c r="A2324" i="2" s="1"/>
  <c r="A2325" i="2" s="1"/>
  <c r="A2326" i="2" s="1"/>
  <c r="A2327" i="2" s="1"/>
  <c r="A2328" i="2" s="1"/>
  <c r="A2329" i="2" s="1"/>
  <c r="A2330" i="2" s="1"/>
  <c r="A2331" i="2" s="1"/>
  <c r="A2332" i="2" s="1"/>
  <c r="A2333" i="2" s="1"/>
  <c r="A2334" i="2" s="1"/>
  <c r="A2335" i="2" s="1"/>
  <c r="A2336" i="2" s="1"/>
  <c r="A2337" i="2" s="1"/>
  <c r="A2338" i="2" s="1"/>
  <c r="A2339" i="2" s="1"/>
  <c r="A2340" i="2" s="1"/>
  <c r="A2341" i="2" s="1"/>
  <c r="A2342" i="2" s="1"/>
  <c r="A2343" i="2" s="1"/>
  <c r="A2344" i="2" s="1"/>
  <c r="A2345" i="2" s="1"/>
  <c r="A2346" i="2" s="1"/>
  <c r="A2347" i="2" s="1"/>
  <c r="A2348" i="2" s="1"/>
  <c r="A2349" i="2" s="1"/>
  <c r="A2350" i="2" s="1"/>
  <c r="A2351" i="2" s="1"/>
  <c r="A2352" i="2" s="1"/>
  <c r="A2353" i="2" s="1"/>
  <c r="A2354" i="2" s="1"/>
  <c r="A2355" i="2" s="1"/>
  <c r="A2356" i="2" s="1"/>
  <c r="A2357" i="2" s="1"/>
  <c r="A2358" i="2" s="1"/>
  <c r="A2359" i="2" s="1"/>
  <c r="A2360" i="2" s="1"/>
  <c r="A2361" i="2" s="1"/>
  <c r="A2362" i="2" s="1"/>
  <c r="A2363" i="2" s="1"/>
  <c r="A2364" i="2" s="1"/>
  <c r="A2365" i="2" s="1"/>
  <c r="A2366" i="2" s="1"/>
  <c r="A2367" i="2" s="1"/>
  <c r="A2368" i="2" s="1"/>
  <c r="A2369" i="2" s="1"/>
  <c r="A2370" i="2" s="1"/>
  <c r="A2371" i="2" s="1"/>
  <c r="A2372" i="2" s="1"/>
  <c r="A2373" i="2" s="1"/>
  <c r="A2374" i="2" s="1"/>
  <c r="A2375" i="2" s="1"/>
  <c r="A2376" i="2" s="1"/>
  <c r="A2377" i="2" s="1"/>
  <c r="A2378" i="2" s="1"/>
  <c r="A2379" i="2" s="1"/>
  <c r="A2380" i="2" s="1"/>
  <c r="A2381" i="2" s="1"/>
  <c r="A2382" i="2" s="1"/>
  <c r="A2383" i="2" s="1"/>
  <c r="A2384" i="2" s="1"/>
  <c r="A2385" i="2" s="1"/>
  <c r="A2386" i="2" s="1"/>
  <c r="A2387" i="2" s="1"/>
  <c r="A2388" i="2" s="1"/>
  <c r="A2389" i="2" s="1"/>
  <c r="A2390" i="2" s="1"/>
  <c r="A2391" i="2" s="1"/>
  <c r="A2392" i="2" s="1"/>
  <c r="A2393" i="2" s="1"/>
  <c r="A2394" i="2" s="1"/>
  <c r="A2395" i="2" s="1"/>
  <c r="A2396" i="2" s="1"/>
  <c r="A2397" i="2" s="1"/>
  <c r="A2398" i="2" s="1"/>
  <c r="A2399" i="2" s="1"/>
  <c r="A2400" i="2" s="1"/>
  <c r="A2401" i="2" s="1"/>
  <c r="A2402" i="2" s="1"/>
  <c r="A2403" i="2" s="1"/>
  <c r="A2404" i="2" s="1"/>
  <c r="A2405" i="2" s="1"/>
  <c r="A2406" i="2" s="1"/>
  <c r="A2407" i="2" s="1"/>
  <c r="A2408" i="2" s="1"/>
  <c r="A2409" i="2" s="1"/>
  <c r="A2410" i="2" s="1"/>
  <c r="A2411" i="2" s="1"/>
  <c r="A2412" i="2" s="1"/>
  <c r="A2413" i="2" s="1"/>
  <c r="A2414" i="2" s="1"/>
  <c r="A2415" i="2" s="1"/>
  <c r="A2416" i="2" s="1"/>
  <c r="A2417" i="2" s="1"/>
  <c r="A2418" i="2" s="1"/>
  <c r="A2419" i="2" s="1"/>
  <c r="A2420" i="2" s="1"/>
  <c r="A2421" i="2" s="1"/>
  <c r="A2422" i="2" s="1"/>
  <c r="A2423" i="2" s="1"/>
  <c r="A2424" i="2" s="1"/>
  <c r="A2425" i="2" s="1"/>
  <c r="A2426" i="2" s="1"/>
  <c r="A2427" i="2" s="1"/>
  <c r="A2428" i="2" s="1"/>
  <c r="A2429" i="2" s="1"/>
  <c r="A2430" i="2" s="1"/>
  <c r="A2431" i="2" s="1"/>
  <c r="A2432" i="2" s="1"/>
  <c r="A2433" i="2" s="1"/>
  <c r="A2434" i="2" s="1"/>
  <c r="A2435" i="2" s="1"/>
  <c r="A2436" i="2" s="1"/>
  <c r="A2437" i="2" s="1"/>
  <c r="A2438" i="2" s="1"/>
  <c r="A2439" i="2" s="1"/>
  <c r="A2440" i="2" s="1"/>
  <c r="A2441" i="2" s="1"/>
  <c r="A2442" i="2" s="1"/>
  <c r="A2443" i="2" s="1"/>
  <c r="A2444" i="2" s="1"/>
  <c r="A2445" i="2" s="1"/>
  <c r="A2446" i="2" s="1"/>
  <c r="A2447" i="2" s="1"/>
  <c r="A2448" i="2" s="1"/>
  <c r="A2449" i="2" s="1"/>
  <c r="A2450" i="2" s="1"/>
  <c r="A2451" i="2" s="1"/>
  <c r="A2452" i="2" s="1"/>
  <c r="A2453" i="2" s="1"/>
  <c r="A2454" i="2" s="1"/>
  <c r="A2455" i="2" s="1"/>
  <c r="A2456" i="2" s="1"/>
  <c r="A2457" i="2" s="1"/>
  <c r="A2458" i="2" s="1"/>
  <c r="A2459" i="2" s="1"/>
  <c r="A2460" i="2" s="1"/>
  <c r="A2461" i="2" s="1"/>
  <c r="A2462" i="2" s="1"/>
  <c r="A2463" i="2" s="1"/>
  <c r="A2464" i="2" s="1"/>
  <c r="A2465" i="2" s="1"/>
  <c r="A2466" i="2" s="1"/>
  <c r="A2467" i="2" s="1"/>
  <c r="A2468" i="2" s="1"/>
  <c r="A2469" i="2" s="1"/>
  <c r="A2470" i="2" s="1"/>
  <c r="A2471" i="2" s="1"/>
  <c r="A2472" i="2" s="1"/>
  <c r="A2473" i="2" s="1"/>
  <c r="A2474" i="2" s="1"/>
  <c r="A2475" i="2" s="1"/>
  <c r="A2476" i="2" s="1"/>
  <c r="A2477" i="2" s="1"/>
  <c r="A2478" i="2" s="1"/>
  <c r="A2479" i="2" s="1"/>
  <c r="A2480" i="2" s="1"/>
  <c r="A2481" i="2" s="1"/>
  <c r="A2482" i="2" s="1"/>
  <c r="A2483" i="2" s="1"/>
  <c r="A2484" i="2" s="1"/>
  <c r="A2485" i="2" s="1"/>
  <c r="A2486" i="2" s="1"/>
  <c r="A2487" i="2" s="1"/>
  <c r="A2488" i="2" s="1"/>
  <c r="A2489" i="2" s="1"/>
  <c r="A2490" i="2" s="1"/>
  <c r="A2491" i="2" s="1"/>
  <c r="A2492" i="2" s="1"/>
  <c r="A2493" i="2" s="1"/>
  <c r="A2494" i="2" s="1"/>
  <c r="A2495" i="2" s="1"/>
  <c r="A2496" i="2" s="1"/>
  <c r="A2497" i="2" s="1"/>
  <c r="A2498" i="2" s="1"/>
  <c r="A2499" i="2" s="1"/>
  <c r="A2500" i="2" s="1"/>
  <c r="A2501" i="2" s="1"/>
  <c r="A2502" i="2" s="1"/>
  <c r="A2503" i="2" s="1"/>
  <c r="A2504" i="2" s="1"/>
  <c r="A2505" i="2" s="1"/>
  <c r="A2506" i="2" s="1"/>
  <c r="A2507" i="2" s="1"/>
  <c r="A2508" i="2" s="1"/>
  <c r="A2509" i="2" s="1"/>
  <c r="A2510" i="2" s="1"/>
  <c r="A2511" i="2" s="1"/>
  <c r="A2512" i="2" s="1"/>
  <c r="A2513" i="2" s="1"/>
  <c r="A2514" i="2" s="1"/>
  <c r="A2515" i="2" s="1"/>
  <c r="A2516" i="2" s="1"/>
  <c r="A2517" i="2" s="1"/>
  <c r="A2518" i="2" s="1"/>
  <c r="A2519" i="2" s="1"/>
  <c r="A2520" i="2" s="1"/>
  <c r="A2521" i="2" s="1"/>
  <c r="A2522" i="2" s="1"/>
  <c r="A2523" i="2" s="1"/>
  <c r="A2524" i="2" s="1"/>
  <c r="A2525" i="2" s="1"/>
  <c r="A2526" i="2" s="1"/>
  <c r="A2527" i="2" s="1"/>
  <c r="A2528" i="2" s="1"/>
  <c r="A2529" i="2" s="1"/>
  <c r="A2530" i="2" s="1"/>
  <c r="A2531" i="2" s="1"/>
  <c r="A2532" i="2" s="1"/>
  <c r="A2533" i="2" s="1"/>
  <c r="A2534" i="2" s="1"/>
  <c r="A2535" i="2" s="1"/>
  <c r="A2536" i="2" s="1"/>
  <c r="A2537" i="2" s="1"/>
  <c r="A2538" i="2" s="1"/>
  <c r="A2539" i="2" s="1"/>
  <c r="A2540" i="2" s="1"/>
  <c r="A2541" i="2" s="1"/>
  <c r="A2542" i="2" s="1"/>
  <c r="A2543" i="2" s="1"/>
  <c r="A2544" i="2" s="1"/>
  <c r="A2545" i="2" s="1"/>
  <c r="A2546" i="2" s="1"/>
  <c r="A2547" i="2" s="1"/>
  <c r="A2548" i="2" s="1"/>
  <c r="A2549" i="2" s="1"/>
  <c r="A2550" i="2" s="1"/>
  <c r="A2551" i="2" s="1"/>
  <c r="A2552" i="2" s="1"/>
  <c r="A2553" i="2" s="1"/>
  <c r="A2554" i="2" s="1"/>
  <c r="A2555" i="2" s="1"/>
  <c r="A2556" i="2" s="1"/>
  <c r="A2557" i="2" s="1"/>
  <c r="A2558" i="2" s="1"/>
  <c r="A2559" i="2" s="1"/>
  <c r="A2560" i="2" s="1"/>
  <c r="A2561" i="2" s="1"/>
  <c r="A2562" i="2" s="1"/>
  <c r="A2563" i="2" s="1"/>
  <c r="A2564" i="2" s="1"/>
  <c r="A2565" i="2" s="1"/>
  <c r="A2566" i="2" s="1"/>
  <c r="A2567" i="2" s="1"/>
  <c r="A2568" i="2" s="1"/>
  <c r="A2569" i="2" s="1"/>
  <c r="A2570" i="2" s="1"/>
  <c r="A2571" i="2" s="1"/>
  <c r="A2572" i="2" s="1"/>
  <c r="A2573" i="2" s="1"/>
  <c r="A2574" i="2" s="1"/>
  <c r="A2575" i="2" s="1"/>
  <c r="A2576" i="2" s="1"/>
  <c r="A2577" i="2" s="1"/>
  <c r="A2578" i="2" s="1"/>
  <c r="A2579" i="2" s="1"/>
  <c r="A2580" i="2" s="1"/>
  <c r="A2581" i="2" s="1"/>
  <c r="A2582" i="2" s="1"/>
  <c r="A2583" i="2" s="1"/>
  <c r="A2584" i="2" s="1"/>
  <c r="A2585" i="2" s="1"/>
  <c r="A2586" i="2" s="1"/>
  <c r="A2587" i="2" s="1"/>
  <c r="A2588" i="2" s="1"/>
  <c r="A2589" i="2" s="1"/>
  <c r="A2590" i="2" s="1"/>
  <c r="A2591" i="2" s="1"/>
  <c r="A2592" i="2" s="1"/>
  <c r="A2593" i="2" s="1"/>
  <c r="A2594" i="2" s="1"/>
  <c r="A2595" i="2" s="1"/>
  <c r="A2596" i="2" s="1"/>
  <c r="A2597" i="2" s="1"/>
  <c r="A2598" i="2" s="1"/>
  <c r="A2599" i="2" s="1"/>
  <c r="A2600" i="2" s="1"/>
  <c r="A2601" i="2" s="1"/>
  <c r="A2602" i="2" s="1"/>
  <c r="A2603" i="2" s="1"/>
  <c r="A2604" i="2" s="1"/>
  <c r="A2605" i="2" s="1"/>
  <c r="A2606" i="2" s="1"/>
  <c r="A2607" i="2" s="1"/>
  <c r="A2608" i="2" s="1"/>
  <c r="A2609" i="2" s="1"/>
  <c r="A2610" i="2" s="1"/>
  <c r="A2611" i="2" s="1"/>
  <c r="A2612" i="2" s="1"/>
  <c r="A2613" i="2" s="1"/>
  <c r="A2614" i="2" s="1"/>
  <c r="A2615" i="2" s="1"/>
  <c r="A2616" i="2" s="1"/>
  <c r="A2617" i="2" s="1"/>
  <c r="A2618" i="2" s="1"/>
  <c r="A2619" i="2" s="1"/>
  <c r="A2620" i="2" s="1"/>
  <c r="A2621" i="2" s="1"/>
  <c r="A2622" i="2" s="1"/>
  <c r="A2623" i="2" s="1"/>
  <c r="A2624" i="2" s="1"/>
  <c r="A2625" i="2" s="1"/>
  <c r="A2626" i="2" s="1"/>
  <c r="A2627" i="2" s="1"/>
  <c r="A2628" i="2" s="1"/>
  <c r="A2629" i="2" s="1"/>
  <c r="A2630" i="2" s="1"/>
  <c r="A2631" i="2" s="1"/>
  <c r="A2632" i="2" s="1"/>
  <c r="A2633" i="2" s="1"/>
  <c r="A2634" i="2" s="1"/>
  <c r="A2635" i="2" s="1"/>
  <c r="A2636" i="2" s="1"/>
  <c r="A2637" i="2" s="1"/>
  <c r="A2638" i="2" s="1"/>
  <c r="A2639" i="2" s="1"/>
  <c r="A2640" i="2" s="1"/>
  <c r="A2641" i="2" s="1"/>
  <c r="A2642" i="2" s="1"/>
  <c r="A2643" i="2" s="1"/>
  <c r="A2644" i="2" s="1"/>
  <c r="A2645" i="2" s="1"/>
  <c r="A2646" i="2" s="1"/>
  <c r="A2647" i="2" s="1"/>
  <c r="A2648" i="2" s="1"/>
  <c r="A2649" i="2" s="1"/>
  <c r="A2650" i="2" s="1"/>
  <c r="A2651" i="2" s="1"/>
  <c r="A2652" i="2" s="1"/>
  <c r="A2653" i="2" s="1"/>
  <c r="A2654" i="2" s="1"/>
  <c r="A2655" i="2" s="1"/>
  <c r="A2656" i="2" s="1"/>
  <c r="A2657" i="2" s="1"/>
  <c r="A2658" i="2" s="1"/>
  <c r="A2659" i="2" s="1"/>
  <c r="A2660" i="2" s="1"/>
  <c r="A2661" i="2" s="1"/>
  <c r="A2662" i="2" s="1"/>
  <c r="A2663" i="2" s="1"/>
  <c r="A2664" i="2" s="1"/>
  <c r="A2665" i="2" s="1"/>
  <c r="A2666" i="2" s="1"/>
  <c r="A2667" i="2" s="1"/>
  <c r="A2668" i="2" s="1"/>
  <c r="A2669" i="2" s="1"/>
  <c r="A2670" i="2" s="1"/>
  <c r="A2671" i="2" s="1"/>
  <c r="A2672" i="2" s="1"/>
  <c r="A2673" i="2" s="1"/>
  <c r="A2674" i="2" s="1"/>
  <c r="A2675" i="2" s="1"/>
  <c r="A2676" i="2" s="1"/>
  <c r="A2677" i="2" s="1"/>
  <c r="A2678" i="2" s="1"/>
  <c r="A2679" i="2" s="1"/>
  <c r="A2680" i="2" s="1"/>
  <c r="A2681" i="2" s="1"/>
  <c r="A2682" i="2" s="1"/>
  <c r="A2683" i="2" s="1"/>
  <c r="A2684" i="2" s="1"/>
  <c r="A2685" i="2" s="1"/>
  <c r="A2686" i="2" s="1"/>
  <c r="A2687" i="2" s="1"/>
  <c r="A2688" i="2" s="1"/>
  <c r="A2689" i="2" s="1"/>
  <c r="A2690" i="2" s="1"/>
  <c r="A2691" i="2" s="1"/>
  <c r="A2692" i="2" s="1"/>
  <c r="A2693" i="2" s="1"/>
  <c r="A2694" i="2" s="1"/>
  <c r="A2695" i="2" s="1"/>
  <c r="A2696" i="2" s="1"/>
  <c r="A2697" i="2" s="1"/>
  <c r="A2698" i="2" s="1"/>
  <c r="A2699" i="2" s="1"/>
  <c r="A2700" i="2" s="1"/>
  <c r="A2701" i="2" s="1"/>
  <c r="A2702" i="2" s="1"/>
  <c r="A2703" i="2" s="1"/>
  <c r="A2704" i="2" s="1"/>
  <c r="A2705" i="2" s="1"/>
  <c r="A2706" i="2" s="1"/>
  <c r="A2707" i="2" s="1"/>
  <c r="A2708" i="2" s="1"/>
  <c r="A2709" i="2" s="1"/>
  <c r="A2710" i="2" s="1"/>
  <c r="A2711" i="2" s="1"/>
  <c r="A2712" i="2" s="1"/>
  <c r="A2713" i="2" s="1"/>
  <c r="A2714" i="2" s="1"/>
  <c r="A2715" i="2" s="1"/>
  <c r="A2716" i="2" s="1"/>
  <c r="A2717" i="2" s="1"/>
  <c r="A2718" i="2" s="1"/>
  <c r="A2719" i="2" s="1"/>
  <c r="A2720" i="2" s="1"/>
  <c r="A2721" i="2" s="1"/>
  <c r="A2722" i="2" s="1"/>
  <c r="A2723" i="2" s="1"/>
  <c r="A2724" i="2" s="1"/>
  <c r="A2725" i="2" s="1"/>
  <c r="A2726" i="2" s="1"/>
  <c r="A2727" i="2" s="1"/>
  <c r="A2728" i="2" s="1"/>
  <c r="A2729" i="2" s="1"/>
  <c r="A2730" i="2" s="1"/>
  <c r="A2731" i="2" s="1"/>
  <c r="A2732" i="2" s="1"/>
  <c r="A2733" i="2" s="1"/>
  <c r="A2734" i="2" s="1"/>
  <c r="A2735" i="2" s="1"/>
  <c r="A2736" i="2" s="1"/>
  <c r="A2737" i="2" s="1"/>
  <c r="A2738" i="2" s="1"/>
  <c r="A2739" i="2" s="1"/>
  <c r="A2740" i="2" s="1"/>
  <c r="A2741" i="2" s="1"/>
  <c r="A2742" i="2" s="1"/>
  <c r="A2743" i="2" s="1"/>
  <c r="A2744" i="2" s="1"/>
  <c r="A2745" i="2" s="1"/>
  <c r="A2746" i="2" s="1"/>
  <c r="A2747" i="2" s="1"/>
  <c r="A2748" i="2" s="1"/>
  <c r="A2749" i="2" s="1"/>
  <c r="A2750" i="2" s="1"/>
  <c r="A2751" i="2" s="1"/>
  <c r="A2752" i="2" s="1"/>
  <c r="A2753" i="2" s="1"/>
  <c r="A2754" i="2" s="1"/>
  <c r="A2755" i="2" s="1"/>
  <c r="A2756" i="2" s="1"/>
  <c r="A2757" i="2" s="1"/>
  <c r="A2758" i="2" s="1"/>
  <c r="A2759" i="2" s="1"/>
  <c r="A2760" i="2" s="1"/>
  <c r="A2761" i="2" s="1"/>
  <c r="A2762" i="2" s="1"/>
  <c r="A2763" i="2" s="1"/>
  <c r="A2764" i="2" s="1"/>
  <c r="A2765" i="2" s="1"/>
  <c r="A2766" i="2" s="1"/>
  <c r="A2767" i="2" s="1"/>
  <c r="A2768" i="2" s="1"/>
  <c r="A2769" i="2" s="1"/>
  <c r="A2770" i="2" s="1"/>
  <c r="A2771" i="2" s="1"/>
  <c r="A2772" i="2" s="1"/>
  <c r="A2773" i="2" s="1"/>
  <c r="A2774" i="2" s="1"/>
  <c r="A2775" i="2" s="1"/>
  <c r="A2776" i="2" s="1"/>
  <c r="A2777" i="2" s="1"/>
  <c r="A2778" i="2" s="1"/>
  <c r="A2779" i="2" s="1"/>
  <c r="A2780" i="2" s="1"/>
  <c r="A2781" i="2" s="1"/>
  <c r="A2782" i="2" s="1"/>
  <c r="A2783" i="2" s="1"/>
  <c r="A2784" i="2" s="1"/>
  <c r="A2785" i="2" s="1"/>
  <c r="A2786" i="2" s="1"/>
  <c r="A2787" i="2" s="1"/>
  <c r="A2788" i="2" s="1"/>
  <c r="A2789" i="2" s="1"/>
  <c r="A2790" i="2" s="1"/>
  <c r="A2791" i="2" s="1"/>
  <c r="A2792" i="2" s="1"/>
  <c r="A2793" i="2" s="1"/>
  <c r="A2794" i="2" s="1"/>
  <c r="A2795" i="2" s="1"/>
  <c r="A2796" i="2" s="1"/>
  <c r="A2797" i="2" s="1"/>
  <c r="A2798" i="2" s="1"/>
  <c r="A2799" i="2" s="1"/>
  <c r="A2800" i="2" s="1"/>
  <c r="A2801" i="2" s="1"/>
  <c r="A2802" i="2" s="1"/>
  <c r="A2803" i="2" s="1"/>
  <c r="A2804" i="2" s="1"/>
  <c r="A2805" i="2" s="1"/>
  <c r="A2806" i="2" s="1"/>
  <c r="A2807" i="2" s="1"/>
  <c r="A2808" i="2" s="1"/>
  <c r="A2809" i="2" s="1"/>
  <c r="A2810" i="2" s="1"/>
  <c r="A2811" i="2" s="1"/>
  <c r="A2812" i="2" s="1"/>
  <c r="A2813" i="2" s="1"/>
  <c r="A2814" i="2" s="1"/>
  <c r="A2815" i="2" s="1"/>
  <c r="A2816" i="2" s="1"/>
  <c r="A2817" i="2" s="1"/>
  <c r="A2818" i="2" s="1"/>
  <c r="A2819" i="2" s="1"/>
  <c r="A2820" i="2" s="1"/>
  <c r="A2821" i="2" s="1"/>
  <c r="A2822" i="2" s="1"/>
  <c r="A2823" i="2" s="1"/>
  <c r="A2824" i="2" s="1"/>
  <c r="A2825" i="2" s="1"/>
  <c r="A2826" i="2" s="1"/>
  <c r="A2827" i="2" s="1"/>
  <c r="A2828" i="2" s="1"/>
  <c r="A2829" i="2" s="1"/>
  <c r="A2830" i="2" s="1"/>
  <c r="A2831" i="2" s="1"/>
  <c r="A2832" i="2" s="1"/>
  <c r="A2833" i="2" s="1"/>
  <c r="A2834" i="2" s="1"/>
  <c r="A2835" i="2" s="1"/>
  <c r="A2836" i="2" s="1"/>
  <c r="A2837" i="2" s="1"/>
  <c r="A2838" i="2" s="1"/>
  <c r="A2839" i="2" s="1"/>
  <c r="A2840" i="2" s="1"/>
  <c r="A2841" i="2" s="1"/>
  <c r="A2842" i="2" s="1"/>
  <c r="A2843" i="2" s="1"/>
  <c r="A2844" i="2" s="1"/>
  <c r="A2845" i="2" s="1"/>
  <c r="A2846" i="2" s="1"/>
  <c r="A2847" i="2" s="1"/>
  <c r="A2848" i="2" s="1"/>
  <c r="A2849" i="2" s="1"/>
  <c r="A2850" i="2" s="1"/>
  <c r="A2851" i="2" s="1"/>
  <c r="A2852" i="2" s="1"/>
  <c r="A2853" i="2" s="1"/>
  <c r="A2854" i="2" s="1"/>
  <c r="A2855" i="2" s="1"/>
  <c r="A2856" i="2" s="1"/>
  <c r="A2857" i="2" s="1"/>
  <c r="A2858" i="2" s="1"/>
  <c r="A2859" i="2" s="1"/>
  <c r="A2860" i="2" s="1"/>
  <c r="A2861" i="2" s="1"/>
  <c r="A2862" i="2" s="1"/>
  <c r="A2863" i="2" s="1"/>
  <c r="A2864" i="2" s="1"/>
  <c r="A2865" i="2" s="1"/>
  <c r="A2866" i="2" s="1"/>
  <c r="A2867" i="2" s="1"/>
  <c r="A2868" i="2" s="1"/>
  <c r="A2869" i="2" s="1"/>
  <c r="A2870" i="2" s="1"/>
  <c r="A2871" i="2" s="1"/>
  <c r="A2872" i="2" s="1"/>
  <c r="A2873" i="2" s="1"/>
  <c r="A2874" i="2" s="1"/>
  <c r="A2875" i="2" s="1"/>
  <c r="A2876" i="2" s="1"/>
  <c r="A2877" i="2" s="1"/>
  <c r="A2878" i="2" s="1"/>
  <c r="A2879" i="2" s="1"/>
  <c r="A2880" i="2" s="1"/>
  <c r="A2881" i="2" s="1"/>
  <c r="A2882" i="2" s="1"/>
  <c r="A2883" i="2" s="1"/>
  <c r="A2884" i="2" s="1"/>
  <c r="A2885" i="2" s="1"/>
  <c r="A2886" i="2" s="1"/>
  <c r="A2887" i="2" s="1"/>
  <c r="A2888" i="2" s="1"/>
  <c r="A2889" i="2" s="1"/>
  <c r="A2890" i="2" s="1"/>
  <c r="A2891" i="2" s="1"/>
  <c r="A2892" i="2" s="1"/>
  <c r="A2893" i="2" s="1"/>
  <c r="A2894" i="2" s="1"/>
  <c r="A2895" i="2" s="1"/>
  <c r="A2896" i="2" s="1"/>
  <c r="A2897" i="2" s="1"/>
  <c r="A2898" i="2" s="1"/>
  <c r="A2899" i="2" s="1"/>
  <c r="A2900" i="2" s="1"/>
  <c r="A2901" i="2" s="1"/>
  <c r="A2902" i="2" s="1"/>
  <c r="A2903" i="2" s="1"/>
  <c r="A2904" i="2" s="1"/>
  <c r="A2905" i="2" s="1"/>
  <c r="A2906" i="2" s="1"/>
  <c r="A2907" i="2" s="1"/>
  <c r="A2908" i="2" s="1"/>
  <c r="A2909" i="2" s="1"/>
  <c r="A2910" i="2" s="1"/>
  <c r="A2911" i="2" s="1"/>
  <c r="A2912" i="2" s="1"/>
  <c r="A2913" i="2" s="1"/>
  <c r="A2914" i="2" s="1"/>
  <c r="A2915" i="2" s="1"/>
  <c r="A2916" i="2" s="1"/>
  <c r="A2917" i="2" s="1"/>
  <c r="A2918" i="2" s="1"/>
  <c r="A2919" i="2" s="1"/>
  <c r="A2920" i="2" s="1"/>
  <c r="A2921" i="2" s="1"/>
  <c r="A2922" i="2" s="1"/>
  <c r="A2923" i="2" s="1"/>
  <c r="A2924" i="2" s="1"/>
  <c r="A2925" i="2" s="1"/>
  <c r="A2926" i="2" s="1"/>
  <c r="A2927" i="2" s="1"/>
  <c r="A2928" i="2" s="1"/>
  <c r="A2929" i="2" s="1"/>
  <c r="A2930" i="2" s="1"/>
  <c r="A2931" i="2" s="1"/>
  <c r="A2932" i="2" s="1"/>
  <c r="A2933" i="2" s="1"/>
  <c r="A2934" i="2" s="1"/>
  <c r="A2935" i="2" s="1"/>
  <c r="A2936" i="2" s="1"/>
  <c r="A2937" i="2" s="1"/>
  <c r="A2938" i="2" s="1"/>
  <c r="A2939" i="2" s="1"/>
  <c r="A2940" i="2" s="1"/>
  <c r="A2941" i="2" s="1"/>
  <c r="A2942" i="2" s="1"/>
  <c r="A2943" i="2" s="1"/>
  <c r="A2944" i="2" s="1"/>
  <c r="A2945" i="2" s="1"/>
  <c r="A2946" i="2" s="1"/>
  <c r="A2947" i="2" s="1"/>
  <c r="A2948" i="2" s="1"/>
  <c r="A2949" i="2" s="1"/>
  <c r="A2950" i="2" s="1"/>
  <c r="A2951" i="2" s="1"/>
  <c r="A2952" i="2" s="1"/>
  <c r="A2953" i="2" s="1"/>
  <c r="A2954" i="2" s="1"/>
  <c r="A2955" i="2" s="1"/>
  <c r="A2956" i="2" s="1"/>
  <c r="A2957" i="2" s="1"/>
  <c r="A2958" i="2" s="1"/>
  <c r="A2959" i="2" s="1"/>
  <c r="A2960" i="2" s="1"/>
  <c r="A2961" i="2" s="1"/>
  <c r="A2962" i="2" s="1"/>
  <c r="A2963" i="2" s="1"/>
  <c r="A2964" i="2" s="1"/>
  <c r="A2965" i="2" s="1"/>
  <c r="A2966" i="2" s="1"/>
  <c r="A2967" i="2" s="1"/>
  <c r="A2968" i="2" s="1"/>
  <c r="A2969" i="2" s="1"/>
  <c r="A2970" i="2" s="1"/>
  <c r="A2971" i="2" s="1"/>
  <c r="A2972" i="2" s="1"/>
  <c r="A2973" i="2" s="1"/>
  <c r="A2974" i="2" s="1"/>
  <c r="A2975" i="2" s="1"/>
  <c r="A2976" i="2" s="1"/>
  <c r="A2977" i="2" s="1"/>
  <c r="A2978" i="2" s="1"/>
  <c r="A2979" i="2" s="1"/>
  <c r="A2980" i="2" s="1"/>
  <c r="A2981" i="2" s="1"/>
  <c r="A2982" i="2" s="1"/>
  <c r="A2983" i="2" s="1"/>
  <c r="A2984" i="2" s="1"/>
  <c r="A2985" i="2" s="1"/>
  <c r="A2986" i="2" s="1"/>
  <c r="A2987" i="2" s="1"/>
  <c r="A2988" i="2" s="1"/>
  <c r="A2989" i="2" s="1"/>
  <c r="A2990" i="2" s="1"/>
  <c r="A2991" i="2" s="1"/>
  <c r="A2992" i="2" s="1"/>
  <c r="A2993" i="2" s="1"/>
  <c r="A2994" i="2" s="1"/>
  <c r="A2995" i="2" s="1"/>
  <c r="A2996" i="2" s="1"/>
  <c r="A2997" i="2" s="1"/>
  <c r="A2998" i="2" s="1"/>
  <c r="A2999" i="2" s="1"/>
  <c r="A3000" i="2" s="1"/>
  <c r="A3001" i="2" s="1"/>
  <c r="A3002" i="2" s="1"/>
  <c r="A3003" i="2" s="1"/>
  <c r="A3004" i="2" s="1"/>
  <c r="A3005" i="2" s="1"/>
  <c r="A3006" i="2" s="1"/>
  <c r="A3007" i="2" s="1"/>
  <c r="A3008" i="2" s="1"/>
  <c r="A3009" i="2" s="1"/>
  <c r="A3010" i="2" s="1"/>
  <c r="A3011" i="2" s="1"/>
  <c r="A3012" i="2" s="1"/>
  <c r="A3013" i="2" s="1"/>
  <c r="A3014" i="2" s="1"/>
  <c r="A3015" i="2" s="1"/>
  <c r="A3016" i="2" s="1"/>
  <c r="A3017" i="2" s="1"/>
  <c r="A3018" i="2" s="1"/>
  <c r="A3019" i="2" s="1"/>
  <c r="A3020" i="2" s="1"/>
  <c r="A3021" i="2" s="1"/>
  <c r="A3022" i="2" s="1"/>
  <c r="A3023" i="2" s="1"/>
  <c r="A3024" i="2" s="1"/>
  <c r="A3025" i="2" s="1"/>
  <c r="A3026" i="2" s="1"/>
  <c r="A3027" i="2" s="1"/>
  <c r="A3028" i="2" s="1"/>
  <c r="A3029" i="2" s="1"/>
  <c r="A3030" i="2" s="1"/>
  <c r="A3031" i="2" s="1"/>
  <c r="A3032" i="2" s="1"/>
  <c r="A3033" i="2" s="1"/>
  <c r="A3034" i="2" s="1"/>
  <c r="A3035" i="2" s="1"/>
  <c r="A3036" i="2" s="1"/>
  <c r="A3037" i="2" s="1"/>
  <c r="A3038" i="2" s="1"/>
  <c r="A3039" i="2" s="1"/>
  <c r="A3040" i="2" s="1"/>
  <c r="A3041" i="2" s="1"/>
  <c r="A3042" i="2" s="1"/>
  <c r="A3043" i="2" s="1"/>
  <c r="A3044" i="2" s="1"/>
  <c r="A3045" i="2" s="1"/>
  <c r="A3046" i="2" s="1"/>
  <c r="A3047" i="2" s="1"/>
  <c r="A3048" i="2" s="1"/>
  <c r="A3049" i="2" s="1"/>
  <c r="A3050" i="2" s="1"/>
  <c r="A3051" i="2" s="1"/>
  <c r="A3052" i="2" s="1"/>
  <c r="A3053" i="2" s="1"/>
  <c r="A3054" i="2" s="1"/>
  <c r="A3055" i="2" s="1"/>
  <c r="A3056" i="2" s="1"/>
  <c r="A3057" i="2" s="1"/>
  <c r="A3058" i="2" s="1"/>
  <c r="A3059" i="2" s="1"/>
  <c r="A3060" i="2" s="1"/>
  <c r="A3061" i="2" s="1"/>
  <c r="A3062" i="2" s="1"/>
  <c r="A3063" i="2" s="1"/>
  <c r="A3064" i="2" s="1"/>
  <c r="A3065" i="2" s="1"/>
  <c r="A3066" i="2" s="1"/>
  <c r="A3067" i="2" s="1"/>
  <c r="A3068" i="2" s="1"/>
  <c r="A3069" i="2" s="1"/>
  <c r="A3070" i="2" s="1"/>
  <c r="A3071" i="2" s="1"/>
  <c r="A3072" i="2" s="1"/>
  <c r="A3073" i="2" s="1"/>
  <c r="A3074" i="2" s="1"/>
  <c r="A3075" i="2" s="1"/>
  <c r="A3076" i="2" s="1"/>
  <c r="A3077" i="2" s="1"/>
  <c r="A3078" i="2" s="1"/>
  <c r="A3079" i="2" s="1"/>
  <c r="A3080" i="2" s="1"/>
  <c r="A3081" i="2" s="1"/>
  <c r="A3082" i="2" s="1"/>
  <c r="A3083" i="2" s="1"/>
  <c r="A3084" i="2" s="1"/>
  <c r="A3085" i="2" s="1"/>
  <c r="A3086" i="2" s="1"/>
  <c r="A3087" i="2" s="1"/>
  <c r="A3088" i="2" s="1"/>
  <c r="A3089" i="2" s="1"/>
  <c r="A3090" i="2" s="1"/>
  <c r="A3091" i="2" s="1"/>
  <c r="A3092" i="2" s="1"/>
  <c r="A3093" i="2" s="1"/>
  <c r="A3094" i="2" s="1"/>
  <c r="A3095" i="2" s="1"/>
  <c r="A3096" i="2" s="1"/>
  <c r="A3097" i="2" s="1"/>
  <c r="A3098" i="2" s="1"/>
  <c r="A3099" i="2" s="1"/>
  <c r="A3100" i="2" s="1"/>
  <c r="A3101" i="2" s="1"/>
  <c r="A3102" i="2" s="1"/>
  <c r="A3103" i="2" s="1"/>
  <c r="A3104" i="2" s="1"/>
  <c r="A3105" i="2" s="1"/>
  <c r="A3106" i="2" s="1"/>
  <c r="A3107" i="2" s="1"/>
  <c r="A3108" i="2" s="1"/>
  <c r="A3109" i="2" s="1"/>
  <c r="A3110" i="2" s="1"/>
  <c r="A3111" i="2" s="1"/>
  <c r="A3112" i="2" s="1"/>
  <c r="A3113" i="2" s="1"/>
  <c r="A3114" i="2" s="1"/>
  <c r="A3115" i="2" s="1"/>
  <c r="A3116" i="2" s="1"/>
  <c r="A3117" i="2" s="1"/>
  <c r="A3118" i="2" s="1"/>
  <c r="A3119" i="2" s="1"/>
  <c r="A3120" i="2" s="1"/>
  <c r="A3121" i="2" s="1"/>
  <c r="A3122" i="2" s="1"/>
  <c r="A3123" i="2" s="1"/>
  <c r="A3124" i="2" s="1"/>
  <c r="A3125" i="2" s="1"/>
  <c r="A3126" i="2" s="1"/>
  <c r="A3127" i="2" s="1"/>
  <c r="A3128" i="2" s="1"/>
  <c r="A3129" i="2" s="1"/>
  <c r="A3130" i="2" s="1"/>
  <c r="A3131" i="2" s="1"/>
  <c r="A3132" i="2" s="1"/>
  <c r="A3133" i="2" s="1"/>
  <c r="A3134" i="2" s="1"/>
  <c r="A3135" i="2" s="1"/>
  <c r="A3136" i="2" s="1"/>
  <c r="A3137" i="2" s="1"/>
  <c r="A3138" i="2" s="1"/>
  <c r="A3139" i="2" s="1"/>
  <c r="A3140" i="2" s="1"/>
  <c r="A3141" i="2" s="1"/>
  <c r="A3142" i="2" s="1"/>
  <c r="A3143" i="2" s="1"/>
  <c r="A3144" i="2" s="1"/>
  <c r="A3145" i="2" s="1"/>
  <c r="A3146" i="2" s="1"/>
  <c r="A3147" i="2" s="1"/>
  <c r="A3148" i="2" s="1"/>
  <c r="A3149" i="2" s="1"/>
  <c r="A3150" i="2" s="1"/>
  <c r="A3151" i="2" s="1"/>
  <c r="A3152" i="2" s="1"/>
  <c r="A3153" i="2" s="1"/>
  <c r="A3154" i="2" s="1"/>
  <c r="A3155" i="2" s="1"/>
  <c r="A3156" i="2" s="1"/>
  <c r="A3157" i="2" s="1"/>
  <c r="A3158" i="2" s="1"/>
  <c r="A3159" i="2" s="1"/>
  <c r="A3160" i="2" s="1"/>
  <c r="A3161" i="2" s="1"/>
  <c r="A3162" i="2" s="1"/>
  <c r="A3163" i="2" s="1"/>
  <c r="A3164" i="2" s="1"/>
  <c r="A3165" i="2" s="1"/>
  <c r="A3166" i="2" s="1"/>
  <c r="A3167" i="2" s="1"/>
  <c r="A3168" i="2" s="1"/>
  <c r="A3169" i="2" s="1"/>
  <c r="A3170" i="2" s="1"/>
  <c r="A3171" i="2" s="1"/>
  <c r="A3172" i="2" s="1"/>
  <c r="A3173" i="2" s="1"/>
  <c r="A3174" i="2" s="1"/>
  <c r="A3175" i="2" s="1"/>
  <c r="A3176" i="2" s="1"/>
  <c r="A3177" i="2" s="1"/>
  <c r="A3178" i="2" s="1"/>
  <c r="A3179" i="2" s="1"/>
  <c r="A3180" i="2" s="1"/>
  <c r="A3181" i="2" s="1"/>
  <c r="A3182" i="2" s="1"/>
  <c r="A3183" i="2" s="1"/>
  <c r="A3184" i="2" s="1"/>
  <c r="A3185" i="2" s="1"/>
  <c r="A3186" i="2" s="1"/>
  <c r="A3187" i="2" s="1"/>
  <c r="A3188" i="2" s="1"/>
  <c r="A3189" i="2" s="1"/>
  <c r="A3190" i="2" s="1"/>
  <c r="A3191" i="2" s="1"/>
  <c r="A3192" i="2" s="1"/>
  <c r="A3193" i="2" s="1"/>
  <c r="A3194" i="2" s="1"/>
  <c r="A3195" i="2" s="1"/>
  <c r="A3196" i="2" s="1"/>
  <c r="A3197" i="2" s="1"/>
  <c r="A3198" i="2" s="1"/>
  <c r="A3199" i="2" s="1"/>
  <c r="A3200" i="2" s="1"/>
  <c r="A3201" i="2" s="1"/>
  <c r="A3202" i="2" s="1"/>
  <c r="A3203" i="2" s="1"/>
  <c r="A3204" i="2" s="1"/>
  <c r="A3205" i="2" s="1"/>
  <c r="A3206" i="2" s="1"/>
  <c r="A3207" i="2" s="1"/>
  <c r="A3208" i="2" s="1"/>
  <c r="A3209" i="2" s="1"/>
  <c r="A3210" i="2" s="1"/>
  <c r="A3211" i="2" s="1"/>
  <c r="A3212" i="2" s="1"/>
  <c r="A3213" i="2" s="1"/>
  <c r="A3214" i="2" s="1"/>
  <c r="A3215" i="2" s="1"/>
  <c r="A3216" i="2" s="1"/>
  <c r="A3217" i="2" s="1"/>
  <c r="A3218" i="2" s="1"/>
  <c r="A3219" i="2" s="1"/>
  <c r="A3220" i="2" s="1"/>
  <c r="A3221" i="2" s="1"/>
  <c r="A3222" i="2" s="1"/>
  <c r="A3223" i="2" s="1"/>
  <c r="A3224" i="2" s="1"/>
  <c r="A3225" i="2" s="1"/>
  <c r="A3226" i="2" s="1"/>
  <c r="A3227" i="2" s="1"/>
  <c r="A3228" i="2" s="1"/>
  <c r="A3229" i="2" s="1"/>
  <c r="A3230" i="2" s="1"/>
  <c r="A3231" i="2" s="1"/>
  <c r="A3232" i="2" s="1"/>
  <c r="A3233" i="2" s="1"/>
  <c r="A3234" i="2" s="1"/>
  <c r="A3235" i="2" s="1"/>
  <c r="A3236" i="2" s="1"/>
  <c r="A3237" i="2" s="1"/>
  <c r="A3238" i="2" s="1"/>
  <c r="A3239" i="2" s="1"/>
  <c r="A3240" i="2" s="1"/>
  <c r="A3241" i="2" s="1"/>
  <c r="A3242" i="2" s="1"/>
  <c r="A3243" i="2" s="1"/>
  <c r="A3244" i="2" s="1"/>
  <c r="A3245" i="2" s="1"/>
  <c r="A3246" i="2" s="1"/>
  <c r="A3247" i="2" s="1"/>
  <c r="A3248" i="2" s="1"/>
  <c r="A3249" i="2" s="1"/>
  <c r="A3250" i="2" s="1"/>
  <c r="A3251" i="2" s="1"/>
  <c r="A3252" i="2" s="1"/>
  <c r="A3253" i="2" s="1"/>
  <c r="A3254" i="2" s="1"/>
  <c r="A3255" i="2" s="1"/>
  <c r="A3256" i="2" s="1"/>
  <c r="A3257" i="2" s="1"/>
  <c r="A3258" i="2" s="1"/>
  <c r="A3259" i="2" s="1"/>
  <c r="A3260" i="2" s="1"/>
  <c r="A3261" i="2" s="1"/>
  <c r="A3262" i="2" s="1"/>
  <c r="A3263" i="2" s="1"/>
  <c r="A3264" i="2" s="1"/>
  <c r="A3265" i="2" s="1"/>
  <c r="A3266" i="2" s="1"/>
  <c r="A3267" i="2" s="1"/>
  <c r="A3268" i="2" s="1"/>
  <c r="A3269" i="2" s="1"/>
  <c r="A3270" i="2" s="1"/>
  <c r="A3271" i="2" s="1"/>
  <c r="A3272" i="2" s="1"/>
  <c r="A3273" i="2" s="1"/>
  <c r="A3274" i="2" s="1"/>
  <c r="A3275" i="2" s="1"/>
  <c r="A3276" i="2" s="1"/>
  <c r="A3277" i="2" s="1"/>
  <c r="A3278" i="2" s="1"/>
  <c r="A3279" i="2" s="1"/>
  <c r="A3280" i="2" s="1"/>
  <c r="A3281" i="2" s="1"/>
  <c r="A3282" i="2" s="1"/>
  <c r="A3283" i="2" s="1"/>
  <c r="A3284" i="2" s="1"/>
  <c r="A3285" i="2" s="1"/>
  <c r="A3286" i="2" s="1"/>
  <c r="A3287" i="2" s="1"/>
  <c r="A3288" i="2" s="1"/>
  <c r="A3289" i="2" s="1"/>
  <c r="A3290" i="2" s="1"/>
  <c r="A3291" i="2" s="1"/>
  <c r="A3292" i="2" s="1"/>
  <c r="A3293" i="2" s="1"/>
  <c r="A3294" i="2" s="1"/>
  <c r="A3295" i="2" s="1"/>
  <c r="A3296" i="2" s="1"/>
  <c r="A3297" i="2" s="1"/>
  <c r="A3298" i="2" s="1"/>
  <c r="A3299" i="2" s="1"/>
  <c r="A3300" i="2" s="1"/>
  <c r="A3301" i="2" s="1"/>
  <c r="A3302" i="2" s="1"/>
  <c r="A3303" i="2" s="1"/>
  <c r="A3304" i="2" s="1"/>
  <c r="A3305" i="2" s="1"/>
  <c r="A3306" i="2" s="1"/>
  <c r="A3307" i="2" s="1"/>
  <c r="A3308" i="2" s="1"/>
  <c r="A3309" i="2" s="1"/>
  <c r="A3310" i="2" s="1"/>
  <c r="A3311" i="2" s="1"/>
  <c r="A3312" i="2" s="1"/>
  <c r="A3313" i="2" s="1"/>
  <c r="A3314" i="2" s="1"/>
  <c r="A3315" i="2" s="1"/>
  <c r="A3316" i="2" s="1"/>
  <c r="A3317" i="2" s="1"/>
  <c r="A3318" i="2" s="1"/>
  <c r="A3319" i="2" s="1"/>
  <c r="A3320" i="2" s="1"/>
  <c r="A3321" i="2" s="1"/>
  <c r="A3322" i="2" s="1"/>
  <c r="A3323" i="2" s="1"/>
  <c r="A3324" i="2" s="1"/>
  <c r="A3325" i="2" s="1"/>
  <c r="A3326" i="2" s="1"/>
  <c r="A3327" i="2" s="1"/>
  <c r="A3328" i="2" s="1"/>
  <c r="A3329" i="2" s="1"/>
  <c r="A3330" i="2" s="1"/>
  <c r="A3331" i="2" s="1"/>
  <c r="A3332" i="2" s="1"/>
  <c r="A3333" i="2" s="1"/>
  <c r="A3334" i="2" s="1"/>
  <c r="A3335" i="2" s="1"/>
  <c r="A3336" i="2" s="1"/>
  <c r="A3337" i="2" s="1"/>
  <c r="A3338" i="2" s="1"/>
  <c r="A3339" i="2" s="1"/>
  <c r="A3340" i="2" s="1"/>
  <c r="A3341" i="2" s="1"/>
  <c r="A3342" i="2" s="1"/>
  <c r="A3343" i="2" s="1"/>
  <c r="A3344" i="2" s="1"/>
  <c r="A3345" i="2" s="1"/>
  <c r="A3346" i="2" s="1"/>
  <c r="A3347" i="2" s="1"/>
  <c r="A3348" i="2" s="1"/>
  <c r="A3349" i="2" s="1"/>
  <c r="A3350" i="2" s="1"/>
  <c r="A3351" i="2" s="1"/>
  <c r="A3352" i="2" s="1"/>
  <c r="A3353" i="2" s="1"/>
  <c r="A3354" i="2" s="1"/>
  <c r="A3355" i="2" s="1"/>
  <c r="A3356" i="2" s="1"/>
  <c r="A3357" i="2" s="1"/>
  <c r="A3358" i="2" s="1"/>
  <c r="A3359" i="2" s="1"/>
  <c r="A3360" i="2" s="1"/>
  <c r="A3361" i="2" s="1"/>
  <c r="A3362" i="2" s="1"/>
  <c r="A3363" i="2" s="1"/>
  <c r="A3364" i="2" s="1"/>
  <c r="A3365" i="2" s="1"/>
  <c r="A3366" i="2" s="1"/>
  <c r="A3367" i="2" s="1"/>
  <c r="A3368" i="2" s="1"/>
  <c r="A3369" i="2" s="1"/>
  <c r="A3370" i="2" s="1"/>
  <c r="A3371" i="2" s="1"/>
  <c r="A3372" i="2" s="1"/>
  <c r="A3373" i="2" s="1"/>
  <c r="A3374" i="2" s="1"/>
  <c r="A3375" i="2" s="1"/>
  <c r="A3376" i="2" s="1"/>
  <c r="A3377" i="2" s="1"/>
  <c r="A3378" i="2" s="1"/>
  <c r="A3379" i="2" s="1"/>
  <c r="A3380" i="2" s="1"/>
  <c r="A3381" i="2" s="1"/>
  <c r="A3382" i="2" s="1"/>
  <c r="A3383" i="2" s="1"/>
  <c r="A3384" i="2" s="1"/>
  <c r="A3385" i="2" s="1"/>
  <c r="A3386" i="2" s="1"/>
  <c r="A3387" i="2" s="1"/>
  <c r="A3388" i="2" s="1"/>
  <c r="A3389" i="2" s="1"/>
  <c r="A3390" i="2" s="1"/>
  <c r="A3391" i="2" s="1"/>
  <c r="A3392" i="2" s="1"/>
  <c r="A3393" i="2" s="1"/>
  <c r="A3394" i="2" s="1"/>
  <c r="A3395" i="2" s="1"/>
  <c r="A3396" i="2" s="1"/>
  <c r="A3397" i="2" s="1"/>
  <c r="A3398" i="2" s="1"/>
  <c r="A3399" i="2" s="1"/>
  <c r="A3400" i="2" s="1"/>
  <c r="A3401" i="2" s="1"/>
  <c r="A3402" i="2" s="1"/>
  <c r="A3403" i="2" s="1"/>
  <c r="A3404" i="2" s="1"/>
  <c r="A3405" i="2" s="1"/>
  <c r="A3406" i="2" s="1"/>
  <c r="A3407" i="2" s="1"/>
  <c r="A3408" i="2" s="1"/>
  <c r="A3409" i="2" s="1"/>
  <c r="A3410" i="2" s="1"/>
  <c r="A3411" i="2" s="1"/>
  <c r="A3412" i="2" s="1"/>
  <c r="A3413" i="2" s="1"/>
  <c r="A3414" i="2" s="1"/>
  <c r="A3415" i="2" s="1"/>
  <c r="A3416" i="2" s="1"/>
  <c r="A3417" i="2" s="1"/>
  <c r="A3418" i="2" s="1"/>
  <c r="A3419" i="2" s="1"/>
  <c r="A3420" i="2" s="1"/>
  <c r="A3421" i="2" s="1"/>
  <c r="A3422" i="2" s="1"/>
  <c r="A3423" i="2" s="1"/>
  <c r="A3424" i="2" s="1"/>
  <c r="A3425" i="2" s="1"/>
  <c r="A3426" i="2" s="1"/>
  <c r="A3427" i="2" s="1"/>
  <c r="A3428" i="2" s="1"/>
  <c r="A3429" i="2" s="1"/>
  <c r="A3430" i="2" s="1"/>
  <c r="A3431" i="2" s="1"/>
  <c r="A3432" i="2" s="1"/>
  <c r="A3433" i="2" s="1"/>
  <c r="A3434" i="2" s="1"/>
  <c r="A3435" i="2" s="1"/>
  <c r="A3436" i="2" s="1"/>
  <c r="A3437" i="2" s="1"/>
  <c r="A3438" i="2" s="1"/>
  <c r="A3439" i="2" s="1"/>
  <c r="A3440" i="2" s="1"/>
  <c r="A3441" i="2" s="1"/>
  <c r="A3442" i="2" s="1"/>
  <c r="A3443" i="2" s="1"/>
  <c r="A3444" i="2" s="1"/>
  <c r="A3445" i="2" s="1"/>
  <c r="A3446" i="2" s="1"/>
  <c r="A3447" i="2" s="1"/>
  <c r="A3448" i="2" s="1"/>
  <c r="A3449" i="2" s="1"/>
  <c r="A3450" i="2" s="1"/>
  <c r="A3451" i="2" s="1"/>
  <c r="A3452" i="2" s="1"/>
  <c r="A3453" i="2" s="1"/>
  <c r="A3454" i="2" s="1"/>
  <c r="A3455" i="2" s="1"/>
  <c r="A3456" i="2" s="1"/>
  <c r="A3457" i="2" s="1"/>
  <c r="A3458" i="2" s="1"/>
  <c r="A3459" i="2" s="1"/>
  <c r="A3460" i="2" s="1"/>
  <c r="A3461" i="2" s="1"/>
  <c r="A3462" i="2" s="1"/>
  <c r="A3463" i="2" s="1"/>
  <c r="A3464" i="2" s="1"/>
  <c r="A3465" i="2" s="1"/>
  <c r="A3466" i="2" s="1"/>
  <c r="A3467" i="2" s="1"/>
  <c r="A3468" i="2" s="1"/>
  <c r="A3469" i="2" s="1"/>
  <c r="A3470" i="2" s="1"/>
  <c r="A3471" i="2" s="1"/>
  <c r="A3472" i="2" s="1"/>
  <c r="A3473" i="2" s="1"/>
  <c r="A3474" i="2" s="1"/>
  <c r="A3475" i="2" s="1"/>
  <c r="A3476" i="2" s="1"/>
  <c r="A3477" i="2" s="1"/>
  <c r="A3478" i="2" s="1"/>
  <c r="A3479" i="2" s="1"/>
  <c r="A3480" i="2" s="1"/>
  <c r="A3481" i="2" s="1"/>
  <c r="A3482" i="2" s="1"/>
  <c r="A3483" i="2" s="1"/>
  <c r="A3484" i="2" s="1"/>
  <c r="A3485" i="2" s="1"/>
  <c r="A3486" i="2" s="1"/>
  <c r="A3487" i="2" s="1"/>
  <c r="A3488" i="2" s="1"/>
  <c r="A3489" i="2" s="1"/>
  <c r="A3490" i="2" s="1"/>
  <c r="A3491" i="2" s="1"/>
  <c r="A3492" i="2" s="1"/>
  <c r="A3493" i="2" s="1"/>
  <c r="A3494" i="2" s="1"/>
  <c r="A3495" i="2" s="1"/>
  <c r="A3496" i="2" s="1"/>
  <c r="A3497" i="2" s="1"/>
  <c r="A3498" i="2" s="1"/>
  <c r="A3499" i="2" s="1"/>
  <c r="A3500" i="2" s="1"/>
  <c r="A3501" i="2" s="1"/>
  <c r="A3502" i="2" s="1"/>
  <c r="A3503" i="2" s="1"/>
  <c r="A3504" i="2" s="1"/>
  <c r="A3505" i="2" s="1"/>
  <c r="A3506" i="2" s="1"/>
  <c r="A3507" i="2" s="1"/>
  <c r="A3508" i="2" s="1"/>
  <c r="A3509" i="2" s="1"/>
  <c r="A3510" i="2" s="1"/>
  <c r="A3511" i="2" s="1"/>
  <c r="A3512" i="2" s="1"/>
  <c r="A3513" i="2" s="1"/>
  <c r="A3514" i="2" s="1"/>
  <c r="A3515" i="2" s="1"/>
  <c r="A3516" i="2" s="1"/>
  <c r="A3517" i="2" s="1"/>
  <c r="A3518" i="2" s="1"/>
  <c r="A3519" i="2" s="1"/>
  <c r="A3520" i="2" s="1"/>
  <c r="A3521" i="2" s="1"/>
  <c r="A3522" i="2" s="1"/>
  <c r="A3523" i="2" s="1"/>
  <c r="A3524" i="2" s="1"/>
  <c r="A3525" i="2" s="1"/>
  <c r="A3526" i="2" s="1"/>
  <c r="A3527" i="2" s="1"/>
  <c r="A3528" i="2" s="1"/>
  <c r="A3529" i="2" s="1"/>
  <c r="A3530" i="2" s="1"/>
  <c r="A3531" i="2" s="1"/>
  <c r="A3532" i="2" s="1"/>
  <c r="A3533" i="2" s="1"/>
  <c r="A3534" i="2" s="1"/>
  <c r="A3535" i="2" s="1"/>
  <c r="A3536" i="2" s="1"/>
  <c r="A3537" i="2" s="1"/>
  <c r="A3538" i="2" s="1"/>
  <c r="A3539" i="2" s="1"/>
  <c r="A3540" i="2" s="1"/>
  <c r="A3541" i="2" s="1"/>
  <c r="A3542" i="2" s="1"/>
  <c r="A3543" i="2" s="1"/>
  <c r="A3544" i="2" s="1"/>
  <c r="A3545" i="2" s="1"/>
  <c r="A3546" i="2" s="1"/>
  <c r="A3547" i="2" s="1"/>
  <c r="A3548" i="2" s="1"/>
  <c r="A3549" i="2" s="1"/>
  <c r="A3550" i="2" s="1"/>
  <c r="A3551" i="2" s="1"/>
  <c r="A3552" i="2" s="1"/>
  <c r="A3553" i="2" s="1"/>
  <c r="A3554" i="2" s="1"/>
  <c r="A3555" i="2" s="1"/>
  <c r="A3556" i="2" s="1"/>
  <c r="A3557" i="2" s="1"/>
  <c r="A3558" i="2" s="1"/>
  <c r="A3559" i="2" s="1"/>
  <c r="A3560" i="2" s="1"/>
  <c r="A3561" i="2" s="1"/>
  <c r="A3562" i="2" s="1"/>
  <c r="A3563" i="2" s="1"/>
  <c r="A3564" i="2" s="1"/>
  <c r="A3565" i="2" s="1"/>
  <c r="A3566" i="2" s="1"/>
  <c r="A3567" i="2" s="1"/>
  <c r="A3568" i="2" s="1"/>
  <c r="A3569" i="2" s="1"/>
  <c r="A3570" i="2" s="1"/>
  <c r="A3571" i="2" s="1"/>
  <c r="A3572" i="2" s="1"/>
  <c r="A3573" i="2" s="1"/>
  <c r="A3574" i="2" s="1"/>
  <c r="A3575" i="2" s="1"/>
  <c r="A3576" i="2" s="1"/>
  <c r="A3577" i="2" s="1"/>
  <c r="A3578" i="2" s="1"/>
  <c r="A3579" i="2" s="1"/>
  <c r="A3580" i="2" s="1"/>
  <c r="A3581" i="2" s="1"/>
  <c r="A3582" i="2" s="1"/>
  <c r="A3583" i="2" s="1"/>
  <c r="A3584" i="2" s="1"/>
  <c r="A3585" i="2" s="1"/>
  <c r="A3586" i="2" s="1"/>
  <c r="A3587" i="2" s="1"/>
  <c r="A3588" i="2" s="1"/>
  <c r="A3589" i="2" s="1"/>
  <c r="A3590" i="2" s="1"/>
  <c r="A3591" i="2" s="1"/>
  <c r="A3592" i="2" s="1"/>
  <c r="A3593" i="2" s="1"/>
  <c r="A3594" i="2" s="1"/>
  <c r="A3595" i="2" s="1"/>
  <c r="A3596" i="2" s="1"/>
  <c r="A3597" i="2" s="1"/>
  <c r="A3598" i="2" s="1"/>
  <c r="A3599" i="2" s="1"/>
  <c r="A3600" i="2" s="1"/>
  <c r="A3601" i="2" s="1"/>
  <c r="A3602" i="2" s="1"/>
  <c r="A3603" i="2" s="1"/>
  <c r="A3604" i="2" s="1"/>
  <c r="A3605" i="2" s="1"/>
  <c r="A3606" i="2" s="1"/>
  <c r="A3607" i="2" s="1"/>
  <c r="A3608" i="2" s="1"/>
  <c r="A3609" i="2" s="1"/>
  <c r="A3610" i="2" s="1"/>
  <c r="A3611" i="2" s="1"/>
  <c r="A3612" i="2" s="1"/>
  <c r="A3613" i="2" s="1"/>
  <c r="A3614" i="2" s="1"/>
  <c r="A3615" i="2" s="1"/>
  <c r="A3616" i="2" s="1"/>
  <c r="A3617" i="2" s="1"/>
  <c r="A3618" i="2" s="1"/>
  <c r="A3619" i="2" s="1"/>
  <c r="A3620" i="2" s="1"/>
  <c r="A3621" i="2" s="1"/>
  <c r="A3622" i="2" s="1"/>
  <c r="A3623" i="2" s="1"/>
  <c r="A3624" i="2" s="1"/>
  <c r="A3625" i="2" s="1"/>
  <c r="A3626" i="2" s="1"/>
  <c r="A3627" i="2" s="1"/>
  <c r="A3628" i="2" s="1"/>
  <c r="A3629" i="2" s="1"/>
  <c r="A3630" i="2" s="1"/>
  <c r="A3631" i="2" s="1"/>
  <c r="A3632" i="2" s="1"/>
  <c r="A3633" i="2" s="1"/>
  <c r="A3634" i="2" s="1"/>
  <c r="A3635" i="2" s="1"/>
  <c r="A3636" i="2" s="1"/>
  <c r="A3637" i="2" s="1"/>
  <c r="A3638" i="2" s="1"/>
  <c r="A3639" i="2" s="1"/>
  <c r="A3640" i="2" s="1"/>
  <c r="A3641" i="2" s="1"/>
  <c r="A3642" i="2" s="1"/>
  <c r="A3643" i="2" s="1"/>
  <c r="A3644" i="2" s="1"/>
  <c r="A3645" i="2" s="1"/>
  <c r="A3646" i="2" s="1"/>
  <c r="A3647" i="2" s="1"/>
  <c r="A3648" i="2" s="1"/>
  <c r="A3649" i="2" s="1"/>
  <c r="A3650" i="2" s="1"/>
  <c r="A3651" i="2" s="1"/>
  <c r="A3652" i="2" s="1"/>
  <c r="A3653" i="2" s="1"/>
  <c r="A3654" i="2" s="1"/>
  <c r="A3655" i="2" s="1"/>
  <c r="A3656" i="2" s="1"/>
  <c r="A3657" i="2" s="1"/>
  <c r="A3658" i="2" s="1"/>
  <c r="A3659" i="2" s="1"/>
  <c r="A3660" i="2" s="1"/>
  <c r="A3661" i="2" s="1"/>
  <c r="A3662" i="2" s="1"/>
  <c r="A3663" i="2" s="1"/>
  <c r="A3664" i="2" s="1"/>
  <c r="A3665" i="2" s="1"/>
  <c r="A3666" i="2" s="1"/>
  <c r="A3667" i="2" s="1"/>
  <c r="A3668" i="2" s="1"/>
  <c r="A3669" i="2" s="1"/>
  <c r="A3670" i="2" s="1"/>
  <c r="A3671" i="2" s="1"/>
  <c r="A3672" i="2" s="1"/>
  <c r="A3673" i="2" s="1"/>
  <c r="A3674" i="2" s="1"/>
  <c r="A3675" i="2" s="1"/>
  <c r="A3676" i="2" s="1"/>
  <c r="A3677" i="2" s="1"/>
  <c r="A3678" i="2" s="1"/>
  <c r="A3679" i="2" s="1"/>
  <c r="A3680" i="2" s="1"/>
  <c r="A3681" i="2" s="1"/>
  <c r="A3682" i="2" s="1"/>
  <c r="A3683" i="2" s="1"/>
  <c r="A3684" i="2" s="1"/>
  <c r="A3685" i="2" s="1"/>
  <c r="A3686" i="2" s="1"/>
  <c r="A3687" i="2" s="1"/>
  <c r="A3688" i="2" s="1"/>
  <c r="A3689" i="2" s="1"/>
  <c r="A3690" i="2" s="1"/>
  <c r="A3691" i="2" s="1"/>
  <c r="A3692" i="2" s="1"/>
  <c r="A3693" i="2" s="1"/>
  <c r="A3694" i="2" s="1"/>
  <c r="A3695" i="2" s="1"/>
  <c r="A3696" i="2" s="1"/>
  <c r="A3697" i="2" s="1"/>
  <c r="A3698" i="2" s="1"/>
  <c r="A3699" i="2" s="1"/>
  <c r="A3700" i="2" s="1"/>
  <c r="A3701" i="2" s="1"/>
  <c r="A3702" i="2" s="1"/>
  <c r="A3703" i="2" s="1"/>
  <c r="A3704" i="2" s="1"/>
  <c r="A3705" i="2" s="1"/>
  <c r="A3706" i="2" s="1"/>
  <c r="A3707" i="2" s="1"/>
  <c r="A3708" i="2" s="1"/>
  <c r="A3709" i="2" s="1"/>
  <c r="A3710" i="2" s="1"/>
  <c r="A3711" i="2" s="1"/>
  <c r="A3712" i="2" s="1"/>
  <c r="A3713" i="2" s="1"/>
  <c r="A3714" i="2" s="1"/>
  <c r="A3715" i="2" s="1"/>
  <c r="A3716" i="2" s="1"/>
  <c r="A3717" i="2" s="1"/>
  <c r="A3718" i="2" s="1"/>
  <c r="A3719" i="2" s="1"/>
  <c r="A3720" i="2" s="1"/>
  <c r="A3721" i="2" s="1"/>
  <c r="A3722" i="2" s="1"/>
  <c r="A3723" i="2" s="1"/>
  <c r="A3724" i="2" s="1"/>
  <c r="A3725" i="2" s="1"/>
  <c r="A3726" i="2" s="1"/>
  <c r="A3727" i="2" s="1"/>
  <c r="A3728" i="2" s="1"/>
  <c r="A3729" i="2" s="1"/>
  <c r="A3730" i="2" s="1"/>
  <c r="A3731" i="2" s="1"/>
  <c r="A3732" i="2" s="1"/>
  <c r="A3733" i="2" s="1"/>
  <c r="A3734" i="2" s="1"/>
  <c r="A3735" i="2" s="1"/>
  <c r="A3736" i="2" s="1"/>
  <c r="A3737" i="2" s="1"/>
  <c r="A3738" i="2" s="1"/>
  <c r="A3739" i="2" s="1"/>
  <c r="A3740" i="2" s="1"/>
  <c r="A3741" i="2" s="1"/>
  <c r="A3742" i="2" s="1"/>
  <c r="A3743" i="2" s="1"/>
  <c r="A3744" i="2" s="1"/>
  <c r="A3745" i="2" s="1"/>
  <c r="A3746" i="2" s="1"/>
  <c r="A3747" i="2" s="1"/>
  <c r="A3748" i="2" s="1"/>
  <c r="A3749" i="2" s="1"/>
  <c r="A3750" i="2" s="1"/>
  <c r="A3751" i="2" s="1"/>
  <c r="A3752" i="2" s="1"/>
  <c r="A3753" i="2" s="1"/>
  <c r="A3754" i="2" s="1"/>
  <c r="A3755" i="2" s="1"/>
  <c r="A3756" i="2" s="1"/>
  <c r="A3757" i="2" s="1"/>
  <c r="A3758" i="2" s="1"/>
  <c r="A3759" i="2" s="1"/>
  <c r="A3760" i="2" s="1"/>
  <c r="A3761" i="2" s="1"/>
  <c r="A3762" i="2" s="1"/>
  <c r="A3763" i="2" s="1"/>
  <c r="A3764" i="2" s="1"/>
  <c r="A3765" i="2" s="1"/>
  <c r="A3766" i="2" s="1"/>
  <c r="A3767" i="2" s="1"/>
  <c r="A3768" i="2" s="1"/>
  <c r="A3769" i="2" s="1"/>
  <c r="A3770" i="2" s="1"/>
  <c r="A3771" i="2" s="1"/>
  <c r="A3772" i="2" s="1"/>
  <c r="A3773" i="2" s="1"/>
  <c r="A3774" i="2" s="1"/>
  <c r="A3775" i="2" s="1"/>
  <c r="A3776" i="2" s="1"/>
  <c r="A3777" i="2" s="1"/>
  <c r="A3778" i="2" s="1"/>
  <c r="A3779" i="2" s="1"/>
  <c r="A3780" i="2" s="1"/>
  <c r="A3781" i="2" s="1"/>
  <c r="A3782" i="2" s="1"/>
  <c r="A3783" i="2" s="1"/>
  <c r="A3784" i="2" s="1"/>
  <c r="A3785" i="2" s="1"/>
  <c r="A3786" i="2" s="1"/>
  <c r="A3787" i="2" s="1"/>
  <c r="A3788" i="2" s="1"/>
  <c r="A3789" i="2" s="1"/>
  <c r="A3790" i="2" s="1"/>
  <c r="A3791" i="2" s="1"/>
  <c r="A3792" i="2" s="1"/>
  <c r="A3793" i="2" s="1"/>
  <c r="A3794" i="2" s="1"/>
  <c r="A3795" i="2" s="1"/>
  <c r="A3796" i="2" s="1"/>
  <c r="A3797" i="2" s="1"/>
  <c r="A3798" i="2" s="1"/>
  <c r="A3799" i="2" s="1"/>
  <c r="A3800" i="2" s="1"/>
  <c r="A3801" i="2" s="1"/>
  <c r="A3802" i="2" s="1"/>
  <c r="A3803" i="2" s="1"/>
  <c r="A3804" i="2" s="1"/>
  <c r="A3805" i="2" s="1"/>
  <c r="A3806" i="2" s="1"/>
  <c r="A3807" i="2" s="1"/>
  <c r="A3808" i="2" s="1"/>
  <c r="A3809" i="2" s="1"/>
  <c r="A3810" i="2" s="1"/>
  <c r="A3811" i="2" s="1"/>
  <c r="A3812" i="2" s="1"/>
  <c r="A3813" i="2" s="1"/>
  <c r="A3814" i="2" s="1"/>
  <c r="A3815" i="2" s="1"/>
  <c r="A3816" i="2" s="1"/>
  <c r="A3817" i="2" s="1"/>
  <c r="A3818" i="2" s="1"/>
  <c r="A3819" i="2" s="1"/>
  <c r="A3820" i="2" s="1"/>
  <c r="A3821" i="2" s="1"/>
  <c r="A3822" i="2" s="1"/>
  <c r="A3823" i="2" s="1"/>
  <c r="A3824" i="2" s="1"/>
  <c r="A3825" i="2" s="1"/>
  <c r="A3826" i="2" s="1"/>
  <c r="A3827" i="2" s="1"/>
  <c r="A3828" i="2" s="1"/>
  <c r="A3829" i="2" s="1"/>
  <c r="A3830" i="2" s="1"/>
  <c r="A3831" i="2" s="1"/>
  <c r="A3832" i="2" s="1"/>
  <c r="A3833" i="2" s="1"/>
  <c r="A3834" i="2" s="1"/>
  <c r="A3835" i="2" s="1"/>
  <c r="A3836" i="2" s="1"/>
  <c r="A3837" i="2" s="1"/>
  <c r="A3838" i="2" s="1"/>
  <c r="A3839" i="2" s="1"/>
  <c r="A3840" i="2" s="1"/>
  <c r="A3841" i="2" s="1"/>
  <c r="A3842" i="2" s="1"/>
  <c r="A3843" i="2" s="1"/>
  <c r="A3844" i="2" s="1"/>
  <c r="A3845" i="2" s="1"/>
  <c r="A3846" i="2" s="1"/>
  <c r="A3847" i="2" s="1"/>
  <c r="A3848" i="2" s="1"/>
  <c r="A3849" i="2" s="1"/>
  <c r="A3850" i="2" s="1"/>
  <c r="A3851" i="2" s="1"/>
  <c r="A3852" i="2" s="1"/>
  <c r="A3853" i="2" s="1"/>
  <c r="A3854" i="2" s="1"/>
  <c r="A3855" i="2" s="1"/>
  <c r="A3856" i="2" s="1"/>
  <c r="A3857" i="2" s="1"/>
  <c r="A3858" i="2" s="1"/>
  <c r="A3859" i="2" s="1"/>
  <c r="A3860" i="2" s="1"/>
  <c r="A3861" i="2" s="1"/>
  <c r="A3862" i="2" s="1"/>
  <c r="A3863" i="2" s="1"/>
  <c r="A3864" i="2" s="1"/>
  <c r="A3865" i="2" s="1"/>
  <c r="A3866" i="2" s="1"/>
  <c r="A3867" i="2" s="1"/>
  <c r="A3868" i="2" s="1"/>
  <c r="A3869" i="2" s="1"/>
  <c r="A3870" i="2" s="1"/>
  <c r="A3871" i="2" s="1"/>
  <c r="A3872" i="2" s="1"/>
  <c r="A3873" i="2" s="1"/>
  <c r="A3874" i="2" s="1"/>
  <c r="A3875" i="2" s="1"/>
  <c r="A3876" i="2" s="1"/>
  <c r="A3877" i="2" s="1"/>
  <c r="A3878" i="2" s="1"/>
  <c r="A3879" i="2" s="1"/>
  <c r="A3880" i="2" s="1"/>
  <c r="A3881" i="2" s="1"/>
  <c r="A3882" i="2" s="1"/>
  <c r="A3883" i="2" s="1"/>
  <c r="A3884" i="2" s="1"/>
  <c r="A3885" i="2" s="1"/>
  <c r="A3886" i="2" s="1"/>
  <c r="A3887" i="2" s="1"/>
  <c r="A3888" i="2" s="1"/>
  <c r="A3889" i="2" s="1"/>
  <c r="A3890" i="2" s="1"/>
  <c r="A3891" i="2" s="1"/>
  <c r="A3892" i="2" s="1"/>
  <c r="A3893" i="2" s="1"/>
  <c r="A3894" i="2" s="1"/>
  <c r="A3895" i="2" s="1"/>
  <c r="A3896" i="2" s="1"/>
  <c r="A3897" i="2" s="1"/>
  <c r="A3898" i="2" s="1"/>
  <c r="A3899" i="2" s="1"/>
  <c r="A3900" i="2" s="1"/>
  <c r="A3901" i="2" s="1"/>
  <c r="A3902" i="2" s="1"/>
  <c r="A3903" i="2" s="1"/>
  <c r="A3904" i="2" s="1"/>
  <c r="A3905" i="2" s="1"/>
  <c r="A3906" i="2" s="1"/>
  <c r="A3907" i="2" s="1"/>
  <c r="A3908" i="2" s="1"/>
  <c r="A3909" i="2" s="1"/>
  <c r="A3910" i="2" s="1"/>
  <c r="A3911" i="2" s="1"/>
  <c r="A3912" i="2" s="1"/>
  <c r="A3913" i="2" s="1"/>
  <c r="A3914" i="2" s="1"/>
  <c r="A3915" i="2" s="1"/>
  <c r="A3916" i="2" s="1"/>
  <c r="A3917" i="2" s="1"/>
  <c r="A3918" i="2" s="1"/>
  <c r="A3919" i="2" s="1"/>
  <c r="A3920" i="2" s="1"/>
  <c r="A3921" i="2" s="1"/>
  <c r="A3922" i="2" s="1"/>
  <c r="A3923" i="2" s="1"/>
  <c r="A3924" i="2" s="1"/>
  <c r="A3925" i="2" s="1"/>
  <c r="A3926" i="2" s="1"/>
  <c r="A3927" i="2" s="1"/>
  <c r="A3928" i="2" s="1"/>
  <c r="A3929" i="2" s="1"/>
  <c r="A3930" i="2" s="1"/>
  <c r="A3931" i="2" s="1"/>
  <c r="A3932" i="2" s="1"/>
  <c r="A3933" i="2" s="1"/>
  <c r="A3934" i="2" s="1"/>
  <c r="A3935" i="2" s="1"/>
  <c r="A3936" i="2" s="1"/>
  <c r="A3937" i="2" s="1"/>
  <c r="A3938" i="2" s="1"/>
  <c r="A3939" i="2" s="1"/>
  <c r="A3940" i="2" s="1"/>
  <c r="A3941" i="2" s="1"/>
  <c r="A3942" i="2" s="1"/>
  <c r="A3943" i="2" s="1"/>
  <c r="A3944" i="2" s="1"/>
  <c r="A3945" i="2" s="1"/>
  <c r="A3946" i="2" s="1"/>
  <c r="A3947" i="2" s="1"/>
  <c r="A3948" i="2" s="1"/>
  <c r="A3949" i="2" s="1"/>
  <c r="A3950" i="2" s="1"/>
  <c r="A3951" i="2" s="1"/>
  <c r="A3952" i="2" s="1"/>
  <c r="A3953" i="2" s="1"/>
  <c r="A3954" i="2" s="1"/>
  <c r="A3955" i="2" s="1"/>
  <c r="A3956" i="2" s="1"/>
  <c r="A3957" i="2" s="1"/>
  <c r="A3958" i="2" s="1"/>
  <c r="A3959" i="2" s="1"/>
  <c r="A3960" i="2" s="1"/>
  <c r="A3961" i="2" s="1"/>
  <c r="A3962" i="2" s="1"/>
  <c r="A3963" i="2" s="1"/>
  <c r="A3964" i="2" s="1"/>
  <c r="A3965" i="2" s="1"/>
  <c r="A3966" i="2" s="1"/>
  <c r="A3967" i="2" s="1"/>
  <c r="A3968" i="2" s="1"/>
  <c r="A3969" i="2" s="1"/>
  <c r="A3970" i="2" s="1"/>
  <c r="A3971" i="2" s="1"/>
  <c r="A3972" i="2" s="1"/>
  <c r="A3973" i="2" s="1"/>
  <c r="A3974" i="2" s="1"/>
  <c r="A3975" i="2" s="1"/>
  <c r="A3976" i="2" s="1"/>
  <c r="A3977" i="2" s="1"/>
  <c r="A3978" i="2" s="1"/>
  <c r="A3979" i="2" s="1"/>
  <c r="A3980" i="2" s="1"/>
  <c r="A3981" i="2" s="1"/>
  <c r="A3982" i="2" s="1"/>
  <c r="A3983" i="2" s="1"/>
  <c r="A3984" i="2" s="1"/>
  <c r="A3985" i="2" s="1"/>
  <c r="A3986" i="2" s="1"/>
  <c r="A3987" i="2" s="1"/>
  <c r="A3988" i="2" s="1"/>
  <c r="A3989" i="2" s="1"/>
  <c r="A3990" i="2" s="1"/>
  <c r="A3991" i="2" s="1"/>
  <c r="A3992" i="2" s="1"/>
  <c r="A3993" i="2" s="1"/>
  <c r="A3994" i="2" s="1"/>
  <c r="A3995" i="2" s="1"/>
  <c r="A3996" i="2" s="1"/>
  <c r="A3997" i="2" s="1"/>
  <c r="A3998" i="2" s="1"/>
  <c r="A3999" i="2" s="1"/>
  <c r="A4000" i="2" s="1"/>
  <c r="A4001" i="2" s="1"/>
  <c r="A4002" i="2" s="1"/>
  <c r="A4003" i="2" s="1"/>
  <c r="A4004" i="2" s="1"/>
  <c r="A4005" i="2" s="1"/>
  <c r="A4006" i="2" s="1"/>
  <c r="A4007" i="2" s="1"/>
  <c r="A4008" i="2" s="1"/>
  <c r="A4009" i="2" s="1"/>
  <c r="A4010" i="2" s="1"/>
  <c r="A4011" i="2" s="1"/>
  <c r="A4012" i="2" s="1"/>
  <c r="A4013" i="2" s="1"/>
  <c r="A4014" i="2" s="1"/>
  <c r="A4015" i="2" s="1"/>
  <c r="A4016" i="2" s="1"/>
  <c r="A4017" i="2" s="1"/>
  <c r="A4018" i="2" s="1"/>
  <c r="A4019" i="2" s="1"/>
  <c r="A4020" i="2" s="1"/>
  <c r="A4021" i="2" s="1"/>
  <c r="A4022" i="2" s="1"/>
  <c r="A4023" i="2" s="1"/>
  <c r="A4024" i="2" s="1"/>
  <c r="A4025" i="2" s="1"/>
  <c r="A4026" i="2" s="1"/>
  <c r="A4027" i="2" s="1"/>
  <c r="A4028" i="2" s="1"/>
  <c r="A4029" i="2" s="1"/>
  <c r="A4030" i="2" s="1"/>
  <c r="A4031" i="2" s="1"/>
  <c r="A4032" i="2" s="1"/>
  <c r="A4033" i="2" s="1"/>
  <c r="A4034" i="2" s="1"/>
  <c r="A4035" i="2" s="1"/>
  <c r="A4036" i="2" s="1"/>
  <c r="A4037" i="2" s="1"/>
  <c r="A4038" i="2" s="1"/>
  <c r="A4039" i="2" s="1"/>
  <c r="A4040" i="2" s="1"/>
  <c r="A4041" i="2" s="1"/>
  <c r="A4042" i="2" s="1"/>
  <c r="A4043" i="2" s="1"/>
  <c r="A4044" i="2" s="1"/>
  <c r="A4045" i="2" s="1"/>
  <c r="A4046" i="2" s="1"/>
  <c r="A4047" i="2" s="1"/>
  <c r="A4048" i="2" s="1"/>
  <c r="A4049" i="2" s="1"/>
  <c r="A4050" i="2" s="1"/>
  <c r="A4051" i="2" s="1"/>
  <c r="A4052" i="2" s="1"/>
  <c r="A4053" i="2" s="1"/>
  <c r="A4054" i="2" s="1"/>
  <c r="A4055" i="2" s="1"/>
  <c r="A4056" i="2" s="1"/>
  <c r="A4057" i="2" s="1"/>
  <c r="A4058" i="2" s="1"/>
  <c r="A4059" i="2" s="1"/>
  <c r="A4060" i="2" s="1"/>
  <c r="A4061" i="2" s="1"/>
  <c r="A4062" i="2" s="1"/>
  <c r="A4063" i="2" s="1"/>
  <c r="A4064" i="2" s="1"/>
  <c r="A4065" i="2" s="1"/>
  <c r="A4066" i="2" s="1"/>
  <c r="A4067" i="2" s="1"/>
  <c r="A4068" i="2" s="1"/>
  <c r="A4069" i="2" s="1"/>
  <c r="A4070" i="2" s="1"/>
  <c r="A4071" i="2" s="1"/>
  <c r="A4072" i="2" s="1"/>
  <c r="A4073" i="2" s="1"/>
  <c r="A4074" i="2" s="1"/>
  <c r="A4075" i="2" s="1"/>
  <c r="A4076" i="2" s="1"/>
  <c r="A4077" i="2" s="1"/>
  <c r="A4078" i="2" s="1"/>
  <c r="A4079" i="2" s="1"/>
  <c r="A4080" i="2" s="1"/>
  <c r="A4081" i="2" s="1"/>
  <c r="A4082" i="2" s="1"/>
  <c r="A4083" i="2" s="1"/>
  <c r="A4084" i="2" s="1"/>
  <c r="A4085" i="2" s="1"/>
  <c r="A4086" i="2" s="1"/>
  <c r="A4087" i="2" s="1"/>
  <c r="A4088" i="2" s="1"/>
  <c r="A4089" i="2" s="1"/>
  <c r="A4090" i="2" s="1"/>
  <c r="A4091" i="2" s="1"/>
  <c r="A4092" i="2" s="1"/>
  <c r="A4093" i="2" s="1"/>
  <c r="A4094" i="2" s="1"/>
  <c r="A4095" i="2" s="1"/>
  <c r="A4096" i="2" s="1"/>
  <c r="A4097" i="2" s="1"/>
  <c r="A4098" i="2" s="1"/>
  <c r="A4099" i="2" s="1"/>
  <c r="A4100" i="2" s="1"/>
  <c r="A4101" i="2" s="1"/>
  <c r="A4102" i="2" s="1"/>
  <c r="A4103" i="2" s="1"/>
  <c r="A4104" i="2" s="1"/>
  <c r="A4105" i="2" s="1"/>
  <c r="A4106" i="2" s="1"/>
  <c r="A4107" i="2" s="1"/>
  <c r="A4108" i="2" s="1"/>
  <c r="A4109" i="2" s="1"/>
  <c r="A4110" i="2" s="1"/>
  <c r="A4111" i="2" s="1"/>
  <c r="A4112" i="2" s="1"/>
  <c r="A4113" i="2" s="1"/>
  <c r="A4114" i="2" s="1"/>
  <c r="A4115" i="2" s="1"/>
  <c r="A4116" i="2" s="1"/>
  <c r="A4117" i="2" s="1"/>
  <c r="A4118" i="2" s="1"/>
  <c r="A4119" i="2" s="1"/>
  <c r="A4120" i="2" s="1"/>
  <c r="A4121" i="2" s="1"/>
  <c r="A4122" i="2" s="1"/>
  <c r="A4123" i="2" s="1"/>
  <c r="A4124" i="2" s="1"/>
  <c r="A4125" i="2" s="1"/>
  <c r="A4126" i="2" s="1"/>
  <c r="A4127" i="2" s="1"/>
  <c r="A4128" i="2" s="1"/>
  <c r="A4129" i="2" s="1"/>
  <c r="A4130" i="2" s="1"/>
  <c r="A4131" i="2" s="1"/>
  <c r="A4132" i="2" s="1"/>
  <c r="A4133" i="2" s="1"/>
  <c r="A4134" i="2" s="1"/>
  <c r="A4135" i="2" s="1"/>
  <c r="A4136" i="2" s="1"/>
  <c r="A4137" i="2" s="1"/>
  <c r="A4138" i="2" s="1"/>
  <c r="A4139" i="2" s="1"/>
  <c r="A4140" i="2" s="1"/>
  <c r="A4141" i="2" s="1"/>
  <c r="A4142" i="2" s="1"/>
  <c r="A4143" i="2" s="1"/>
  <c r="A4144" i="2" s="1"/>
  <c r="A4145" i="2" s="1"/>
  <c r="A4146" i="2" s="1"/>
  <c r="A4147" i="2" s="1"/>
  <c r="A4148" i="2" s="1"/>
  <c r="A4149" i="2" s="1"/>
  <c r="A4150" i="2" s="1"/>
  <c r="A4151" i="2" s="1"/>
  <c r="A4152" i="2" s="1"/>
  <c r="A4153" i="2" s="1"/>
  <c r="A4154" i="2" s="1"/>
  <c r="A4155" i="2" s="1"/>
  <c r="A4156" i="2" s="1"/>
  <c r="A4157" i="2" s="1"/>
  <c r="A4158" i="2" s="1"/>
  <c r="A4159" i="2" s="1"/>
  <c r="A4160" i="2" s="1"/>
  <c r="A4161" i="2" s="1"/>
  <c r="A4162" i="2" s="1"/>
  <c r="A4163" i="2" s="1"/>
  <c r="A4164" i="2" s="1"/>
  <c r="A4165" i="2" s="1"/>
  <c r="A4166" i="2" s="1"/>
  <c r="A4167" i="2" s="1"/>
  <c r="A4168" i="2" s="1"/>
  <c r="A4169" i="2" s="1"/>
  <c r="A4170" i="2" s="1"/>
  <c r="A4171" i="2" s="1"/>
  <c r="A4172" i="2" s="1"/>
  <c r="A4173" i="2" s="1"/>
  <c r="A4174" i="2" s="1"/>
  <c r="A4175" i="2" s="1"/>
  <c r="A4176" i="2" s="1"/>
  <c r="A4177" i="2" s="1"/>
  <c r="A4178" i="2" s="1"/>
  <c r="A4179" i="2" s="1"/>
  <c r="A4180" i="2" s="1"/>
  <c r="A4181" i="2" s="1"/>
  <c r="A4182" i="2" s="1"/>
  <c r="A4183" i="2" s="1"/>
  <c r="A4184" i="2" s="1"/>
  <c r="A4185" i="2" s="1"/>
  <c r="A4186" i="2" s="1"/>
  <c r="A4187" i="2" s="1"/>
  <c r="A4188" i="2" s="1"/>
  <c r="A4189" i="2" s="1"/>
  <c r="A4190" i="2" s="1"/>
  <c r="A4191" i="2" s="1"/>
  <c r="A4192" i="2" s="1"/>
  <c r="A4193" i="2" s="1"/>
  <c r="A4194" i="2" s="1"/>
  <c r="A4195" i="2" s="1"/>
  <c r="A4196" i="2" s="1"/>
  <c r="A4197" i="2" s="1"/>
  <c r="A4198" i="2" s="1"/>
  <c r="A4199" i="2" s="1"/>
  <c r="A4200" i="2" s="1"/>
  <c r="A4201" i="2" s="1"/>
  <c r="A4202" i="2" s="1"/>
  <c r="A4203" i="2" s="1"/>
  <c r="A4204" i="2" s="1"/>
  <c r="A4205" i="2" s="1"/>
  <c r="A4206" i="2" s="1"/>
  <c r="A4207" i="2" s="1"/>
  <c r="A4208" i="2" s="1"/>
  <c r="A4209" i="2" s="1"/>
  <c r="A4210" i="2" s="1"/>
  <c r="A4211" i="2" s="1"/>
  <c r="A4212" i="2" s="1"/>
  <c r="A4213" i="2" s="1"/>
  <c r="A4214" i="2" s="1"/>
  <c r="A4215" i="2" s="1"/>
  <c r="A4216" i="2" s="1"/>
  <c r="A4217" i="2" s="1"/>
  <c r="A4218" i="2" s="1"/>
  <c r="A4219" i="2" s="1"/>
  <c r="A4220" i="2" s="1"/>
  <c r="A4221" i="2" s="1"/>
  <c r="A4222" i="2" s="1"/>
  <c r="A4223" i="2" s="1"/>
  <c r="A4224" i="2" s="1"/>
  <c r="A4225" i="2" s="1"/>
  <c r="A4226" i="2" s="1"/>
  <c r="A4227" i="2" s="1"/>
  <c r="A4228" i="2" s="1"/>
  <c r="A4229" i="2" s="1"/>
  <c r="A4230" i="2" s="1"/>
  <c r="A4231" i="2" s="1"/>
  <c r="A4232" i="2" s="1"/>
  <c r="A4233" i="2" s="1"/>
  <c r="A4234" i="2" s="1"/>
  <c r="A4235" i="2" s="1"/>
  <c r="A4236" i="2" s="1"/>
  <c r="A4237" i="2" s="1"/>
  <c r="A4238" i="2" s="1"/>
  <c r="A4239" i="2" s="1"/>
  <c r="A4240" i="2" s="1"/>
  <c r="A4241" i="2" s="1"/>
  <c r="A4242" i="2" s="1"/>
  <c r="A4243" i="2" s="1"/>
  <c r="A4244" i="2" s="1"/>
  <c r="A4245" i="2" s="1"/>
  <c r="A4246" i="2" s="1"/>
  <c r="A4247" i="2" s="1"/>
  <c r="A4248" i="2" s="1"/>
  <c r="A4249" i="2" s="1"/>
  <c r="A4250" i="2" s="1"/>
  <c r="A4251" i="2" s="1"/>
  <c r="A4252" i="2" s="1"/>
  <c r="A4253" i="2" s="1"/>
  <c r="A4254" i="2" s="1"/>
  <c r="A4255" i="2" s="1"/>
  <c r="A4256" i="2" s="1"/>
  <c r="A4257" i="2" s="1"/>
  <c r="A4258" i="2" s="1"/>
  <c r="A4259" i="2" s="1"/>
  <c r="A4260" i="2" s="1"/>
  <c r="A4261" i="2" s="1"/>
  <c r="A4262" i="2" s="1"/>
  <c r="A4263" i="2" s="1"/>
  <c r="A4264" i="2" s="1"/>
  <c r="A4265" i="2" s="1"/>
  <c r="A4266" i="2" s="1"/>
  <c r="A4267" i="2" s="1"/>
  <c r="A4268" i="2" s="1"/>
  <c r="A4269" i="2" s="1"/>
  <c r="A4270" i="2" s="1"/>
  <c r="A4271" i="2" s="1"/>
  <c r="A4272" i="2" s="1"/>
  <c r="A4273" i="2" s="1"/>
  <c r="A4274" i="2" s="1"/>
  <c r="A4275" i="2" s="1"/>
  <c r="A4276" i="2" s="1"/>
  <c r="A4277" i="2" s="1"/>
  <c r="A4278" i="2" s="1"/>
  <c r="A4279" i="2" s="1"/>
  <c r="A4280" i="2" s="1"/>
  <c r="A4281" i="2" s="1"/>
  <c r="A4282" i="2" s="1"/>
  <c r="A4283" i="2" s="1"/>
  <c r="A4284" i="2" s="1"/>
  <c r="A4285" i="2" s="1"/>
  <c r="A4286" i="2" s="1"/>
  <c r="A4287" i="2" s="1"/>
  <c r="A4288" i="2" s="1"/>
  <c r="A4289" i="2" s="1"/>
  <c r="A4290" i="2" s="1"/>
  <c r="A4291" i="2" s="1"/>
  <c r="A4292" i="2" s="1"/>
  <c r="A4293" i="2" s="1"/>
  <c r="A4294" i="2" s="1"/>
  <c r="A4295" i="2" s="1"/>
  <c r="A4296" i="2" s="1"/>
  <c r="A4297" i="2" s="1"/>
  <c r="A4298" i="2" s="1"/>
  <c r="A4299" i="2" s="1"/>
  <c r="A4300" i="2" s="1"/>
  <c r="A4301" i="2" s="1"/>
  <c r="A4302" i="2" s="1"/>
  <c r="A4303" i="2" s="1"/>
  <c r="A4304" i="2" s="1"/>
  <c r="A4305" i="2" s="1"/>
  <c r="A4306" i="2" s="1"/>
  <c r="A4307" i="2" s="1"/>
  <c r="A4308" i="2" s="1"/>
  <c r="A4309" i="2" s="1"/>
  <c r="A4310" i="2" s="1"/>
  <c r="A4311" i="2" s="1"/>
  <c r="A4312" i="2" s="1"/>
  <c r="A4313" i="2" s="1"/>
  <c r="A4314" i="2" s="1"/>
  <c r="A4315" i="2" s="1"/>
  <c r="A4316" i="2" s="1"/>
  <c r="A4317" i="2" s="1"/>
  <c r="A4318" i="2" s="1"/>
  <c r="A4319" i="2" s="1"/>
  <c r="A4320" i="2" s="1"/>
  <c r="A4321" i="2" s="1"/>
  <c r="A4322" i="2" s="1"/>
  <c r="A4323" i="2" s="1"/>
  <c r="A4324" i="2" s="1"/>
  <c r="A4325" i="2" s="1"/>
  <c r="A4326" i="2" s="1"/>
  <c r="A4327" i="2" s="1"/>
  <c r="A4328" i="2" s="1"/>
  <c r="A4329" i="2" s="1"/>
  <c r="A4330" i="2" s="1"/>
  <c r="A4331" i="2" s="1"/>
  <c r="A4332" i="2" s="1"/>
  <c r="A4333" i="2" s="1"/>
  <c r="A4334" i="2" s="1"/>
  <c r="A4335" i="2" s="1"/>
  <c r="A4336" i="2" s="1"/>
  <c r="A4337" i="2" s="1"/>
  <c r="A4338" i="2" s="1"/>
  <c r="A4339" i="2" s="1"/>
  <c r="A4340" i="2" s="1"/>
  <c r="A4341" i="2" s="1"/>
  <c r="A4342" i="2" s="1"/>
  <c r="A4343" i="2" s="1"/>
  <c r="A4344" i="2" s="1"/>
  <c r="A4345" i="2" s="1"/>
  <c r="A4346" i="2" s="1"/>
  <c r="A4347" i="2" s="1"/>
  <c r="A4348" i="2" s="1"/>
  <c r="A4349" i="2" s="1"/>
  <c r="A4350" i="2" s="1"/>
  <c r="A4351" i="2" s="1"/>
  <c r="A4352" i="2" s="1"/>
  <c r="A4353" i="2" s="1"/>
  <c r="A4354" i="2" s="1"/>
  <c r="A4355" i="2" s="1"/>
  <c r="A4356" i="2" s="1"/>
  <c r="A4357" i="2" s="1"/>
  <c r="A4358" i="2" s="1"/>
  <c r="A4359" i="2" s="1"/>
  <c r="A4360" i="2" s="1"/>
  <c r="A4361" i="2" s="1"/>
  <c r="A4362" i="2" s="1"/>
  <c r="A4363" i="2" s="1"/>
  <c r="A4364" i="2" s="1"/>
  <c r="A4365" i="2" s="1"/>
  <c r="A4366" i="2" s="1"/>
  <c r="A4367" i="2" s="1"/>
  <c r="A4368" i="2" s="1"/>
  <c r="A4369" i="2" s="1"/>
  <c r="A4370" i="2" s="1"/>
  <c r="A4371" i="2" s="1"/>
  <c r="A4372" i="2" s="1"/>
  <c r="A4373" i="2" s="1"/>
  <c r="A4374" i="2" s="1"/>
  <c r="A4375" i="2" s="1"/>
  <c r="A4376" i="2" s="1"/>
  <c r="A4377" i="2" s="1"/>
  <c r="A4378" i="2" s="1"/>
  <c r="A4379" i="2" s="1"/>
  <c r="A4380" i="2" s="1"/>
  <c r="A4381" i="2" s="1"/>
  <c r="A4382" i="2" s="1"/>
  <c r="A4383" i="2" s="1"/>
  <c r="A4384" i="2" s="1"/>
  <c r="A4385" i="2" s="1"/>
  <c r="A4386" i="2" s="1"/>
  <c r="A4387" i="2" s="1"/>
  <c r="A4388" i="2" s="1"/>
  <c r="A4389" i="2" s="1"/>
  <c r="A4390" i="2" s="1"/>
  <c r="A4391" i="2" s="1"/>
  <c r="A4392" i="2" s="1"/>
  <c r="A4393" i="2" s="1"/>
  <c r="A4394" i="2" s="1"/>
  <c r="A4395" i="2" s="1"/>
  <c r="A4396" i="2" s="1"/>
  <c r="A4397" i="2" s="1"/>
  <c r="A4398" i="2" s="1"/>
  <c r="A4399" i="2" s="1"/>
  <c r="A4400" i="2" s="1"/>
  <c r="A4401" i="2" s="1"/>
  <c r="A4402" i="2" s="1"/>
  <c r="A4403" i="2" s="1"/>
  <c r="A4404" i="2" s="1"/>
  <c r="A4405" i="2" s="1"/>
  <c r="A4406" i="2" s="1"/>
  <c r="A4407" i="2" s="1"/>
  <c r="A4408" i="2" s="1"/>
  <c r="A4409" i="2" s="1"/>
  <c r="A4410" i="2" s="1"/>
  <c r="A4411" i="2" s="1"/>
  <c r="A4412" i="2" s="1"/>
  <c r="A4413" i="2" s="1"/>
  <c r="A4414" i="2" s="1"/>
  <c r="A4415" i="2" s="1"/>
  <c r="A4416" i="2" s="1"/>
  <c r="A4417" i="2" s="1"/>
  <c r="A4418" i="2" s="1"/>
  <c r="A4419" i="2" s="1"/>
  <c r="A4420" i="2" s="1"/>
  <c r="A4421" i="2" s="1"/>
  <c r="A4422" i="2" s="1"/>
  <c r="A4423" i="2" s="1"/>
  <c r="A4424" i="2" s="1"/>
  <c r="A4425" i="2" s="1"/>
  <c r="A4426" i="2" s="1"/>
  <c r="A4427" i="2" s="1"/>
  <c r="A4428" i="2" s="1"/>
  <c r="A4429" i="2" s="1"/>
  <c r="A4430" i="2" s="1"/>
  <c r="A4431" i="2" s="1"/>
  <c r="A4432" i="2" s="1"/>
  <c r="A4433" i="2" s="1"/>
  <c r="A4434" i="2" s="1"/>
  <c r="A4435" i="2" s="1"/>
  <c r="A4436" i="2" s="1"/>
  <c r="A4437" i="2" s="1"/>
  <c r="A4438" i="2" s="1"/>
  <c r="A4439" i="2" s="1"/>
  <c r="A4440" i="2" s="1"/>
  <c r="A4441" i="2" s="1"/>
  <c r="A4442" i="2" s="1"/>
  <c r="A4443" i="2" s="1"/>
  <c r="A4444" i="2" s="1"/>
  <c r="A4445" i="2" s="1"/>
  <c r="A4446" i="2" s="1"/>
  <c r="A4447" i="2" s="1"/>
  <c r="A4448" i="2" s="1"/>
  <c r="A4449" i="2" s="1"/>
  <c r="A4450" i="2" s="1"/>
  <c r="A4451" i="2" s="1"/>
  <c r="A4452" i="2" s="1"/>
  <c r="A4453" i="2" s="1"/>
  <c r="A4454" i="2" s="1"/>
  <c r="A4455" i="2" s="1"/>
  <c r="A4456" i="2" s="1"/>
  <c r="A4457" i="2" s="1"/>
  <c r="A4458" i="2" s="1"/>
  <c r="A4459" i="2" s="1"/>
  <c r="A4460" i="2" s="1"/>
  <c r="A4461" i="2" s="1"/>
  <c r="A4462" i="2" s="1"/>
  <c r="A4463" i="2" s="1"/>
  <c r="A4464" i="2" s="1"/>
  <c r="A4465" i="2" s="1"/>
  <c r="A4466" i="2" s="1"/>
  <c r="A4467" i="2" s="1"/>
  <c r="A4468" i="2" s="1"/>
  <c r="A4469" i="2" s="1"/>
  <c r="A4470" i="2" s="1"/>
  <c r="A4471" i="2" s="1"/>
  <c r="A4472" i="2" s="1"/>
  <c r="A4473" i="2" s="1"/>
  <c r="A4474" i="2" s="1"/>
  <c r="A4475" i="2" s="1"/>
  <c r="A4476" i="2" s="1"/>
  <c r="A4477" i="2" s="1"/>
  <c r="A4478" i="2" s="1"/>
  <c r="A4479" i="2" s="1"/>
  <c r="A4480" i="2" s="1"/>
  <c r="A4481" i="2" s="1"/>
  <c r="A4482" i="2" s="1"/>
  <c r="A4483" i="2" s="1"/>
  <c r="A4484" i="2" s="1"/>
  <c r="A4485" i="2" s="1"/>
  <c r="A4486" i="2" s="1"/>
  <c r="A4487" i="2" s="1"/>
  <c r="A4488" i="2" s="1"/>
  <c r="A4489" i="2" s="1"/>
  <c r="A4490" i="2" s="1"/>
  <c r="A4491" i="2" s="1"/>
  <c r="A4492" i="2" s="1"/>
  <c r="A4493" i="2" s="1"/>
  <c r="A4494" i="2" s="1"/>
  <c r="A4495" i="2" s="1"/>
  <c r="A4496" i="2" s="1"/>
  <c r="A4497" i="2" s="1"/>
  <c r="A4498" i="2" s="1"/>
  <c r="A4499" i="2" s="1"/>
  <c r="A4500" i="2" s="1"/>
  <c r="A4501" i="2" s="1"/>
  <c r="A4502" i="2" s="1"/>
  <c r="A4503" i="2" s="1"/>
  <c r="A4504" i="2" s="1"/>
  <c r="A4505" i="2" s="1"/>
  <c r="A4506" i="2" s="1"/>
  <c r="A4507" i="2" s="1"/>
  <c r="A4508" i="2" s="1"/>
  <c r="A4509" i="2" s="1"/>
  <c r="A4510" i="2" s="1"/>
  <c r="A4511" i="2" s="1"/>
  <c r="A4512" i="2" s="1"/>
  <c r="A4513" i="2" s="1"/>
  <c r="A4514" i="2" s="1"/>
  <c r="A4515" i="2" s="1"/>
  <c r="A4516" i="2" s="1"/>
  <c r="A4517" i="2" s="1"/>
  <c r="A4518" i="2" s="1"/>
  <c r="A4519" i="2" s="1"/>
  <c r="A4520" i="2" s="1"/>
  <c r="A4521" i="2" s="1"/>
  <c r="A4522" i="2" s="1"/>
  <c r="A4523" i="2" s="1"/>
  <c r="A4524" i="2" s="1"/>
  <c r="A4525" i="2" s="1"/>
  <c r="A4526" i="2" s="1"/>
  <c r="A4527" i="2" s="1"/>
  <c r="A4528" i="2" s="1"/>
  <c r="A4529" i="2" s="1"/>
  <c r="A4530" i="2" s="1"/>
  <c r="A4531" i="2" s="1"/>
  <c r="A4532" i="2" s="1"/>
  <c r="A4533" i="2" s="1"/>
  <c r="A4534" i="2" s="1"/>
  <c r="A4535" i="2" s="1"/>
  <c r="A4536" i="2" s="1"/>
  <c r="A4537" i="2" s="1"/>
  <c r="A4538" i="2" s="1"/>
  <c r="A4539" i="2" s="1"/>
  <c r="A4540" i="2" s="1"/>
  <c r="A4541" i="2" s="1"/>
  <c r="A4542" i="2" s="1"/>
  <c r="A4543" i="2" s="1"/>
  <c r="A4544" i="2" s="1"/>
  <c r="A4545" i="2" s="1"/>
  <c r="A4546" i="2" s="1"/>
  <c r="A4547" i="2" s="1"/>
  <c r="A4548" i="2" s="1"/>
  <c r="A4549" i="2" s="1"/>
  <c r="A4550" i="2" s="1"/>
  <c r="A4551" i="2" s="1"/>
  <c r="A4552" i="2" s="1"/>
  <c r="A4553" i="2" s="1"/>
  <c r="A4554" i="2" s="1"/>
  <c r="A4555" i="2" s="1"/>
  <c r="A4556" i="2" s="1"/>
  <c r="A4557" i="2" s="1"/>
  <c r="A4558" i="2" s="1"/>
  <c r="A4559" i="2" s="1"/>
  <c r="A4560" i="2" s="1"/>
  <c r="A4561" i="2" s="1"/>
  <c r="A4562" i="2" s="1"/>
  <c r="A4563" i="2" s="1"/>
  <c r="A4564" i="2" s="1"/>
  <c r="A4565" i="2" s="1"/>
  <c r="A4566" i="2" s="1"/>
  <c r="A4567" i="2" s="1"/>
  <c r="A4568" i="2" s="1"/>
  <c r="A4569" i="2" s="1"/>
  <c r="A4570" i="2" s="1"/>
  <c r="A4571" i="2" s="1"/>
  <c r="A4572" i="2" s="1"/>
  <c r="A4573" i="2" s="1"/>
  <c r="A4574" i="2" s="1"/>
  <c r="A4575" i="2" s="1"/>
  <c r="A4576" i="2" s="1"/>
  <c r="A4577" i="2" s="1"/>
  <c r="A4578" i="2" s="1"/>
  <c r="A4579" i="2" s="1"/>
  <c r="A728" i="2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T636" i="2"/>
  <c r="T637" i="2" s="1"/>
  <c r="S589" i="2"/>
  <c r="S590" i="2" s="1"/>
  <c r="V557" i="2"/>
  <c r="V558" i="2" s="1"/>
  <c r="W521" i="2"/>
  <c r="W522" i="2" s="1"/>
  <c r="A490" i="2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W468" i="2"/>
  <c r="W469" i="2" s="1"/>
  <c r="L86" i="1"/>
  <c r="H86" i="1"/>
  <c r="D86" i="1"/>
  <c r="J74" i="1"/>
  <c r="F74" i="1"/>
  <c r="B74" i="1"/>
  <c r="E70" i="1"/>
  <c r="L64" i="1"/>
  <c r="F5" i="1" s="1"/>
  <c r="K8" i="1" s="1"/>
  <c r="K64" i="1"/>
  <c r="K5" i="1" s="1"/>
  <c r="I64" i="1"/>
  <c r="M6" i="1" s="1"/>
  <c r="H64" i="1"/>
  <c r="J64" i="1" s="1"/>
  <c r="F64" i="1"/>
  <c r="M4" i="1" s="1"/>
  <c r="E64" i="1"/>
  <c r="D64" i="1"/>
  <c r="C64" i="1"/>
  <c r="F3" i="1" s="1"/>
  <c r="B64" i="1"/>
  <c r="K3" i="1" s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E40" i="1"/>
  <c r="C40" i="1"/>
  <c r="B40" i="1"/>
  <c r="L38" i="1"/>
  <c r="K38" i="1"/>
  <c r="M38" i="1" s="1"/>
  <c r="H38" i="1"/>
  <c r="G38" i="1"/>
  <c r="E38" i="1"/>
  <c r="B38" i="1"/>
  <c r="L37" i="1"/>
  <c r="K37" i="1"/>
  <c r="H37" i="1"/>
  <c r="G37" i="1"/>
  <c r="E37" i="1"/>
  <c r="B37" i="1"/>
  <c r="L36" i="1"/>
  <c r="K36" i="1"/>
  <c r="H36" i="1"/>
  <c r="G36" i="1"/>
  <c r="E36" i="1"/>
  <c r="B36" i="1"/>
  <c r="L35" i="1"/>
  <c r="K35" i="1"/>
  <c r="M35" i="1" s="1"/>
  <c r="H35" i="1"/>
  <c r="G35" i="1"/>
  <c r="E35" i="1"/>
  <c r="B35" i="1"/>
  <c r="L34" i="1"/>
  <c r="K34" i="1"/>
  <c r="M34" i="1" s="1"/>
  <c r="H34" i="1"/>
  <c r="G34" i="1"/>
  <c r="E34" i="1"/>
  <c r="B34" i="1"/>
  <c r="L33" i="1"/>
  <c r="K33" i="1"/>
  <c r="H33" i="1"/>
  <c r="G33" i="1"/>
  <c r="E33" i="1"/>
  <c r="B33" i="1"/>
  <c r="L32" i="1"/>
  <c r="K32" i="1"/>
  <c r="H32" i="1"/>
  <c r="G32" i="1"/>
  <c r="E32" i="1"/>
  <c r="B32" i="1"/>
  <c r="L31" i="1"/>
  <c r="K31" i="1"/>
  <c r="H31" i="1"/>
  <c r="G31" i="1"/>
  <c r="E31" i="1"/>
  <c r="B31" i="1"/>
  <c r="L30" i="1"/>
  <c r="K30" i="1"/>
  <c r="M30" i="1" s="1"/>
  <c r="H30" i="1"/>
  <c r="G30" i="1"/>
  <c r="E30" i="1"/>
  <c r="B30" i="1"/>
  <c r="L29" i="1"/>
  <c r="K29" i="1"/>
  <c r="M29" i="1" s="1"/>
  <c r="H29" i="1"/>
  <c r="G29" i="1"/>
  <c r="E29" i="1"/>
  <c r="B29" i="1"/>
  <c r="L28" i="1"/>
  <c r="K28" i="1"/>
  <c r="H28" i="1"/>
  <c r="G28" i="1"/>
  <c r="E28" i="1"/>
  <c r="B28" i="1"/>
  <c r="L27" i="1"/>
  <c r="K27" i="1"/>
  <c r="M27" i="1" s="1"/>
  <c r="H27" i="1"/>
  <c r="G27" i="1"/>
  <c r="E27" i="1"/>
  <c r="B27" i="1"/>
  <c r="L26" i="1"/>
  <c r="K26" i="1"/>
  <c r="M26" i="1" s="1"/>
  <c r="H26" i="1"/>
  <c r="G26" i="1"/>
  <c r="E26" i="1"/>
  <c r="B26" i="1"/>
  <c r="L25" i="1"/>
  <c r="K25" i="1"/>
  <c r="M25" i="1" s="1"/>
  <c r="H25" i="1"/>
  <c r="G25" i="1"/>
  <c r="E25" i="1"/>
  <c r="B25" i="1"/>
  <c r="L24" i="1"/>
  <c r="K24" i="1"/>
  <c r="M24" i="1" s="1"/>
  <c r="H24" i="1"/>
  <c r="G24" i="1"/>
  <c r="E24" i="1"/>
  <c r="B24" i="1"/>
  <c r="M23" i="1"/>
  <c r="L23" i="1"/>
  <c r="K23" i="1"/>
  <c r="H23" i="1"/>
  <c r="G23" i="1"/>
  <c r="E23" i="1"/>
  <c r="B23" i="1"/>
  <c r="L22" i="1"/>
  <c r="M22" i="1" s="1"/>
  <c r="K22" i="1"/>
  <c r="H22" i="1"/>
  <c r="G22" i="1"/>
  <c r="E22" i="1"/>
  <c r="B22" i="1"/>
  <c r="A22" i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L21" i="1"/>
  <c r="M21" i="1" s="1"/>
  <c r="K21" i="1"/>
  <c r="H21" i="1"/>
  <c r="G21" i="1"/>
  <c r="E21" i="1"/>
  <c r="B21" i="1"/>
  <c r="L20" i="1"/>
  <c r="K20" i="1"/>
  <c r="H20" i="1"/>
  <c r="G20" i="1"/>
  <c r="E20" i="1"/>
  <c r="B20" i="1"/>
  <c r="C12" i="1"/>
  <c r="C11" i="1"/>
  <c r="K10" i="1"/>
  <c r="G10" i="1"/>
  <c r="C10" i="1" s="1"/>
  <c r="D2" i="1"/>
  <c r="K39" i="1" l="1"/>
  <c r="F17" i="1" s="1"/>
  <c r="L39" i="1"/>
  <c r="K17" i="1" s="1"/>
  <c r="M31" i="1"/>
  <c r="M33" i="1"/>
  <c r="M37" i="1"/>
  <c r="F38" i="1"/>
  <c r="M20" i="1"/>
  <c r="F20" i="1"/>
  <c r="M28" i="1"/>
  <c r="M32" i="1"/>
  <c r="M36" i="1"/>
  <c r="K9" i="1"/>
  <c r="C17" i="27"/>
  <c r="P13" i="27"/>
  <c r="G16" i="27" s="1"/>
  <c r="AU10" i="24" s="1"/>
  <c r="I13" i="27"/>
  <c r="E18" i="27" s="1"/>
  <c r="I37" i="1"/>
  <c r="F21" i="1"/>
  <c r="AL11" i="24"/>
  <c r="AL13" i="24"/>
  <c r="AL17" i="24"/>
  <c r="AL21" i="24"/>
  <c r="U22" i="24"/>
  <c r="F37" i="1"/>
  <c r="AF21" i="24"/>
  <c r="AL18" i="24"/>
  <c r="AI20" i="24"/>
  <c r="AL16" i="24"/>
  <c r="D3" i="1"/>
  <c r="F6" i="1"/>
  <c r="G64" i="1"/>
  <c r="AF11" i="24"/>
  <c r="AF13" i="24"/>
  <c r="F28" i="1"/>
  <c r="F30" i="1"/>
  <c r="F31" i="1"/>
  <c r="F32" i="1"/>
  <c r="F33" i="1"/>
  <c r="AL6" i="24"/>
  <c r="AL5" i="24"/>
  <c r="AL10" i="24"/>
  <c r="F35" i="1"/>
  <c r="I22" i="1"/>
  <c r="I25" i="1"/>
  <c r="I35" i="1"/>
  <c r="I38" i="1"/>
  <c r="I27" i="1"/>
  <c r="I33" i="1"/>
  <c r="I20" i="1"/>
  <c r="I36" i="1"/>
  <c r="I23" i="1"/>
  <c r="I29" i="1"/>
  <c r="I31" i="1"/>
  <c r="I32" i="1"/>
  <c r="I34" i="1"/>
  <c r="F29" i="1"/>
  <c r="F34" i="1"/>
  <c r="F27" i="1"/>
  <c r="F22" i="1"/>
  <c r="AF5" i="24"/>
  <c r="AN3" i="24"/>
  <c r="AL3" i="24"/>
  <c r="AI9" i="24"/>
  <c r="AN15" i="24"/>
  <c r="AM3" i="24"/>
  <c r="AO3" i="24" s="1"/>
  <c r="AF4" i="24"/>
  <c r="AL4" i="24"/>
  <c r="AM9" i="24"/>
  <c r="AL9" i="24"/>
  <c r="AL12" i="24"/>
  <c r="AN13" i="24"/>
  <c r="AI14" i="24"/>
  <c r="AL15" i="24"/>
  <c r="AL19" i="24"/>
  <c r="X22" i="24"/>
  <c r="D4" i="1"/>
  <c r="F4" i="1"/>
  <c r="D6" i="1"/>
  <c r="B6" i="1" s="1"/>
  <c r="I30" i="1"/>
  <c r="I28" i="1"/>
  <c r="I26" i="1"/>
  <c r="I22" i="24"/>
  <c r="H39" i="1"/>
  <c r="K16" i="1" s="1"/>
  <c r="I24" i="1"/>
  <c r="I21" i="1"/>
  <c r="F36" i="1"/>
  <c r="AF19" i="24"/>
  <c r="AF14" i="24"/>
  <c r="F26" i="1"/>
  <c r="AL20" i="24"/>
  <c r="AA22" i="24"/>
  <c r="AL7" i="24"/>
  <c r="AL8" i="24"/>
  <c r="AN12" i="24"/>
  <c r="AM20" i="24"/>
  <c r="AN14" i="24"/>
  <c r="AF3" i="24"/>
  <c r="AJ22" i="24"/>
  <c r="AM8" i="24"/>
  <c r="AN11" i="24"/>
  <c r="AL14" i="24"/>
  <c r="AF15" i="24"/>
  <c r="AI16" i="24"/>
  <c r="AM19" i="24"/>
  <c r="AI19" i="24"/>
  <c r="AN21" i="24"/>
  <c r="K4" i="1"/>
  <c r="I4" i="1" s="1"/>
  <c r="M64" i="1"/>
  <c r="B3" i="1"/>
  <c r="L67" i="1" s="1"/>
  <c r="F25" i="1"/>
  <c r="AF8" i="24"/>
  <c r="AF7" i="24"/>
  <c r="F24" i="1"/>
  <c r="F22" i="24"/>
  <c r="AF6" i="24"/>
  <c r="E39" i="1"/>
  <c r="K15" i="1" s="1"/>
  <c r="F23" i="1"/>
  <c r="AS7" i="24"/>
  <c r="AH22" i="24"/>
  <c r="AU3" i="24" s="1"/>
  <c r="AN7" i="24"/>
  <c r="AN8" i="24"/>
  <c r="AN9" i="24"/>
  <c r="AM15" i="24"/>
  <c r="AM16" i="24"/>
  <c r="AN19" i="24"/>
  <c r="AN20" i="24"/>
  <c r="G39" i="1"/>
  <c r="AM14" i="24"/>
  <c r="AO14" i="24" s="1"/>
  <c r="AN16" i="24"/>
  <c r="AN18" i="24"/>
  <c r="AI15" i="24"/>
  <c r="AI17" i="24"/>
  <c r="AI21" i="24"/>
  <c r="B39" i="1"/>
  <c r="AF12" i="24"/>
  <c r="AM18" i="24"/>
  <c r="AM7" i="24"/>
  <c r="AN10" i="24"/>
  <c r="AN17" i="24"/>
  <c r="AN4" i="24"/>
  <c r="AN5" i="24"/>
  <c r="AN6" i="24"/>
  <c r="AF10" i="24"/>
  <c r="AF17" i="24"/>
  <c r="AF20" i="24"/>
  <c r="AW5" i="24"/>
  <c r="AG22" i="24"/>
  <c r="AK22" i="24"/>
  <c r="AU5" i="24" s="1"/>
  <c r="AI4" i="24"/>
  <c r="AM4" i="24"/>
  <c r="AI5" i="24"/>
  <c r="AM5" i="24"/>
  <c r="AI6" i="24"/>
  <c r="AM6" i="24"/>
  <c r="AF9" i="24"/>
  <c r="AI10" i="24"/>
  <c r="AM10" i="24"/>
  <c r="AI11" i="24"/>
  <c r="AM11" i="24"/>
  <c r="AI12" i="24"/>
  <c r="AM12" i="24"/>
  <c r="AI13" i="24"/>
  <c r="AM13" i="24"/>
  <c r="AF16" i="24"/>
  <c r="AM17" i="24"/>
  <c r="AM21" i="24"/>
  <c r="AD22" i="24"/>
  <c r="AW2" i="24" s="1"/>
  <c r="AI3" i="24"/>
  <c r="AI7" i="24"/>
  <c r="AI8" i="24"/>
  <c r="AI18" i="24"/>
  <c r="AE22" i="24"/>
  <c r="AU2" i="24" s="1"/>
  <c r="AF18" i="24"/>
  <c r="M3" i="1"/>
  <c r="I3" i="1" s="1"/>
  <c r="D5" i="1"/>
  <c r="M5" i="1"/>
  <c r="I5" i="1" s="1"/>
  <c r="K6" i="1"/>
  <c r="I6" i="1" s="1"/>
  <c r="B17" i="1" l="1"/>
  <c r="C16" i="27"/>
  <c r="C18" i="27"/>
  <c r="AW11" i="24"/>
  <c r="AS10" i="24"/>
  <c r="AU14" i="24"/>
  <c r="M39" i="1"/>
  <c r="AS5" i="24"/>
  <c r="B4" i="1"/>
  <c r="B41" i="1" s="1"/>
  <c r="AO20" i="24"/>
  <c r="AO17" i="24"/>
  <c r="AO18" i="24"/>
  <c r="AO9" i="24"/>
  <c r="AO15" i="24"/>
  <c r="AO13" i="24"/>
  <c r="AO19" i="24"/>
  <c r="AO8" i="24"/>
  <c r="AO21" i="24"/>
  <c r="AO12" i="24"/>
  <c r="AO10" i="24"/>
  <c r="AO16" i="24"/>
  <c r="AO11" i="24"/>
  <c r="AO4" i="24"/>
  <c r="AO7" i="24"/>
  <c r="J40" i="1"/>
  <c r="A74" i="1"/>
  <c r="AO5" i="24"/>
  <c r="F16" i="1"/>
  <c r="B16" i="1" s="1"/>
  <c r="I39" i="1"/>
  <c r="AN22" i="24"/>
  <c r="AU4" i="24" s="1"/>
  <c r="AS2" i="24"/>
  <c r="AF22" i="24"/>
  <c r="AO6" i="24"/>
  <c r="F39" i="1"/>
  <c r="F15" i="1"/>
  <c r="B15" i="1" s="1"/>
  <c r="AW3" i="24"/>
  <c r="AS3" i="24" s="1"/>
  <c r="AI22" i="24"/>
  <c r="AL22" i="24"/>
  <c r="AM22" i="24"/>
  <c r="AW4" i="24" s="1"/>
  <c r="G8" i="1"/>
  <c r="B5" i="1"/>
  <c r="G41" i="1" s="1"/>
  <c r="AS11" i="24" l="1"/>
  <c r="AS14" i="24" s="1"/>
  <c r="AW14" i="24"/>
  <c r="AO22" i="24"/>
  <c r="AS4" i="24"/>
  <c r="G9" i="1"/>
  <c r="C8" i="1"/>
  <c r="C9" i="1" s="1"/>
  <c r="A70" i="29"/>
  <c r="A71" i="29"/>
  <c r="A72" i="29"/>
  <c r="A73" i="29"/>
  <c r="A74" i="29"/>
  <c r="A75" i="29"/>
  <c r="A76" i="29"/>
  <c r="A77" i="29"/>
  <c r="A78" i="29"/>
  <c r="A79" i="29"/>
  <c r="A80" i="29"/>
  <c r="A81" i="29"/>
  <c r="A82" i="29"/>
  <c r="A83" i="29"/>
  <c r="A84" i="29"/>
  <c r="A85" i="29"/>
  <c r="A86" i="29"/>
  <c r="A87" i="29"/>
  <c r="A88" i="29"/>
  <c r="A89" i="29"/>
  <c r="A90" i="29"/>
  <c r="A91" i="29"/>
  <c r="A92" i="29"/>
  <c r="A93" i="29"/>
  <c r="A94" i="29"/>
  <c r="A95" i="29"/>
  <c r="A96" i="29"/>
  <c r="A97" i="29"/>
  <c r="A98" i="29"/>
  <c r="A99" i="29"/>
  <c r="A100" i="29"/>
  <c r="A101" i="29"/>
  <c r="A102" i="29"/>
  <c r="A2" i="29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A59" i="29"/>
  <c r="A103" i="29"/>
  <c r="A104" i="29"/>
  <c r="A60" i="29"/>
  <c r="A61" i="29"/>
  <c r="A105" i="29"/>
  <c r="A106" i="29"/>
  <c r="A107" i="29"/>
  <c r="A108" i="29"/>
  <c r="A109" i="29"/>
  <c r="A62" i="29"/>
  <c r="A63" i="29"/>
  <c r="A64" i="29"/>
  <c r="A65" i="29"/>
  <c r="A110" i="29"/>
  <c r="A66" i="29"/>
  <c r="A67" i="29"/>
  <c r="A68" i="29"/>
  <c r="A3" i="16"/>
</calcChain>
</file>

<file path=xl/sharedStrings.xml><?xml version="1.0" encoding="utf-8"?>
<sst xmlns="http://schemas.openxmlformats.org/spreadsheetml/2006/main" count="52604" uniqueCount="6187">
  <si>
    <t>t'n;Lk'/ pkdxfgu/kflnsf</t>
  </si>
  <si>
    <t>ldlt</t>
  </si>
  <si>
    <t>hDdf ;+s|ldt</t>
  </si>
  <si>
    <t>k'?if</t>
  </si>
  <si>
    <t>;d'bfo :t/sf]</t>
  </si>
  <si>
    <t>ef/taf6 cfPsf</t>
  </si>
  <si>
    <t>t];|f] d'n'saf6 cfPsf</t>
  </si>
  <si>
    <t xml:space="preserve"> dlxnf</t>
  </si>
  <si>
    <t>:jf:yosdL{</t>
  </si>
  <si>
    <t>hgk|ltlglw</t>
  </si>
  <si>
    <t>sd{rf/L</t>
  </si>
  <si>
    <t>lzIfs</t>
  </si>
  <si>
    <t>kqsf/</t>
  </si>
  <si>
    <t>!) jif{d'lg</t>
  </si>
  <si>
    <t>lgsf] ePsf</t>
  </si>
  <si>
    <t>;ls|o ;+s|ldt</t>
  </si>
  <si>
    <t>gofF sf]/f]gf ;+s|ldt JolQm</t>
  </si>
  <si>
    <t>dlxnf</t>
  </si>
  <si>
    <t>sf]/f]gf d'St ePsf JolQm</t>
  </si>
  <si>
    <t>j8f g+</t>
  </si>
  <si>
    <t>hDdf</t>
  </si>
  <si>
    <t>/x]sf] 5, h;dWo]</t>
  </si>
  <si>
    <t xml:space="preserve">hgf pkrf/kl5 lgsf] x'g''ePsf] 5 eg] </t>
  </si>
  <si>
    <t>;ls|o ;+s|ldt x'g'x'G5 .</t>
  </si>
  <si>
    <t>क्र स</t>
  </si>
  <si>
    <t>प्रदेश</t>
  </si>
  <si>
    <t>जिल्ला</t>
  </si>
  <si>
    <t>पालिकाको नाम</t>
  </si>
  <si>
    <t>नाम</t>
  </si>
  <si>
    <t>वडा नं./ सम्पर्क नं</t>
  </si>
  <si>
    <t>पेशा</t>
  </si>
  <si>
    <t>ट्रावल हिस्टोरी</t>
  </si>
  <si>
    <t>उमेर</t>
  </si>
  <si>
    <t>लिङ्ग</t>
  </si>
  <si>
    <t>प्रारम्भिक पोजिटिभ दिने प्रयोगशालाको नाम</t>
  </si>
  <si>
    <t>Pre-existing 
conditions</t>
  </si>
  <si>
    <t>उपचार भईरहेको अस्पताल/आइसोलेसन सेन्टरको नाम</t>
  </si>
  <si>
    <t>ल्याबबाट केश निदान भएको</t>
  </si>
  <si>
    <t>भर्ना भएको मिति</t>
  </si>
  <si>
    <t>OUTCOME
DATE</t>
  </si>
  <si>
    <t>OUTCOME
TYPE</t>
  </si>
  <si>
    <t>कोभिडको लक्षणको अवस्था</t>
  </si>
  <si>
    <t>कैफियत</t>
  </si>
  <si>
    <t>प्रदेश न ५</t>
  </si>
  <si>
    <t>दाङ</t>
  </si>
  <si>
    <t>तुल्सीपुर उ म न पा</t>
  </si>
  <si>
    <t>Bhim Badadur Oli</t>
  </si>
  <si>
    <t>भारत</t>
  </si>
  <si>
    <t>पुरुष</t>
  </si>
  <si>
    <t>राष्ट्रिय जनस्वास्थ्य प्रयोगशाला</t>
  </si>
  <si>
    <t>थाहा नभएको</t>
  </si>
  <si>
    <t>निको भएको</t>
  </si>
  <si>
    <t>Bishnu Chaudhary</t>
  </si>
  <si>
    <t>राप्ति स्वास्थ्य विज्ञान प्रतिष्ठान</t>
  </si>
  <si>
    <t>काेराेना विशेेष अस्पताल वेलझुन्डी,दाङ</t>
  </si>
  <si>
    <t>2/18/2077</t>
  </si>
  <si>
    <t>२०७७।०३।१</t>
  </si>
  <si>
    <t>Rabin Chaudhary</t>
  </si>
  <si>
    <t>Sushil Chaudhary</t>
  </si>
  <si>
    <t>Tilak Adhikari</t>
  </si>
  <si>
    <t>Narendra Budhathoki</t>
  </si>
  <si>
    <t>Mohon Khatri</t>
  </si>
  <si>
    <t>2/29/2077</t>
  </si>
  <si>
    <t>२०७७।३।१२</t>
  </si>
  <si>
    <t>Dhaneshwor Regmi</t>
  </si>
  <si>
    <t>2/32/2077</t>
  </si>
  <si>
    <t>२०७७।३।१३</t>
  </si>
  <si>
    <t>Bal Bdr.Chaudhary</t>
  </si>
  <si>
    <t>२०७७।३।१७</t>
  </si>
  <si>
    <t>Toya Ram Sharma</t>
  </si>
  <si>
    <t>Rajan Chaudhary</t>
  </si>
  <si>
    <t>२०७७।०३।७</t>
  </si>
  <si>
    <t>२०७७।३।२०</t>
  </si>
  <si>
    <t>Jivan Chaudhary</t>
  </si>
  <si>
    <t>Shree Ram Chaudhary</t>
  </si>
  <si>
    <t>Budha Ram Chaudhary</t>
  </si>
  <si>
    <t>Raju Chaudhary</t>
  </si>
  <si>
    <t>Hari Oli</t>
  </si>
  <si>
    <t>Tulsipur</t>
  </si>
  <si>
    <t>२०७७।३।२६</t>
  </si>
  <si>
    <t>Nabin Basnet</t>
  </si>
  <si>
    <t>Birendra Khadka</t>
  </si>
  <si>
    <t>Sunil Kumar B.K.</t>
  </si>
  <si>
    <t>Tilak Nepali</t>
  </si>
  <si>
    <t>२०७७।३।२८</t>
  </si>
  <si>
    <t>Bal kumar Nepali</t>
  </si>
  <si>
    <t>Madhu Sudhan Aryal</t>
  </si>
  <si>
    <t>Dil Bdr.G.C.</t>
  </si>
  <si>
    <t>Tula Ram B.K.</t>
  </si>
  <si>
    <t>Raj Kumari Dangi</t>
  </si>
  <si>
    <t>महिला</t>
  </si>
  <si>
    <t>Bimal B.K.</t>
  </si>
  <si>
    <t>Pream Bdr.Nepali</t>
  </si>
  <si>
    <t>२०७७।३।१४</t>
  </si>
  <si>
    <t>Mohan Nepali</t>
  </si>
  <si>
    <t>Laxman Nepali</t>
  </si>
  <si>
    <t>Tilak B.K.</t>
  </si>
  <si>
    <t>Bishnu B.K.</t>
  </si>
  <si>
    <t>Ganesh Nepali</t>
  </si>
  <si>
    <t>Indra Bdr.Nepali</t>
  </si>
  <si>
    <t>Amrita Khatri</t>
  </si>
  <si>
    <t>२०७७।३।१५</t>
  </si>
  <si>
    <t>Basanta Pun</t>
  </si>
  <si>
    <t>Ranju Thapa</t>
  </si>
  <si>
    <t>Matanya Chaudhary</t>
  </si>
  <si>
    <t>Parbati Chand</t>
  </si>
  <si>
    <t>Buddhi Maya Tamang</t>
  </si>
  <si>
    <t>Narayan Bhandari</t>
  </si>
  <si>
    <t>Sunil B.K.</t>
  </si>
  <si>
    <t>Kul Raj Subedi</t>
  </si>
  <si>
    <t>२०७७।३।१६</t>
  </si>
  <si>
    <t>२०७७।४।३</t>
  </si>
  <si>
    <t>Damodar Rasaili</t>
  </si>
  <si>
    <t>Uttam Besta</t>
  </si>
  <si>
    <t>Girda Lal Khadka</t>
  </si>
  <si>
    <t>Kripa Ram Nepali</t>
  </si>
  <si>
    <t>Top Bdr.K.C.</t>
  </si>
  <si>
    <t>जन प्रतिनिधि</t>
  </si>
  <si>
    <t>नभएकाे</t>
  </si>
  <si>
    <t>हाेम आइसाेलेशन</t>
  </si>
  <si>
    <t>MIN RAJ BASNET</t>
  </si>
  <si>
    <t>२०७७।३।२३</t>
  </si>
  <si>
    <t>२०७७।४।५</t>
  </si>
  <si>
    <t>Prem Bahadur Pun</t>
  </si>
  <si>
    <t>tulsipur 9</t>
  </si>
  <si>
    <t>२०७७।३।२४</t>
  </si>
  <si>
    <t>२०७७।३।२५</t>
  </si>
  <si>
    <t>२०७७।४।७</t>
  </si>
  <si>
    <t>LILA BDR. CHAUDHARY</t>
  </si>
  <si>
    <t>२०७७।४।२</t>
  </si>
  <si>
    <t>२०७७।४।१५</t>
  </si>
  <si>
    <t>CHABILAL DANGI</t>
  </si>
  <si>
    <t>BISHNU BHUSAL</t>
  </si>
  <si>
    <t>KHIM BAHADUR B.K</t>
  </si>
  <si>
    <t>२०७७।४।१७</t>
  </si>
  <si>
    <t>SHREE RAM CHAUDHARY</t>
  </si>
  <si>
    <t>BINAYAK KUMAR SHORMI</t>
  </si>
  <si>
    <t>BISWO BIJAY SEN</t>
  </si>
  <si>
    <t>२०७७।४।२२</t>
  </si>
  <si>
    <t>NARYAN KHADKA</t>
  </si>
  <si>
    <t>GOPAL GIRI</t>
  </si>
  <si>
    <t>si</t>
  </si>
  <si>
    <t>RAMSHARAN CHAUDHARY</t>
  </si>
  <si>
    <t>AASHOK NEPALI</t>
  </si>
  <si>
    <t>DHAN BIR CHAUDHARY</t>
  </si>
  <si>
    <t>GYNENDRA KUMAR LAMA</t>
  </si>
  <si>
    <t>नेपाली सेना</t>
  </si>
  <si>
    <t>SIndhuli</t>
  </si>
  <si>
    <t>२०७७।४।३०</t>
  </si>
  <si>
    <t>Rajesh Chaudhary</t>
  </si>
  <si>
    <t>२०७७।५।२</t>
  </si>
  <si>
    <t>Shikhar K.C.</t>
  </si>
  <si>
    <t>Gyan Bahadur B.K.</t>
  </si>
  <si>
    <t>ANIL KHADKA</t>
  </si>
  <si>
    <t>TULSIPUR-4 , DANG</t>
  </si>
  <si>
    <t>१९ नं. वाहीनी आइसाेलेशन सेन्टर</t>
  </si>
  <si>
    <t>२०७७।५।११</t>
  </si>
  <si>
    <t>MADAN KHATRI</t>
  </si>
  <si>
    <t>TULSIPUR-6 , DANG</t>
  </si>
  <si>
    <t>PUSKAR SEN</t>
  </si>
  <si>
    <t>TULSIPUR-08, DANG</t>
  </si>
  <si>
    <t>Bikash Acharya</t>
  </si>
  <si>
    <t>Mahalaxmi-9, Lalitpur</t>
  </si>
  <si>
    <t>Ram Lama</t>
  </si>
  <si>
    <t>Godhawari Na.Pa-08, Lalitpur</t>
  </si>
  <si>
    <t>Laxman K.c</t>
  </si>
  <si>
    <t>Musikot Na. Pa-6, Rukum</t>
  </si>
  <si>
    <t>Sujata Bhandary</t>
  </si>
  <si>
    <t>Tulsipur 5</t>
  </si>
  <si>
    <t>नर्स</t>
  </si>
  <si>
    <t>2077/4/32</t>
  </si>
  <si>
    <t>20774/32</t>
  </si>
  <si>
    <t>Param Dangi</t>
  </si>
  <si>
    <t>Bheri Na. Pa-6, Surkhet</t>
  </si>
  <si>
    <t>Khagendra Bdr. Pun Magar</t>
  </si>
  <si>
    <t>Barahatal Ga. Pa-8, Surkhet</t>
  </si>
  <si>
    <t>Prem Bdr. Batala</t>
  </si>
  <si>
    <t>Narhari-6, Kalikot</t>
  </si>
  <si>
    <t>Umesh Thapa</t>
  </si>
  <si>
    <t>Bhimeshor Na. Pa-1, Dholakha</t>
  </si>
  <si>
    <t>Suskera Rai</t>
  </si>
  <si>
    <t>Miklajung-1, Pachthar</t>
  </si>
  <si>
    <t>Thakur Psd. Chalisey</t>
  </si>
  <si>
    <t>Melamchi Na. Pa-11, Sindhupalchok</t>
  </si>
  <si>
    <t>Kumar Khatri</t>
  </si>
  <si>
    <t>Champadevi Ga. Pa-6, Okhaldhunga</t>
  </si>
  <si>
    <t>Pawan Ghimire</t>
  </si>
  <si>
    <t>Manthali-8, Ramechhap</t>
  </si>
  <si>
    <t>Surya Pariyar</t>
  </si>
  <si>
    <t>Chatradev Ga. Pa-5, Arghakhachi</t>
  </si>
  <si>
    <t>Bal Bdr. Khadka</t>
  </si>
  <si>
    <t>Itahari Na. Pa-13, Sunshari</t>
  </si>
  <si>
    <t>Gyanendra Phuyal</t>
  </si>
  <si>
    <t>Saptakoshi-4</t>
  </si>
  <si>
    <t>Krishna Bdr. Nepali</t>
  </si>
  <si>
    <t>Gangajamuna Ga. Pa-5, Dhading</t>
  </si>
  <si>
    <t>Naresh Thakur</t>
  </si>
  <si>
    <t>Rupani Ga. Pa-6, Saptari</t>
  </si>
  <si>
    <t>Ajay Kumar Chaudhary</t>
  </si>
  <si>
    <t>Chandrapur Na. Pa-8, Rautahat</t>
  </si>
  <si>
    <t>Dipak K.c</t>
  </si>
  <si>
    <t>Falebas Na. Pa-4, Parbat</t>
  </si>
  <si>
    <t>Hari Psd. Sapkota</t>
  </si>
  <si>
    <t>Parmeshwor Kumar Yadav</t>
  </si>
  <si>
    <t>Sarufawa Ga. Pa-5, Siraha</t>
  </si>
  <si>
    <t>Nilhari Pahadi</t>
  </si>
  <si>
    <t>Sunkoshi Ga. Pa-2, Okhaldhunga</t>
  </si>
  <si>
    <t>Amrit Khatri</t>
  </si>
  <si>
    <t>Chaudandigadi Na. Pa-10, Udaypur</t>
  </si>
  <si>
    <t>Tej Bdr.</t>
  </si>
  <si>
    <t>Bahadurpur GA. Pa -8, Palpa</t>
  </si>
  <si>
    <t>Shanta Kmuar B.k</t>
  </si>
  <si>
    <t>Bheri Na.Pa -4, Jajarkot</t>
  </si>
  <si>
    <t>Bolihyang Bodha Limbu</t>
  </si>
  <si>
    <t>Mahi Na.Pa- 6, Ilam</t>
  </si>
  <si>
    <t>Madan Dahal</t>
  </si>
  <si>
    <t>India</t>
  </si>
  <si>
    <t>२०७७।५।१३</t>
  </si>
  <si>
    <t>Nirmala Dahal</t>
  </si>
  <si>
    <t>2077/04/31</t>
  </si>
  <si>
    <t>Gahendra Oli</t>
  </si>
  <si>
    <t>Dubai</t>
  </si>
  <si>
    <t>Ashok Chaudhary</t>
  </si>
  <si>
    <t>Saudi</t>
  </si>
  <si>
    <t>Jivan Roka</t>
  </si>
  <si>
    <t>Quatar</t>
  </si>
  <si>
    <t>Salik Ram Chaudhary</t>
  </si>
  <si>
    <t>Kubait</t>
  </si>
  <si>
    <t>Sandesh Pariyar</t>
  </si>
  <si>
    <t>Deepak Kumar B.K.</t>
  </si>
  <si>
    <t>Saraswati K.C.</t>
  </si>
  <si>
    <t>Shyam Kuma Acharaya</t>
  </si>
  <si>
    <t>निजामती/स्थानीय कर्मचारी</t>
  </si>
  <si>
    <t>2077/04/32</t>
  </si>
  <si>
    <t>२०७७।५।१४</t>
  </si>
  <si>
    <t>Pramila Pariyar</t>
  </si>
  <si>
    <t>२०७७।५।१०</t>
  </si>
  <si>
    <t>२०७७।५।२२</t>
  </si>
  <si>
    <t>Dhanshing K.C.</t>
  </si>
  <si>
    <t>Laxman Chand</t>
  </si>
  <si>
    <t>Khadga Bdr.Basnet</t>
  </si>
  <si>
    <t>पारामेडिक्स</t>
  </si>
  <si>
    <t>Prabin Devkota</t>
  </si>
  <si>
    <t>काठमाडाै</t>
  </si>
  <si>
    <t>Kamala Sharma</t>
  </si>
  <si>
    <t>Ishwari Psd.Rawot</t>
  </si>
  <si>
    <t>इ.प्र.का.चालक</t>
  </si>
  <si>
    <t>Dr.Prakash Pun</t>
  </si>
  <si>
    <t>चिकित्सक</t>
  </si>
  <si>
    <t>२०७७।५।२७</t>
  </si>
  <si>
    <t>Usha Bohara Yadav</t>
  </si>
  <si>
    <t>Sudristi Shrestha</t>
  </si>
  <si>
    <t>Hima Subedi</t>
  </si>
  <si>
    <t>6 wada 9847865053</t>
  </si>
  <si>
    <t>२०७७।५।२५</t>
  </si>
  <si>
    <t>Romharsha K.C.</t>
  </si>
  <si>
    <t>Khima B.K.</t>
  </si>
  <si>
    <t>19wada 984793203</t>
  </si>
  <si>
    <t>Rabina B.K.</t>
  </si>
  <si>
    <t>२०७७।५।२८</t>
  </si>
  <si>
    <t>Dr.Tara Nath Sharma</t>
  </si>
  <si>
    <t>TYARAM KHATRI</t>
  </si>
  <si>
    <t>भेरी अस्पताल नेपालगंज</t>
  </si>
  <si>
    <t>PABITA THAPA</t>
  </si>
  <si>
    <t>TULSHIPUR-05, DANG</t>
  </si>
  <si>
    <t>२०७७।५।१६</t>
  </si>
  <si>
    <t>२०७७।५।३०</t>
  </si>
  <si>
    <t>SANDESH B.K.</t>
  </si>
  <si>
    <t>Man Kumari Mahatara</t>
  </si>
  <si>
    <t>गृहणी</t>
  </si>
  <si>
    <t>२०७७।५।१५</t>
  </si>
  <si>
    <t>NILAM BAISHYA</t>
  </si>
  <si>
    <t>TULSIPUR -05, DANG</t>
  </si>
  <si>
    <t>FCHV</t>
  </si>
  <si>
    <t>२०७७।५।१७</t>
  </si>
  <si>
    <t>SHANTA ADHIKARI</t>
  </si>
  <si>
    <t>PABITRA THAPA</t>
  </si>
  <si>
    <t>Ratna Kumari Ramja</t>
  </si>
  <si>
    <t>Tulsipur 9</t>
  </si>
  <si>
    <t>Shivam Yadav</t>
  </si>
  <si>
    <t>हाेटल आइसाेलेशन</t>
  </si>
  <si>
    <t>२०७७।५।२०</t>
  </si>
  <si>
    <t>Seshnath Chaurasiya</t>
  </si>
  <si>
    <t>Dipak Budhathoki</t>
  </si>
  <si>
    <t>Hotel Isolation</t>
  </si>
  <si>
    <t>Sahil Gupta</t>
  </si>
  <si>
    <t>5 Wada</t>
  </si>
  <si>
    <t>Jemipha Gupta</t>
  </si>
  <si>
    <t>5 Wada 9845016057</t>
  </si>
  <si>
    <t>Lalita Gupta</t>
  </si>
  <si>
    <t>Baidnath Thakur</t>
  </si>
  <si>
    <t>5 Wada 9847823470</t>
  </si>
  <si>
    <t>Ishori Psd.Oli</t>
  </si>
  <si>
    <t>8 wada 9840818267</t>
  </si>
  <si>
    <t>Laxmi Neupane</t>
  </si>
  <si>
    <t>1 Wada 9840912130</t>
  </si>
  <si>
    <t>ल्यावकर्मि</t>
  </si>
  <si>
    <t>Parbati Chaudhary</t>
  </si>
  <si>
    <t>17 wada 9809558194</t>
  </si>
  <si>
    <t>Saraswati Dangi</t>
  </si>
  <si>
    <t>6 wada 9844915696</t>
  </si>
  <si>
    <t>Kamala Giri</t>
  </si>
  <si>
    <t>18 wada 9847834321</t>
  </si>
  <si>
    <t>Krishna K.C.</t>
  </si>
  <si>
    <t>6 wada 9847834540</t>
  </si>
  <si>
    <t>२०७७।५।२१</t>
  </si>
  <si>
    <t>Bimala Neupane</t>
  </si>
  <si>
    <t>Arahon Bhandari</t>
  </si>
  <si>
    <t>Hemakali B.K.</t>
  </si>
  <si>
    <t>Sobha Ram B.K.</t>
  </si>
  <si>
    <t>19 wada 9857823529</t>
  </si>
  <si>
    <t>Pabitra sunar</t>
  </si>
  <si>
    <t>Kalpana B.K.</t>
  </si>
  <si>
    <t>Karan B.K.</t>
  </si>
  <si>
    <t>२०७७।६।८</t>
  </si>
  <si>
    <t>Matilal B.K.</t>
  </si>
  <si>
    <t>Laxmi B.K.</t>
  </si>
  <si>
    <t>Simran Giri</t>
  </si>
  <si>
    <t>Jyoti Psd.Chaudhary</t>
  </si>
  <si>
    <t>Susmita Chaudhary</t>
  </si>
  <si>
    <t>Binita K.C.</t>
  </si>
  <si>
    <t>Urmila Thakur</t>
  </si>
  <si>
    <t>Krishna Bdr.Oli</t>
  </si>
  <si>
    <t>Gopal Chaudhary ( B )</t>
  </si>
  <si>
    <t>Laxmi Psd.Tharu</t>
  </si>
  <si>
    <t>Shishya Hamal</t>
  </si>
  <si>
    <t>Dev Bdr.Priyar</t>
  </si>
  <si>
    <t>Lokendra Basnet</t>
  </si>
  <si>
    <t>Mohan Kumar Sharma</t>
  </si>
  <si>
    <t>Nisha Dangi</t>
  </si>
  <si>
    <t>Basant Oli</t>
  </si>
  <si>
    <t>Sunita Shrestha</t>
  </si>
  <si>
    <t>Radhika Oli K.C.</t>
  </si>
  <si>
    <t>Rita Khatri</t>
  </si>
  <si>
    <t>Shiva Tiwari</t>
  </si>
  <si>
    <t>Bishnu K.C.</t>
  </si>
  <si>
    <t>Devraj Devkota</t>
  </si>
  <si>
    <t>Ram Bdr.K.C.</t>
  </si>
  <si>
    <t>Salikram Sapkota</t>
  </si>
  <si>
    <t>Yadav K.C.</t>
  </si>
  <si>
    <t>Dev Bdr.K.C.</t>
  </si>
  <si>
    <t>Sushila K.C.</t>
  </si>
  <si>
    <t>Santosh Sahu</t>
  </si>
  <si>
    <t>16/06/2077</t>
  </si>
  <si>
    <t>NIM PRAKASH KHATRI</t>
  </si>
  <si>
    <t>भेरी अस्पताल प्रयोगशाला</t>
  </si>
  <si>
    <t>२०७७।६।३</t>
  </si>
  <si>
    <t>RIMA POKHREL</t>
  </si>
  <si>
    <t>Pramila Paudel</t>
  </si>
  <si>
    <t>Khim Bdr. Dangi</t>
  </si>
  <si>
    <t>Samita Chaudhary</t>
  </si>
  <si>
    <t>BIBEK CHAUDHARY</t>
  </si>
  <si>
    <t>TULSIPUR-2 DANG</t>
  </si>
  <si>
    <t>Atul Acharaya</t>
  </si>
  <si>
    <t>२०७७।६।५</t>
  </si>
  <si>
    <t>Dipendra Rawal</t>
  </si>
  <si>
    <t>Duldhar Sapkota</t>
  </si>
  <si>
    <t>Anil Singh</t>
  </si>
  <si>
    <t>Hari Bahadur Khadka</t>
  </si>
  <si>
    <t>Tulsipur 8</t>
  </si>
  <si>
    <t>२०७७।६।६</t>
  </si>
  <si>
    <t>Alisha Khadka</t>
  </si>
  <si>
    <t>Khali Chaudhary</t>
  </si>
  <si>
    <t>Tulsipur 2</t>
  </si>
  <si>
    <t>Santu Chaudhary</t>
  </si>
  <si>
    <t>Khima Devkota</t>
  </si>
  <si>
    <t>Tulsipur 1</t>
  </si>
  <si>
    <t>२०७७।६।७</t>
  </si>
  <si>
    <t>Krishna Devkota</t>
  </si>
  <si>
    <t>Bhim Kumar Yogi</t>
  </si>
  <si>
    <t>Tulsipur 3</t>
  </si>
  <si>
    <t>Indra Yogi</t>
  </si>
  <si>
    <t>Ishani Yogi</t>
  </si>
  <si>
    <t>Sharmila BK.</t>
  </si>
  <si>
    <t>Lok Bahadur Bashnet</t>
  </si>
  <si>
    <t>Kumar Sanu BK.</t>
  </si>
  <si>
    <t>Deepak Gorathoki</t>
  </si>
  <si>
    <t>Tulsipur 6</t>
  </si>
  <si>
    <t xml:space="preserve">relapse </t>
  </si>
  <si>
    <t>Pratik Oli</t>
  </si>
  <si>
    <t>Punam Chaudhary</t>
  </si>
  <si>
    <t>Tulsipur 10</t>
  </si>
  <si>
    <t>Remant Dangi</t>
  </si>
  <si>
    <t>Rabin Malla</t>
  </si>
  <si>
    <t>Tulsipur 7</t>
  </si>
  <si>
    <t>Gobinda KC.</t>
  </si>
  <si>
    <t>Rita BC</t>
  </si>
  <si>
    <t>Kiran Budhathoki</t>
  </si>
  <si>
    <t>Bibek Bhusal</t>
  </si>
  <si>
    <t>Puspa Raj Bista</t>
  </si>
  <si>
    <t>Tulsipur_8</t>
  </si>
  <si>
    <t xml:space="preserve">22/06/077 </t>
  </si>
  <si>
    <t>Simran Bhattarai</t>
  </si>
  <si>
    <t>27/06/077</t>
  </si>
  <si>
    <t>relapse</t>
  </si>
  <si>
    <t xml:space="preserve">प्रदेश न 5 </t>
  </si>
  <si>
    <t xml:space="preserve">tika  dangi </t>
  </si>
  <si>
    <t xml:space="preserve">Tulsipur 11 </t>
  </si>
  <si>
    <t>२०७७।६।8</t>
  </si>
  <si>
    <t>22/06/077</t>
  </si>
  <si>
    <t xml:space="preserve">प्रदेश न ५ </t>
  </si>
  <si>
    <t xml:space="preserve">Man bdr chaudhary </t>
  </si>
  <si>
    <t xml:space="preserve">Tulsipur 19 </t>
  </si>
  <si>
    <t>global bank 9851203020</t>
  </si>
  <si>
    <t xml:space="preserve">पुरुष </t>
  </si>
  <si>
    <t xml:space="preserve">होटेल आसोलेसन </t>
  </si>
  <si>
    <t>२०७७।६।9</t>
  </si>
  <si>
    <t>24/06/2077</t>
  </si>
  <si>
    <t>Mohan lal k.c.</t>
  </si>
  <si>
    <t xml:space="preserve">tulsipur 6 </t>
  </si>
  <si>
    <t xml:space="preserve">२०७७।६।९ </t>
  </si>
  <si>
    <t xml:space="preserve">Umanga adhikari </t>
  </si>
  <si>
    <t xml:space="preserve">Tulsipur 5 </t>
  </si>
  <si>
    <t>29/06/2077</t>
  </si>
  <si>
    <t xml:space="preserve">Sagar thapa </t>
  </si>
  <si>
    <t xml:space="preserve">tulsipur 5 </t>
  </si>
  <si>
    <t>29/06/2078</t>
  </si>
  <si>
    <t xml:space="preserve">Durga oli </t>
  </si>
  <si>
    <t>29/06/2079</t>
  </si>
  <si>
    <t xml:space="preserve">Bishnu khadka </t>
  </si>
  <si>
    <t xml:space="preserve">Tuslipur 5 </t>
  </si>
  <si>
    <t xml:space="preserve">Dal bdr khadka </t>
  </si>
  <si>
    <t xml:space="preserve">Tulsipur 12 </t>
  </si>
  <si>
    <t>positive 7/1</t>
  </si>
  <si>
    <t xml:space="preserve">Gopi lal bk </t>
  </si>
  <si>
    <t xml:space="preserve">Tulsipur 8 </t>
  </si>
  <si>
    <t xml:space="preserve">Prabhu raj bhardwaj </t>
  </si>
  <si>
    <t xml:space="preserve">Tulsipur 9 </t>
  </si>
  <si>
    <t xml:space="preserve">Manish gautam </t>
  </si>
  <si>
    <t xml:space="preserve">global bank </t>
  </si>
  <si>
    <t>Arjun  G m</t>
  </si>
  <si>
    <t xml:space="preserve">home isolation </t>
  </si>
  <si>
    <t xml:space="preserve">laxmi chaudhary </t>
  </si>
  <si>
    <t xml:space="preserve">महिला </t>
  </si>
  <si>
    <t xml:space="preserve">Chandra bdr chaudhary </t>
  </si>
  <si>
    <t xml:space="preserve">mohamad guddu </t>
  </si>
  <si>
    <t xml:space="preserve">tulsipur 9 </t>
  </si>
  <si>
    <t xml:space="preserve">Gopal giri </t>
  </si>
  <si>
    <t>२०७७।६।१०</t>
  </si>
  <si>
    <t>27/06/2077</t>
  </si>
  <si>
    <t xml:space="preserve">sarsoti kharel </t>
  </si>
  <si>
    <t>tulsipur 7</t>
  </si>
  <si>
    <t>ward sachib 4 9844966404</t>
  </si>
  <si>
    <t xml:space="preserve">२०७७।६।१0 </t>
  </si>
  <si>
    <t xml:space="preserve">janak  bhandari </t>
  </si>
  <si>
    <t xml:space="preserve">tulsipur 7 </t>
  </si>
  <si>
    <t xml:space="preserve">karma chari sahakari </t>
  </si>
  <si>
    <t>२०७७।६।११</t>
  </si>
  <si>
    <t xml:space="preserve">प्रदेस ५ </t>
  </si>
  <si>
    <t>तुलसीपुर उमनपा</t>
  </si>
  <si>
    <t xml:space="preserve">Bishnu bhandari </t>
  </si>
  <si>
    <t xml:space="preserve">tulsipur 12 </t>
  </si>
  <si>
    <t xml:space="preserve">urahari healthworker </t>
  </si>
  <si>
    <t>पुरूष</t>
  </si>
  <si>
    <t xml:space="preserve">kaathmandu medical college </t>
  </si>
  <si>
    <t xml:space="preserve">२०७७।६।१4 </t>
  </si>
  <si>
    <t xml:space="preserve">Rajendra sapkota </t>
  </si>
  <si>
    <t>hardware  9847836878</t>
  </si>
  <si>
    <t xml:space="preserve">depak pun </t>
  </si>
  <si>
    <t xml:space="preserve">Rekha sharma </t>
  </si>
  <si>
    <t>ptrakar 9847821519</t>
  </si>
  <si>
    <t xml:space="preserve">surya prasad sharma </t>
  </si>
  <si>
    <t>lecture 9857821519</t>
  </si>
  <si>
    <t xml:space="preserve">निको भएको </t>
  </si>
  <si>
    <t xml:space="preserve">Bijay subedi </t>
  </si>
  <si>
    <t xml:space="preserve">Bimala oli </t>
  </si>
  <si>
    <t xml:space="preserve">tulsipur 10 </t>
  </si>
  <si>
    <t>प्रदेस 5</t>
  </si>
  <si>
    <t xml:space="preserve">khadga sing BK </t>
  </si>
  <si>
    <t xml:space="preserve">tulsipur 19 </t>
  </si>
  <si>
    <t>30/06/2077</t>
  </si>
  <si>
    <t xml:space="preserve">प्रदेस 5 </t>
  </si>
  <si>
    <t xml:space="preserve">Mahendra sharma </t>
  </si>
  <si>
    <t xml:space="preserve">depak kumar rai </t>
  </si>
  <si>
    <t xml:space="preserve">Ramm bdr chaudhary </t>
  </si>
  <si>
    <t xml:space="preserve">Bibek kharel </t>
  </si>
  <si>
    <t>प्रदेश ५</t>
  </si>
  <si>
    <t xml:space="preserve">Ram chandra punya </t>
  </si>
  <si>
    <t xml:space="preserve">Binod shah </t>
  </si>
  <si>
    <t xml:space="preserve">krishna thakur </t>
  </si>
  <si>
    <t xml:space="preserve">नोको भएको </t>
  </si>
  <si>
    <t xml:space="preserve">shiba acharya </t>
  </si>
  <si>
    <t xml:space="preserve">nokhiram bhandari </t>
  </si>
  <si>
    <t xml:space="preserve">yam lal bhusal </t>
  </si>
  <si>
    <t xml:space="preserve">chandra prakas khadka </t>
  </si>
  <si>
    <t xml:space="preserve">sukra raaj bhandari </t>
  </si>
  <si>
    <t>hamro paunch 9857821771</t>
  </si>
  <si>
    <t xml:space="preserve">chrinjibi oli </t>
  </si>
  <si>
    <t>tulsipur 13</t>
  </si>
  <si>
    <t>beljhundi isolation</t>
  </si>
  <si>
    <t>anju kumar baaniya</t>
  </si>
  <si>
    <t>tulsipur 6</t>
  </si>
  <si>
    <t xml:space="preserve">प्रदेश ५ </t>
  </si>
  <si>
    <t>pramita kumari rawol</t>
  </si>
  <si>
    <t xml:space="preserve">tulsipur 13 </t>
  </si>
  <si>
    <t xml:space="preserve">khim bahadur khadka </t>
  </si>
  <si>
    <t>buddiram chaudhary</t>
  </si>
  <si>
    <t>tulsipur 16</t>
  </si>
  <si>
    <t>kamal bhandari</t>
  </si>
  <si>
    <t xml:space="preserve">sangit chaudhary </t>
  </si>
  <si>
    <t xml:space="preserve">tulsipur 16 </t>
  </si>
  <si>
    <t xml:space="preserve">subhan karpal </t>
  </si>
  <si>
    <t>tulsipur 5</t>
  </si>
  <si>
    <t>sanjog das</t>
  </si>
  <si>
    <t xml:space="preserve">tapash  kumar aadat </t>
  </si>
  <si>
    <t xml:space="preserve">tapan dhara </t>
  </si>
  <si>
    <t>palash ghoral</t>
  </si>
  <si>
    <t>narayan chaudhary</t>
  </si>
  <si>
    <t>teacher  9841649614</t>
  </si>
  <si>
    <t>uttpal  bhusal</t>
  </si>
  <si>
    <t>tulsipur 4</t>
  </si>
  <si>
    <t xml:space="preserve">dilip gharti magar </t>
  </si>
  <si>
    <t>tulsipur 2</t>
  </si>
  <si>
    <t xml:space="preserve">hemant giri </t>
  </si>
  <si>
    <t>accountant 9809537101</t>
  </si>
  <si>
    <t>bikash dangi</t>
  </si>
  <si>
    <t xml:space="preserve">bikash bohora </t>
  </si>
  <si>
    <t xml:space="preserve">khadka nath sharma </t>
  </si>
  <si>
    <t xml:space="preserve">anup manna </t>
  </si>
  <si>
    <t xml:space="preserve">sarbanti  bhandari </t>
  </si>
  <si>
    <t>प्रदेश ६</t>
  </si>
  <si>
    <t xml:space="preserve">ghanshyam pandey </t>
  </si>
  <si>
    <t xml:space="preserve">tulsipur 8 </t>
  </si>
  <si>
    <t>mayor 9851002110</t>
  </si>
  <si>
    <t>प्रदेश 5</t>
  </si>
  <si>
    <t xml:space="preserve">Dharma raj oli </t>
  </si>
  <si>
    <t xml:space="preserve">    karmachari 9847833396</t>
  </si>
  <si>
    <t xml:space="preserve">ghan shyam budhathoki </t>
  </si>
  <si>
    <t xml:space="preserve">remanta bdr oli </t>
  </si>
  <si>
    <t>tulsipur 8</t>
  </si>
  <si>
    <t>roshan kc</t>
  </si>
  <si>
    <t>salim khan</t>
  </si>
  <si>
    <t xml:space="preserve">sulav giri </t>
  </si>
  <si>
    <t xml:space="preserve">hotel  isolation </t>
  </si>
  <si>
    <t xml:space="preserve">rupesh pun magar </t>
  </si>
  <si>
    <t xml:space="preserve">hotel isolation </t>
  </si>
  <si>
    <t>ram chandra bhusal</t>
  </si>
  <si>
    <t>bala ram kathayat</t>
  </si>
  <si>
    <t xml:space="preserve">samridhi gautam </t>
  </si>
  <si>
    <t xml:space="preserve">pradip kumar gautam </t>
  </si>
  <si>
    <t xml:space="preserve">Rupa gautam </t>
  </si>
  <si>
    <t xml:space="preserve">mina gautam </t>
  </si>
  <si>
    <t xml:space="preserve">shant raj gautam </t>
  </si>
  <si>
    <t xml:space="preserve">dambar bdr oli </t>
  </si>
  <si>
    <t xml:space="preserve">birendra prasad dangi </t>
  </si>
  <si>
    <t xml:space="preserve">shital raj rawot </t>
  </si>
  <si>
    <t xml:space="preserve">rakesh oli </t>
  </si>
  <si>
    <t xml:space="preserve">sapana yogi </t>
  </si>
  <si>
    <t xml:space="preserve">tulsipur 18 </t>
  </si>
  <si>
    <t xml:space="preserve">chabi thapa </t>
  </si>
  <si>
    <t xml:space="preserve">pradip sharama </t>
  </si>
  <si>
    <t xml:space="preserve">haam sing budhathoki </t>
  </si>
  <si>
    <t>tuslipur 19</t>
  </si>
  <si>
    <t xml:space="preserve">sita chaudhary </t>
  </si>
  <si>
    <t xml:space="preserve">pradeshu chaudhary </t>
  </si>
  <si>
    <t xml:space="preserve">sushil oli </t>
  </si>
  <si>
    <t xml:space="preserve">chabi lal kumal </t>
  </si>
  <si>
    <t>tulsipur 15</t>
  </si>
  <si>
    <t xml:space="preserve">bhanu gharti </t>
  </si>
  <si>
    <t xml:space="preserve">anup kc </t>
  </si>
  <si>
    <t xml:space="preserve">ram shanker tharu </t>
  </si>
  <si>
    <t>police 9847026162</t>
  </si>
  <si>
    <t xml:space="preserve">beljhundi  isolation </t>
  </si>
  <si>
    <t xml:space="preserve">chuda mani oli </t>
  </si>
  <si>
    <t xml:space="preserve">basanta yogi </t>
  </si>
  <si>
    <t xml:space="preserve">kristina khatri </t>
  </si>
  <si>
    <t xml:space="preserve">suman thapa </t>
  </si>
  <si>
    <t xml:space="preserve">kathamandu medical </t>
  </si>
  <si>
    <t xml:space="preserve">sadhana chaudhary </t>
  </si>
  <si>
    <t xml:space="preserve">Basnata kumar singh </t>
  </si>
  <si>
    <t>prahari  9869279948</t>
  </si>
  <si>
    <t xml:space="preserve">prem lal chaudhary </t>
  </si>
  <si>
    <t xml:space="preserve">beljhundi corona hospital </t>
  </si>
  <si>
    <t xml:space="preserve">Basanta subedi </t>
  </si>
  <si>
    <t xml:space="preserve">kamala pokhrel </t>
  </si>
  <si>
    <t xml:space="preserve">dr .ek raj dahal </t>
  </si>
  <si>
    <t xml:space="preserve">Chitr bahadur oli </t>
  </si>
  <si>
    <t xml:space="preserve">keshar khadka </t>
  </si>
  <si>
    <t xml:space="preserve">uttam dangi </t>
  </si>
  <si>
    <t>sushmita kc</t>
  </si>
  <si>
    <t xml:space="preserve">sharam ram tharu </t>
  </si>
  <si>
    <t xml:space="preserve">ashok kumar sharma </t>
  </si>
  <si>
    <t xml:space="preserve">gopal oli </t>
  </si>
  <si>
    <t xml:space="preserve">sweta shrestha </t>
  </si>
  <si>
    <t>dev kumari kc</t>
  </si>
  <si>
    <t>anuja kc</t>
  </si>
  <si>
    <t>tulspur 6</t>
  </si>
  <si>
    <t>18 month</t>
  </si>
  <si>
    <t xml:space="preserve">nisha rokaya </t>
  </si>
  <si>
    <t xml:space="preserve">Ram bahadur kami </t>
  </si>
  <si>
    <t>Tulsipur 4</t>
  </si>
  <si>
    <t xml:space="preserve">chet bahadur oli </t>
  </si>
  <si>
    <t>police 9858090886</t>
  </si>
  <si>
    <t>prem basnet</t>
  </si>
  <si>
    <t xml:space="preserve">sabitra basnet </t>
  </si>
  <si>
    <t xml:space="preserve">sikshya oli </t>
  </si>
  <si>
    <t xml:space="preserve">pabitra oli </t>
  </si>
  <si>
    <t>keshar raj kharel</t>
  </si>
  <si>
    <t>tulsipur 3</t>
  </si>
  <si>
    <t xml:space="preserve">himal sapkota </t>
  </si>
  <si>
    <t xml:space="preserve">sapana pokharel </t>
  </si>
  <si>
    <t xml:space="preserve">deepak bishokarma </t>
  </si>
  <si>
    <t xml:space="preserve">nuru kaha ansari </t>
  </si>
  <si>
    <t>tulsipur  5</t>
  </si>
  <si>
    <t xml:space="preserve">Yam bahadur rana </t>
  </si>
  <si>
    <t xml:space="preserve">tarak nath jana </t>
  </si>
  <si>
    <t>tapash dolal</t>
  </si>
  <si>
    <t>bhim bahadur oli</t>
  </si>
  <si>
    <t xml:space="preserve">Birbal khadka </t>
  </si>
  <si>
    <t>suresh kumar ghimire</t>
  </si>
  <si>
    <t>teku kathmandu</t>
  </si>
  <si>
    <t>Dilli bahadur chaudhary</t>
  </si>
  <si>
    <t>sabhasad 82520312</t>
  </si>
  <si>
    <t xml:space="preserve">bheri hospital </t>
  </si>
  <si>
    <t xml:space="preserve">Bheri isiolation </t>
  </si>
  <si>
    <t>prabin rawol</t>
  </si>
  <si>
    <t xml:space="preserve">Dibas khadka </t>
  </si>
  <si>
    <t>tulsipur 14</t>
  </si>
  <si>
    <t>airlines staaf9842981475</t>
  </si>
  <si>
    <t xml:space="preserve">babu ram neupane </t>
  </si>
  <si>
    <t xml:space="preserve"> suchana adhikrit 9857825307</t>
  </si>
  <si>
    <t xml:space="preserve">Dr sanjay pokhrel </t>
  </si>
  <si>
    <t xml:space="preserve"> din beljhundi 9843057808</t>
  </si>
  <si>
    <t xml:space="preserve">sachin singh karki </t>
  </si>
  <si>
    <t xml:space="preserve">Bimal ghartimagar </t>
  </si>
  <si>
    <t>pharmacy 9845371380</t>
  </si>
  <si>
    <t xml:space="preserve">Hotel  isolation </t>
  </si>
  <si>
    <t xml:space="preserve">Avay chaudhary </t>
  </si>
  <si>
    <t xml:space="preserve">sagar ajue </t>
  </si>
  <si>
    <t>police 9863141451</t>
  </si>
  <si>
    <t xml:space="preserve">padam bahadur kc </t>
  </si>
  <si>
    <t>leader 9857823009</t>
  </si>
  <si>
    <t xml:space="preserve">Lalit bahadur oli </t>
  </si>
  <si>
    <t>leader 9851041346</t>
  </si>
  <si>
    <t xml:space="preserve">Beljhundi isolation </t>
  </si>
  <si>
    <t xml:space="preserve">Durga prasad basyal </t>
  </si>
  <si>
    <t>tulsipur 1</t>
  </si>
  <si>
    <t xml:space="preserve">kumar basyal </t>
  </si>
  <si>
    <t xml:space="preserve">Pratikshya sharma </t>
  </si>
  <si>
    <t>Tika khatri oli</t>
  </si>
  <si>
    <t xml:space="preserve">Anita oli </t>
  </si>
  <si>
    <t>Hari prasad bakhariya</t>
  </si>
  <si>
    <t xml:space="preserve">aryan nepali </t>
  </si>
  <si>
    <t xml:space="preserve">Ananata kumar gautam </t>
  </si>
  <si>
    <t>Nirmala bhandari</t>
  </si>
  <si>
    <t xml:space="preserve">Giri raj lamsal </t>
  </si>
  <si>
    <t xml:space="preserve">Prashuram Pun </t>
  </si>
  <si>
    <t xml:space="preserve">bibas gaire </t>
  </si>
  <si>
    <t xml:space="preserve">Bhuban pokharel </t>
  </si>
  <si>
    <t>Narendra kc</t>
  </si>
  <si>
    <t>Bishnu panthi</t>
  </si>
  <si>
    <t xml:space="preserve">Prem bahadur shahi </t>
  </si>
  <si>
    <t>Santosh kc</t>
  </si>
  <si>
    <t xml:space="preserve">Nim bahdur bhandari </t>
  </si>
  <si>
    <t>Sakriya raj bhandari</t>
  </si>
  <si>
    <t xml:space="preserve">Luma kumari kharel </t>
  </si>
  <si>
    <t>Alja kumari kharel</t>
  </si>
  <si>
    <t>Kiran chaudhary</t>
  </si>
  <si>
    <t xml:space="preserve">Sury dangi </t>
  </si>
  <si>
    <t>janprtinidhi 9857833111</t>
  </si>
  <si>
    <t xml:space="preserve">Alija bhandari </t>
  </si>
  <si>
    <t>Kamal panthi</t>
  </si>
  <si>
    <t xml:space="preserve">Thakur regmi </t>
  </si>
  <si>
    <t xml:space="preserve">Abhisek bhusal </t>
  </si>
  <si>
    <t xml:space="preserve">Kiran dhital </t>
  </si>
  <si>
    <t xml:space="preserve">Guru prasad kandel </t>
  </si>
  <si>
    <t xml:space="preserve">Sushil oli </t>
  </si>
  <si>
    <t>Bindu R.C.</t>
  </si>
  <si>
    <t xml:space="preserve">Guman singh oli </t>
  </si>
  <si>
    <t xml:space="preserve">shyam kumar majgai </t>
  </si>
  <si>
    <t xml:space="preserve">prashant sharma </t>
  </si>
  <si>
    <t xml:space="preserve">ajay rawot </t>
  </si>
  <si>
    <t>Sandesh pun</t>
  </si>
  <si>
    <t xml:space="preserve">shib sharma </t>
  </si>
  <si>
    <t xml:space="preserve">kamal bahadur pokhrel </t>
  </si>
  <si>
    <t>tulsipur  17</t>
  </si>
  <si>
    <t>sharada basnet</t>
  </si>
  <si>
    <t>Depak kumar dhital</t>
  </si>
  <si>
    <t xml:space="preserve">Dipesh kumar lamichane </t>
  </si>
  <si>
    <t>Tula ram bhandari</t>
  </si>
  <si>
    <t>kshitej bahadur kc</t>
  </si>
  <si>
    <t xml:space="preserve">ujjwol subedi </t>
  </si>
  <si>
    <t>nimkant panth</t>
  </si>
  <si>
    <t>narayan prasad parajuli</t>
  </si>
  <si>
    <t xml:space="preserve">Raj kumar khadka </t>
  </si>
  <si>
    <t xml:space="preserve">Bikal acharya </t>
  </si>
  <si>
    <t>sushila pangali</t>
  </si>
  <si>
    <t>dilli raj khadka</t>
  </si>
  <si>
    <t>santosh lamsal</t>
  </si>
  <si>
    <t>prem pd sharma</t>
  </si>
  <si>
    <t>ramesh chandra dc</t>
  </si>
  <si>
    <t>resham raj regmi</t>
  </si>
  <si>
    <t>bishal kc</t>
  </si>
  <si>
    <t>tulsipur5</t>
  </si>
  <si>
    <t>samjhana dahal</t>
  </si>
  <si>
    <t>tulsipur6</t>
  </si>
  <si>
    <t>govind basnet</t>
  </si>
  <si>
    <t>kamala pun</t>
  </si>
  <si>
    <t>prakash kunwar</t>
  </si>
  <si>
    <t>prena rawat</t>
  </si>
  <si>
    <t xml:space="preserve">chudamani kunwar </t>
  </si>
  <si>
    <t>bharat neupane</t>
  </si>
  <si>
    <t>deependra neupane</t>
  </si>
  <si>
    <t xml:space="preserve">dorna oli </t>
  </si>
  <si>
    <t>health worker 9847885786</t>
  </si>
  <si>
    <t xml:space="preserve">beljhundi isolation </t>
  </si>
  <si>
    <t>dr sweta kumari pokharel</t>
  </si>
  <si>
    <t xml:space="preserve">samyak pokharel </t>
  </si>
  <si>
    <t>prakash giri</t>
  </si>
  <si>
    <t xml:space="preserve">राप्ती स्वास्थ्य बिज्ञान प्रतिष्ठान </t>
  </si>
  <si>
    <t>aakash oli</t>
  </si>
  <si>
    <t>sita oli</t>
  </si>
  <si>
    <t>amrita bohora</t>
  </si>
  <si>
    <t>sita khadka</t>
  </si>
  <si>
    <t xml:space="preserve">jashu pandey </t>
  </si>
  <si>
    <t>prakash chaudhary</t>
  </si>
  <si>
    <t xml:space="preserve">dila chaudhary </t>
  </si>
  <si>
    <t>sarjan dhital</t>
  </si>
  <si>
    <t xml:space="preserve">anita basnet </t>
  </si>
  <si>
    <t>prakriti khadka</t>
  </si>
  <si>
    <t xml:space="preserve">jhag bdr basnet </t>
  </si>
  <si>
    <t xml:space="preserve">army </t>
  </si>
  <si>
    <t xml:space="preserve">dr samrat saha </t>
  </si>
  <si>
    <t xml:space="preserve">radha dhakal </t>
  </si>
  <si>
    <t xml:space="preserve">ankita singha </t>
  </si>
  <si>
    <t xml:space="preserve">uttam kumar shrestha </t>
  </si>
  <si>
    <t>dev bdr bhandari</t>
  </si>
  <si>
    <t xml:space="preserve">megh raj bista </t>
  </si>
  <si>
    <t>bhim bdr kc</t>
  </si>
  <si>
    <t>laxmi rayamajhi</t>
  </si>
  <si>
    <t>tulsipur 17</t>
  </si>
  <si>
    <t xml:space="preserve">bhim lal sapkota </t>
  </si>
  <si>
    <t xml:space="preserve">sarada saha </t>
  </si>
  <si>
    <t xml:space="preserve">janak bdr sahi </t>
  </si>
  <si>
    <t>kalam bdr bhandari</t>
  </si>
  <si>
    <t xml:space="preserve">asmita reule </t>
  </si>
  <si>
    <t>sishir dc</t>
  </si>
  <si>
    <t xml:space="preserve">bima devi dangi </t>
  </si>
  <si>
    <t xml:space="preserve">bhagirath chaudhary </t>
  </si>
  <si>
    <t xml:space="preserve">shovaram bhandari </t>
  </si>
  <si>
    <t xml:space="preserve">sarswata upadhyaya </t>
  </si>
  <si>
    <t xml:space="preserve">rudra mani sharma </t>
  </si>
  <si>
    <t xml:space="preserve">gaurav acharya </t>
  </si>
  <si>
    <t>suresh jung oli</t>
  </si>
  <si>
    <t>raj bikram rc</t>
  </si>
  <si>
    <t xml:space="preserve">karishma upadhaya </t>
  </si>
  <si>
    <t>achyut krishna dhital</t>
  </si>
  <si>
    <t>dilli raj dhital</t>
  </si>
  <si>
    <t>aditi dhital</t>
  </si>
  <si>
    <t>shanti neupane</t>
  </si>
  <si>
    <t>usha shrestha</t>
  </si>
  <si>
    <t>ujjal shrestha</t>
  </si>
  <si>
    <t>bipin dangi</t>
  </si>
  <si>
    <t>bibek kumar basnet</t>
  </si>
  <si>
    <t>bimala chaudhary</t>
  </si>
  <si>
    <t>binod sunar</t>
  </si>
  <si>
    <t>hospital</t>
  </si>
  <si>
    <t>kshitij subedi</t>
  </si>
  <si>
    <t>chandra bahadur pun</t>
  </si>
  <si>
    <t>govind prasad chhetri</t>
  </si>
  <si>
    <t>dharma raj poudel</t>
  </si>
  <si>
    <t>manisha basnet</t>
  </si>
  <si>
    <t>om prakash khojwar</t>
  </si>
  <si>
    <t>pabitra sherpaili</t>
  </si>
  <si>
    <t>champha dangal</t>
  </si>
  <si>
    <t>tulspur 1</t>
  </si>
  <si>
    <t>kamal prasad khanal</t>
  </si>
  <si>
    <t xml:space="preserve">basanta kc </t>
  </si>
  <si>
    <t>nirajan rajaure</t>
  </si>
  <si>
    <t>amit basnet</t>
  </si>
  <si>
    <t>mina bhandari</t>
  </si>
  <si>
    <t>jf8{</t>
  </si>
  <si>
    <t>hDdf ;+s|ldt ;+Vof</t>
  </si>
  <si>
    <t>sf]/f]gfd'Qm ;+Vof</t>
  </si>
  <si>
    <t>;ls|o ;+s|ldt ;+Vof</t>
  </si>
  <si>
    <t>;Ddsf] sf]/f]gf ck8]6</t>
  </si>
  <si>
    <t>;Ddsf] sf]/f]gf ;+s|ldtsf] ;+Vof</t>
  </si>
  <si>
    <t>huma nepali</t>
  </si>
  <si>
    <t>damu oli</t>
  </si>
  <si>
    <t>dipak bishwakarma</t>
  </si>
  <si>
    <t>surya lal chaudhary</t>
  </si>
  <si>
    <t>krishna kumar kc</t>
  </si>
  <si>
    <t>manoj acharya</t>
  </si>
  <si>
    <t xml:space="preserve">tulsipur 11 </t>
  </si>
  <si>
    <t>sajan pandey</t>
  </si>
  <si>
    <t>sharad raj sharma</t>
  </si>
  <si>
    <t>prem prasad sharma</t>
  </si>
  <si>
    <t>rojina lamichhane</t>
  </si>
  <si>
    <t>samikshya kc</t>
  </si>
  <si>
    <t>dipendra malla</t>
  </si>
  <si>
    <t>sudip acharya</t>
  </si>
  <si>
    <t>tulsipur 10</t>
  </si>
  <si>
    <t>pooja paudel</t>
  </si>
  <si>
    <t>basanta kumar singh</t>
  </si>
  <si>
    <t>bhanu gautam</t>
  </si>
  <si>
    <t>sameer paudel</t>
  </si>
  <si>
    <t>pratima kc</t>
  </si>
  <si>
    <t>raj kumar pokhrel</t>
  </si>
  <si>
    <t>karuna gautam</t>
  </si>
  <si>
    <t>e]/L c:ktfn</t>
  </si>
  <si>
    <t>d[To' ePsf JolQm</t>
  </si>
  <si>
    <t>d[To'</t>
  </si>
  <si>
    <t>cf]d axfb'/ a:g]t</t>
  </si>
  <si>
    <t>Jofkf/L</t>
  </si>
  <si>
    <t>Xofd; d]l8sn sn]h</t>
  </si>
  <si>
    <t>Blood cancer</t>
  </si>
  <si>
    <t>DEATH</t>
  </si>
  <si>
    <t>d[To'sf] sf/0f</t>
  </si>
  <si>
    <t>d[To' ldlt</t>
  </si>
  <si>
    <t>d[tssf] gft]bf/ ;Dks{ g+</t>
  </si>
  <si>
    <t>lx/f axfb'/ 8fFuL</t>
  </si>
  <si>
    <t>/fKtL :jf:yo lj1fg k|lti7fg</t>
  </si>
  <si>
    <t>NA</t>
  </si>
  <si>
    <t>xf]d cfO;f]n];g</t>
  </si>
  <si>
    <t>:yfg</t>
  </si>
  <si>
    <t>c:ktfn</t>
  </si>
  <si>
    <t>af6f]df</t>
  </si>
  <si>
    <t>uf]dg g]kfnL</t>
  </si>
  <si>
    <t>e]/L k|of]uzfnf</t>
  </si>
  <si>
    <t>Sepsis</t>
  </si>
  <si>
    <t>sf]xf]nk'/ d]l8sn sn]h</t>
  </si>
  <si>
    <t>Hypoxia, Chronic Urticaria</t>
  </si>
  <si>
    <t>sf]le8 !(</t>
  </si>
  <si>
    <t>d[To' ;do</t>
  </si>
  <si>
    <t>3:00 a.m.</t>
  </si>
  <si>
    <t>5:00:00 p.m.</t>
  </si>
  <si>
    <t>9848541234 (Amar Nepali)</t>
  </si>
  <si>
    <t>OGb| axfb'/ jnL</t>
  </si>
  <si>
    <t>uf8L rfns</t>
  </si>
  <si>
    <r>
      <rPr>
        <sz val="13"/>
        <color theme="1"/>
        <rFont val="Arial"/>
        <family val="2"/>
      </rPr>
      <t>NGMC Kohalpur</t>
    </r>
    <r>
      <rPr>
        <sz val="13"/>
        <color theme="1"/>
        <rFont val="Preeti"/>
      </rPr>
      <t xml:space="preserve"> k|of]uzfnf</t>
    </r>
  </si>
  <si>
    <t>ARDS with MODS</t>
  </si>
  <si>
    <t>11:13 p.m.</t>
  </si>
  <si>
    <t>9849361001 (Bhupesh Dangi)</t>
  </si>
  <si>
    <t>gopal bahadur basnet</t>
  </si>
  <si>
    <t>prajwal regmi</t>
  </si>
  <si>
    <t>janak prasad regmi</t>
  </si>
  <si>
    <t>anjana nepali</t>
  </si>
  <si>
    <t>shishir poudel</t>
  </si>
  <si>
    <t>basanta k.c.</t>
  </si>
  <si>
    <t>jagadish kalauni</t>
  </si>
  <si>
    <t>bijay kumar oli</t>
  </si>
  <si>
    <t>rajendra hamal</t>
  </si>
  <si>
    <t>ganesh chaudhary</t>
  </si>
  <si>
    <t>sita pokhrel</t>
  </si>
  <si>
    <t>samir pokhrel</t>
  </si>
  <si>
    <t>prema rawat</t>
  </si>
  <si>
    <t>gehendra kunwar</t>
  </si>
  <si>
    <t>lilamani acharya</t>
  </si>
  <si>
    <t>sankar raj gautam</t>
  </si>
  <si>
    <t>sushila gautam</t>
  </si>
  <si>
    <t>sadikshya gautam</t>
  </si>
  <si>
    <t>z+s/ /fh uf}td</t>
  </si>
  <si>
    <t>gyanendra parajuli</t>
  </si>
  <si>
    <t>shanta kc</t>
  </si>
  <si>
    <t>godawari thapa</t>
  </si>
  <si>
    <t>indira kumari thapa</t>
  </si>
  <si>
    <t>deepak poudel</t>
  </si>
  <si>
    <t>meghnath kc</t>
  </si>
  <si>
    <t>padam bahadur basnet</t>
  </si>
  <si>
    <t>ghanshyam kc</t>
  </si>
  <si>
    <t>radha kc</t>
  </si>
  <si>
    <t>bodha prasad khanal</t>
  </si>
  <si>
    <t>menaka basnet</t>
  </si>
  <si>
    <t>asim kc</t>
  </si>
  <si>
    <t>d]l8sn sn]h</t>
  </si>
  <si>
    <t>police</t>
  </si>
  <si>
    <t>20/7/2077</t>
  </si>
  <si>
    <t>sunil basnet</t>
  </si>
  <si>
    <t>beljhundi isloation</t>
  </si>
  <si>
    <t>kamal bahadur kc</t>
  </si>
  <si>
    <t>narayani dhital</t>
  </si>
  <si>
    <t>pratikshya shrestha</t>
  </si>
  <si>
    <t>bhimlal kandel</t>
  </si>
  <si>
    <t>chandrakanta paudel</t>
  </si>
  <si>
    <t>santosh kumar budhathoki</t>
  </si>
  <si>
    <t>ruben shrestha</t>
  </si>
  <si>
    <t>dev raj adhikari</t>
  </si>
  <si>
    <t>deepak yogi</t>
  </si>
  <si>
    <t>basudev dangi</t>
  </si>
  <si>
    <t>sabitra oli</t>
  </si>
  <si>
    <t>tilak prasad dangi</t>
  </si>
  <si>
    <t>parash kunwar</t>
  </si>
  <si>
    <t>ruplal khadka</t>
  </si>
  <si>
    <t>goma oli</t>
  </si>
  <si>
    <t>shalik ram dangi</t>
  </si>
  <si>
    <t>dhan bahadur rana chhetri</t>
  </si>
  <si>
    <t>amit sharma</t>
  </si>
  <si>
    <t>hima sharma</t>
  </si>
  <si>
    <t>arohi sharma</t>
  </si>
  <si>
    <t>sanoj oli</t>
  </si>
  <si>
    <t>anju oli</t>
  </si>
  <si>
    <t>नेपालगंज मेडिकल कलेज</t>
  </si>
  <si>
    <t>sushma rawat</t>
  </si>
  <si>
    <t>mahendra bahadur shah</t>
  </si>
  <si>
    <t>nirmala dhital</t>
  </si>
  <si>
    <t>nutan acharya</t>
  </si>
  <si>
    <t>sashank basnet</t>
  </si>
  <si>
    <t>bharat mani sharma</t>
  </si>
  <si>
    <t>nirmala adhikari</t>
  </si>
  <si>
    <t>shanta pandey</t>
  </si>
  <si>
    <t>laxmi kc</t>
  </si>
  <si>
    <t>asha kumari devkota</t>
  </si>
  <si>
    <t>laxmiraj giri</t>
  </si>
  <si>
    <t>bam bahadur kc</t>
  </si>
  <si>
    <t>bimala dangi</t>
  </si>
  <si>
    <t>manoj chaudhary</t>
  </si>
  <si>
    <t>mitra lal chand</t>
  </si>
  <si>
    <t>niruta basnet</t>
  </si>
  <si>
    <t>bina basnet</t>
  </si>
  <si>
    <t>baburam chaudhary</t>
  </si>
  <si>
    <t>tulsiur 3</t>
  </si>
  <si>
    <t>durga devi rajaure</t>
  </si>
  <si>
    <t>khadka bahadur oli</t>
  </si>
  <si>
    <t>karna bahadur chaudhary</t>
  </si>
  <si>
    <t>asmita dc</t>
  </si>
  <si>
    <t>suresh chaudhary</t>
  </si>
  <si>
    <t>apana acharya</t>
  </si>
  <si>
    <t>mrigendra sen oli</t>
  </si>
  <si>
    <t>jharana budha magar</t>
  </si>
  <si>
    <t>aiyoush sharma</t>
  </si>
  <si>
    <t>resham oli</t>
  </si>
  <si>
    <t>sabita oli</t>
  </si>
  <si>
    <t>dilliraj poudel</t>
  </si>
  <si>
    <t>hari bans gautam</t>
  </si>
  <si>
    <t>srijana oli</t>
  </si>
  <si>
    <t>anish regmi</t>
  </si>
  <si>
    <t>bir bahadur rawat</t>
  </si>
  <si>
    <t>asmita basnet</t>
  </si>
  <si>
    <t>paras rawat</t>
  </si>
  <si>
    <t>बागेश्वरी प्रयोगशाला कोहलपुर</t>
  </si>
  <si>
    <t>e/t Gof}kfg]</t>
  </si>
  <si>
    <t>;ldIff s]=;L=</t>
  </si>
  <si>
    <t>/fd axfb'/ b]jsf]6f</t>
  </si>
  <si>
    <t>Pneumonia</t>
  </si>
  <si>
    <t>Pressure, diabetes</t>
  </si>
  <si>
    <t>Diabetes, pncephalopathy</t>
  </si>
  <si>
    <t>u|f08L xl:k6n, sf7df8f}F</t>
  </si>
  <si>
    <t>6:40 p.m.</t>
  </si>
  <si>
    <t>6:30 p.m.</t>
  </si>
  <si>
    <t>3:20 p.m.</t>
  </si>
  <si>
    <t>death</t>
  </si>
  <si>
    <t>kaladhar acharya</t>
  </si>
  <si>
    <t>dhurba koirala</t>
  </si>
  <si>
    <t>maiya chaudhary</t>
  </si>
  <si>
    <t>sandeep dangi</t>
  </si>
  <si>
    <t>tank oli</t>
  </si>
  <si>
    <t>mohanlal khatri</t>
  </si>
  <si>
    <t>bhima kc</t>
  </si>
  <si>
    <t>prakash budhathoki</t>
  </si>
  <si>
    <t>kamal regmi</t>
  </si>
  <si>
    <t>mina oli</t>
  </si>
  <si>
    <t>archana acharya</t>
  </si>
  <si>
    <t>shova kc</t>
  </si>
  <si>
    <t>janaka basnet</t>
  </si>
  <si>
    <t>alisha kc</t>
  </si>
  <si>
    <t>nanda oli</t>
  </si>
  <si>
    <t>rima devi rajaure</t>
  </si>
  <si>
    <t>sanjaya kadel</t>
  </si>
  <si>
    <t>shova chaudhary</t>
  </si>
  <si>
    <t>chaturni chaudhary</t>
  </si>
  <si>
    <t>kamal chaudhary</t>
  </si>
  <si>
    <t>chhetri tharu</t>
  </si>
  <si>
    <t>deva kc</t>
  </si>
  <si>
    <t>swyam kc</t>
  </si>
  <si>
    <t>sabita pokhrel</t>
  </si>
  <si>
    <t>tara regmi</t>
  </si>
  <si>
    <t>yagya kumar regmi</t>
  </si>
  <si>
    <t>madan raj dhital</t>
  </si>
  <si>
    <t>bina dhital</t>
  </si>
  <si>
    <t>sandesh dhital</t>
  </si>
  <si>
    <t>nagendra basnet</t>
  </si>
  <si>
    <t>nanda lal bista</t>
  </si>
  <si>
    <t>uma basnet</t>
  </si>
  <si>
    <t>shila gaire</t>
  </si>
  <si>
    <t>deepesh poudel</t>
  </si>
  <si>
    <t>ankita adhikari</t>
  </si>
  <si>
    <t>madan neupane</t>
  </si>
  <si>
    <t>basant khadka</t>
  </si>
  <si>
    <t xml:space="preserve">gita khadka </t>
  </si>
  <si>
    <t>bijula chaudhary</t>
  </si>
  <si>
    <t>usha chaudhary</t>
  </si>
  <si>
    <t>kamal raj sharma dhital</t>
  </si>
  <si>
    <t>abhay bhandari</t>
  </si>
  <si>
    <t>dhani kumari kc</t>
  </si>
  <si>
    <t>aviral basnet</t>
  </si>
  <si>
    <t>avina kc</t>
  </si>
  <si>
    <t>dev raj neupane</t>
  </si>
  <si>
    <t>pratima sharma</t>
  </si>
  <si>
    <t>shiva khadka</t>
  </si>
  <si>
    <t>shree krishna acharya</t>
  </si>
  <si>
    <t>gita neupane</t>
  </si>
  <si>
    <t>Prem B.K.</t>
  </si>
  <si>
    <t>Ankit Basnet</t>
  </si>
  <si>
    <t>Roshan Chaudhary</t>
  </si>
  <si>
    <t>Nimlal Chaudhary</t>
  </si>
  <si>
    <t>Kapil Dev Sharma</t>
  </si>
  <si>
    <t>Sita Regmi</t>
  </si>
  <si>
    <t>Maya Devi Koirala</t>
  </si>
  <si>
    <t>Gopal Khatri</t>
  </si>
  <si>
    <t>Chandrawati Acharya Lamichhane</t>
  </si>
  <si>
    <t>Anita Budhathoki</t>
  </si>
  <si>
    <t>Khageshwor Bhandari</t>
  </si>
  <si>
    <t>Madhav Prasad Sharma</t>
  </si>
  <si>
    <t>Tara Bahadur Mahatara</t>
  </si>
  <si>
    <t>Janak Malla</t>
  </si>
  <si>
    <t>Asmita Kafle</t>
  </si>
  <si>
    <t>Shankhar Gautam</t>
  </si>
  <si>
    <t>Dipendra Prakash Oli</t>
  </si>
  <si>
    <t>tulsipur 18</t>
  </si>
  <si>
    <t>tulsipur 11</t>
  </si>
  <si>
    <t>sushma sharma</t>
  </si>
  <si>
    <t>lalita sharma</t>
  </si>
  <si>
    <t>naresh kumar acharya</t>
  </si>
  <si>
    <t>basudev chaudhary</t>
  </si>
  <si>
    <t>Sandeep Kumar Thapa</t>
  </si>
  <si>
    <t>Pramod Acharya</t>
  </si>
  <si>
    <t>Biplove Bhattarai</t>
  </si>
  <si>
    <t>Jayant Kumar Upadhyaya</t>
  </si>
  <si>
    <t>Upendra B.K.</t>
  </si>
  <si>
    <t>Shalikram Bhandari</t>
  </si>
  <si>
    <t>Niraj Pokhrel</t>
  </si>
  <si>
    <t>Gaurav Acharya</t>
  </si>
  <si>
    <t xml:space="preserve">Bhagbat paudel </t>
  </si>
  <si>
    <t>z+s/ uf}td</t>
  </si>
  <si>
    <t>3:30 a.m.</t>
  </si>
  <si>
    <t>gGb nfn lji6</t>
  </si>
  <si>
    <t xml:space="preserve">kiran prakash singh </t>
  </si>
  <si>
    <t>Madhavi Khadka</t>
  </si>
  <si>
    <t>Hem Raj Acharya</t>
  </si>
  <si>
    <t>Bishwomaya Acharya</t>
  </si>
  <si>
    <t>Asharam Thapa Magar</t>
  </si>
  <si>
    <t>Chet Bahadur Adhikari</t>
  </si>
  <si>
    <t>Pramod Kawar</t>
  </si>
  <si>
    <t>Bhagbat Regmi</t>
  </si>
  <si>
    <t>Pramod Lamichhane</t>
  </si>
  <si>
    <t>Ganga Budhathoki</t>
  </si>
  <si>
    <t>Shreedhar Budhathoki</t>
  </si>
  <si>
    <t>Tulsiram Gupta</t>
  </si>
  <si>
    <t>Yamuna Basnet</t>
  </si>
  <si>
    <t>Gokarna Paudel</t>
  </si>
  <si>
    <t>Pabitra Gharti</t>
  </si>
  <si>
    <t>Pramish Chaudhary</t>
  </si>
  <si>
    <t>Jeet Bahadur Nepali</t>
  </si>
  <si>
    <t>Shiva Bista</t>
  </si>
  <si>
    <t>Nima Bista</t>
  </si>
  <si>
    <t>Damodar Malla</t>
  </si>
  <si>
    <t>tulsipur 12</t>
  </si>
  <si>
    <t>ktm vidya lab</t>
  </si>
  <si>
    <t>sushila kc</t>
  </si>
  <si>
    <t>chiran kc</t>
  </si>
  <si>
    <t>mina kc</t>
  </si>
  <si>
    <t>pooja chaudhary</t>
  </si>
  <si>
    <t>shishir chand</t>
  </si>
  <si>
    <t>dfg axfb''/ vqL</t>
  </si>
  <si>
    <t>1:40 a.m.</t>
  </si>
  <si>
    <t>Tilak Khatri (9847832081)</t>
  </si>
  <si>
    <t>Pneumonia with severe covid 19</t>
  </si>
  <si>
    <t>Diabetes</t>
  </si>
  <si>
    <t>Sharada Bhandari</t>
  </si>
  <si>
    <t>Benju Sharma</t>
  </si>
  <si>
    <t>Bhola Kumar B.C.</t>
  </si>
  <si>
    <t>Basanta Neupane</t>
  </si>
  <si>
    <t>Pukar Khanal</t>
  </si>
  <si>
    <t>Nim Prakash K.C.</t>
  </si>
  <si>
    <t>Bhim Bahadur Dangi</t>
  </si>
  <si>
    <t>Nimkant Bista</t>
  </si>
  <si>
    <t>Ram Krishna Chaudhary</t>
  </si>
  <si>
    <t>Dr.Basant Lamichhane</t>
  </si>
  <si>
    <t>Ram Prasad Lamichhane</t>
  </si>
  <si>
    <t>tulsi pathak</t>
  </si>
  <si>
    <t>khimlal pathak</t>
  </si>
  <si>
    <t>Keshab Panthi</t>
  </si>
  <si>
    <t>Shiva Paudel</t>
  </si>
  <si>
    <t>Bimala Pokhrel</t>
  </si>
  <si>
    <t>Ambar Bista</t>
  </si>
  <si>
    <t>Prem Kumari D.C.</t>
  </si>
  <si>
    <t>Prakash Shrestha</t>
  </si>
  <si>
    <t>Rudre Nagal</t>
  </si>
  <si>
    <t>lkdf s]]=;L=</t>
  </si>
  <si>
    <t>Pressure</t>
  </si>
  <si>
    <t>12:15 a.m.</t>
  </si>
  <si>
    <t>Santosh Kumar Sharma</t>
  </si>
  <si>
    <t>Kamal Neupane</t>
  </si>
  <si>
    <t>Krishna Bdr Oli</t>
  </si>
  <si>
    <t>Prinka Regmi</t>
  </si>
  <si>
    <t>Aayush regmi</t>
  </si>
  <si>
    <t>Nabin Kumar Pokhrel</t>
  </si>
  <si>
    <t>Om Prakash Regmi</t>
  </si>
  <si>
    <t>Indramani K.C.</t>
  </si>
  <si>
    <t>Santosh Bhattarai</t>
  </si>
  <si>
    <t>Rohini Rijal</t>
  </si>
  <si>
    <t>Sarmila K.C.</t>
  </si>
  <si>
    <t>Bhanubhakta Rana</t>
  </si>
  <si>
    <t>Tulsiram Basnet</t>
  </si>
  <si>
    <t>Bishal BK</t>
  </si>
  <si>
    <t>Dambar Oli</t>
  </si>
  <si>
    <t>Guru Prasad Gharti</t>
  </si>
  <si>
    <t>Kamala Gharti</t>
  </si>
  <si>
    <t>Yamuna Acharya</t>
  </si>
  <si>
    <t>Govinda Prasad Acharya</t>
  </si>
  <si>
    <t>Sharada Bhattarai</t>
  </si>
  <si>
    <t>Sunita Nepali</t>
  </si>
  <si>
    <t>Pramila Lamsal</t>
  </si>
  <si>
    <t>Mira Acharya</t>
  </si>
  <si>
    <t>Kamala Chaudhary</t>
  </si>
  <si>
    <t>Bamdev Rijal</t>
  </si>
  <si>
    <t>Dilli Kumari Oli</t>
  </si>
  <si>
    <t>Yagnya Bahadur Budhathoki</t>
  </si>
  <si>
    <t>Manish Lamichhane</t>
  </si>
  <si>
    <t>Barsha Rijal</t>
  </si>
  <si>
    <t>Bamdev Gautam</t>
  </si>
  <si>
    <t>?b|] gufn</t>
  </si>
  <si>
    <t>a'6jn xl:k6n</t>
  </si>
  <si>
    <t>Dr. Pawan Kumar Lamsal</t>
  </si>
  <si>
    <t>Bhagiram Chaudhary</t>
  </si>
  <si>
    <t>dfg axfb''/ g]kfnL</t>
  </si>
  <si>
    <t>4:50 a.m.</t>
  </si>
  <si>
    <t>Monalisha Lamichhane</t>
  </si>
  <si>
    <t>Durga Prasad Oli</t>
  </si>
  <si>
    <t>Jeevraj Regmi</t>
  </si>
  <si>
    <t>Ram Kumar Basnet</t>
  </si>
  <si>
    <t>Lokmani Bhandari</t>
  </si>
  <si>
    <t>Goma Lamsal</t>
  </si>
  <si>
    <t>Ram Prasad Khanal</t>
  </si>
  <si>
    <t>Rashil Thapa</t>
  </si>
  <si>
    <t>Youbraj Rawat</t>
  </si>
  <si>
    <t>Shankar Kumar Khadka</t>
  </si>
  <si>
    <t>Dr. Basanta Chaudhary</t>
  </si>
  <si>
    <t>tulsiur 18</t>
  </si>
  <si>
    <t>s[i0f axfb''/ jnL</t>
  </si>
  <si>
    <t>12:10 a.m.</t>
  </si>
  <si>
    <t>pk]Gb| la=s=</t>
  </si>
  <si>
    <t>s[i0f axfb''/ k'g</t>
  </si>
  <si>
    <t>10:45 p.m.</t>
  </si>
  <si>
    <t>9:00 p.m.</t>
  </si>
  <si>
    <t>Asmita Khanal</t>
  </si>
  <si>
    <t>Gajaman Chaudhary</t>
  </si>
  <si>
    <t>Unish Acharya</t>
  </si>
  <si>
    <t>6:45 a.m.</t>
  </si>
  <si>
    <t>cf]a axfb'/ 8fFuL</t>
  </si>
  <si>
    <t>Uma Gautam</t>
  </si>
  <si>
    <t>Nirmal Kumar Acharya</t>
  </si>
  <si>
    <t>Khadka Singh Bishwokarma</t>
  </si>
  <si>
    <t>Kaman Singh Pun Magar</t>
  </si>
  <si>
    <t>Samir Gautam</t>
  </si>
  <si>
    <t>Santosh Gautam</t>
  </si>
  <si>
    <t>df]lt k|;fb kGyL</t>
  </si>
  <si>
    <t>Patan hospital</t>
  </si>
  <si>
    <t>Hypertension, penumonia</t>
  </si>
  <si>
    <t>Shyam Kumar K.C.</t>
  </si>
  <si>
    <t>कर्मचारी</t>
  </si>
  <si>
    <t>शिक्षक</t>
  </si>
  <si>
    <t>Ranjana Devi Tayal</t>
  </si>
  <si>
    <t>Hari Chand</t>
  </si>
  <si>
    <t>Bimal Kumar Sharma</t>
  </si>
  <si>
    <t>recovered</t>
  </si>
  <si>
    <t>Prakriti Acharya</t>
  </si>
  <si>
    <t>Arjun Dangi</t>
  </si>
  <si>
    <t>Parbha Budhathoki</t>
  </si>
  <si>
    <t>Nimkant Acharya</t>
  </si>
  <si>
    <t>Sandip Dhital</t>
  </si>
  <si>
    <t>Ridayat Dhital</t>
  </si>
  <si>
    <t>Tara Kumari Regmi Dhital</t>
  </si>
  <si>
    <t>Pradip Kumar Dhital</t>
  </si>
  <si>
    <t>Roshika Acharya Dhital</t>
  </si>
  <si>
    <t>Prasanna Dhital</t>
  </si>
  <si>
    <t>Prakriti Sharma</t>
  </si>
  <si>
    <t>Tulsa Gautam</t>
  </si>
  <si>
    <t>Bhola Paudel</t>
  </si>
  <si>
    <t>Bishnu Damai</t>
  </si>
  <si>
    <t>Bijan Acharya</t>
  </si>
  <si>
    <t>Ritisha Acharya</t>
  </si>
  <si>
    <t>Tika Ram Khadka</t>
  </si>
  <si>
    <t>ltnf]Qdf Gof}kfg]</t>
  </si>
  <si>
    <t>Asthma, penumonia</t>
  </si>
  <si>
    <t>Dila Dangi</t>
  </si>
  <si>
    <t>Kamal Prasad Sharma</t>
  </si>
  <si>
    <t>Dilli Bahadur Oli</t>
  </si>
  <si>
    <t>Maya Pun</t>
  </si>
  <si>
    <t>Ramesh Bahadur Giri</t>
  </si>
  <si>
    <t>Binod Giri</t>
  </si>
  <si>
    <t>Sabitra K.C.</t>
  </si>
  <si>
    <t>Sudrishti Khadka</t>
  </si>
  <si>
    <t>chudamani bista</t>
  </si>
  <si>
    <t>tulspur 9</t>
  </si>
  <si>
    <t>bimal kanwar</t>
  </si>
  <si>
    <t>national path lab</t>
  </si>
  <si>
    <t>Anjula Rawat</t>
  </si>
  <si>
    <t>Milan Budhathoki</t>
  </si>
  <si>
    <t>Parmila Tiwari</t>
  </si>
  <si>
    <t>Bina Neupane</t>
  </si>
  <si>
    <t>NGMC kohalpur</t>
  </si>
  <si>
    <t>home isolation</t>
  </si>
  <si>
    <t>NATIONAL PATH LAB</t>
  </si>
  <si>
    <t>Rubi B.K.</t>
  </si>
  <si>
    <t>Kamala Kumari Gharti</t>
  </si>
  <si>
    <t>Kabita Pun</t>
  </si>
  <si>
    <t>Yadava Poudel</t>
  </si>
  <si>
    <t>Rup Lal K.C.</t>
  </si>
  <si>
    <t>Min Raj Dangi</t>
  </si>
  <si>
    <t>Devraj Dhital</t>
  </si>
  <si>
    <t>Deepak Raj Oli</t>
  </si>
  <si>
    <t>Chandra Bahadur Basnet</t>
  </si>
  <si>
    <t>9847820095</t>
  </si>
  <si>
    <t>tulsipur 19</t>
  </si>
  <si>
    <t>* hgf l/s8{df ePsf]</t>
  </si>
  <si>
    <t>Dilli Raj Sharma</t>
  </si>
  <si>
    <t>9847824684</t>
  </si>
  <si>
    <t>Chabi Pariyar</t>
  </si>
  <si>
    <t>9847823160</t>
  </si>
  <si>
    <t>Dev Raj Acharya</t>
  </si>
  <si>
    <t>9849525216</t>
  </si>
  <si>
    <t>Dipak K.C.</t>
  </si>
  <si>
    <t>9847890790</t>
  </si>
  <si>
    <t>Ganesh Sunar</t>
  </si>
  <si>
    <t>Gita Sharma</t>
  </si>
  <si>
    <t>Devraj Sharma</t>
  </si>
  <si>
    <t>referred to Npj</t>
  </si>
  <si>
    <t>Maya Nepali</t>
  </si>
  <si>
    <t>Rishiraj Pariyar</t>
  </si>
  <si>
    <t>29/08/2077</t>
  </si>
  <si>
    <t>13/09/2077</t>
  </si>
  <si>
    <t>Death</t>
  </si>
  <si>
    <t>Clif/fh kl/of/</t>
  </si>
  <si>
    <t>Asthma, penumonia, htn, dm</t>
  </si>
  <si>
    <t>भेरी अस्पताल</t>
  </si>
  <si>
    <t>1:18 p.m.</t>
  </si>
  <si>
    <t>u0f]z ;'gf/</t>
  </si>
  <si>
    <t xml:space="preserve">4:00 a.m. </t>
  </si>
  <si>
    <t>on the way</t>
  </si>
  <si>
    <t>Severe penumonia</t>
  </si>
  <si>
    <t>Balika Sharma</t>
  </si>
  <si>
    <t>Mahesh Kumar Oli</t>
  </si>
  <si>
    <t>Archana Bhusal</t>
  </si>
  <si>
    <t>Punam K.C.</t>
  </si>
  <si>
    <t>Pankaj Oli</t>
  </si>
  <si>
    <t>Ananda Ram Kanwar yogi</t>
  </si>
  <si>
    <t>Damodar Bhandari</t>
  </si>
  <si>
    <t>Bhakta Bhandari</t>
  </si>
  <si>
    <t>Muna Neupane</t>
  </si>
  <si>
    <t>Indra Bahadur Basnet</t>
  </si>
  <si>
    <t>23/12/2077</t>
  </si>
  <si>
    <t>Sabita Oli</t>
  </si>
  <si>
    <t>hospital isolation</t>
  </si>
  <si>
    <t>Thakur Prasad Bhandari</t>
  </si>
  <si>
    <t>nepalgunj covid lab</t>
  </si>
  <si>
    <t>7fs'/ k|;fb e08f/L</t>
  </si>
  <si>
    <t>Nepalgunj Medical Lab</t>
  </si>
  <si>
    <t>on the way to kathmandu</t>
  </si>
  <si>
    <t>Nar Bahadur Oli</t>
  </si>
  <si>
    <t>Dipa Acharya</t>
  </si>
  <si>
    <t>Bikash Majgaiya</t>
  </si>
  <si>
    <t>Kumar Subedi</t>
  </si>
  <si>
    <t>Kishor Paudel</t>
  </si>
  <si>
    <t>Bhupendra Kumar Shakya</t>
  </si>
  <si>
    <t>Suresh Oli</t>
  </si>
  <si>
    <t>Nabin Chaudhary</t>
  </si>
  <si>
    <t>Rukmina Lamichhane</t>
  </si>
  <si>
    <t>Nirmala Shah</t>
  </si>
  <si>
    <t>Bishnu Maya Acharya</t>
  </si>
  <si>
    <t>Usha Bohora</t>
  </si>
  <si>
    <t>Goma Dhital</t>
  </si>
  <si>
    <t>13/11/2077</t>
  </si>
  <si>
    <t>17/11/2077</t>
  </si>
  <si>
    <t>19/11/20777</t>
  </si>
  <si>
    <t>23/11/2077</t>
  </si>
  <si>
    <t>27/11/2077</t>
  </si>
  <si>
    <t>Kewal Bahadur Oli</t>
  </si>
  <si>
    <t>Chitra Kumari K.C.</t>
  </si>
  <si>
    <t>Kesar Bahadur Chand</t>
  </si>
  <si>
    <t>Tulasa K.C.</t>
  </si>
  <si>
    <t>30/12/2077</t>
  </si>
  <si>
    <t>Khima Bhandari</t>
  </si>
  <si>
    <t>Pramod Bhandari</t>
  </si>
  <si>
    <t>Kala Devi Bhandari</t>
  </si>
  <si>
    <t>Pushpa Bhandari</t>
  </si>
  <si>
    <t>Aananda Raj Kunwar</t>
  </si>
  <si>
    <t>Sita Oli Rana</t>
  </si>
  <si>
    <t>Tili Rana</t>
  </si>
  <si>
    <t>Kiran Chaudhary</t>
  </si>
  <si>
    <t>Shalikram KC</t>
  </si>
  <si>
    <t>Chudamani Kandel</t>
  </si>
  <si>
    <t>Pushpa KC</t>
  </si>
  <si>
    <t>29/12/2077</t>
  </si>
  <si>
    <t>Kathmandu</t>
  </si>
  <si>
    <t>Kohalpur Medical College</t>
  </si>
  <si>
    <t>bheri isolation</t>
  </si>
  <si>
    <t>kathmandu isolation</t>
  </si>
  <si>
    <t>kohalpur icu</t>
  </si>
  <si>
    <t>nepalgunj isolation</t>
  </si>
  <si>
    <t>Sabin Upreti</t>
  </si>
  <si>
    <t>Kalu Prasad Chaudhary</t>
  </si>
  <si>
    <t>Samir Chaudhary</t>
  </si>
  <si>
    <t xml:space="preserve">Tara Bahadur Oli </t>
  </si>
  <si>
    <t>Nirmala KC</t>
  </si>
  <si>
    <t>Sujeet KC</t>
  </si>
  <si>
    <t>Anurodh Oli</t>
  </si>
  <si>
    <t>Laxman Basnet</t>
  </si>
  <si>
    <t>Gita Acharya</t>
  </si>
  <si>
    <t>Dinesh Budhathoki</t>
  </si>
  <si>
    <t>Sudikshya Oli</t>
  </si>
  <si>
    <t>Dev Bahadur Budha</t>
  </si>
  <si>
    <t>Karuna Oli</t>
  </si>
  <si>
    <t>Kapil Oli</t>
  </si>
  <si>
    <t>भक्ता भण्डारी</t>
  </si>
  <si>
    <t>बेलझुण्डी अस्पताल</t>
  </si>
  <si>
    <t>3:45 p.m.</t>
  </si>
  <si>
    <t>Thakur Kandel</t>
  </si>
  <si>
    <t>bheri pcr</t>
  </si>
  <si>
    <t>Padma Dangi</t>
  </si>
  <si>
    <t>Hima Budhathoki</t>
  </si>
  <si>
    <t>Tilak K.C.</t>
  </si>
  <si>
    <t>Janaka K.C.</t>
  </si>
  <si>
    <t>Tirtha Thapa</t>
  </si>
  <si>
    <t>Johina Chaudhary</t>
  </si>
  <si>
    <t>Tara Prasad Chapagai</t>
  </si>
  <si>
    <t>Prakash Rijal</t>
  </si>
  <si>
    <t>Salikram Bhandari</t>
  </si>
  <si>
    <t>Nirmala Kumari Dangi</t>
  </si>
  <si>
    <t>Binu Adhikari</t>
  </si>
  <si>
    <t>Nimkant Regmi</t>
  </si>
  <si>
    <t>Milan Regmi</t>
  </si>
  <si>
    <t>Prakash Adhikari</t>
  </si>
  <si>
    <t>Hotaram Acharya</t>
  </si>
  <si>
    <t>Mina Acharya</t>
  </si>
  <si>
    <t>Basant Rawat</t>
  </si>
  <si>
    <t>Lal Bahadur Rawat</t>
  </si>
  <si>
    <t>Bishnu Yogi</t>
  </si>
  <si>
    <t>Durga Bahadur K.C</t>
  </si>
  <si>
    <t>Subash Basnet</t>
  </si>
  <si>
    <t>Manoj K.C</t>
  </si>
  <si>
    <t>Hari Pardhey</t>
  </si>
  <si>
    <t>Parbin Shah</t>
  </si>
  <si>
    <t>Sunita Regmi</t>
  </si>
  <si>
    <t>Hemraj Oli</t>
  </si>
  <si>
    <t>Arun Laure</t>
  </si>
  <si>
    <t>Tribhuwan Malla</t>
  </si>
  <si>
    <t>Little Malla</t>
  </si>
  <si>
    <t>RAHS isolation</t>
  </si>
  <si>
    <t>नेपालगंज भेरी अस्पताल</t>
  </si>
  <si>
    <t>10:30 a.m.</t>
  </si>
  <si>
    <t>ljBfyL{</t>
  </si>
  <si>
    <t>Ganesh Kumar Basnet</t>
  </si>
  <si>
    <t>Shusila Chaudhary</t>
  </si>
  <si>
    <t>Ganesh Neupane</t>
  </si>
  <si>
    <t>Ujjwal Adhikari</t>
  </si>
  <si>
    <t>Rabi Kiran Acharya</t>
  </si>
  <si>
    <t>Bishwas Dev Sharma</t>
  </si>
  <si>
    <t>Surendra G.C.</t>
  </si>
  <si>
    <t>Poshan Oli</t>
  </si>
  <si>
    <t>Arun Rajaure</t>
  </si>
  <si>
    <t>Bal Dev Rajaure</t>
  </si>
  <si>
    <t>Shreelochan Rajaure</t>
  </si>
  <si>
    <t>Yubraj Lamichhane</t>
  </si>
  <si>
    <t>Shalman Rain</t>
  </si>
  <si>
    <t>Vigar Khatri</t>
  </si>
  <si>
    <t>Raji Sharma</t>
  </si>
  <si>
    <t>Aashtha Baniya</t>
  </si>
  <si>
    <t>Bibhuti Dhungel</t>
  </si>
  <si>
    <t>Dilip Shrestha</t>
  </si>
  <si>
    <t>Bir Bahadur Basnet</t>
  </si>
  <si>
    <t>Tej Bahadur Dangi</t>
  </si>
  <si>
    <t>Anupama Basnet</t>
  </si>
  <si>
    <t>Sagar B.K</t>
  </si>
  <si>
    <t>Arjun Basnet</t>
  </si>
  <si>
    <t>Navraj Kheral</t>
  </si>
  <si>
    <t>Shiva Devi Bhandari</t>
  </si>
  <si>
    <t>Nabraj Lamichhane</t>
  </si>
  <si>
    <t>Chitra Bahadur Garanja</t>
  </si>
  <si>
    <t>Hira Oli</t>
  </si>
  <si>
    <t>Dipak Oli</t>
  </si>
  <si>
    <t>Sabita Gautam</t>
  </si>
  <si>
    <t>Dhurba Raj Gautam</t>
  </si>
  <si>
    <t>Top Bahadur Chand</t>
  </si>
  <si>
    <t>Kanturam Khanal</t>
  </si>
  <si>
    <t>Bhagwati Bhanal</t>
  </si>
  <si>
    <t>Maishari Sapkota</t>
  </si>
  <si>
    <t>Babita Sapkota</t>
  </si>
  <si>
    <t>Thuma Oli</t>
  </si>
  <si>
    <t>Jagat Bahadur Basnet</t>
  </si>
  <si>
    <t>Yashoda Basnet</t>
  </si>
  <si>
    <t>Motiram Bhusal</t>
  </si>
  <si>
    <t>Sandhya Bhusal</t>
  </si>
  <si>
    <t>Jayanta Acharya</t>
  </si>
  <si>
    <t>Balgopal Kaushal</t>
  </si>
  <si>
    <t>Tara Kumari Rajaure</t>
  </si>
  <si>
    <t>Keshari Khanal</t>
  </si>
  <si>
    <t>Krishna Kumari Basnet</t>
  </si>
  <si>
    <t>Abinash G.S.</t>
  </si>
  <si>
    <t>Yashoda Bishwokarma</t>
  </si>
  <si>
    <t>Gyan Bahadur Oli</t>
  </si>
  <si>
    <t>Sita Oli</t>
  </si>
  <si>
    <t>Majnoj Kumar K.C.</t>
  </si>
  <si>
    <t>Tulasa Dhakal</t>
  </si>
  <si>
    <t>Bandhana Khadka</t>
  </si>
  <si>
    <t>Bijaya Pokhrel</t>
  </si>
  <si>
    <t>Tobhan Oli</t>
  </si>
  <si>
    <t>Shobharam Dangi</t>
  </si>
  <si>
    <t>Rabi Oli</t>
  </si>
  <si>
    <t>Mohan Pokhrel</t>
  </si>
  <si>
    <t>Madhusudan Gautam</t>
  </si>
  <si>
    <t>Kumar Lamichhane</t>
  </si>
  <si>
    <t>Dipa Dhital</t>
  </si>
  <si>
    <t>Bintiram Chaudhary</t>
  </si>
  <si>
    <t>Kamal Bahadur Khadka</t>
  </si>
  <si>
    <t>Bimala Devi Nepali</t>
  </si>
  <si>
    <t>Baburam Basnet</t>
  </si>
  <si>
    <t>Bikash Shrestha</t>
  </si>
  <si>
    <t>Jaya Sara Giri</t>
  </si>
  <si>
    <t>Sahana Yogi</t>
  </si>
  <si>
    <t>Parbati Lamicchane</t>
  </si>
  <si>
    <t>ljut @$ 306fdf</t>
  </si>
  <si>
    <t>l8:rfh{ ;+Vof</t>
  </si>
  <si>
    <t>Gahendra Giri</t>
  </si>
  <si>
    <t>Uma Giri</t>
  </si>
  <si>
    <t>Muna Shrestha</t>
  </si>
  <si>
    <t>Rachana Shrestha</t>
  </si>
  <si>
    <t>Puspa Acharya</t>
  </si>
  <si>
    <t>Bishnu Bhattarai</t>
  </si>
  <si>
    <t>Sunita Yadav</t>
  </si>
  <si>
    <t>Hotaram Rajaure</t>
  </si>
  <si>
    <t>Malika Basnet</t>
  </si>
  <si>
    <t>Deva Devi Giri</t>
  </si>
  <si>
    <t>Khem Kant Rajaure</t>
  </si>
  <si>
    <t>Ranjana Acharya</t>
  </si>
  <si>
    <t>Arju Rajaure</t>
  </si>
  <si>
    <t>Aashika Rajaure</t>
  </si>
  <si>
    <t>Aryan Rajaure</t>
  </si>
  <si>
    <t>Hukuma Rana</t>
  </si>
  <si>
    <t>Prema Basnet</t>
  </si>
  <si>
    <t>Bharat K.C</t>
  </si>
  <si>
    <t>Lal Bahadur Gharti Magar</t>
  </si>
  <si>
    <t>Bed Prakash Bhattari</t>
  </si>
  <si>
    <t>Aashish B.K</t>
  </si>
  <si>
    <t>Nirmala Malla</t>
  </si>
  <si>
    <t>Bhim Chaudhary</t>
  </si>
  <si>
    <t>Yogananda Oli</t>
  </si>
  <si>
    <t>Kumud Acharya</t>
  </si>
  <si>
    <t>Bimrsha Acharya</t>
  </si>
  <si>
    <t>Anita Poudel</t>
  </si>
  <si>
    <t>Pramod Subedi</t>
  </si>
  <si>
    <t>Karun Shahi</t>
  </si>
  <si>
    <t>Pushpa Sen</t>
  </si>
  <si>
    <t>Narayankali Kandel</t>
  </si>
  <si>
    <t>Dila Budhathoki</t>
  </si>
  <si>
    <t>Dipak Khatri</t>
  </si>
  <si>
    <t>Yubraj Malla</t>
  </si>
  <si>
    <t>Himalaya Prasad Adhikari</t>
  </si>
  <si>
    <t>Bhupnarayan Shrestha</t>
  </si>
  <si>
    <t>Khadga Bahadur Dhital</t>
  </si>
  <si>
    <t>Sapana Oli</t>
  </si>
  <si>
    <t>Roshan Oli</t>
  </si>
  <si>
    <t>Dhurbaraj Neupane</t>
  </si>
  <si>
    <t>Radha Lamichhane</t>
  </si>
  <si>
    <t>Lija Malla</t>
  </si>
  <si>
    <t>Partiva Malla</t>
  </si>
  <si>
    <t>Samir K.C.</t>
  </si>
  <si>
    <t>Nim Bahadur Sunar</t>
  </si>
  <si>
    <t>Hari Kumari Chaudhary</t>
  </si>
  <si>
    <t>नेपालगंज मेडिकल कलेज कोहलपुर</t>
  </si>
  <si>
    <t>Salikram kc</t>
  </si>
  <si>
    <t>Tikaram Kandel</t>
  </si>
  <si>
    <t>Dilshari Gharti</t>
  </si>
  <si>
    <t>PARVATI KHADKA</t>
  </si>
  <si>
    <t>Shrijana K.C.</t>
  </si>
  <si>
    <t>Basudev Bhandari</t>
  </si>
  <si>
    <t>KHIM BDR G.C</t>
  </si>
  <si>
    <t>LAXMI OLI</t>
  </si>
  <si>
    <t>बागेश्वरी प्याथ ल्याव बुटवल</t>
  </si>
  <si>
    <t>SANTOSH ARYE</t>
  </si>
  <si>
    <t>Poonam Tharu</t>
  </si>
  <si>
    <t>Min Bahadur Sunar</t>
  </si>
  <si>
    <t>Samir K.C</t>
  </si>
  <si>
    <t>Indra Kali Budha</t>
  </si>
  <si>
    <t>PUSPA CHAUDHARY</t>
  </si>
  <si>
    <t>Seema Pandey</t>
  </si>
  <si>
    <t>Bipad Tharu</t>
  </si>
  <si>
    <t>DIPA SHARMA</t>
  </si>
  <si>
    <t>MADHAV NEUPANE</t>
  </si>
  <si>
    <t>TEJU KANTA BK</t>
  </si>
  <si>
    <t>नेस्‍नल प्याथ ल्याव बुटवल</t>
  </si>
  <si>
    <t>SAMBHU SINGH K.C</t>
  </si>
  <si>
    <t>UMESH BHANDARI</t>
  </si>
  <si>
    <t>Girdal Nepali</t>
  </si>
  <si>
    <t>Jiba Ku Pokhrel</t>
  </si>
  <si>
    <t>Manoj Kumar K.C.</t>
  </si>
  <si>
    <t>SESHMANI K.C</t>
  </si>
  <si>
    <t>Barsha Budhathoki</t>
  </si>
  <si>
    <t>Suman Subedi</t>
  </si>
  <si>
    <t>Ramesh Nogal</t>
  </si>
  <si>
    <t>Bhumisara Gharti</t>
  </si>
  <si>
    <t>Sandip Bhusal</t>
  </si>
  <si>
    <t>Bhagbata Bhusal</t>
  </si>
  <si>
    <t>Devika Singh Hamal</t>
  </si>
  <si>
    <t>Kamala B.K.</t>
  </si>
  <si>
    <t>Karna Bahadur Hamal</t>
  </si>
  <si>
    <t>Tulsiram Gharti</t>
  </si>
  <si>
    <t>Devisara Gharti</t>
  </si>
  <si>
    <t>Suntali Chaudhary</t>
  </si>
  <si>
    <t>Basanta Chaudhary</t>
  </si>
  <si>
    <t>Dr.Prakash Shahu</t>
  </si>
  <si>
    <t>Yagya Basnet</t>
  </si>
  <si>
    <t>Amrita Roka</t>
  </si>
  <si>
    <t>Raj Kumar Chaudhary</t>
  </si>
  <si>
    <t>Chudamani Bhandari</t>
  </si>
  <si>
    <t>Binu Oli</t>
  </si>
  <si>
    <t>Raju Nath Yogi</t>
  </si>
  <si>
    <t>Shankar Khadka</t>
  </si>
  <si>
    <t>Lalita Malla</t>
  </si>
  <si>
    <t>Rakesh Dangi</t>
  </si>
  <si>
    <t>Gita Oli</t>
  </si>
  <si>
    <t>Dabar Khadka</t>
  </si>
  <si>
    <t>Rita Oli</t>
  </si>
  <si>
    <t>Ananda Ram Kunwar Yogi</t>
  </si>
  <si>
    <t>Guman Khatri</t>
  </si>
  <si>
    <t>Bijaya Chaudhary</t>
  </si>
  <si>
    <t>Bhumisara Khadka</t>
  </si>
  <si>
    <t>Khilat Raj Basnet</t>
  </si>
  <si>
    <t>Alija Basnet</t>
  </si>
  <si>
    <t>Hima Rawat</t>
  </si>
  <si>
    <t>Suda Kumari Chhetri</t>
  </si>
  <si>
    <t>Tilak Bahadur Basnet</t>
  </si>
  <si>
    <t>Arjun Kumar Khatri</t>
  </si>
  <si>
    <t>Sanjog Giri</t>
  </si>
  <si>
    <t>Siwani Basnet</t>
  </si>
  <si>
    <t>Ramesh Gautam</t>
  </si>
  <si>
    <t>Tulsha Basnet</t>
  </si>
  <si>
    <t>Parkash K.C.</t>
  </si>
  <si>
    <t>Yam Raj Basnet</t>
  </si>
  <si>
    <t>Takendra Pariyar</t>
  </si>
  <si>
    <t>Tek Bahadur K.C.</t>
  </si>
  <si>
    <t>Nirmala D.C.</t>
  </si>
  <si>
    <t>Rajan K.C.</t>
  </si>
  <si>
    <t>Shiva Malla</t>
  </si>
  <si>
    <t>Parkash Malla</t>
  </si>
  <si>
    <t>Shiva Khatri</t>
  </si>
  <si>
    <t>Dipshikha Oli</t>
  </si>
  <si>
    <t>Kamal B.K.</t>
  </si>
  <si>
    <t>Puspa B.K.</t>
  </si>
  <si>
    <t>Tulsi Rana</t>
  </si>
  <si>
    <t>Sarala Sharma</t>
  </si>
  <si>
    <t>Tika K.C.</t>
  </si>
  <si>
    <t>Subash Khadka</t>
  </si>
  <si>
    <t>Suraj Oli</t>
  </si>
  <si>
    <t>3:00 p.m.</t>
  </si>
  <si>
    <t>2:30 p.m.</t>
  </si>
  <si>
    <t>medicity kathmandu</t>
  </si>
  <si>
    <t>Khim Bahadur Basnet</t>
  </si>
  <si>
    <t>Khadga Bahadur Dangi</t>
  </si>
  <si>
    <t>RT Antigen Nepalgunj</t>
  </si>
  <si>
    <t>Discharge</t>
  </si>
  <si>
    <t>Ram Bahadur Ghimire</t>
  </si>
  <si>
    <t>Nirmala Kumari D angi</t>
  </si>
  <si>
    <t>Prakash Acharya</t>
  </si>
  <si>
    <t>Binod Lal Sharma</t>
  </si>
  <si>
    <t>Moti Ram Oli</t>
  </si>
  <si>
    <t>Naina BK</t>
  </si>
  <si>
    <t>Radha Kumari Basnet</t>
  </si>
  <si>
    <t>Rekha Basnet</t>
  </si>
  <si>
    <t>Rohan Basnet</t>
  </si>
  <si>
    <t>Bimala Devi Sunar</t>
  </si>
  <si>
    <t>Bimala K.C</t>
  </si>
  <si>
    <t>Binod Kumar Sharma</t>
  </si>
  <si>
    <t>Parbati Kandel</t>
  </si>
  <si>
    <t>Suraj Sunar</t>
  </si>
  <si>
    <t>Yagya Bahadur GC</t>
  </si>
  <si>
    <t>Kamala Mahatara</t>
  </si>
  <si>
    <t>Sudhansu Gupta</t>
  </si>
  <si>
    <t>Ujwal Sharma</t>
  </si>
  <si>
    <t>Menaka BK</t>
  </si>
  <si>
    <t>Nim Bahadur Rawat</t>
  </si>
  <si>
    <t>Sita Rana</t>
  </si>
  <si>
    <t>Khum Prasad Maraseni</t>
  </si>
  <si>
    <t>Yamuna k.C.</t>
  </si>
  <si>
    <t>Purna Bahadur Bhandari</t>
  </si>
  <si>
    <t>Prakash K.C.</t>
  </si>
  <si>
    <t>Pratibha Bhandari</t>
  </si>
  <si>
    <t>Radha K.C.</t>
  </si>
  <si>
    <t>Dhanmaya Dhital</t>
  </si>
  <si>
    <t>Bal Dev Sharma</t>
  </si>
  <si>
    <t>Yam Kumari Basnet</t>
  </si>
  <si>
    <t>Kul Bahadur Basnet</t>
  </si>
  <si>
    <t>Jit Bahadur Bhandari</t>
  </si>
  <si>
    <t>Pankaj Sharma</t>
  </si>
  <si>
    <t>Safal Acharya</t>
  </si>
  <si>
    <t>Swoshtika Sharma</t>
  </si>
  <si>
    <t>Shova Oli</t>
  </si>
  <si>
    <t>Milan Acharya</t>
  </si>
  <si>
    <t>Naresh Paudel</t>
  </si>
  <si>
    <t>Janakram Chaudhary</t>
  </si>
  <si>
    <t>Maya Chaudhary</t>
  </si>
  <si>
    <t>Chandramani Ghimire</t>
  </si>
  <si>
    <t>Dila Budha</t>
  </si>
  <si>
    <t>Amrit Chaudhary</t>
  </si>
  <si>
    <t>Dorna Kunmari Chand</t>
  </si>
  <si>
    <t>Shree Bahadur Bhandari</t>
  </si>
  <si>
    <t>Santosh Pariyar</t>
  </si>
  <si>
    <t>Thumlal Chaudhary</t>
  </si>
  <si>
    <t>Bikram Gautam</t>
  </si>
  <si>
    <t>Chhabi Acharya</t>
  </si>
  <si>
    <t>Yagya Bahadur K.C.</t>
  </si>
  <si>
    <t>Nima Thapa</t>
  </si>
  <si>
    <t>Laxmi Sharma</t>
  </si>
  <si>
    <t>Muna Sapkota</t>
  </si>
  <si>
    <t>Samjhana Oli</t>
  </si>
  <si>
    <t>Goma Gurung</t>
  </si>
  <si>
    <t>Dinesh Khanal</t>
  </si>
  <si>
    <t>Kamala Khadka</t>
  </si>
  <si>
    <t>Jagadish Neupane</t>
  </si>
  <si>
    <t>Sitara Neupane</t>
  </si>
  <si>
    <t>Tejendra Oli</t>
  </si>
  <si>
    <t>Saroj Kumar Lamichhane</t>
  </si>
  <si>
    <t>NARENDRA KUMAR</t>
  </si>
  <si>
    <t>KHIMA KHATRI</t>
  </si>
  <si>
    <t>RAMA BASNET</t>
  </si>
  <si>
    <t>PRAKASH KUMAR BASNET</t>
  </si>
  <si>
    <t>MITRA MANI PAUDEL</t>
  </si>
  <si>
    <t>SUDHAN LAMICHHANE</t>
  </si>
  <si>
    <t>KAMAL DANGI</t>
  </si>
  <si>
    <t>SURENDRA BAHADUR SHAH</t>
  </si>
  <si>
    <t>SUSHILA ACARYA</t>
  </si>
  <si>
    <t>DEBRAJ KADEL</t>
  </si>
  <si>
    <t>SANDHE B.K</t>
  </si>
  <si>
    <t>BASUDEV RIJAL</t>
  </si>
  <si>
    <t>SABITA B.K</t>
  </si>
  <si>
    <t>RAHUL KUMAR</t>
  </si>
  <si>
    <t>SAGAR SINGH</t>
  </si>
  <si>
    <t>SANTOSH KUMAR G.H</t>
  </si>
  <si>
    <t>KUSHAL PARTAP SINGH</t>
  </si>
  <si>
    <t>SHIKANDRA PARSAD </t>
  </si>
  <si>
    <t>AMISH CHAUDHARY</t>
  </si>
  <si>
    <t>DINESH THARU</t>
  </si>
  <si>
    <t>DIPAK SINGH</t>
  </si>
  <si>
    <t>GOKUL SINGH THARU</t>
  </si>
  <si>
    <t>AMRIT THARU</t>
  </si>
  <si>
    <t>MANAS BHATTACHARYA</t>
  </si>
  <si>
    <t>SHREE KRISHNA RANA</t>
  </si>
  <si>
    <t>SHAYAM KISHOR JHA</t>
  </si>
  <si>
    <t>LALAN KUMAR</t>
  </si>
  <si>
    <t>RAJESH SINGH</t>
  </si>
  <si>
    <t>Tek Bahadur Oli</t>
  </si>
  <si>
    <t>Kamala Gurung</t>
  </si>
  <si>
    <t>Bir Bahadur Gurung</t>
  </si>
  <si>
    <t>Goma Gautam</t>
  </si>
  <si>
    <t>Abiral Gautam</t>
  </si>
  <si>
    <t>Anmol Gautam</t>
  </si>
  <si>
    <t>Suresh Gautam</t>
  </si>
  <si>
    <t>Chudamani Gautam</t>
  </si>
  <si>
    <t>Som Raj Gautam</t>
  </si>
  <si>
    <t>Dev Kumar Oli</t>
  </si>
  <si>
    <t>Maya Basnet</t>
  </si>
  <si>
    <t>Pancha Bir Khatri</t>
  </si>
  <si>
    <t>Saugat Oli</t>
  </si>
  <si>
    <t>Ashis Acharya</t>
  </si>
  <si>
    <t>Goma Acharya</t>
  </si>
  <si>
    <t>Janu Acharya</t>
  </si>
  <si>
    <t>Samanata Kathayat</t>
  </si>
  <si>
    <t>Nitisha Yogi</t>
  </si>
  <si>
    <t>Shova Regmi</t>
  </si>
  <si>
    <t>Nitesh Yogi</t>
  </si>
  <si>
    <t>Krishna Saran Chaudhary</t>
  </si>
  <si>
    <t>Deepak Nepali</t>
  </si>
  <si>
    <t>Jhagu Prasad Chaudhary</t>
  </si>
  <si>
    <t>Binod Kumar Nepali</t>
  </si>
  <si>
    <t>Shankar Sharki</t>
  </si>
  <si>
    <t>Dal Bahadur Pariyar</t>
  </si>
  <si>
    <t>Reshma Sharma</t>
  </si>
  <si>
    <t>Purna Bahadur Khadka</t>
  </si>
  <si>
    <t>Yubraj Oli</t>
  </si>
  <si>
    <t>Rajesh Raj Pokhrel</t>
  </si>
  <si>
    <t>Lekhraj Oli</t>
  </si>
  <si>
    <t>Jibraj Roka</t>
  </si>
  <si>
    <t>Nirmala Adhikari</t>
  </si>
  <si>
    <t>Bhadra Bahadur Oli</t>
  </si>
  <si>
    <t>Gajendralal Bhadel</t>
  </si>
  <si>
    <t>Uma Bhadel</t>
  </si>
  <si>
    <t>Kamala Thapa</t>
  </si>
  <si>
    <t>Manju B.K.</t>
  </si>
  <si>
    <t>Arjun Budha</t>
  </si>
  <si>
    <t>Sima K.C.</t>
  </si>
  <si>
    <t>Him Bahadur K.C.</t>
  </si>
  <si>
    <t>Niraj Neupane</t>
  </si>
  <si>
    <t>Shisir Rijal</t>
  </si>
  <si>
    <t>DHAN BDR DANGI</t>
  </si>
  <si>
    <t>ANURODH GAYAWALI</t>
  </si>
  <si>
    <t>MOTI HAMAL</t>
  </si>
  <si>
    <t>BINOD MAGAR</t>
  </si>
  <si>
    <t>AAKRITI HAMAL</t>
  </si>
  <si>
    <t>PUJA CHAUDHARY</t>
  </si>
  <si>
    <t>YUBRAJ BUDHATHOKI</t>
  </si>
  <si>
    <t>GITA BUDHATHOKI</t>
  </si>
  <si>
    <t>PABINDRA BAHADUR K.C</t>
  </si>
  <si>
    <t>BASANTI K.C</t>
  </si>
  <si>
    <t>LAXMI K.C</t>
  </si>
  <si>
    <t>NISHANT K.C</t>
  </si>
  <si>
    <t>BASUNDHARA SHAH K.C</t>
  </si>
  <si>
    <t>TEJ BAHADUR BASNET</t>
  </si>
  <si>
    <t>NIMA PANDEY</t>
  </si>
  <si>
    <t>Basanta Rawal</t>
  </si>
  <si>
    <t>Muna Kumari Shrestha</t>
  </si>
  <si>
    <t>Youraj Malla</t>
  </si>
  <si>
    <t>ANJANA CHAUDHARY</t>
  </si>
  <si>
    <t>BIMALA DEVI GIRI</t>
  </si>
  <si>
    <t>DILLI BAHADUR K.C</t>
  </si>
  <si>
    <t>MANGRU THARU</t>
  </si>
  <si>
    <t>Ramlal pokhrel</t>
  </si>
  <si>
    <t>लुम्विनि प्रादेशिक अस्पताल</t>
  </si>
  <si>
    <t>Sontosh OLi</t>
  </si>
  <si>
    <t>AAKASH CHAUDHARY</t>
  </si>
  <si>
    <t>Bimala Budhathoki</t>
  </si>
  <si>
    <t>NGMC</t>
  </si>
  <si>
    <t>Dilsari Saru Magar</t>
  </si>
  <si>
    <t>KARUNA SHARMA</t>
  </si>
  <si>
    <t>KUMUD RAJ SHARMA</t>
  </si>
  <si>
    <t>LAHANU CHAUDHARY</t>
  </si>
  <si>
    <t>NIRA PARIYAR</t>
  </si>
  <si>
    <t>RAKESH CHANDR</t>
  </si>
  <si>
    <t>SABITA KAUSAL</t>
  </si>
  <si>
    <t>SADHANA K.C</t>
  </si>
  <si>
    <t>SAUGAT K.C</t>
  </si>
  <si>
    <t>SURAJ K.C</t>
  </si>
  <si>
    <t>ANJU ACHARYA</t>
  </si>
  <si>
    <t>ANUP DHITAL</t>
  </si>
  <si>
    <t>BALIKA PUN</t>
  </si>
  <si>
    <t>BILLI RAJ DHITAL</t>
  </si>
  <si>
    <t>CHANDRA BUDHATHOKI</t>
  </si>
  <si>
    <t>CHOP LAL OLI</t>
  </si>
  <si>
    <t>GEHENDRA K.C</t>
  </si>
  <si>
    <t>GITA GIRI</t>
  </si>
  <si>
    <t>kamala mahotra</t>
  </si>
  <si>
    <t>KRISHNA B.K</t>
  </si>
  <si>
    <t>MAYA REGMI</t>
  </si>
  <si>
    <t>NISHAL K.C</t>
  </si>
  <si>
    <t>ROJINA SHRESTHA</t>
  </si>
  <si>
    <t>SHANTA REGMI</t>
  </si>
  <si>
    <t>Tuphan babu pariyar</t>
  </si>
  <si>
    <t>YUBRAJ BASNET</t>
  </si>
  <si>
    <t>tulsipur  12</t>
  </si>
  <si>
    <t>tulsipur  9</t>
  </si>
  <si>
    <t>tulsipur  6</t>
  </si>
  <si>
    <t>tulsipur  3</t>
  </si>
  <si>
    <t>tulsipur  18</t>
  </si>
  <si>
    <t>tulsipur  7</t>
  </si>
  <si>
    <t>tulsipur  15</t>
  </si>
  <si>
    <t xml:space="preserve">tulsipur 6  </t>
  </si>
  <si>
    <t>DIPAK OLI</t>
  </si>
  <si>
    <t>HIRA OLI</t>
  </si>
  <si>
    <t>SABITA GAUTAM</t>
  </si>
  <si>
    <t>Nirmala Oli</t>
  </si>
  <si>
    <t>7:00 p.m.</t>
  </si>
  <si>
    <t>Sukraj Rijal</t>
  </si>
  <si>
    <t>1:30 p.m.</t>
  </si>
  <si>
    <t>Basudev Adhikari</t>
  </si>
  <si>
    <t>Jayaru Chaudhary</t>
  </si>
  <si>
    <t>Shree Narayan Chaudhary</t>
  </si>
  <si>
    <t>Shyam D.C.</t>
  </si>
  <si>
    <t>Barsha Bohara</t>
  </si>
  <si>
    <t>Shweta Chand</t>
  </si>
  <si>
    <t>Sangam Adhikari</t>
  </si>
  <si>
    <t>Radha Adhikari</t>
  </si>
  <si>
    <t>Smarika Rijal</t>
  </si>
  <si>
    <t>Yasdhoda Shah</t>
  </si>
  <si>
    <t>Male</t>
  </si>
  <si>
    <t>RT Antigen Test</t>
  </si>
  <si>
    <t>होम आइसोलेसन</t>
  </si>
  <si>
    <t>2:00 A.M.</t>
  </si>
  <si>
    <t>Tek Raj Pokhrel</t>
  </si>
  <si>
    <t>Briluv Pokhrel</t>
  </si>
  <si>
    <t>Ananta Prasad Bhandari</t>
  </si>
  <si>
    <t>Dhug Devi Bhandari</t>
  </si>
  <si>
    <t>Jayanti Rijal</t>
  </si>
  <si>
    <t>Danda Bahadur Khatri</t>
  </si>
  <si>
    <t>Krishni K.C.</t>
  </si>
  <si>
    <t>Dilliraj Regmi</t>
  </si>
  <si>
    <t>Jitendra Chaudhary</t>
  </si>
  <si>
    <t>Indra Kumari Subedi</t>
  </si>
  <si>
    <t>Radhika Nepali</t>
  </si>
  <si>
    <t>Deepa Kharel</t>
  </si>
  <si>
    <t>Durga Devi Acharya</t>
  </si>
  <si>
    <t>Sabitra Dangi</t>
  </si>
  <si>
    <t>Kesh Bahadur Oli</t>
  </si>
  <si>
    <t>Asmita Poudel</t>
  </si>
  <si>
    <t>Shreeya Poudel</t>
  </si>
  <si>
    <t>Sushila Dahal</t>
  </si>
  <si>
    <t>Chandra Prasad Chaudhary</t>
  </si>
  <si>
    <t>Manoj Acharya</t>
  </si>
  <si>
    <t>Maghe Basnet</t>
  </si>
  <si>
    <t>Chhabilal Nepali</t>
  </si>
  <si>
    <t>Pragya B.K</t>
  </si>
  <si>
    <t>Sashank Sharma</t>
  </si>
  <si>
    <t>Bishnu Shrestha</t>
  </si>
  <si>
    <t>Lekhraj Rijal</t>
  </si>
  <si>
    <t>Shreshti Senchuri</t>
  </si>
  <si>
    <t>Kali Prasad Balmiki</t>
  </si>
  <si>
    <t>Susmita Sharma</t>
  </si>
  <si>
    <t>Narayan Prasad Rokaya</t>
  </si>
  <si>
    <t>Simant Pandey</t>
  </si>
  <si>
    <t>Top Bahadur Rawat</t>
  </si>
  <si>
    <t>Jang Bir K.C</t>
  </si>
  <si>
    <t>Bhagwati Rawal</t>
  </si>
  <si>
    <t>Nandalal Rawat</t>
  </si>
  <si>
    <t>Topendra Ghimire</t>
  </si>
  <si>
    <t>Tika Jaisi</t>
  </si>
  <si>
    <t>Bhuban Bhandari</t>
  </si>
  <si>
    <t>Pima Kumari Thapa</t>
  </si>
  <si>
    <t>Laxmi Oli</t>
  </si>
  <si>
    <t>Dhana Adhikari</t>
  </si>
  <si>
    <t>Yebisan Bhandari</t>
  </si>
  <si>
    <t>Mithun B.K</t>
  </si>
  <si>
    <t>Anita Pun</t>
  </si>
  <si>
    <t>BHIM BDR BUDHA MAGAR</t>
  </si>
  <si>
    <t>BUDDHA PRAKASH SINGH</t>
  </si>
  <si>
    <t>JANARDHAN SHARMA</t>
  </si>
  <si>
    <t>LEKH RAJ PARIYAR</t>
  </si>
  <si>
    <t>MADHUKAR SINGH</t>
  </si>
  <si>
    <t>MANOJ OLI</t>
  </si>
  <si>
    <t>NOBEL D.C</t>
  </si>
  <si>
    <t>RAJ KUMAR OLI</t>
  </si>
  <si>
    <t>SUDAYA PARIYAR</t>
  </si>
  <si>
    <t>TAKTA BAHADUR CHAND</t>
  </si>
  <si>
    <t>TEK BAHADUR DANGI</t>
  </si>
  <si>
    <t>BHAWATI THAPA</t>
  </si>
  <si>
    <t>DEBAKI BASNET</t>
  </si>
  <si>
    <t>MINA DEVI RAJAURE</t>
  </si>
  <si>
    <t>RIKHA KUMARI UPADHYA</t>
  </si>
  <si>
    <t>USHA KHAREL</t>
  </si>
  <si>
    <t>Pushkar K.C.</t>
  </si>
  <si>
    <t>Gehendra Paudel</t>
  </si>
  <si>
    <t>Subhadra Paudel</t>
  </si>
  <si>
    <t>Tirtha Raj Dangi</t>
  </si>
  <si>
    <t>Debaka Neupane</t>
  </si>
  <si>
    <t>Laxmun Basnet</t>
  </si>
  <si>
    <t>Dharam Bahadur Bhandari</t>
  </si>
  <si>
    <t>Dinesh Malla</t>
  </si>
  <si>
    <t>Durgalal B.K.</t>
  </si>
  <si>
    <t>Sita Neupane</t>
  </si>
  <si>
    <t>Laxmi Nepali</t>
  </si>
  <si>
    <t>Budh Kumari Khatri</t>
  </si>
  <si>
    <t>Sita Nepali</t>
  </si>
  <si>
    <t>Suman Lamichhane</t>
  </si>
  <si>
    <t>Bimala Giri</t>
  </si>
  <si>
    <t>Anjila Shrestha</t>
  </si>
  <si>
    <t>Ran Bahadur Khadka</t>
  </si>
  <si>
    <t>Him Lal Basnet</t>
  </si>
  <si>
    <t>Arati Chaudhary</t>
  </si>
  <si>
    <t>Aayusha Chaudhary</t>
  </si>
  <si>
    <t>Lek Prasad Sharma</t>
  </si>
  <si>
    <t>Bikash Nepali</t>
  </si>
  <si>
    <t>Basanti Dhakal</t>
  </si>
  <si>
    <t>Radhika Pun Magar</t>
  </si>
  <si>
    <t>Kimakala Budhathoki</t>
  </si>
  <si>
    <t>Sita Lamsal</t>
  </si>
  <si>
    <t>Sukmata Pariyar</t>
  </si>
  <si>
    <t>Liladhar Lamsal</t>
  </si>
  <si>
    <t>Prem Bahadur Rana</t>
  </si>
  <si>
    <t>Bhim Bahadur Chaulagai</t>
  </si>
  <si>
    <t>Tekendra Bhattarai</t>
  </si>
  <si>
    <t>Kamal Pun Magar</t>
  </si>
  <si>
    <t>Yam Narayan Khadka</t>
  </si>
  <si>
    <t>Krishna Gautam</t>
  </si>
  <si>
    <t>Pradip Neupane</t>
  </si>
  <si>
    <t>Homa Nepali</t>
  </si>
  <si>
    <t>Sabnam Pariyar</t>
  </si>
  <si>
    <t>Sajan Pariyar</t>
  </si>
  <si>
    <t>Sushila Chaudhary</t>
  </si>
  <si>
    <t>Keshab Chaudhary</t>
  </si>
  <si>
    <t>Chhabi Kumar Basnet</t>
  </si>
  <si>
    <t>Top Basnet</t>
  </si>
  <si>
    <t>Binod Kumar Bhandari</t>
  </si>
  <si>
    <t>Sanich K.C.</t>
  </si>
  <si>
    <t>Jhaggu Chaudhary</t>
  </si>
  <si>
    <t>Ruplal D.C.</t>
  </si>
  <si>
    <t>Bimala Acharya</t>
  </si>
  <si>
    <t>Silviya Pokhrel</t>
  </si>
  <si>
    <t>Shiv Prasad Neupane</t>
  </si>
  <si>
    <t>Ramu K.C.</t>
  </si>
  <si>
    <t>Pratap B.K.</t>
  </si>
  <si>
    <t>Durpati B.K.</t>
  </si>
  <si>
    <t>Karuna Sharma</t>
  </si>
  <si>
    <t>Gorkha Prasad Rana</t>
  </si>
  <si>
    <t>Prem Kumari Rana</t>
  </si>
  <si>
    <t>Basant Tandon</t>
  </si>
  <si>
    <t>Dhan Bahadur Rawat</t>
  </si>
  <si>
    <t>Smjhana Rawat</t>
  </si>
  <si>
    <t>Gopal Panthi</t>
  </si>
  <si>
    <t>Menaka Bhandari</t>
  </si>
  <si>
    <t>Sita Bhandari</t>
  </si>
  <si>
    <t>Uma Kumari Bubaju</t>
  </si>
  <si>
    <t>Nima Kami</t>
  </si>
  <si>
    <t>Ishwori B.K.</t>
  </si>
  <si>
    <t>Shovrna B.K.</t>
  </si>
  <si>
    <t>Shalikram Oli</t>
  </si>
  <si>
    <t>AASHISH ACHARYA</t>
  </si>
  <si>
    <t>ARJUN KUMAR CHAUDHARY</t>
  </si>
  <si>
    <t>BIJAY NAGAR</t>
  </si>
  <si>
    <t>BINAYA RAJ CHAUDHARY</t>
  </si>
  <si>
    <t>DHAN BAHADUR KHATRI</t>
  </si>
  <si>
    <t>GOPI RANA</t>
  </si>
  <si>
    <t>NIKHIL KUMAR YADAV</t>
  </si>
  <si>
    <t>PINTU KUMAR</t>
  </si>
  <si>
    <t>RABIN SHARMA</t>
  </si>
  <si>
    <t>RAHEESH SINGH</t>
  </si>
  <si>
    <t>RAJESH OLI</t>
  </si>
  <si>
    <t>ROHIT BUDHA</t>
  </si>
  <si>
    <t>SAMRAD KUMAR YADAV</t>
  </si>
  <si>
    <t>SANAM GHARTI MAGAR</t>
  </si>
  <si>
    <t>SANDEEP  KHATRI</t>
  </si>
  <si>
    <t>SHANKAR OLI</t>
  </si>
  <si>
    <t>BASANTI BUDHA</t>
  </si>
  <si>
    <t>BIMALA OLI</t>
  </si>
  <si>
    <t>DIPA BASNET</t>
  </si>
  <si>
    <t>JAMUNA K C</t>
  </si>
  <si>
    <t>MAYA DEVI CHAUDHARY</t>
  </si>
  <si>
    <t>PUJA B.K</t>
  </si>
  <si>
    <t>PUSPA KHATRI</t>
  </si>
  <si>
    <t>Female</t>
  </si>
  <si>
    <t>Ananta Bhandari</t>
  </si>
  <si>
    <t>KAMALA BASNET</t>
  </si>
  <si>
    <t>HRISHABH PANTHI</t>
  </si>
  <si>
    <t>KRISHANT BASNET</t>
  </si>
  <si>
    <t>KRISHNA BDR BASNET</t>
  </si>
  <si>
    <t>REMESH KUMAR DANGI</t>
  </si>
  <si>
    <t>RUPA KUMARI DANGI</t>
  </si>
  <si>
    <t>SHANTI BASNET</t>
  </si>
  <si>
    <t>THAK BAHADUR KHATRI</t>
  </si>
  <si>
    <t>THAMAN DEVKOTA</t>
  </si>
  <si>
    <t>Tulsi KC</t>
  </si>
  <si>
    <t>VIBA B.K</t>
  </si>
  <si>
    <t>BALARAM CHANARA</t>
  </si>
  <si>
    <t>BHAGIRAM PUN</t>
  </si>
  <si>
    <t>GIRI RAJ RAWAT</t>
  </si>
  <si>
    <t>KRISHNA BASNET</t>
  </si>
  <si>
    <t>KRISHNA BUDHATHOKI</t>
  </si>
  <si>
    <t>MABIN ACHARYA</t>
  </si>
  <si>
    <t>PRAKHYAT MOJGAIYA</t>
  </si>
  <si>
    <t>PRAYAS BHANDARI</t>
  </si>
  <si>
    <t>PREM BDR DANGI</t>
  </si>
  <si>
    <t>ROM BIKRAM SHAH</t>
  </si>
  <si>
    <t>SARAMSA RAWAT</t>
  </si>
  <si>
    <t>SUMIT SINGH</t>
  </si>
  <si>
    <t>AMBIKA SHAH</t>
  </si>
  <si>
    <t>BHUMA BHUSAL</t>
  </si>
  <si>
    <t>GOMA BASNET</t>
  </si>
  <si>
    <t>KABITA SHARMA</t>
  </si>
  <si>
    <t>MAINA TAMATA</t>
  </si>
  <si>
    <t>MIRA THAPA</t>
  </si>
  <si>
    <t>RUBINA RAWAT</t>
  </si>
  <si>
    <t>SUSILA NEPALI</t>
  </si>
  <si>
    <t>TULSHA B.K</t>
  </si>
  <si>
    <t>UMA BUDHA</t>
  </si>
  <si>
    <t>नेस्‍नल प्याथ ल्याव</t>
  </si>
  <si>
    <t>AMRIT GYAWALI</t>
  </si>
  <si>
    <t>Kamala Pun Magar</t>
  </si>
  <si>
    <t>Subikshya Gupta</t>
  </si>
  <si>
    <t>SARADA OLI</t>
  </si>
  <si>
    <t>KALPANA SAPKOTA</t>
  </si>
  <si>
    <t>DAMU OLI</t>
  </si>
  <si>
    <t>KHAGENDRA DANGI</t>
  </si>
  <si>
    <t>SUMI SINGH</t>
  </si>
  <si>
    <t>Ishwor B.k.</t>
  </si>
  <si>
    <t>ROJINA BASNET</t>
  </si>
  <si>
    <t>Shantaraj Chaudhary</t>
  </si>
  <si>
    <t>PADAM BDR B.K</t>
  </si>
  <si>
    <t>BISHNA BHANDARI</t>
  </si>
  <si>
    <t>KHUMA GHARTI</t>
  </si>
  <si>
    <t>HUKUM OLI</t>
  </si>
  <si>
    <t>GAYATRI BASNET</t>
  </si>
  <si>
    <t>RESAM OLI</t>
  </si>
  <si>
    <t>PUSPA K.C</t>
  </si>
  <si>
    <t>BINA BHANDARI</t>
  </si>
  <si>
    <t>SARADA ACHARYA</t>
  </si>
  <si>
    <t>SUNIL KUMAR ACHARYA</t>
  </si>
  <si>
    <t>GOPAL KHADKA</t>
  </si>
  <si>
    <t>SUMITRA KHANAL</t>
  </si>
  <si>
    <t>JIT BAHADUR GHARTI</t>
  </si>
  <si>
    <t>MEERA SINGH</t>
  </si>
  <si>
    <t>Belmata Dangi</t>
  </si>
  <si>
    <t>LILA OLI</t>
  </si>
  <si>
    <t>TARA POKHREL</t>
  </si>
  <si>
    <t>Chandra Prasad Regmi</t>
  </si>
  <si>
    <t>DINESH KUMAR REGMI</t>
  </si>
  <si>
    <t>BIR BDR OLI</t>
  </si>
  <si>
    <t>HIMA BASNET</t>
  </si>
  <si>
    <t>SULOCHANA ACHARYA</t>
  </si>
  <si>
    <t>Harikala rawat</t>
  </si>
  <si>
    <t>RAM KUMAR ACHARYA</t>
  </si>
  <si>
    <t>GAJENDRA B.C</t>
  </si>
  <si>
    <t>NIMA DEVI DEVKOTA</t>
  </si>
  <si>
    <t>Laxmi Bhandari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</si>
  <si>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</si>
  <si>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</si>
  <si>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</si>
  <si>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</si>
  <si>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</si>
  <si>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</si>
  <si>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</si>
  <si>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</si>
  <si>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</si>
  <si>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</si>
  <si>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</t>
  </si>
  <si>
    <t>3</t>
  </si>
  <si>
    <t>4</t>
  </si>
  <si>
    <t>5</t>
  </si>
  <si>
    <t>6</t>
  </si>
  <si>
    <t>7</t>
  </si>
  <si>
    <t>8</t>
  </si>
  <si>
    <t>9</t>
  </si>
  <si>
    <t>सम्पर्क नं</t>
  </si>
  <si>
    <t>12:30 p.m.</t>
  </si>
  <si>
    <t>कोरोना विशेष अस्पताल वेलझुन्डी,दाङ</t>
  </si>
  <si>
    <t>2:10 p.m.</t>
  </si>
  <si>
    <t>Nabraj Pokhrel</t>
  </si>
  <si>
    <t>01/18/078</t>
  </si>
  <si>
    <t>Karna Bahadur Oli</t>
  </si>
  <si>
    <t>Uttam Kumar Oli</t>
  </si>
  <si>
    <t>Biraj Sharma</t>
  </si>
  <si>
    <t>Krishna Sunar</t>
  </si>
  <si>
    <t>Srijana Paudel</t>
  </si>
  <si>
    <t>Radha Bhandari</t>
  </si>
  <si>
    <t>Kopila Budha</t>
  </si>
  <si>
    <t>Lok Bahadur Bishwokarma</t>
  </si>
  <si>
    <t>Gangaram Nepali</t>
  </si>
  <si>
    <t>Arjun Neupane</t>
  </si>
  <si>
    <t>BISHAL BASYAL</t>
  </si>
  <si>
    <t>DINESH BUDHATHOKI</t>
  </si>
  <si>
    <t>NIM BDR BASYAL</t>
  </si>
  <si>
    <t>PRABHAT BHANDARI</t>
  </si>
  <si>
    <t>PRITIPAL M.C</t>
  </si>
  <si>
    <t>UBRAJ K.C</t>
  </si>
  <si>
    <t>YAKE PRATAP BASNET</t>
  </si>
  <si>
    <t>GITA DANGI</t>
  </si>
  <si>
    <t>PRATIKSHYA RAWAT</t>
  </si>
  <si>
    <t>SAROJ MAHARA</t>
  </si>
  <si>
    <t>BARSHA MAHARA</t>
  </si>
  <si>
    <t>BINI DEVI OLI</t>
  </si>
  <si>
    <t>Abhinandan Pokhrel</t>
  </si>
  <si>
    <t>Arjun Khatri</t>
  </si>
  <si>
    <t>Ashish B.K.</t>
  </si>
  <si>
    <t>Ashok k.C.</t>
  </si>
  <si>
    <t>Asmita K.C.</t>
  </si>
  <si>
    <t>Balaram Bhusal</t>
  </si>
  <si>
    <t>Basanta K.C.</t>
  </si>
  <si>
    <t>Basanta Yogi</t>
  </si>
  <si>
    <t>Bhagwata Pokhrel</t>
  </si>
  <si>
    <t>Bhima Dangi</t>
  </si>
  <si>
    <t>Bimala Khanal</t>
  </si>
  <si>
    <t>Bimala Thapa</t>
  </si>
  <si>
    <t>Bindu Oli</t>
  </si>
  <si>
    <t>Binu B.K.</t>
  </si>
  <si>
    <t>Chandrikala Bhusal</t>
  </si>
  <si>
    <t>Cheban bhattarai</t>
  </si>
  <si>
    <t>Dev Bahadur K.C.</t>
  </si>
  <si>
    <t>Dhan Bahadur Shahi</t>
  </si>
  <si>
    <t>Dipa B.K.</t>
  </si>
  <si>
    <t>Dipendra Oli</t>
  </si>
  <si>
    <t>Divya Majhi</t>
  </si>
  <si>
    <t>Gajendra Basnet</t>
  </si>
  <si>
    <t>Goma Bishwokarma</t>
  </si>
  <si>
    <t>Gothalu Chaudhary</t>
  </si>
  <si>
    <t>Gyatri K.C</t>
  </si>
  <si>
    <t>Hari Bahadur BC</t>
  </si>
  <si>
    <t>Hari Bahadur Nepali</t>
  </si>
  <si>
    <t>Harikala B.K.</t>
  </si>
  <si>
    <t>Heema Basnet</t>
  </si>
  <si>
    <t>Jeevraj Roka</t>
  </si>
  <si>
    <t>Jiv Raj Adhikari</t>
  </si>
  <si>
    <t>Kalicharan Chaudhary</t>
  </si>
  <si>
    <t>Kamala Nepali</t>
  </si>
  <si>
    <t>Keshav Chaudhary</t>
  </si>
  <si>
    <t>Krishna Bahadur Bhandari</t>
  </si>
  <si>
    <t>Maheshwor Devkota</t>
  </si>
  <si>
    <t>Mala Khatri</t>
  </si>
  <si>
    <t>Mani Ram Bhusal</t>
  </si>
  <si>
    <t>Maya Thapa</t>
  </si>
  <si>
    <t>Mina Bhandari</t>
  </si>
  <si>
    <t>Narayan Khanal</t>
  </si>
  <si>
    <t>Narayan Pariyar</t>
  </si>
  <si>
    <t>Navraj B.K.</t>
  </si>
  <si>
    <t>Navraj Kharel</t>
  </si>
  <si>
    <t>Newson Khanal</t>
  </si>
  <si>
    <t>Nirmal Gautam</t>
  </si>
  <si>
    <t>Pooja B.K.</t>
  </si>
  <si>
    <t>Prakash Kumar Nepali</t>
  </si>
  <si>
    <t>Pushpa Gautam</t>
  </si>
  <si>
    <t>Rakesh Rijal</t>
  </si>
  <si>
    <t>Ram Bahadur Bhandari</t>
  </si>
  <si>
    <t>Rukma Bhandari</t>
  </si>
  <si>
    <t>Sabitra Regmi</t>
  </si>
  <si>
    <t>Sagar Acharya</t>
  </si>
  <si>
    <t>Sagar B.K.</t>
  </si>
  <si>
    <t>Samir Dangi</t>
  </si>
  <si>
    <t>Samir Devkota</t>
  </si>
  <si>
    <t>Sandhya Bhandari</t>
  </si>
  <si>
    <t>Sandip Sunar</t>
  </si>
  <si>
    <t>Saure B.K.</t>
  </si>
  <si>
    <t>Shanta Bhattarai</t>
  </si>
  <si>
    <t>Sharada B.K.</t>
  </si>
  <si>
    <t>Shyam B.K.</t>
  </si>
  <si>
    <t>Sirijana Pokhrel</t>
  </si>
  <si>
    <t>Sita Khatri</t>
  </si>
  <si>
    <t>Suva Acharya</t>
  </si>
  <si>
    <t>Tika Oli</t>
  </si>
  <si>
    <t>Yam Narayan Shrestha</t>
  </si>
  <si>
    <t>Yekraj Bhandari</t>
  </si>
  <si>
    <t>Hasta Bdr Budathoki</t>
  </si>
  <si>
    <t>Anjana Khadka</t>
  </si>
  <si>
    <t>BALIKA BHANDARI</t>
  </si>
  <si>
    <t>BISHNU MAYA POKHREL</t>
  </si>
  <si>
    <t>Chandra Prasad regmi</t>
  </si>
  <si>
    <t>Choplal Oli</t>
  </si>
  <si>
    <t>Deurupa Dangi</t>
  </si>
  <si>
    <t>Dinesh kumar regmi</t>
  </si>
  <si>
    <t>JIB BDR BASNET</t>
  </si>
  <si>
    <t>PABITRA PANDEY</t>
  </si>
  <si>
    <t>Prem KC</t>
  </si>
  <si>
    <t>PUSKARI BHANDARI</t>
  </si>
  <si>
    <t>SARADA BASNET</t>
  </si>
  <si>
    <t>Sharada sharma</t>
  </si>
  <si>
    <t>BIMALA REGMI</t>
  </si>
  <si>
    <t>BINDU SHARMA</t>
  </si>
  <si>
    <t>BISHNU BUDATHOKI</t>
  </si>
  <si>
    <t>DAMMAR B.K</t>
  </si>
  <si>
    <t>DORNATH YOGI</t>
  </si>
  <si>
    <t>HARI BAHADUR D.C</t>
  </si>
  <si>
    <t>HIMA ACHARYA</t>
  </si>
  <si>
    <t>JUDDI KUMARI BHANDARI</t>
  </si>
  <si>
    <t>KABITA DANGI</t>
  </si>
  <si>
    <t>MAGHRAJ DHITAL</t>
  </si>
  <si>
    <t>MAN BAHADUR K.C</t>
  </si>
  <si>
    <t>MENAKA BUDHATHOKI</t>
  </si>
  <si>
    <t>MITHU CHAUDHARY</t>
  </si>
  <si>
    <t>NANDA KUMARI MALLA</t>
  </si>
  <si>
    <t>NIMA DHITAL</t>
  </si>
  <si>
    <t>NIMA KUMARI BASNET</t>
  </si>
  <si>
    <t>OM PRAKASH LAMICHHANE</t>
  </si>
  <si>
    <t>PADAM BDR OLI</t>
  </si>
  <si>
    <t>PRADIP GAUTAM</t>
  </si>
  <si>
    <t>RABIN GIRI</t>
  </si>
  <si>
    <t>RAN BAHADUR PUN</t>
  </si>
  <si>
    <t>SAITI CHAUDHARY</t>
  </si>
  <si>
    <t>SRIJANA BASNET</t>
  </si>
  <si>
    <t>TARA B.K</t>
  </si>
  <si>
    <t>TEJ BIR BUDHATHOKI</t>
  </si>
  <si>
    <t>TEJ KUMAR DHITAL</t>
  </si>
  <si>
    <t>TEK NATH SHARMA</t>
  </si>
  <si>
    <t>TIKARAM REGMI</t>
  </si>
  <si>
    <t>Tara Kumari Gautam</t>
  </si>
  <si>
    <t>Manoj Kumar Shah</t>
  </si>
  <si>
    <t>Mandhoj Budhathoki</t>
  </si>
  <si>
    <t>Purna Pun</t>
  </si>
  <si>
    <t>Peshal Bhandari</t>
  </si>
  <si>
    <t>Asmita Bhanadri</t>
  </si>
  <si>
    <t>Thumraj Lamichhane</t>
  </si>
  <si>
    <t>Mohan Khadka</t>
  </si>
  <si>
    <t>Chitra Bahadur Oli</t>
  </si>
  <si>
    <t>Dipa Ghimire</t>
  </si>
  <si>
    <t>Dharma Raj Paudel</t>
  </si>
  <si>
    <t>Swopnil R.C.</t>
  </si>
  <si>
    <t>Khadka Bahadur Khatri</t>
  </si>
  <si>
    <t>Bibek K.C.</t>
  </si>
  <si>
    <t>Suman Chaudhary</t>
  </si>
  <si>
    <t>Chhunti Chaudhary</t>
  </si>
  <si>
    <t>Prem Raj Oli</t>
  </si>
  <si>
    <t>Dipak Kumar Oli</t>
  </si>
  <si>
    <t>Tim Adhikari</t>
  </si>
  <si>
    <t>Bodha Kusan Dhakal</t>
  </si>
  <si>
    <t>Bhola Prasad Dangi</t>
  </si>
  <si>
    <t>Saraswati Giri</t>
  </si>
  <si>
    <t>Amrit Lal Khatri</t>
  </si>
  <si>
    <t>Narayan Prasad Regmi</t>
  </si>
  <si>
    <t>Kausila Khadka</t>
  </si>
  <si>
    <t>Bhagi Ram Chaudhary</t>
  </si>
  <si>
    <t>Shiva Ram Chaudhary</t>
  </si>
  <si>
    <t>Dhundi Raj Ghimire</t>
  </si>
  <si>
    <t>Padma Kumari Pokhrel</t>
  </si>
  <si>
    <t>Kamal Budhathoki</t>
  </si>
  <si>
    <t>Swami Dayal Gupta</t>
  </si>
  <si>
    <t>Anupam Raj Khadka</t>
  </si>
  <si>
    <t>Srijana Rawat</t>
  </si>
  <si>
    <t>Anuj Pokhrel</t>
  </si>
  <si>
    <t>Chetan Regmi</t>
  </si>
  <si>
    <t>Suraj Neupane</t>
  </si>
  <si>
    <t>ARUN KUMAR ACHARYA</t>
  </si>
  <si>
    <t>BHARAT BAHADUR BASNET</t>
  </si>
  <si>
    <t>DEV BAHADUR PANDEY</t>
  </si>
  <si>
    <t>KARAN BAHADUR BHANDARI</t>
  </si>
  <si>
    <t>LAL BAHADUR MAHATRA</t>
  </si>
  <si>
    <t>MOHAN PATHAK</t>
  </si>
  <si>
    <t>RESAM BUDHATHOKI</t>
  </si>
  <si>
    <t>RUDRA BAHADUR K.C</t>
  </si>
  <si>
    <t>SHIVA HARI POKHREL</t>
  </si>
  <si>
    <t>CHANDRA KALA BHANDARI</t>
  </si>
  <si>
    <t>PUNAM YOGI</t>
  </si>
  <si>
    <t>SRIJANA POUDEL</t>
  </si>
  <si>
    <t>TARA PATHAK</t>
  </si>
  <si>
    <t>TULA DEVI PUN</t>
  </si>
  <si>
    <t>YAMKALA NEUPANE</t>
  </si>
  <si>
    <t>Binay Dhoj Oli</t>
  </si>
  <si>
    <t>Kamal Gautam</t>
  </si>
  <si>
    <t>Kesh Kumari oli</t>
  </si>
  <si>
    <t>ARADHANA BASNET</t>
  </si>
  <si>
    <t>BED RAJ BASNET</t>
  </si>
  <si>
    <t>DIL KUMARI OLI</t>
  </si>
  <si>
    <t>GITA BUDHA</t>
  </si>
  <si>
    <t>JAYA MAYA BUDHA</t>
  </si>
  <si>
    <t>Prem Rana</t>
  </si>
  <si>
    <t>SAKUNTALA SEN</t>
  </si>
  <si>
    <t>Yubraj Basnet</t>
  </si>
  <si>
    <t>AASHA K.C</t>
  </si>
  <si>
    <t>ARUN KUMAR REGMI</t>
  </si>
  <si>
    <t>ASHA GAUTAM</t>
  </si>
  <si>
    <t>ASHWIN GAUTAM</t>
  </si>
  <si>
    <t>BANDANA BHANDARI</t>
  </si>
  <si>
    <t>BHAGAWATI BASYAL</t>
  </si>
  <si>
    <t>BHAKTAMANI GHARTI</t>
  </si>
  <si>
    <t>BHARAT RAJ BHATTRAI</t>
  </si>
  <si>
    <t>Bimala Basnet</t>
  </si>
  <si>
    <t>BIMALA POUDEL</t>
  </si>
  <si>
    <t>BINU CHAUDHARY</t>
  </si>
  <si>
    <t>Birendra Basnet</t>
  </si>
  <si>
    <t>Bishal Devkota</t>
  </si>
  <si>
    <t>BISHAL POKHREL</t>
  </si>
  <si>
    <t>BISHNU ACHARYA</t>
  </si>
  <si>
    <t>Bishnu Kalathoki</t>
  </si>
  <si>
    <t>CHANDRA POUDEL</t>
  </si>
  <si>
    <t>Chhabi kumar Budhathoki</t>
  </si>
  <si>
    <t>CHUDAMANI KHATRI</t>
  </si>
  <si>
    <t>DAMMARI REULE</t>
  </si>
  <si>
    <t>Damodar D.C.</t>
  </si>
  <si>
    <t>Dashiram Chaudhary</t>
  </si>
  <si>
    <t>Dhurba Raj Neupane</t>
  </si>
  <si>
    <t>DIKSHYA G.M</t>
  </si>
  <si>
    <t>DILA BASYAL</t>
  </si>
  <si>
    <t>DILIP GAUTAM</t>
  </si>
  <si>
    <t>DILLI BDR KHATRI</t>
  </si>
  <si>
    <t>DURGA PUN</t>
  </si>
  <si>
    <t>Durpati Raidas</t>
  </si>
  <si>
    <t>GHANSHYAM BHANDARI</t>
  </si>
  <si>
    <t>Ghanshyam Sharma</t>
  </si>
  <si>
    <t>GIRI RAJ NEUPANE</t>
  </si>
  <si>
    <t>Govinda Adhikari</t>
  </si>
  <si>
    <t>GUPTA KHATRI</t>
  </si>
  <si>
    <t>HOSH NEPALI</t>
  </si>
  <si>
    <t>INDRA KUMAR OLI</t>
  </si>
  <si>
    <t>JAGAT SINGH BAM</t>
  </si>
  <si>
    <t>JASMINE GHARTI</t>
  </si>
  <si>
    <t>JAY BDR GHARTI</t>
  </si>
  <si>
    <t>KAILSH AGRI</t>
  </si>
  <si>
    <t>KALPANA GHARTI</t>
  </si>
  <si>
    <t>KAPIL BUDHATHOKI</t>
  </si>
  <si>
    <t>KHIM BAHADUR K.C</t>
  </si>
  <si>
    <t>Kunti B.C</t>
  </si>
  <si>
    <t>LAL BDR OLI</t>
  </si>
  <si>
    <t>LATA OLI</t>
  </si>
  <si>
    <t>LAXMI KHANAL REGMI</t>
  </si>
  <si>
    <t>LAXMI KUMAL</t>
  </si>
  <si>
    <t>Madan Khatri</t>
  </si>
  <si>
    <t>NABRAJ K.C</t>
  </si>
  <si>
    <t>NARAYAN B K</t>
  </si>
  <si>
    <t>NARAYAN OLI</t>
  </si>
  <si>
    <t>NEB BDR NEPALI</t>
  </si>
  <si>
    <t>NIJAM KHATRI</t>
  </si>
  <si>
    <t>PRABAL REGMI</t>
  </si>
  <si>
    <t>PRADESHU CHAUDHARY</t>
  </si>
  <si>
    <t>PRAJOLA OLI</t>
  </si>
  <si>
    <t>PRAJWOL SHRESTHA</t>
  </si>
  <si>
    <t>PRATIKSHYA KHADKA</t>
  </si>
  <si>
    <t>Prem Bahadur Dangi</t>
  </si>
  <si>
    <t>prem prakash oli</t>
  </si>
  <si>
    <t>Rachana Pun</t>
  </si>
  <si>
    <t>RADHA POKHREL</t>
  </si>
  <si>
    <t>RAJ KHADKA</t>
  </si>
  <si>
    <t>RANJIT K.C</t>
  </si>
  <si>
    <t>RITA BASNET</t>
  </si>
  <si>
    <t>SABITRA KUMARI BASNET</t>
  </si>
  <si>
    <t>SADIKSHA DANGI</t>
  </si>
  <si>
    <t>SALIK RAM SHAHU</t>
  </si>
  <si>
    <t>SAMIR ACHARYA</t>
  </si>
  <si>
    <t>SANDHYA THAPA</t>
  </si>
  <si>
    <t>SANGIT BASYAL</t>
  </si>
  <si>
    <t>SARMILA REGMI</t>
  </si>
  <si>
    <t>SARSWOTI GHARTI</t>
  </si>
  <si>
    <t>SEURILI BISTA</t>
  </si>
  <si>
    <t>SHANKAR BASNET</t>
  </si>
  <si>
    <t>SNEHA CHAND</t>
  </si>
  <si>
    <t>SUBARNA RAJ BHANDARI</t>
  </si>
  <si>
    <t>Suman Basyal</t>
  </si>
  <si>
    <t>SUNITA BHANDARI</t>
  </si>
  <si>
    <t>SUSHANT G.M</t>
  </si>
  <si>
    <t>SUSHIL KUMAR ACHARYA</t>
  </si>
  <si>
    <t>TARA GAUTAM</t>
  </si>
  <si>
    <t>TARA SHAHU</t>
  </si>
  <si>
    <t>Tek Bikram K.C.</t>
  </si>
  <si>
    <t>Thagu Prasad Bhandari</t>
  </si>
  <si>
    <t>TIKA K.C</t>
  </si>
  <si>
    <t>TULSIRAM BASYAL</t>
  </si>
  <si>
    <t>Yagya Bahadur Kalathoki</t>
  </si>
  <si>
    <t>8:00 p.m.</t>
  </si>
  <si>
    <t>Bhima Devi Basnet</t>
  </si>
  <si>
    <t>5:00 p.m.</t>
  </si>
  <si>
    <t>6:00 p.m.</t>
  </si>
  <si>
    <t>Arjun Mahara</t>
  </si>
  <si>
    <t>Bala Ram Basnet</t>
  </si>
  <si>
    <t>Basant Pariyar</t>
  </si>
  <si>
    <t>Bhesh Raj Rawot</t>
  </si>
  <si>
    <t>Bhim Bahadur Khatri</t>
  </si>
  <si>
    <t>CHAMILI CHAUDHARY</t>
  </si>
  <si>
    <t>Chandra Devi Kawar</t>
  </si>
  <si>
    <t>Dambar Subedi</t>
  </si>
  <si>
    <t>Dharama Devkota</t>
  </si>
  <si>
    <t>Dharmaraj Paudel</t>
  </si>
  <si>
    <t>Dorna Prasad Rajaure</t>
  </si>
  <si>
    <t>Ganga Kumari Rajaure</t>
  </si>
  <si>
    <t>Gehendra Shrestha</t>
  </si>
  <si>
    <t>Gita Dhital</t>
  </si>
  <si>
    <t>Hari Lal Paudel</t>
  </si>
  <si>
    <t>Jagadish K.C.</t>
  </si>
  <si>
    <t>Janak Shah</t>
  </si>
  <si>
    <t>Keshav Pokhrel</t>
  </si>
  <si>
    <t>Lebina K.C.</t>
  </si>
  <si>
    <t>Madan Kumar K.C.</t>
  </si>
  <si>
    <t>Manoj Yadav</t>
  </si>
  <si>
    <t>Motikala Bhandari</t>
  </si>
  <si>
    <t>Mukti Gautam</t>
  </si>
  <si>
    <t>Nab Raj Sharma</t>
  </si>
  <si>
    <t>Prakash Khadka</t>
  </si>
  <si>
    <t>Rejina Oli</t>
  </si>
  <si>
    <t>Rupa Kharel</t>
  </si>
  <si>
    <t>Ruplal Sunar</t>
  </si>
  <si>
    <t>Samita K.C.</t>
  </si>
  <si>
    <t>Shiva Roka</t>
  </si>
  <si>
    <t>Shyamkala Neupane</t>
  </si>
  <si>
    <t>Srijana K.C.</t>
  </si>
  <si>
    <t>Subhadra Sharma</t>
  </si>
  <si>
    <t>Mukesh Yadav</t>
  </si>
  <si>
    <t xml:space="preserve">नेस्‍नल प्याथ ल्याव </t>
  </si>
  <si>
    <t>होम आइसोलेशन</t>
  </si>
  <si>
    <t>g]kfnL ;]gf÷g]kfn k|x/L</t>
  </si>
  <si>
    <t>*) jif{ dfly</t>
  </si>
  <si>
    <t>d[To' ePsf] ;+Vof</t>
  </si>
  <si>
    <t>d[To' ;+Vof</t>
  </si>
  <si>
    <t>;+s|ldt ;+Vof</t>
  </si>
  <si>
    <t>AMIT SHARMA</t>
  </si>
  <si>
    <t>ANITA BHANDARI</t>
  </si>
  <si>
    <t>ANITA NEUAPNE</t>
  </si>
  <si>
    <t>ANJU GIRI</t>
  </si>
  <si>
    <t>Archana Shahu</t>
  </si>
  <si>
    <t>Bal Bahadur Khatri</t>
  </si>
  <si>
    <t>BALKUMARI BHANDARI</t>
  </si>
  <si>
    <t>BAM BAHADUR DANGI</t>
  </si>
  <si>
    <t>Bam Dev Bista</t>
  </si>
  <si>
    <t>Bel Prasad Chaudhary</t>
  </si>
  <si>
    <t>BHARAT RAJ LAMICHHANE</t>
  </si>
  <si>
    <t>BHUM LAL LAMICHHANE</t>
  </si>
  <si>
    <t>BIKRAM KUMAR HAMAL</t>
  </si>
  <si>
    <t>BIPA YOGI</t>
  </si>
  <si>
    <t>CHALI LAL BK</t>
  </si>
  <si>
    <t>CHANDRA KAMAL REGMI</t>
  </si>
  <si>
    <t>Deepika Malla</t>
  </si>
  <si>
    <t>DEV RAJ BOHARA</t>
  </si>
  <si>
    <t>DEVI GHIMIRE</t>
  </si>
  <si>
    <t>DHANPATI BHUSHAL</t>
  </si>
  <si>
    <t>DIKSHYA YOGI</t>
  </si>
  <si>
    <t>Dinesh Dangi</t>
  </si>
  <si>
    <t>DIPENDRA BUDHATHOKI</t>
  </si>
  <si>
    <t>Ekraj K.C.</t>
  </si>
  <si>
    <t>Ganesh Man Bhandari</t>
  </si>
  <si>
    <t>GHANSHYAM KAFLE</t>
  </si>
  <si>
    <t>Giri Raj Adhikari</t>
  </si>
  <si>
    <t>GOKARNA PRASAD TIWARI</t>
  </si>
  <si>
    <t>GOPAL DC</t>
  </si>
  <si>
    <t>GURU PRASAD CHAUDHARY</t>
  </si>
  <si>
    <t>GURU PRASAD YOGI</t>
  </si>
  <si>
    <t>HARALAL KC</t>
  </si>
  <si>
    <t>Hari Prasad Pokhrel</t>
  </si>
  <si>
    <t>Hira Bhandari</t>
  </si>
  <si>
    <t>HIRA SAPKOTA</t>
  </si>
  <si>
    <t>Hum Bahadur Chaudhary</t>
  </si>
  <si>
    <t>Kada Devi regmi</t>
  </si>
  <si>
    <t>KALPANA SHARMA</t>
  </si>
  <si>
    <t>KAMALA BHANDARI</t>
  </si>
  <si>
    <t>KAMALA CHAND</t>
  </si>
  <si>
    <t>Kamala Devi Bhandari</t>
  </si>
  <si>
    <t>Kamala Paudel</t>
  </si>
  <si>
    <t>KAUSHAL NEPALI</t>
  </si>
  <si>
    <t>Kesari Dangi</t>
  </si>
  <si>
    <t>Keshav Paudel</t>
  </si>
  <si>
    <t>KHIM RAJ KHANAL</t>
  </si>
  <si>
    <t>Khima Rana Sharma</t>
  </si>
  <si>
    <t>KHUMA KUMARI BHANDARI</t>
  </si>
  <si>
    <t>KHURKHUR CHAUDHARY</t>
  </si>
  <si>
    <t>KISHWOR PODEL</t>
  </si>
  <si>
    <t>Krishna Bahadur Budha</t>
  </si>
  <si>
    <t>LAXMAN JUNG SHAH</t>
  </si>
  <si>
    <t>LAXMI KC</t>
  </si>
  <si>
    <t>LAXMI KUMARI YOGI</t>
  </si>
  <si>
    <t>Madhukar Dangi</t>
  </si>
  <si>
    <t>Man Bahadur Basnet</t>
  </si>
  <si>
    <t>MAN BAHADUR CHAUDHARY</t>
  </si>
  <si>
    <t>MANOJ YOGI</t>
  </si>
  <si>
    <t>Mina Adhikari</t>
  </si>
  <si>
    <t>Mina Khatri</t>
  </si>
  <si>
    <t>MOHAN BAHADUR DANGI</t>
  </si>
  <si>
    <t>MOHAN BUDHATHOKI</t>
  </si>
  <si>
    <t>MOTIKALA DANGI</t>
  </si>
  <si>
    <t>AJAY KHANAL</t>
  </si>
  <si>
    <t>BAL SINGH KC</t>
  </si>
  <si>
    <t>BALARAM BASNET</t>
  </si>
  <si>
    <t>BASHANT OLI</t>
  </si>
  <si>
    <t>BHUWANESHWAR ACHARYA</t>
  </si>
  <si>
    <t>BINOD DEVKOTA</t>
  </si>
  <si>
    <t>BINOD RANA</t>
  </si>
  <si>
    <t>BISHNU KHANAL</t>
  </si>
  <si>
    <t>DILIP GHARTI</t>
  </si>
  <si>
    <t>DILIP SAPKOTA</t>
  </si>
  <si>
    <t>DILLI RAJ RAJAURE</t>
  </si>
  <si>
    <t>DORNA MAHARA</t>
  </si>
  <si>
    <t>GAJENDRA BUDHATHOKI</t>
  </si>
  <si>
    <t>GHANSHYAM BK</t>
  </si>
  <si>
    <t>HIRA GIRI</t>
  </si>
  <si>
    <t>KAMAL K.C</t>
  </si>
  <si>
    <t>KHULAL KARKI</t>
  </si>
  <si>
    <t>MOHAN LAL OLI</t>
  </si>
  <si>
    <t>PREM BDR BASNET</t>
  </si>
  <si>
    <t>PREM BDR NEPALI</t>
  </si>
  <si>
    <t>PURNA BDR BISHWAKARMA</t>
  </si>
  <si>
    <t>RIKESH SAPKOTA</t>
  </si>
  <si>
    <t>RUDRA MANI SAPKOTA</t>
  </si>
  <si>
    <t>SURAJ BASNET</t>
  </si>
  <si>
    <t>TEK BAHADUR OLI</t>
  </si>
  <si>
    <t>TIKA RAM DHAKAL</t>
  </si>
  <si>
    <t>AMRIKALA DANGI</t>
  </si>
  <si>
    <t>ARATI BASNET</t>
  </si>
  <si>
    <t>BALIKA SAPKOTA</t>
  </si>
  <si>
    <t>BIPASHA SHARMA</t>
  </si>
  <si>
    <t>CHHATRA KUMARI BASNET</t>
  </si>
  <si>
    <t>DHANA BUDHATHOKI</t>
  </si>
  <si>
    <t>GITA BASNET</t>
  </si>
  <si>
    <t>LAXMI BASNET</t>
  </si>
  <si>
    <t>LAXMI DANGI</t>
  </si>
  <si>
    <t>MAYA KC</t>
  </si>
  <si>
    <t>NILIMA KHAREL</t>
  </si>
  <si>
    <t>PRITAM SHARMA</t>
  </si>
  <si>
    <t>SABITRA SHARMA</t>
  </si>
  <si>
    <t>SARASWATI SAPKOTA</t>
  </si>
  <si>
    <t>SASIKALA BK</t>
  </si>
  <si>
    <t>SUNITA K.C</t>
  </si>
  <si>
    <t>SUSHILA BASNET</t>
  </si>
  <si>
    <t>SUSHILA POUDEL</t>
  </si>
  <si>
    <t>SUSILA SAPKOTA</t>
  </si>
  <si>
    <t>SUSMA GIRI</t>
  </si>
  <si>
    <t>UMA DANGI</t>
  </si>
  <si>
    <t>Naresh Bhattarai</t>
  </si>
  <si>
    <t>NIRA CHAND</t>
  </si>
  <si>
    <t>NIRMALA DANGI</t>
  </si>
  <si>
    <t>NITA CHAND</t>
  </si>
  <si>
    <t>Parbata Bista</t>
  </si>
  <si>
    <t>PARBATA LAMICHHANE</t>
  </si>
  <si>
    <t>PARBATI ADHIKARI</t>
  </si>
  <si>
    <t>PRAMILA POKHAREL POUDEL</t>
  </si>
  <si>
    <t>PRATIMA GIRI</t>
  </si>
  <si>
    <t>PUSHPA BASNET</t>
  </si>
  <si>
    <t>Puspa Dangi</t>
  </si>
  <si>
    <t>RABINDRA OLI</t>
  </si>
  <si>
    <t>Rajesh Kumar Khadka</t>
  </si>
  <si>
    <t>Resham Bahadur B.K.</t>
  </si>
  <si>
    <t>Rewata Dhakal</t>
  </si>
  <si>
    <t>Ritu K.C.</t>
  </si>
  <si>
    <t>RUDRA PRASAD KHANAL</t>
  </si>
  <si>
    <t>Rupani Chaudhary</t>
  </si>
  <si>
    <t>SABITA KHADKA</t>
  </si>
  <si>
    <t>SABITRA OLI</t>
  </si>
  <si>
    <t>SAGAR CHAUDHARY</t>
  </si>
  <si>
    <t>SALUTRI BK</t>
  </si>
  <si>
    <t>SHANTA DANGI</t>
  </si>
  <si>
    <t>SHANTA OLI</t>
  </si>
  <si>
    <t>Sharad Paudel</t>
  </si>
  <si>
    <t>Shebak Rijal</t>
  </si>
  <si>
    <t>Shishir Rijal</t>
  </si>
  <si>
    <t>Shreyukta Paudel</t>
  </si>
  <si>
    <t>SHRISTI BC</t>
  </si>
  <si>
    <t>SHYAM KUMAR SHARMA</t>
  </si>
  <si>
    <t>Sita Singh</t>
  </si>
  <si>
    <t>SOHUNI CHAUDHARY</t>
  </si>
  <si>
    <t>Sudha Chaudhary</t>
  </si>
  <si>
    <t>SUKHA RAM CHAUDHARY</t>
  </si>
  <si>
    <t>SUKMATI CHAUDHARY</t>
  </si>
  <si>
    <t>SUTUSPA REGMI</t>
  </si>
  <si>
    <t>TARA PARIYAR</t>
  </si>
  <si>
    <t>Tekraj Regmi</t>
  </si>
  <si>
    <t>Tikaram Nepali</t>
  </si>
  <si>
    <t>Tulsi K.C.</t>
  </si>
  <si>
    <t>USHA BUDHA</t>
  </si>
  <si>
    <t>VIKRAM GAUTAM</t>
  </si>
  <si>
    <t>Yasna Thapa</t>
  </si>
  <si>
    <t>वडा नं.</t>
  </si>
  <si>
    <t>b]lv</t>
  </si>
  <si>
    <t>DHANIYA CHAUDHARY</t>
  </si>
  <si>
    <t>ANAR NEPALI</t>
  </si>
  <si>
    <t>SHIMA DANGI</t>
  </si>
  <si>
    <t>RAM K.C</t>
  </si>
  <si>
    <t>JAY MATI B.K</t>
  </si>
  <si>
    <t>SARITA RAWAT</t>
  </si>
  <si>
    <t>NISHA RAWAT</t>
  </si>
  <si>
    <t>PITAMBER GAUTAM</t>
  </si>
  <si>
    <t>PHATEY BAHADUR RAWAT</t>
  </si>
  <si>
    <t>SHANKAR RAWAT</t>
  </si>
  <si>
    <t>DIPAK GIRI</t>
  </si>
  <si>
    <t>KRISHNA GAUTAM</t>
  </si>
  <si>
    <t>GOPAL MALLA</t>
  </si>
  <si>
    <t>BIRAJ MALLA</t>
  </si>
  <si>
    <t>BIRKHA BAHADUR SHAHI</t>
  </si>
  <si>
    <t>SAROJ BHATTARAI</t>
  </si>
  <si>
    <t>KAMAL SHRESTHA</t>
  </si>
  <si>
    <t>LOKENDRA NEPALI</t>
  </si>
  <si>
    <t>SANJHANA B.K</t>
  </si>
  <si>
    <t>RITA OLI</t>
  </si>
  <si>
    <t>BISHNU OLI</t>
  </si>
  <si>
    <t>JHAGI BUDHATHOKI</t>
  </si>
  <si>
    <t xml:space="preserve">RUBI MAHARA </t>
  </si>
  <si>
    <t>BIMALA CHHINAL</t>
  </si>
  <si>
    <t>UHAR MAYA OLI</t>
  </si>
  <si>
    <t>DHIRENDRA RAWAT</t>
  </si>
  <si>
    <t>DINESH CHAND</t>
  </si>
  <si>
    <t>THAMAN OLI</t>
  </si>
  <si>
    <t>LAL BAHADUR PUN MAGAR</t>
  </si>
  <si>
    <t xml:space="preserve">TEK BAHADUR GAHA </t>
  </si>
  <si>
    <t>DURGA PRASAD KHATRI</t>
  </si>
  <si>
    <t>SANTOSH KUAMR CHAUDHARY</t>
  </si>
  <si>
    <t>JANAKI DHITAL</t>
  </si>
  <si>
    <t>SANJEEVANI K.C</t>
  </si>
  <si>
    <t>RITU KHATRI</t>
  </si>
  <si>
    <t>KUSUM KUAMRI KHADKA</t>
  </si>
  <si>
    <t>CHETA ADHIKARI</t>
  </si>
  <si>
    <t>DEVA BHANDARI</t>
  </si>
  <si>
    <t>KABITA GAUTAM</t>
  </si>
  <si>
    <t>KUSUM RANA</t>
  </si>
  <si>
    <t>SHIVA HARI GAUTAM</t>
  </si>
  <si>
    <t>GYAN BAHADUR OLI</t>
  </si>
  <si>
    <t>HARI THAPA</t>
  </si>
  <si>
    <t>SUBASH CHANDRA K.C</t>
  </si>
  <si>
    <t>PURSOTTAM PANTHI</t>
  </si>
  <si>
    <t>RAM BAHADUR CHAUDHARY</t>
  </si>
  <si>
    <t>RAJENDRA GAUTAM</t>
  </si>
  <si>
    <t>RAM KRISHNA SHRESTHA</t>
  </si>
  <si>
    <t>JHUPLAL OLI</t>
  </si>
  <si>
    <t>JHUPLAL KHADKA</t>
  </si>
  <si>
    <t>NANDA PRASAD DANGI</t>
  </si>
  <si>
    <t>RAM HARSHA RAJAURE</t>
  </si>
  <si>
    <t>KHADHANANDA ADHIKARI</t>
  </si>
  <si>
    <t>BHUPAL BK</t>
  </si>
  <si>
    <t>TOYANATH DHITAL</t>
  </si>
  <si>
    <t>BAMDEV ADHIKARI</t>
  </si>
  <si>
    <t>DIPAK BOHARA</t>
  </si>
  <si>
    <t>BAL KRISHNA CHAUDHARY</t>
  </si>
  <si>
    <t>BALIKA PANDEY</t>
  </si>
  <si>
    <t>SWARSWOTI B.K</t>
  </si>
  <si>
    <t>RADHA POUDEL</t>
  </si>
  <si>
    <t>LAXMI DHAKAL</t>
  </si>
  <si>
    <t>SARASWATI POKHAREL</t>
  </si>
  <si>
    <t>SUMITRA KC</t>
  </si>
  <si>
    <t>HARI BAHADUR THAPA</t>
  </si>
  <si>
    <t>MIUKUNDA KUAMR DEVKOTA</t>
  </si>
  <si>
    <t>KAMAL OLI</t>
  </si>
  <si>
    <t>DURGA PRASAD JAISI</t>
  </si>
  <si>
    <t xml:space="preserve">BED BAHADUR OLI </t>
  </si>
  <si>
    <t>GOVINDA PRASAD POKHAREL</t>
  </si>
  <si>
    <t>LAL BAHADUR KAHTRI</t>
  </si>
  <si>
    <t>YASODHA DANGI</t>
  </si>
  <si>
    <t>JIVA SUBEDI</t>
  </si>
  <si>
    <t>BISHNU BASNET</t>
  </si>
  <si>
    <t>PARKASH K.C</t>
  </si>
  <si>
    <t>SHER BAHADUR DANGI</t>
  </si>
  <si>
    <t>GANESH BUDHATHOKI</t>
  </si>
  <si>
    <t>MAN BAHADUR SHRESTHA</t>
  </si>
  <si>
    <t xml:space="preserve">ASHOK KUMAR SHARMA </t>
  </si>
  <si>
    <t>BARSHA SHARMA</t>
  </si>
  <si>
    <t>DHANI KUAMRI DANGI</t>
  </si>
  <si>
    <t>RAMA KAHDKA</t>
  </si>
  <si>
    <t xml:space="preserve">ANJALI VERMA </t>
  </si>
  <si>
    <t>DHANA DANGI</t>
  </si>
  <si>
    <t>BIMALA DANGI</t>
  </si>
  <si>
    <t>SHYANKU RAWAT</t>
  </si>
  <si>
    <t xml:space="preserve">MOHAN BK </t>
  </si>
  <si>
    <t>MOHAN LAL DANGI</t>
  </si>
  <si>
    <t>RAJU ADHIKARI</t>
  </si>
  <si>
    <t>BEL BAHADUR BUDHATHOKI</t>
  </si>
  <si>
    <t xml:space="preserve">KHIM BAHADUR BATHA </t>
  </si>
  <si>
    <t xml:space="preserve">KUMAR JUNG KHADKA </t>
  </si>
  <si>
    <t>GAURI BHANDARI</t>
  </si>
  <si>
    <t>OJH BAHADUR BASNET CHAILAI</t>
  </si>
  <si>
    <t>PRAKASH BHANDARI</t>
  </si>
  <si>
    <t>B.S diagnostic Polyclinic</t>
  </si>
  <si>
    <t>Balika Khatri Chhetri</t>
  </si>
  <si>
    <t>Bhim Bahdur Chaudhary</t>
  </si>
  <si>
    <t>Bhupendra Reule</t>
  </si>
  <si>
    <t>BIBHU SHARMA</t>
  </si>
  <si>
    <t>Bijay Khadka</t>
  </si>
  <si>
    <t>BIMALA BANIYA</t>
  </si>
  <si>
    <t>Bir Bahadur Khatri</t>
  </si>
  <si>
    <t>BISHAL CHAUDHARY</t>
  </si>
  <si>
    <t>BRIJBHAN KUSHWAHA</t>
  </si>
  <si>
    <t>CHANDAR CHAUDHARY</t>
  </si>
  <si>
    <t>CHET KANT SAPKOTA</t>
  </si>
  <si>
    <t>Chitra Bahadur K.C.</t>
  </si>
  <si>
    <t>CHYATNA CHAUDHARY</t>
  </si>
  <si>
    <t>Deepika Basnet</t>
  </si>
  <si>
    <t>Dev Kumari Khadka</t>
  </si>
  <si>
    <t>DILA BHUSAL</t>
  </si>
  <si>
    <t>Dipak Nepali</t>
  </si>
  <si>
    <t>Giriraj Adhikari</t>
  </si>
  <si>
    <t>Giriraj Subedi</t>
  </si>
  <si>
    <t>Goma Oli</t>
  </si>
  <si>
    <t>Hemanta Thapa</t>
  </si>
  <si>
    <t>INDRA MAYA SHRESTHA</t>
  </si>
  <si>
    <t>Jhup Lal Oli</t>
  </si>
  <si>
    <t>Khima Budhathoki</t>
  </si>
  <si>
    <t>Kumari Sita Khadka</t>
  </si>
  <si>
    <t>LAL BAHADUR RAWAT</t>
  </si>
  <si>
    <t>LAXMI CHAUDHARY</t>
  </si>
  <si>
    <t>MADAN MOHAN GAUTAM</t>
  </si>
  <si>
    <t>MAN BAHADUR BUDHA</t>
  </si>
  <si>
    <t>MANOJ GURUNG</t>
  </si>
  <si>
    <t>MINA DANGI</t>
  </si>
  <si>
    <t>Nabdip Oli</t>
  </si>
  <si>
    <t>NABIN RAI</t>
  </si>
  <si>
    <t>NEB BAHADUR BASNET</t>
  </si>
  <si>
    <t>Netra Bahadur Bhandari</t>
  </si>
  <si>
    <t>NIMA RAWAT</t>
  </si>
  <si>
    <t>NISA PUN MAGAR</t>
  </si>
  <si>
    <t>OKHINDAR SHAHADA</t>
  </si>
  <si>
    <t>Prabin Oli</t>
  </si>
  <si>
    <t>PRAMILA OLI</t>
  </si>
  <si>
    <t>PUSPA NEPALI</t>
  </si>
  <si>
    <t>RABINDRA NEPALI</t>
  </si>
  <si>
    <t>RAM CHANDRA CHAUDHARY</t>
  </si>
  <si>
    <t>RAM KUMARI CHAUDHARY</t>
  </si>
  <si>
    <t>Rohit K.C.</t>
  </si>
  <si>
    <t>ROHIT KUMAR LABH</t>
  </si>
  <si>
    <t>SRIJANA THAPALIYA</t>
  </si>
  <si>
    <t>Swostika G.C.</t>
  </si>
  <si>
    <t>TARA BAHADUR RAWAT</t>
  </si>
  <si>
    <t>TEK BAHADUR BUDHA MAGAR</t>
  </si>
  <si>
    <t>Tek Bahadur Dangi</t>
  </si>
  <si>
    <t>TULASHA DANGI</t>
  </si>
  <si>
    <t>Tulsa Basnet</t>
  </si>
  <si>
    <t>Yasodha Khadka</t>
  </si>
  <si>
    <t>HAMS Hospital</t>
  </si>
  <si>
    <t>बेलझुण्डी आइसोलेसन</t>
  </si>
  <si>
    <t>Bheri Hospital</t>
  </si>
  <si>
    <t>NGMC Kohalpur</t>
  </si>
  <si>
    <t>RAHS</t>
  </si>
  <si>
    <t>Nanda Kala Oli</t>
  </si>
  <si>
    <t>lbpF;f]</t>
  </si>
  <si>
    <t>Kamala Oli</t>
  </si>
  <si>
    <t>REKHA NEUPANE</t>
  </si>
  <si>
    <t>INDIRA NEUPANE</t>
  </si>
  <si>
    <t>SANDIP BHANDARI</t>
  </si>
  <si>
    <t>Srijana Khadka</t>
  </si>
  <si>
    <t>SIMA DANGI</t>
  </si>
  <si>
    <t>NARAYAN GIRI</t>
  </si>
  <si>
    <t>GITA KHADKA</t>
  </si>
  <si>
    <t>ROSHAN GAUTAM</t>
  </si>
  <si>
    <t>RAJU CHAUDHARY</t>
  </si>
  <si>
    <t>Uttar Bohara</t>
  </si>
  <si>
    <t>ASMITA LAMICHHANE</t>
  </si>
  <si>
    <t>DHARMA RAJ OLI</t>
  </si>
  <si>
    <t>Susmita Basnet</t>
  </si>
  <si>
    <t>MANOJ K.C</t>
  </si>
  <si>
    <t>Netra Bahadur Budhathoki</t>
  </si>
  <si>
    <t>Sunita Pun</t>
  </si>
  <si>
    <t>SUMITRA ACHARYA</t>
  </si>
  <si>
    <t>HARI BHATTRAI</t>
  </si>
  <si>
    <t>AARATI DEVKOTA</t>
  </si>
  <si>
    <t>Jhalak Bista</t>
  </si>
  <si>
    <t>NISHA ADHIKARI</t>
  </si>
  <si>
    <t>NISHA BHATTARAI</t>
  </si>
  <si>
    <t>SUSHMA OLI</t>
  </si>
  <si>
    <t>PRIYANKA SHRESTHA</t>
  </si>
  <si>
    <t>BIJAY SHAH</t>
  </si>
  <si>
    <t>JANAKA THAPA</t>
  </si>
  <si>
    <t>SUDIP K.C</t>
  </si>
  <si>
    <t>ANITA DANGI</t>
  </si>
  <si>
    <t>SANTOSH NEUPANE</t>
  </si>
  <si>
    <t>TIKA RAM GHARTI</t>
  </si>
  <si>
    <t>Dil Kumari Thapa</t>
  </si>
  <si>
    <t>Kabita B.K.</t>
  </si>
  <si>
    <t>MOTI RAM KHADKA</t>
  </si>
  <si>
    <t>SUDAN GHARTI MAGAR</t>
  </si>
  <si>
    <t>BABIN SHRESTHA</t>
  </si>
  <si>
    <t>NARAJAN BHANDARI</t>
  </si>
  <si>
    <t>GITA THAPA</t>
  </si>
  <si>
    <t>Khuma Gharti</t>
  </si>
  <si>
    <t>ARUN KUMAI</t>
  </si>
  <si>
    <t>NAVRAJ OLI</t>
  </si>
  <si>
    <t>DEVIKALA K.C</t>
  </si>
  <si>
    <t>Chiranjibi Dhakal</t>
  </si>
  <si>
    <t>GHANSHYAM K.C</t>
  </si>
  <si>
    <t>Purnima Khadka</t>
  </si>
  <si>
    <t>KAMAL BAHADUR OLI</t>
  </si>
  <si>
    <t>SAMIR DANGI</t>
  </si>
  <si>
    <t>SUNIL BUDHA</t>
  </si>
  <si>
    <t>TIKA GAUTAM</t>
  </si>
  <si>
    <t>PUJA GHARTI</t>
  </si>
  <si>
    <t>ROSHANI TAMANG</t>
  </si>
  <si>
    <t>Nav Raj Kharal</t>
  </si>
  <si>
    <t>GANESH REGMI</t>
  </si>
  <si>
    <t>RESHAM CHAUDHARY</t>
  </si>
  <si>
    <t>HIRA SOTI</t>
  </si>
  <si>
    <t>SHANTA BASHYAL</t>
  </si>
  <si>
    <t>Madhava Neupane</t>
  </si>
  <si>
    <t>KALPANA SHRESTHA</t>
  </si>
  <si>
    <t>Rama Lama</t>
  </si>
  <si>
    <t>TULSHI RAM DANGI</t>
  </si>
  <si>
    <t>DIPAK DANGI</t>
  </si>
  <si>
    <t>TULSI GIRI</t>
  </si>
  <si>
    <t>INDRA BUDHA</t>
  </si>
  <si>
    <t>Tek Bahadur B.K.</t>
  </si>
  <si>
    <t>SAROJ OLI</t>
  </si>
  <si>
    <t>Mina Karki</t>
  </si>
  <si>
    <t>KALPANA CHAUDHARY</t>
  </si>
  <si>
    <t>DEV BAHADUR BUDHATHOKI</t>
  </si>
  <si>
    <t>KALPANA NEPALI</t>
  </si>
  <si>
    <t>SANTI OLI</t>
  </si>
  <si>
    <t>RAMESH MALLA</t>
  </si>
  <si>
    <t>SHIVA RAJ GIRI</t>
  </si>
  <si>
    <t>SUJAN SHRESTHA</t>
  </si>
  <si>
    <t>Dil Maya K.C.</t>
  </si>
  <si>
    <t>BASHUDEV RIJAL</t>
  </si>
  <si>
    <t>JUGAL KISHOR THAKUR</t>
  </si>
  <si>
    <t>SHEKHAR PANDEY</t>
  </si>
  <si>
    <t>Sailendra Kumar Oli</t>
  </si>
  <si>
    <t>Motilal Budhathoki</t>
  </si>
  <si>
    <t>SANTOSH KUMAR PUN</t>
  </si>
  <si>
    <t>RIM BAHADUR CHAUDHARY</t>
  </si>
  <si>
    <t>BHAGATI KHANAL</t>
  </si>
  <si>
    <t>MAYA BASNET</t>
  </si>
  <si>
    <t>JAGAT BAHADUR RIJAL</t>
  </si>
  <si>
    <t>KAUSHILA NEPALI</t>
  </si>
  <si>
    <t>RAMA GIRI</t>
  </si>
  <si>
    <t>Gita Kumari Khadka Oli</t>
  </si>
  <si>
    <t>MEGHRAJ YOGI</t>
  </si>
  <si>
    <t>Pahal Bahadur Budha</t>
  </si>
  <si>
    <t>NOIMA CHAUDHARY</t>
  </si>
  <si>
    <t>Bed Bahadur Karki</t>
  </si>
  <si>
    <t>PRABIN GIRI</t>
  </si>
  <si>
    <t>PREM KUAMRI SOMAI MAGAR</t>
  </si>
  <si>
    <t>Bishnu Oli</t>
  </si>
  <si>
    <t>Kalpana Khadka</t>
  </si>
  <si>
    <t>MAYA CHAUDHARY</t>
  </si>
  <si>
    <t>SHRIJANA SHARMA</t>
  </si>
  <si>
    <t>DIPENDRA PRAKASH D.C</t>
  </si>
  <si>
    <t>Gyanu Pun</t>
  </si>
  <si>
    <t>GOPAL PRASAD DEVKOTA</t>
  </si>
  <si>
    <t>Mahesh Basnet</t>
  </si>
  <si>
    <t>Indra Bahadur Khadka</t>
  </si>
  <si>
    <t>TOPLAL DANGI</t>
  </si>
  <si>
    <t>MINA GAULE</t>
  </si>
  <si>
    <t>Shova Bhandari</t>
  </si>
  <si>
    <t>MINA BHUSHAL</t>
  </si>
  <si>
    <t>BASANTA RAI</t>
  </si>
  <si>
    <t>KHAKENDRA PRASAD UPADHYAYA</t>
  </si>
  <si>
    <t>TILAK BHANDARI</t>
  </si>
  <si>
    <t>NARAYAN BHUSAL</t>
  </si>
  <si>
    <t>RAJ KUMAR CHAUDHARY</t>
  </si>
  <si>
    <t>PABITRA K.C</t>
  </si>
  <si>
    <t>Kamala Rawat</t>
  </si>
  <si>
    <t>SAMBHU NEUPANE</t>
  </si>
  <si>
    <t>SURESH HAMAL</t>
  </si>
  <si>
    <t>YAM NARAYAN POKHREL</t>
  </si>
  <si>
    <t>SITA BHANDARI</t>
  </si>
  <si>
    <t>TILAK BAHADUR BASNET</t>
  </si>
  <si>
    <t>SHANKAR KHADKA</t>
  </si>
  <si>
    <t>BIMALA BUDHATHOKI</t>
  </si>
  <si>
    <t>KHEL RAJ NEPALI</t>
  </si>
  <si>
    <t>DEVIKA K.C</t>
  </si>
  <si>
    <t>SUSHMA BASNET</t>
  </si>
  <si>
    <t>PRAKASH K.C</t>
  </si>
  <si>
    <t>PABITRA ACHARYA</t>
  </si>
  <si>
    <t>RAM BAHADUR BUDHA</t>
  </si>
  <si>
    <t>KRISHNA OLI</t>
  </si>
  <si>
    <t>GANESH BHANDARI</t>
  </si>
  <si>
    <t>TOPLAL BHUSAL</t>
  </si>
  <si>
    <t>Hastaram Khadka</t>
  </si>
  <si>
    <t>NIMA BHANDARI</t>
  </si>
  <si>
    <t>Narayani Adhikari</t>
  </si>
  <si>
    <t>Khagi Devi Dangi</t>
  </si>
  <si>
    <t>Deurupi Khadka</t>
  </si>
  <si>
    <t>OM PRAKASH DHAKAL</t>
  </si>
  <si>
    <t>DURGA BUDHATHOKI</t>
  </si>
  <si>
    <t>Rup Bahadur Khati</t>
  </si>
  <si>
    <t>SHANTA KC</t>
  </si>
  <si>
    <t>Navaratri Khatri</t>
  </si>
  <si>
    <t>RAJ KUMAR BK</t>
  </si>
  <si>
    <t>SHOVA SHRESTHA</t>
  </si>
  <si>
    <t>TOP BAHADUR PARIYAR</t>
  </si>
  <si>
    <t>KUMARI BK</t>
  </si>
  <si>
    <t>SUSHIL SHRESTHA</t>
  </si>
  <si>
    <t>PREM YOGI</t>
  </si>
  <si>
    <t>PREMA YOGI</t>
  </si>
  <si>
    <t>SHIBA KUMARI BASNET</t>
  </si>
  <si>
    <t>DILLI PRASAD NEUPANE</t>
  </si>
  <si>
    <t>TANKA RAJ GIRI</t>
  </si>
  <si>
    <t>PARBATA POKHAREL</t>
  </si>
  <si>
    <t>Shova Sunar</t>
  </si>
  <si>
    <t>Dhaniram Chaudhary</t>
  </si>
  <si>
    <t>Tank Bahadur Nepali</t>
  </si>
  <si>
    <t>HARIKALA BASHYAL</t>
  </si>
  <si>
    <t>BHUMA KUMARI KUNWAR</t>
  </si>
  <si>
    <t>KHOPI RAM ADHIKARI</t>
  </si>
  <si>
    <t>Laxmi Giri</t>
  </si>
  <si>
    <t>DURPATI SUNAR</t>
  </si>
  <si>
    <t>UTTAM REGMI</t>
  </si>
  <si>
    <t>TULSI DANGI</t>
  </si>
  <si>
    <t>PHARENDRA RAJ ADHIKARI</t>
  </si>
  <si>
    <t>MUGU KUMARI HAMAL</t>
  </si>
  <si>
    <t>DHRUBA PRAKASH GIRI</t>
  </si>
  <si>
    <t>Namraj Jaisi</t>
  </si>
  <si>
    <t>DAL BAHADUR KANDEL</t>
  </si>
  <si>
    <t>Bhim Bahadur Oli</t>
  </si>
  <si>
    <t>GANESH CHAUDHARY</t>
  </si>
  <si>
    <t>Gehendra Basnet</t>
  </si>
  <si>
    <t>LILA KUMARI PANTHI</t>
  </si>
  <si>
    <t>TEK BAHADUR BOHARA</t>
  </si>
  <si>
    <t>RESHAM BAHADUR GHARTI</t>
  </si>
  <si>
    <t>SALIK RAM KUNWAR</t>
  </si>
  <si>
    <t>BIFUNI CHAUDHARY</t>
  </si>
  <si>
    <t>TULASA LAMICHHANE</t>
  </si>
  <si>
    <t>KESHAR BAHADUR SUNAR</t>
  </si>
  <si>
    <t>Bhuma Pariyar</t>
  </si>
  <si>
    <t>MADAN GIRI</t>
  </si>
  <si>
    <t>KAMAL B.K</t>
  </si>
  <si>
    <t>BABU RAM ACHARYA</t>
  </si>
  <si>
    <t>KHIM BAHADUR GHARTI</t>
  </si>
  <si>
    <t>HARI PRASAD POKHAREL</t>
  </si>
  <si>
    <t>Hotaram Basnet</t>
  </si>
  <si>
    <t>LILA KUMARI KHADKA</t>
  </si>
  <si>
    <t>BIR BAHADUR PUN MAGAR</t>
  </si>
  <si>
    <t>VIKY PUN</t>
  </si>
  <si>
    <t>MANI BUDHA MAGAR</t>
  </si>
  <si>
    <t>Churna Bahadur Rawat</t>
  </si>
  <si>
    <t>DHIRAJ KUNWAR</t>
  </si>
  <si>
    <t>MOHAN OLI</t>
  </si>
  <si>
    <t>TEK BAHADUR KHADKA</t>
  </si>
  <si>
    <t>PREM B.K</t>
  </si>
  <si>
    <t>TIKA DEVI DHAKAL</t>
  </si>
  <si>
    <t>BISHNU PRASAD PANTHI</t>
  </si>
  <si>
    <t>TARA PRASAD DANGI</t>
  </si>
  <si>
    <t>TANKA PRASAD REGMI</t>
  </si>
  <si>
    <t>KRISHNA BAHADUR BASNET</t>
  </si>
  <si>
    <t>Yandra Bdr Oli</t>
  </si>
  <si>
    <t>PRAKASH THAPA</t>
  </si>
  <si>
    <t>RADHIKA GAIRE</t>
  </si>
  <si>
    <t>DALE GHARTI</t>
  </si>
  <si>
    <t>BHAKTA BAHADUR BASNET</t>
  </si>
  <si>
    <t>BALIKA SHARMA</t>
  </si>
  <si>
    <t>TIKARAM KHATRI</t>
  </si>
  <si>
    <t>DILLI BAHADUR OLI</t>
  </si>
  <si>
    <t>Baliram B.K.</t>
  </si>
  <si>
    <t>DURGA POUDEL</t>
  </si>
  <si>
    <t>NIM KANT DHAKAL</t>
  </si>
  <si>
    <t>MURALI MANOHAR RAUNIYAR</t>
  </si>
  <si>
    <t>MOTI RAM OLI</t>
  </si>
  <si>
    <t>PREM KUAMR K.C</t>
  </si>
  <si>
    <t>HIM BAHADUR BUDHATHOKI</t>
  </si>
  <si>
    <t>Bhuma Khadka</t>
  </si>
  <si>
    <t>TULSIRAM GAIRE</t>
  </si>
  <si>
    <t>CHANDRAKALI OLI</t>
  </si>
  <si>
    <t>KHADKA BIR KHATRI</t>
  </si>
  <si>
    <t>KRISHNA BDR RAJBHANDARI</t>
  </si>
  <si>
    <t>NIMKANT REGMI</t>
  </si>
  <si>
    <t>SHARADA SHARMA</t>
  </si>
  <si>
    <t>TUK MAN K C</t>
  </si>
  <si>
    <t>TEK BAHADUR BASNET</t>
  </si>
  <si>
    <t>RADIKHA NEPALI</t>
  </si>
  <si>
    <t>BAHADUR BASNET</t>
  </si>
  <si>
    <t>12:30 a.m.</t>
  </si>
  <si>
    <t>Bhabishwar Bhusal</t>
  </si>
  <si>
    <t>ANU OLI</t>
  </si>
  <si>
    <t>ASHMITA KC</t>
  </si>
  <si>
    <t>BHANU BHAKTA KHANAL</t>
  </si>
  <si>
    <t>BHIMA MIA</t>
  </si>
  <si>
    <t>Bhum lal pokhrel</t>
  </si>
  <si>
    <t>Bhuwan Bhandari</t>
  </si>
  <si>
    <t>BUDDHI MATI DHITAL</t>
  </si>
  <si>
    <t>CHANDRAMAN KHADKA</t>
  </si>
  <si>
    <t>DAL BAHADUR KC</t>
  </si>
  <si>
    <t>DHUNDI RAJ SHARMA</t>
  </si>
  <si>
    <t>DIL BAHADUR KHADKA</t>
  </si>
  <si>
    <t>DILLI RAJ ACHARYA</t>
  </si>
  <si>
    <t>DIPAK GHALE</t>
  </si>
  <si>
    <t>DOMA KUMARI BHUSHAL</t>
  </si>
  <si>
    <t>HARI KUMARI BHUSHAL</t>
  </si>
  <si>
    <t>HEMRAJ ADHIKARI</t>
  </si>
  <si>
    <t>HIMLAL CHAUDHARY</t>
  </si>
  <si>
    <t>HIRAP THAPA</t>
  </si>
  <si>
    <t>HOMI OLI</t>
  </si>
  <si>
    <t>ISHWORI BAHADUR KC</t>
  </si>
  <si>
    <t>JHABILAL GHIMIRE</t>
  </si>
  <si>
    <t>Kalasi Pariyar</t>
  </si>
  <si>
    <t>KESHARA BASNET</t>
  </si>
  <si>
    <t>KHUMA KC</t>
  </si>
  <si>
    <t>KUMARI DEVI KC</t>
  </si>
  <si>
    <t>MANKALI DAMAI</t>
  </si>
  <si>
    <t>Mankali Damai</t>
  </si>
  <si>
    <t>MAYA RIJAL</t>
  </si>
  <si>
    <t>MITRA DEVI BHATTARAI</t>
  </si>
  <si>
    <t>MOTI KUMARI NEPALI</t>
  </si>
  <si>
    <t>HARSHA BAHADUR DANGI</t>
  </si>
  <si>
    <t>KHAGENDRA POKHREL</t>
  </si>
  <si>
    <t>RABINDRA SHARMA</t>
  </si>
  <si>
    <t>TIKAM KHATRI</t>
  </si>
  <si>
    <t>HIRA DANGI</t>
  </si>
  <si>
    <t>INDIRA POKHREL</t>
  </si>
  <si>
    <t>NARAYAN BHANDARI</t>
  </si>
  <si>
    <t>PADAM SHAHA</t>
  </si>
  <si>
    <t>PARMILA DAHAL</t>
  </si>
  <si>
    <t>POOJA KC</t>
  </si>
  <si>
    <t>PRADEEP THAPA</t>
  </si>
  <si>
    <t>PRASADI THARU</t>
  </si>
  <si>
    <t>PRASAMSHA BASNET</t>
  </si>
  <si>
    <t>Rabindra Sharma</t>
  </si>
  <si>
    <t>RADHA DEVI DEVKOTA</t>
  </si>
  <si>
    <t>RAJESH KUMAR GUPTA</t>
  </si>
  <si>
    <t>Sajita Gurung</t>
  </si>
  <si>
    <t>SANTOSHI CHAUDHARY</t>
  </si>
  <si>
    <t>SHREESH KHADKA</t>
  </si>
  <si>
    <t>Tank Prasad Neupane</t>
  </si>
  <si>
    <t>TARA BAHADUR RANA</t>
  </si>
  <si>
    <t>Tir Bahadur Pun</t>
  </si>
  <si>
    <t>UJJWAL CHAUDHARY</t>
  </si>
  <si>
    <t>UMADATA DHITAL</t>
  </si>
  <si>
    <t>USHA CHAUDHARY</t>
  </si>
  <si>
    <t>YAMUNA ADHIKARI</t>
  </si>
  <si>
    <t>1/27/2078 death</t>
  </si>
  <si>
    <t>12:00 p.m.</t>
  </si>
  <si>
    <t>10:00 p.m.</t>
  </si>
  <si>
    <t>Kul Bahadur KC</t>
  </si>
  <si>
    <t>Min PSD BHUSAL</t>
  </si>
  <si>
    <t>2:00 a.m.</t>
  </si>
  <si>
    <t>GOPAL OLI</t>
  </si>
  <si>
    <t>MAN BDR CHAUDHARY</t>
  </si>
  <si>
    <t>PREM BDR KHATRI</t>
  </si>
  <si>
    <t>Ghanshyam Rana</t>
  </si>
  <si>
    <t>KAMANA BHANDARI YOGI</t>
  </si>
  <si>
    <t>LOK BDR BISHOWKARMA</t>
  </si>
  <si>
    <t>Shankar Chaudhary</t>
  </si>
  <si>
    <t>DAL JIT RISAILI</t>
  </si>
  <si>
    <t>GANESH BDR CHAUDHARY</t>
  </si>
  <si>
    <t>JAGGU DADAUDI</t>
  </si>
  <si>
    <t>KARNA BDR OLI</t>
  </si>
  <si>
    <t>KHIM RAJ BUDHATHOKI</t>
  </si>
  <si>
    <t>PURNA BAHADUR CHAUDHARY</t>
  </si>
  <si>
    <t>NEM BDR. K.C</t>
  </si>
  <si>
    <t>NIM BDR NEPALI</t>
  </si>
  <si>
    <t>Pradip Kathayat</t>
  </si>
  <si>
    <t>Bal Bdr Nepali</t>
  </si>
  <si>
    <t>KARAN BDR OLI</t>
  </si>
  <si>
    <t>KHUM BDR KHATRI</t>
  </si>
  <si>
    <t>YEM PSD ADHIKARI</t>
  </si>
  <si>
    <t>KALI RAM DANGI</t>
  </si>
  <si>
    <t>AJIT AMATYA</t>
  </si>
  <si>
    <t>HARI PRASAD BHUSAL</t>
  </si>
  <si>
    <t>LOK BAHADUR OLI</t>
  </si>
  <si>
    <t>RAJ KUMAR GUPTA</t>
  </si>
  <si>
    <t>NABIN DHAKAL</t>
  </si>
  <si>
    <t>RAJENDRA HAMAL</t>
  </si>
  <si>
    <t>Sher Bahadur Khadka</t>
  </si>
  <si>
    <t>TULARAM KHATRI</t>
  </si>
  <si>
    <t>Khim Bdr Khatri Chetri</t>
  </si>
  <si>
    <t>AASHISH BUDHATHOKI</t>
  </si>
  <si>
    <t>AJAY DHITAL</t>
  </si>
  <si>
    <t>BODHI LAL OLI</t>
  </si>
  <si>
    <t>KHALI RAM BOHARA</t>
  </si>
  <si>
    <t>Khim Lal Pandeya</t>
  </si>
  <si>
    <t>GANESH BASNET</t>
  </si>
  <si>
    <t>GYANENDRA PRASAD SHARMA</t>
  </si>
  <si>
    <t>KALI BAHADUR BASNET</t>
  </si>
  <si>
    <t>SHIVA HARI BASNET</t>
  </si>
  <si>
    <t>SHIVA SHRESTHA</t>
  </si>
  <si>
    <t>TEK BAHADUR RAWOT</t>
  </si>
  <si>
    <t>NANDA KUMARI RAI</t>
  </si>
  <si>
    <t>PARMOD POUDEL</t>
  </si>
  <si>
    <t>Prakhyat Majgaiya</t>
  </si>
  <si>
    <t>PRAMOD SUBEDI</t>
  </si>
  <si>
    <t>PURAN BDR DHAMI</t>
  </si>
  <si>
    <t>RAM DEV SHARMA</t>
  </si>
  <si>
    <t>Ravi Bhakta Shrestha</t>
  </si>
  <si>
    <t>RESHAM BHUSAL</t>
  </si>
  <si>
    <t>ROM BDR SHARKI</t>
  </si>
  <si>
    <t>Samrat B.K.</t>
  </si>
  <si>
    <t>SUJIT LAMICHANEE</t>
  </si>
  <si>
    <t>SURENDRA KAMI</t>
  </si>
  <si>
    <t>SURESH OLI</t>
  </si>
  <si>
    <t>THAKUR BUDA</t>
  </si>
  <si>
    <t>YOGA NANDA DHITAL</t>
  </si>
  <si>
    <t>CHABILAL CHAUDHARY</t>
  </si>
  <si>
    <t>CHANDRA DANGI</t>
  </si>
  <si>
    <t>HUM LAL BASNET</t>
  </si>
  <si>
    <t>GIRIRAJ NEUPANE</t>
  </si>
  <si>
    <t>KRISHNA BAHADUR ACHARYA</t>
  </si>
  <si>
    <t>NETRA BOGATI</t>
  </si>
  <si>
    <t>Shalik Ram Gautam</t>
  </si>
  <si>
    <t>SHER BDR BUDHATHOKI</t>
  </si>
  <si>
    <t>SUDIP NEPALI</t>
  </si>
  <si>
    <t>USHA BHUSAL</t>
  </si>
  <si>
    <t>KRISHNA BDR. NEPALI</t>
  </si>
  <si>
    <t>JIBAN KUMAR REULE</t>
  </si>
  <si>
    <t>UMESH KHAREL</t>
  </si>
  <si>
    <t>NOR BDR RISALI</t>
  </si>
  <si>
    <t>Rajan Oli</t>
  </si>
  <si>
    <t>AKSHYA KUMAR CHAND</t>
  </si>
  <si>
    <t>BHUPENDRA BISTA</t>
  </si>
  <si>
    <t>CHANDRA PRAKASH B.K</t>
  </si>
  <si>
    <t>DEV RAJ DANGI</t>
  </si>
  <si>
    <t>DHIRAJ PARIYAR</t>
  </si>
  <si>
    <t>DIPAK BHANDARI</t>
  </si>
  <si>
    <t>JAYNARU CHAUDHARY</t>
  </si>
  <si>
    <t>BINOD GHARTI MAGAR</t>
  </si>
  <si>
    <t>DAL BAHADUR GHARTI</t>
  </si>
  <si>
    <t>GOVINDA DANGI</t>
  </si>
  <si>
    <t>LEKHNATH SHARMA</t>
  </si>
  <si>
    <t>RAM PRASAD CHALISE</t>
  </si>
  <si>
    <t>DEDI BASYAL</t>
  </si>
  <si>
    <t>PREM BDR RANA CHATTRI</t>
  </si>
  <si>
    <t>SABINDRA OLI</t>
  </si>
  <si>
    <t>SUBARNA YOGI</t>
  </si>
  <si>
    <t>SUMAN ROKAYA</t>
  </si>
  <si>
    <t>SUNIL NEPALI</t>
  </si>
  <si>
    <t>BHIM BAHADUR B.K</t>
  </si>
  <si>
    <t>Nirmala Kawar</t>
  </si>
  <si>
    <t>OM PRAKASH SHAH</t>
  </si>
  <si>
    <t>BHIM DEV GIRI</t>
  </si>
  <si>
    <t>KAL RAM OLI</t>
  </si>
  <si>
    <t>Mabin Kumar Acharya</t>
  </si>
  <si>
    <t>BHIM BAHADUR KHATRI</t>
  </si>
  <si>
    <t>NANISHA SHARMA</t>
  </si>
  <si>
    <t>SHIVA B.K</t>
  </si>
  <si>
    <t>YAK RAJ PARIYAR</t>
  </si>
  <si>
    <t>BHAKTA BDR RIJAL</t>
  </si>
  <si>
    <t>BUDDHI BAHADUR SHRESTHA</t>
  </si>
  <si>
    <t>Samju Dhital</t>
  </si>
  <si>
    <t>Sebak Lamichhane</t>
  </si>
  <si>
    <t>Chandra Bahadur Chaudhary</t>
  </si>
  <si>
    <t>HARKA RAM BASNET</t>
  </si>
  <si>
    <t>NARAYAN K.C</t>
  </si>
  <si>
    <t>ROVER K.C</t>
  </si>
  <si>
    <t>Giri Raj Pandey</t>
  </si>
  <si>
    <t>Lila Raj B.C.</t>
  </si>
  <si>
    <t>MEGH RAJ BASNET</t>
  </si>
  <si>
    <t>Nim Bahadur Nepali</t>
  </si>
  <si>
    <t>Shalik Ram Khatri</t>
  </si>
  <si>
    <t>BHOJLAL CHAUDHARY</t>
  </si>
  <si>
    <t>CHET BDR OLI</t>
  </si>
  <si>
    <t>JANAK PUN</t>
  </si>
  <si>
    <t>POSHAN RAJ POUDEL</t>
  </si>
  <si>
    <t>RAJ BDR. NEPALI</t>
  </si>
  <si>
    <t>SAGAR THAPA</t>
  </si>
  <si>
    <t>Jhag Bahadur Khadka</t>
  </si>
  <si>
    <t>Karna Bahadur Pun</t>
  </si>
  <si>
    <t>Keshab Bahadur Khadka</t>
  </si>
  <si>
    <t>AMBIKA OLI</t>
  </si>
  <si>
    <t>LAXMI BHANDARI</t>
  </si>
  <si>
    <t>KHIMA YARI</t>
  </si>
  <si>
    <t>MANSONA OLI</t>
  </si>
  <si>
    <t>Renuka Bhusal</t>
  </si>
  <si>
    <t>Basanti Pariyar</t>
  </si>
  <si>
    <t>GAN KUMARI RAWAL</t>
  </si>
  <si>
    <t>GITA KUMARI HAMAL</t>
  </si>
  <si>
    <t>KESHARI DANGI</t>
  </si>
  <si>
    <t>Maya Roka</t>
  </si>
  <si>
    <t>ALIJA AMATYA</t>
  </si>
  <si>
    <t>BINA CHAUDHARY</t>
  </si>
  <si>
    <t>BINA SHRESTHA</t>
  </si>
  <si>
    <t>NIVA HAMAL</t>
  </si>
  <si>
    <t>PABITRA K.C GC</t>
  </si>
  <si>
    <t>RABINA CHAUDHARY</t>
  </si>
  <si>
    <t>RAMA K.C</t>
  </si>
  <si>
    <t>RESHMI K.C</t>
  </si>
  <si>
    <t>SITA SUMAWAR</t>
  </si>
  <si>
    <t>SUSHMA CHAND</t>
  </si>
  <si>
    <t>SUSHMA THAPA</t>
  </si>
  <si>
    <t>Yamkala Giri</t>
  </si>
  <si>
    <t>IVHA BASNET</t>
  </si>
  <si>
    <t>AAITI NEPALI</t>
  </si>
  <si>
    <t>Anita Chaudhary</t>
  </si>
  <si>
    <t>ASTHA ACHARYA</t>
  </si>
  <si>
    <t>BHEK KUMARI K.C</t>
  </si>
  <si>
    <t>INDRA OLI</t>
  </si>
  <si>
    <t>MINA K.C</t>
  </si>
  <si>
    <t>BHAGABAT ACHARYA</t>
  </si>
  <si>
    <t>INDIRA ACHARYA</t>
  </si>
  <si>
    <t>KAMALA KHADKA</t>
  </si>
  <si>
    <t>MINA KUMARI BASNET</t>
  </si>
  <si>
    <t>MINA LARH</t>
  </si>
  <si>
    <t>PARBATI CHANARA</t>
  </si>
  <si>
    <t>PARBATI LAMICHHANE</t>
  </si>
  <si>
    <t>SABITA OLI</t>
  </si>
  <si>
    <t>SAMIKSHYA B.K</t>
  </si>
  <si>
    <t>SUSHMA K.C</t>
  </si>
  <si>
    <t>NIMA GIRI</t>
  </si>
  <si>
    <t>NRMALA KHATRI</t>
  </si>
  <si>
    <t>SABITRA BHANDARI</t>
  </si>
  <si>
    <t>SANGITA POUDEL</t>
  </si>
  <si>
    <t>SARITA DANGI</t>
  </si>
  <si>
    <t>SARSHOWATI BHUSAL</t>
  </si>
  <si>
    <t>SHILA RAJAURE</t>
  </si>
  <si>
    <t>SUSHMITA REGMI</t>
  </si>
  <si>
    <t>TIRKHA DANGI</t>
  </si>
  <si>
    <t>Tulasha Kharka</t>
  </si>
  <si>
    <t>AMRITA BHANDARI</t>
  </si>
  <si>
    <t>Bishnu Kumari K.C.</t>
  </si>
  <si>
    <t>GAITRI OLI</t>
  </si>
  <si>
    <t>KAMALA KHATRI</t>
  </si>
  <si>
    <t>LAXMI BUDHATHOKI</t>
  </si>
  <si>
    <t>Manisha Adhikari</t>
  </si>
  <si>
    <t>MOTI DEVI RIJAL</t>
  </si>
  <si>
    <t>MAYA PUN</t>
  </si>
  <si>
    <t>BUDDHIRAM CHAUDHARY</t>
  </si>
  <si>
    <t>SHANTA G.M</t>
  </si>
  <si>
    <t>SHARMILA BASNET</t>
  </si>
  <si>
    <t>SHOP KUMARI RAWAT</t>
  </si>
  <si>
    <t>BASANTI OLI</t>
  </si>
  <si>
    <t>CHANDRA DEVI BHUSHAL</t>
  </si>
  <si>
    <t>DEVI KUMARI ROKA</t>
  </si>
  <si>
    <t>LAXMI KUMARI HAMAL</t>
  </si>
  <si>
    <t>DEVI GHARTI</t>
  </si>
  <si>
    <t>KAMALA RAWAT</t>
  </si>
  <si>
    <t>SHITLA THAPA</t>
  </si>
  <si>
    <t>USHA BISTA</t>
  </si>
  <si>
    <t>KRITU CHAUDHARY</t>
  </si>
  <si>
    <t>JIKA GIRI</t>
  </si>
  <si>
    <t>DHANI OLI</t>
  </si>
  <si>
    <t>GIMA KHADKA</t>
  </si>
  <si>
    <t>GOMA POKHREL</t>
  </si>
  <si>
    <t>KESHARI GIRI</t>
  </si>
  <si>
    <t>MANJU B.K</t>
  </si>
  <si>
    <t>BINDU VAIDYA</t>
  </si>
  <si>
    <t>SARITA CHAUDHARY</t>
  </si>
  <si>
    <t>SARSHOWATI GHARTI</t>
  </si>
  <si>
    <t>Khima Pariyar</t>
  </si>
  <si>
    <t>Lily Dhital</t>
  </si>
  <si>
    <t>ISHOWRA KUMARI REGMI</t>
  </si>
  <si>
    <t>SAPANA SHARMA</t>
  </si>
  <si>
    <t>Goma Paudel</t>
  </si>
  <si>
    <t>Gyanu Maya Reule</t>
  </si>
  <si>
    <t>Khima Sharma</t>
  </si>
  <si>
    <t>Yuba Devi Pandey</t>
  </si>
  <si>
    <t>BASHANTI OLI</t>
  </si>
  <si>
    <t>DEVA ARYAL</t>
  </si>
  <si>
    <t>PARTIK OLI</t>
  </si>
  <si>
    <t>SAILAJA THAPA</t>
  </si>
  <si>
    <t>l/km/ s];</t>
  </si>
  <si>
    <t>t'n;Lk'/ pkdxfgu/kflnsfsf] bf;|f] r/0fsf] sf]le8 @)&amp;* a}zfv ! Uft]b]lv xfn;Ddsf] sf]/f]gf ck8]6</t>
  </si>
  <si>
    <t>Anit Subedi</t>
  </si>
  <si>
    <t>ANITA KC</t>
  </si>
  <si>
    <t>Ashika rajaure</t>
  </si>
  <si>
    <t>BABU RAM OLI</t>
  </si>
  <si>
    <t>BAGHI RAM KUNWAR</t>
  </si>
  <si>
    <t>BAL BAHADUR BHANDARI</t>
  </si>
  <si>
    <t>Basanta Bhandari</t>
  </si>
  <si>
    <t>BASMATI DANGI</t>
  </si>
  <si>
    <t>BIBEK DANGI</t>
  </si>
  <si>
    <t>BIKASH DANGI</t>
  </si>
  <si>
    <t>BIKASH SUNAR</t>
  </si>
  <si>
    <t>Binod Khadka</t>
  </si>
  <si>
    <t>BIR BAHADUR BUDHATHOKI</t>
  </si>
  <si>
    <t>BIR BAHADUR THAPA</t>
  </si>
  <si>
    <t>Bishnu Pariyar</t>
  </si>
  <si>
    <t>BUDDHI KHATRI</t>
  </si>
  <si>
    <t>Chandra Bahadur k.C.</t>
  </si>
  <si>
    <t>CHINTAMANI ACHARYA</t>
  </si>
  <si>
    <t>CHIRAN JIBI KC</t>
  </si>
  <si>
    <t>CHITRA BHANDARI</t>
  </si>
  <si>
    <t>CHITRA KC</t>
  </si>
  <si>
    <t>CHURAMANI RAJ GURUNG</t>
  </si>
  <si>
    <t>DAMBAR BAHADUR MALLA</t>
  </si>
  <si>
    <t>Damodar Sharma</t>
  </si>
  <si>
    <t>Dev Raj Khatri</t>
  </si>
  <si>
    <t>DEVENDRA BAIRAGI</t>
  </si>
  <si>
    <t>DIKCHYA ACHARY</t>
  </si>
  <si>
    <t>DIKSHYA DEVKOTA</t>
  </si>
  <si>
    <t>Dilli Raj Jaisi</t>
  </si>
  <si>
    <t>Geeta Gautam</t>
  </si>
  <si>
    <t>Gehendra Poudel</t>
  </si>
  <si>
    <t>GOPAL PRASHAD SHARMA</t>
  </si>
  <si>
    <t>GYAN BAHADUR BASNET</t>
  </si>
  <si>
    <t>HARI DAVI ACHARYA</t>
  </si>
  <si>
    <t>HARI HAR DEVKOTA</t>
  </si>
  <si>
    <t>Harikala Bista</t>
  </si>
  <si>
    <t>HASTA BAHADUR BASNET</t>
  </si>
  <si>
    <t>HEMANTA SHARMA</t>
  </si>
  <si>
    <t>INDIRA BUDHA</t>
  </si>
  <si>
    <t>ISHWORI BAHADUR ACHARYA</t>
  </si>
  <si>
    <t>Janaki Basnet</t>
  </si>
  <si>
    <t>JANAKI OLI</t>
  </si>
  <si>
    <t>JHUPLAL KUNWAR</t>
  </si>
  <si>
    <t>JUNU BASNET</t>
  </si>
  <si>
    <t>JYOTI PRASAD BASNET</t>
  </si>
  <si>
    <t>KALI PRASHAD NEPALI</t>
  </si>
  <si>
    <t>KAMAL BAHADUR BUDHATHOKI</t>
  </si>
  <si>
    <t>KAMALA B.K</t>
  </si>
  <si>
    <t>KARNA OLI</t>
  </si>
  <si>
    <t>Keshab Raj shrestha</t>
  </si>
  <si>
    <t>Khagendra Khadka</t>
  </si>
  <si>
    <t>Khagisara Khadka</t>
  </si>
  <si>
    <t>Kharma Bahadur Pun</t>
  </si>
  <si>
    <t>KHIM BAHADUR BASNET</t>
  </si>
  <si>
    <t>KHIM PRASAD BHANDARI</t>
  </si>
  <si>
    <t>KHIMA DANGI</t>
  </si>
  <si>
    <t>KHUMA KUMARI K.C OLI</t>
  </si>
  <si>
    <t>KHUSLAL CHAUDHARY</t>
  </si>
  <si>
    <t>Kiran Oli</t>
  </si>
  <si>
    <t>KIRTI BAHADUR OLI</t>
  </si>
  <si>
    <t>KRISHNI THAPA</t>
  </si>
  <si>
    <t>KUL BAHADUR BUDHATHOKI</t>
  </si>
  <si>
    <t>KUMAR THAPA</t>
  </si>
  <si>
    <t>KUMARI KAMALA DANGI</t>
  </si>
  <si>
    <t>LAL BAHADUR DANGI</t>
  </si>
  <si>
    <t>LAL BAHADUR DASH</t>
  </si>
  <si>
    <t>LAXMI DHITAL</t>
  </si>
  <si>
    <t>LAXMI NARAYAN ACHARYA</t>
  </si>
  <si>
    <t>LAXMI SHARMA</t>
  </si>
  <si>
    <t>LUGI BUDHATHOKI</t>
  </si>
  <si>
    <t>LUMA BASNET</t>
  </si>
  <si>
    <t>Madhav Poudel</t>
  </si>
  <si>
    <t>Mahabir Oli</t>
  </si>
  <si>
    <t>MAHANANDA GHIMIRE</t>
  </si>
  <si>
    <t>MANJU K.C</t>
  </si>
  <si>
    <t>MEGH RAJ ACHARYA</t>
  </si>
  <si>
    <t>Megraj Acharya</t>
  </si>
  <si>
    <t>MENAKA OLI</t>
  </si>
  <si>
    <t>MINA NEPALI</t>
  </si>
  <si>
    <t>Mohanlal Oli</t>
  </si>
  <si>
    <t>NARAYAN DEVKOTA</t>
  </si>
  <si>
    <t>NARAYANI K.C</t>
  </si>
  <si>
    <t>NIRMALA KHATRI</t>
  </si>
  <si>
    <t>PADMA KOIRAL</t>
  </si>
  <si>
    <t>PHATEY SINGH YOGI</t>
  </si>
  <si>
    <t>PRABIN OLI</t>
  </si>
  <si>
    <t>Prakash Chaudhary</t>
  </si>
  <si>
    <t>PRAKASH MAN OLI</t>
  </si>
  <si>
    <t>Pratikshya Rawal</t>
  </si>
  <si>
    <t>PREM BAHADUR BASNET</t>
  </si>
  <si>
    <t>PREM KALIL</t>
  </si>
  <si>
    <t>PREM KUMARI PUN</t>
  </si>
  <si>
    <t>RADHA ACHARYA</t>
  </si>
  <si>
    <t>RADHA DEVI BHANDARI</t>
  </si>
  <si>
    <t>RAJ BAHADUR NEPALI</t>
  </si>
  <si>
    <t>RAJU NEPALI</t>
  </si>
  <si>
    <t>Ram Kumari Khadka</t>
  </si>
  <si>
    <t>RAN PRASHAD BHATTRAI</t>
  </si>
  <si>
    <t>RANJITA KHANAL</t>
  </si>
  <si>
    <t>RITA KHATRI</t>
  </si>
  <si>
    <t>ROMA PANT</t>
  </si>
  <si>
    <t>RukminiPandey</t>
  </si>
  <si>
    <t>SABITRA POKHREL</t>
  </si>
  <si>
    <t>SACHA BAHADUR CHAUDHARY</t>
  </si>
  <si>
    <t>Samana Bista</t>
  </si>
  <si>
    <t>Samrat Basnet</t>
  </si>
  <si>
    <t>Samridhi Basnet</t>
  </si>
  <si>
    <t>Sandesh Basnet</t>
  </si>
  <si>
    <t>SANGAM KC</t>
  </si>
  <si>
    <t>SANJEEV ADHIKARI</t>
  </si>
  <si>
    <t>Santosh Adhikari</t>
  </si>
  <si>
    <t>Santosh Sharma</t>
  </si>
  <si>
    <t>Sarita Bhattarai</t>
  </si>
  <si>
    <t>Shankar Gautam</t>
  </si>
  <si>
    <t>Sharan Bhandari</t>
  </si>
  <si>
    <t>SHER BAHADUR CHAUDHARY</t>
  </si>
  <si>
    <t>Shiba Poudel</t>
  </si>
  <si>
    <t>SHIVA PRASAD NEUPANE</t>
  </si>
  <si>
    <t>SHOVA RAM TANDAN</t>
  </si>
  <si>
    <t>SIMLAL BHANDARI</t>
  </si>
  <si>
    <t>SITA BUDHATHOKI</t>
  </si>
  <si>
    <t>SUBASH DANGI</t>
  </si>
  <si>
    <t>Subhadra Poudel</t>
  </si>
  <si>
    <t>SUNITA PAUDEL</t>
  </si>
  <si>
    <t>Surendra Bahadur Oli</t>
  </si>
  <si>
    <t>SUSILA K.C</t>
  </si>
  <si>
    <t>Susma Nepali</t>
  </si>
  <si>
    <t>THAKUR KHAREL</t>
  </si>
  <si>
    <t>Tika Bhandari</t>
  </si>
  <si>
    <t>TIKARAM GURUNG</t>
  </si>
  <si>
    <t>TOLI BHUSHAL</t>
  </si>
  <si>
    <t>UMA BAIRAGI</t>
  </si>
  <si>
    <t>URMILA DHITAL</t>
  </si>
  <si>
    <t>YAGYA BAHADUR D.C</t>
  </si>
  <si>
    <t>YAMKANT KHAREL</t>
  </si>
  <si>
    <t>BAGESHWORI</t>
  </si>
  <si>
    <t>Mahendra Prasad Sharma</t>
  </si>
  <si>
    <t>Tulsipur Metro Isolation Hospital</t>
  </si>
  <si>
    <t>Kaluram Chaudhar</t>
  </si>
  <si>
    <t>Rapti Provincial Hospital</t>
  </si>
  <si>
    <t>11:00 p.m.</t>
  </si>
  <si>
    <t>Kaluram Chaudhary</t>
  </si>
  <si>
    <t>BINOD YOGI</t>
  </si>
  <si>
    <t>TULSI KUMARI BHANDARI</t>
  </si>
  <si>
    <t>DEEPENDRA CHAND</t>
  </si>
  <si>
    <t>GURU BAHADUR THAPA</t>
  </si>
  <si>
    <t>KRISHNA BAHADUR OLI</t>
  </si>
  <si>
    <t>PREM LAL CHAUDHARY</t>
  </si>
  <si>
    <t>YAMLAL GHIMIRE</t>
  </si>
  <si>
    <t>BIRMA KHATRI</t>
  </si>
  <si>
    <t>MINA PUN</t>
  </si>
  <si>
    <t>HARIKALA PANDEY</t>
  </si>
  <si>
    <t>BHUP BAHADUR KC</t>
  </si>
  <si>
    <t>BISHNU SHRESTHA</t>
  </si>
  <si>
    <t>SISHIR POKHRELL</t>
  </si>
  <si>
    <t>PIUS KC</t>
  </si>
  <si>
    <t>PRAJWOL ACHARYA</t>
  </si>
  <si>
    <t>PURNA BAHADUR KHATRI</t>
  </si>
  <si>
    <t>SAMEER ACHARYA</t>
  </si>
  <si>
    <t>AASHA NEPALI</t>
  </si>
  <si>
    <t>CHANDRA KUMARI DANGI</t>
  </si>
  <si>
    <t>CHHALI KHATRI</t>
  </si>
  <si>
    <t>BARSHA REGMI</t>
  </si>
  <si>
    <t>DILA KUMARI CHAND</t>
  </si>
  <si>
    <t>PUJA KC</t>
  </si>
  <si>
    <t>PUNAM KC</t>
  </si>
  <si>
    <t>YAMUNA SHAH</t>
  </si>
  <si>
    <t>DILLII BAHADUR BASNET</t>
  </si>
  <si>
    <t>MOHAN KHADKA</t>
  </si>
  <si>
    <t>PRAYAN SUNCHYURI</t>
  </si>
  <si>
    <t>PADAM BAHADUR KHATRI</t>
  </si>
  <si>
    <t>RAJENDRA PRASHAD SHARMA</t>
  </si>
  <si>
    <t>CHABA DEVI RANA</t>
  </si>
  <si>
    <t>Chandra Kala Bhusal</t>
  </si>
  <si>
    <t>MANKALI DANGI</t>
  </si>
  <si>
    <t>RITA BISHWOKARMA</t>
  </si>
  <si>
    <t>RANJU RANA</t>
  </si>
  <si>
    <t>UMA OLI</t>
  </si>
  <si>
    <t>CHABI LAL KC</t>
  </si>
  <si>
    <t>DORNA PRASHAD BHANDARI</t>
  </si>
  <si>
    <t>JEEVAN RIJAL</t>
  </si>
  <si>
    <t>NETRA MANI PARIYAR</t>
  </si>
  <si>
    <t>NIM BAHADUR CHAUDHARY</t>
  </si>
  <si>
    <t>MANISHA NEPALI</t>
  </si>
  <si>
    <t>PRATIVA GIRI</t>
  </si>
  <si>
    <t>RAMKALA PARIYAR</t>
  </si>
  <si>
    <t>CHITRA BAHADUR DANGI</t>
  </si>
  <si>
    <t>SHUSHMA SHAH</t>
  </si>
  <si>
    <t>AMAR REULE</t>
  </si>
  <si>
    <t>BISHNU YOGI</t>
  </si>
  <si>
    <t>GANESH NEPALI</t>
  </si>
  <si>
    <t>KALI BAHADUR SEJWAL</t>
  </si>
  <si>
    <t>RABILAL BHANDARI</t>
  </si>
  <si>
    <t>SURESH SUBEDI</t>
  </si>
  <si>
    <t>CHITRA KUMARI OLI</t>
  </si>
  <si>
    <t>KOMAL OLI</t>
  </si>
  <si>
    <t>SUNITA BK</t>
  </si>
  <si>
    <t>DEEPAK OLI</t>
  </si>
  <si>
    <t>GHANSHYAM DANGI</t>
  </si>
  <si>
    <t>KHUSARA KHADKA</t>
  </si>
  <si>
    <t>HARI BAHADUR DANGI</t>
  </si>
  <si>
    <t>TILAKRAM THARU</t>
  </si>
  <si>
    <t>KALURAM CHAUDHARY</t>
  </si>
  <si>
    <t>Ram Tharu</t>
  </si>
  <si>
    <t>KHAGI KUMARI BASNET</t>
  </si>
  <si>
    <t>KHIMA POKHREL</t>
  </si>
  <si>
    <t>SABITA PUN</t>
  </si>
  <si>
    <t>DAMBER BAHADUR BUDHATHOKI</t>
  </si>
  <si>
    <t>DHAK BDR BASNET</t>
  </si>
  <si>
    <t>PUNARAM KHADKA</t>
  </si>
  <si>
    <t>DHARMI KHADKA</t>
  </si>
  <si>
    <t>BIPLAP SHERPAILI</t>
  </si>
  <si>
    <t>NIMA KC</t>
  </si>
  <si>
    <t>Santoshi Magar</t>
  </si>
  <si>
    <t>10:45 a.m.</t>
  </si>
  <si>
    <t>gofF sf]/f]gf ;+s|ldt</t>
  </si>
  <si>
    <t>2:40 a.m.</t>
  </si>
  <si>
    <t>6:45 p.m.</t>
  </si>
  <si>
    <t>Prem Kumari Khadka</t>
  </si>
  <si>
    <t>6:00 a.m.</t>
  </si>
  <si>
    <t>4:45 a.m.</t>
  </si>
  <si>
    <t>PHAL DEVI KHADKA</t>
  </si>
  <si>
    <t>MINA BK</t>
  </si>
  <si>
    <t>NARESH CHAUDHARY</t>
  </si>
  <si>
    <t>SOWSTIKA SHARMA</t>
  </si>
  <si>
    <t>PADAM BAHADUR RIJAL</t>
  </si>
  <si>
    <t>MANISHA BK</t>
  </si>
  <si>
    <t>KHIM NARAYAN SHERESTHA</t>
  </si>
  <si>
    <t>Nanda Kumari K.C.</t>
  </si>
  <si>
    <t>HIMALAYA SHARMA</t>
  </si>
  <si>
    <t>GANESH KHADKA</t>
  </si>
  <si>
    <t>GIR BAHADUR K.C</t>
  </si>
  <si>
    <t>PADAM K.C</t>
  </si>
  <si>
    <t>Rohit Khadka</t>
  </si>
  <si>
    <t>BAJARI CHAUDHARY</t>
  </si>
  <si>
    <t>LAXMI HAMAL</t>
  </si>
  <si>
    <t>MENUKA DHANDARI</t>
  </si>
  <si>
    <t>PARBATI CHAUDHARY</t>
  </si>
  <si>
    <t>SANGITA K.C</t>
  </si>
  <si>
    <t>NIRMALA CHAUDHARY</t>
  </si>
  <si>
    <t>BHIM RAJ CHAUDHARY</t>
  </si>
  <si>
    <t>Keshab Raj Pokhrel</t>
  </si>
  <si>
    <t>MADHAV SUBEDI</t>
  </si>
  <si>
    <t>MAN BAHADUR KHATRI</t>
  </si>
  <si>
    <t>BHIM PRASHAD POKHREL</t>
  </si>
  <si>
    <t>MIN BAHADUR BISWOKARMA</t>
  </si>
  <si>
    <t>PREMA DEVI BISWOKARMA</t>
  </si>
  <si>
    <t>BIMALA BHANDARI</t>
  </si>
  <si>
    <t>DROPTI CHAUDHARY</t>
  </si>
  <si>
    <t>BHAGIRAM OLI</t>
  </si>
  <si>
    <t>DEBANDRA KHADKA</t>
  </si>
  <si>
    <t>DUTHYA CHAUDHARY</t>
  </si>
  <si>
    <t>Shova Kunwar</t>
  </si>
  <si>
    <t>AMAR SINGH PARIYAR</t>
  </si>
  <si>
    <t>AMIT KUMAR PARIYAR</t>
  </si>
  <si>
    <t>GITA PARIYAR</t>
  </si>
  <si>
    <t>DHURVA CHAUDHARY</t>
  </si>
  <si>
    <t>PURNA KUMARI HAMAL</t>
  </si>
  <si>
    <t>AAITY OLI</t>
  </si>
  <si>
    <t>KAUSHILA OLI</t>
  </si>
  <si>
    <t>Bharat Dangi</t>
  </si>
  <si>
    <t>JAGAT BIR CHAUDHARY</t>
  </si>
  <si>
    <t>KEBUL BDR THAPA</t>
  </si>
  <si>
    <t>ASMITA SINJALI</t>
  </si>
  <si>
    <t>MADHAVI DANGI</t>
  </si>
  <si>
    <t>Tilak Tama Dangi</t>
  </si>
  <si>
    <t>Roshan Khadka</t>
  </si>
  <si>
    <t>GIRI RAJ K.C</t>
  </si>
  <si>
    <t>SAIRAM THARU</t>
  </si>
  <si>
    <t>SHANTA CHAUDHARY</t>
  </si>
  <si>
    <t>SHEBAK RAM BUDHATHOKI</t>
  </si>
  <si>
    <t>Aasharam B.K.</t>
  </si>
  <si>
    <t>Man Bahadur Chaudhary</t>
  </si>
  <si>
    <t>Deepa Chaudhary</t>
  </si>
  <si>
    <t>DEEPA BASNET</t>
  </si>
  <si>
    <t>LOK MAYA BASNET</t>
  </si>
  <si>
    <t>RISHI RAM ADHIKARI</t>
  </si>
  <si>
    <t>RAMKALI BK</t>
  </si>
  <si>
    <t>4:00 a.m.</t>
  </si>
  <si>
    <t>l/km/ ePsf] ;+Vof</t>
  </si>
  <si>
    <t>l8:rfh{ ePsf] ;+Vof</t>
  </si>
  <si>
    <t>xfn pkrf/ eO/x]sf] ;+Vof</t>
  </si>
  <si>
    <t>hDdf egf{ ePsf] ;+Vof</t>
  </si>
  <si>
    <t xml:space="preserve">क्र.सं. </t>
  </si>
  <si>
    <t>स्थानीय तह</t>
  </si>
  <si>
    <t>ठेगाना</t>
  </si>
  <si>
    <t>प्रारम्भिक रिपोर्ट दिने प्रयोगशालाको नाम</t>
  </si>
  <si>
    <t>ल्याबबाट केश निदान भएको मिति</t>
  </si>
  <si>
    <t>Outcomeमिति</t>
  </si>
  <si>
    <t>Outcome</t>
  </si>
  <si>
    <t>टोल</t>
  </si>
  <si>
    <t>वडा नं</t>
  </si>
  <si>
    <t>अन्य</t>
  </si>
  <si>
    <t>समय</t>
  </si>
  <si>
    <t>मिति</t>
  </si>
  <si>
    <t>अभिभावक</t>
  </si>
  <si>
    <t xml:space="preserve">तुलसीपुर </t>
  </si>
  <si>
    <t>एकता</t>
  </si>
  <si>
    <t>देविस्थान</t>
  </si>
  <si>
    <t>छोरा</t>
  </si>
  <si>
    <t>श्रीमान</t>
  </si>
  <si>
    <t>दोघरे</t>
  </si>
  <si>
    <t>सुनवर्षा</t>
  </si>
  <si>
    <t>सल्यान</t>
  </si>
  <si>
    <t>कालीमाटी</t>
  </si>
  <si>
    <t>दंगीशरण</t>
  </si>
  <si>
    <t>बिजुलीपुर</t>
  </si>
  <si>
    <t>फुलबारी</t>
  </si>
  <si>
    <t>अनन्तराज गौतम</t>
  </si>
  <si>
    <t>अकासी</t>
  </si>
  <si>
    <t>बेलुवा</t>
  </si>
  <si>
    <t>नेसनल प्याथ ल्याब</t>
  </si>
  <si>
    <t>Referred to Beljhundi</t>
  </si>
  <si>
    <t>सिताराम न्यौपाने</t>
  </si>
  <si>
    <t>गाइडर</t>
  </si>
  <si>
    <t>बालाराम बस्नेत</t>
  </si>
  <si>
    <t>टिगरी</t>
  </si>
  <si>
    <t>बागेश्वरी डाइग्नसटिकस</t>
  </si>
  <si>
    <t>शोभ बहादुर घर्ती</t>
  </si>
  <si>
    <t>Referred to Nepalgunj</t>
  </si>
  <si>
    <t>सुशील न्यौपाने</t>
  </si>
  <si>
    <t>बेल बहादुर नेपाली</t>
  </si>
  <si>
    <t>भाइ</t>
  </si>
  <si>
    <t>बबई</t>
  </si>
  <si>
    <t>छनु चन्द</t>
  </si>
  <si>
    <t>नारायण ढकाल</t>
  </si>
  <si>
    <t>रत्न लाल घर्ती</t>
  </si>
  <si>
    <t>Referred to Kohalpur</t>
  </si>
  <si>
    <t>कमला थापा</t>
  </si>
  <si>
    <t>वडा सदस्य</t>
  </si>
  <si>
    <t>माधव न्यौपाने</t>
  </si>
  <si>
    <t>सुमित्रा न्यौपाने</t>
  </si>
  <si>
    <t>Discharged</t>
  </si>
  <si>
    <t>राप्ती स्वास्थ्य विज्ञान प्रतिष्ठान</t>
  </si>
  <si>
    <t>हरिलाल कामी</t>
  </si>
  <si>
    <t>विष्णु रेउले</t>
  </si>
  <si>
    <t>दिदी</t>
  </si>
  <si>
    <t>आनन्दनगर</t>
  </si>
  <si>
    <t>Referred to TUTH Kathmandu</t>
  </si>
  <si>
    <t xml:space="preserve">प्रविण ओली </t>
  </si>
  <si>
    <t>रिता चौधरी</t>
  </si>
  <si>
    <t>श्रीमती</t>
  </si>
  <si>
    <t>9866917557/9860679981</t>
  </si>
  <si>
    <t>पुष्पराज विष्ट</t>
  </si>
  <si>
    <t>Referred to Surkhet</t>
  </si>
  <si>
    <t>Referred to Pokhara</t>
  </si>
  <si>
    <t>गिता पंगाली</t>
  </si>
  <si>
    <t>9809244582/9822404907</t>
  </si>
  <si>
    <t>कृष्णा बुढाथोकी</t>
  </si>
  <si>
    <t>डिल्ली केसी</t>
  </si>
  <si>
    <t>दुधेना</t>
  </si>
  <si>
    <t>अम्बापुर</t>
  </si>
  <si>
    <t>सुन्दर देवकोटा</t>
  </si>
  <si>
    <t>उरहरी</t>
  </si>
  <si>
    <t>मालबु</t>
  </si>
  <si>
    <t>भेलाही</t>
  </si>
  <si>
    <t>राम बहादुर चौधरी</t>
  </si>
  <si>
    <t>746/12412</t>
  </si>
  <si>
    <t>गुल्म टोल</t>
  </si>
  <si>
    <t>उज्जवल बस्नेत</t>
  </si>
  <si>
    <t>लक्ष्मी मल्ल</t>
  </si>
  <si>
    <t>रझेना</t>
  </si>
  <si>
    <t>रावतगाउ</t>
  </si>
  <si>
    <t>राप्ती प्रादेशिक अस्पताल एन्टीजेन</t>
  </si>
  <si>
    <t>Bishnu Bhandari</t>
  </si>
  <si>
    <t>Prem Sharma</t>
  </si>
  <si>
    <t>Kamal Khadka</t>
  </si>
  <si>
    <t>Kalpana Khatri</t>
  </si>
  <si>
    <t>Wife</t>
  </si>
  <si>
    <t>Tek Bahadur Bohara</t>
  </si>
  <si>
    <t>Santosh Neupane</t>
  </si>
  <si>
    <t>Dilli Prasad Neupane</t>
  </si>
  <si>
    <t>Mohan Lal Oli</t>
  </si>
  <si>
    <t>Buddhiram Chaudhary</t>
  </si>
  <si>
    <t>Bharat Raj Bista</t>
  </si>
  <si>
    <t>Thakur Prasad Kharel</t>
  </si>
  <si>
    <t>Dhaniram Pangeli</t>
  </si>
  <si>
    <t>Nim Bahadur Budhathoki</t>
  </si>
  <si>
    <t>Lal Bahadur Dangi</t>
  </si>
  <si>
    <t>Mahendra Raj Sharma</t>
  </si>
  <si>
    <t>Giriraj Neupane</t>
  </si>
  <si>
    <t>Laxmi Basnet</t>
  </si>
  <si>
    <t>Santoshi magar</t>
  </si>
  <si>
    <t>Kali Prasad Nepali</t>
  </si>
  <si>
    <t>Man bahadur Chand</t>
  </si>
  <si>
    <t>Om Prakash Dhakal</t>
  </si>
  <si>
    <t>Parbati Gharti</t>
  </si>
  <si>
    <t>Bhagiram Kanwar</t>
  </si>
  <si>
    <t>Narayan Devkota</t>
  </si>
  <si>
    <t>Krishna Bahadur Oli</t>
  </si>
  <si>
    <t>Sabitra Bhandari</t>
  </si>
  <si>
    <t>Sabina Gharti</t>
  </si>
  <si>
    <t>Shanta Basnet</t>
  </si>
  <si>
    <t>Dambar Bahadur Malla</t>
  </si>
  <si>
    <t>Bir Bahadur Chaudhary</t>
  </si>
  <si>
    <t>Nirmala Sharma</t>
  </si>
  <si>
    <t>Baburam Oli</t>
  </si>
  <si>
    <t>Khum bahadur Khatri</t>
  </si>
  <si>
    <t>Saroj Chaudhary</t>
  </si>
  <si>
    <t>Lal Bahadur Khatri</t>
  </si>
  <si>
    <t>Durga Giri</t>
  </si>
  <si>
    <t>Khim Narayan Shrestha</t>
  </si>
  <si>
    <t>Mahananda Ghimire</t>
  </si>
  <si>
    <t>Lalmati Khatri</t>
  </si>
  <si>
    <t>Tikaram Gurung</t>
  </si>
  <si>
    <t>Jitram Tharu</t>
  </si>
  <si>
    <t>Prem Bahadur Basnet</t>
  </si>
  <si>
    <t>Sher Bahadur Budhathoki</t>
  </si>
  <si>
    <t>Dhamkali Chaudhary</t>
  </si>
  <si>
    <t>रोल्पा</t>
  </si>
  <si>
    <t>त्रिवेणी</t>
  </si>
  <si>
    <t>कपुर</t>
  </si>
  <si>
    <t>Kalpana KC</t>
  </si>
  <si>
    <t>Dhurva Giri</t>
  </si>
  <si>
    <t>Subash Shrestha</t>
  </si>
  <si>
    <t>Sunil Ghimire</t>
  </si>
  <si>
    <t>Amar Regmi</t>
  </si>
  <si>
    <t>Bimala Gurung</t>
  </si>
  <si>
    <t>Chiran Chaudhary</t>
  </si>
  <si>
    <t>Kamala Khatri</t>
  </si>
  <si>
    <t>Antigen Test</t>
  </si>
  <si>
    <t>1:20 p.m.</t>
  </si>
  <si>
    <t>Type</t>
  </si>
  <si>
    <t>Remarks</t>
  </si>
  <si>
    <t>Referred</t>
  </si>
  <si>
    <t>ID no</t>
  </si>
  <si>
    <t>Parbati Oli</t>
  </si>
  <si>
    <t>Devi Ghimire</t>
  </si>
  <si>
    <t>Bamdev Chaudhary</t>
  </si>
  <si>
    <t>Bhagabati K.C.</t>
  </si>
  <si>
    <t>Bhagbata K.C.</t>
  </si>
  <si>
    <t>Bimala Khadka</t>
  </si>
  <si>
    <t>Bina Paudel</t>
  </si>
  <si>
    <t>Indra Bahadur K.C.</t>
  </si>
  <si>
    <t>Jagdish Khadka</t>
  </si>
  <si>
    <t>Kamal Paudel</t>
  </si>
  <si>
    <t>Madan Kumar Roka</t>
  </si>
  <si>
    <t>Malati Rawat</t>
  </si>
  <si>
    <t>Prabhat K.C.</t>
  </si>
  <si>
    <t>Sabina Neupane</t>
  </si>
  <si>
    <t>Salikram K.C.</t>
  </si>
  <si>
    <t>Sanjog Kiran Nepali</t>
  </si>
  <si>
    <t>Sita Sharma</t>
  </si>
  <si>
    <t>Sudhir Pokhrel</t>
  </si>
  <si>
    <t>Sudip Oli</t>
  </si>
  <si>
    <t>Yanuka Subedi</t>
  </si>
  <si>
    <t>AADITYA CHAUDHARY</t>
  </si>
  <si>
    <t>Ajit Subedi</t>
  </si>
  <si>
    <t>Amrita Pokhrel</t>
  </si>
  <si>
    <t>Anandaram Kanwar Yogi</t>
  </si>
  <si>
    <t>Anjila Dangi</t>
  </si>
  <si>
    <t>Anu Adhikari</t>
  </si>
  <si>
    <t>BALDAVE ACHARYA</t>
  </si>
  <si>
    <t>BEL PRASHAD CHAUDHARI</t>
  </si>
  <si>
    <t>BELMATI CHAUDHARY</t>
  </si>
  <si>
    <t>BHARAT ACHARYA</t>
  </si>
  <si>
    <t>BIJAY CHALISE</t>
  </si>
  <si>
    <t>BIJAY KUMAR DANGI</t>
  </si>
  <si>
    <t>BIRU PRASAD NEUPANE</t>
  </si>
  <si>
    <t>CHURNA BAHADUR THAPA</t>
  </si>
  <si>
    <t>Deepa Ghimire</t>
  </si>
  <si>
    <t>DEPANDRA KC</t>
  </si>
  <si>
    <t>DEVAKA KC</t>
  </si>
  <si>
    <t>DHAN KUMARI GHARTI MAGAR</t>
  </si>
  <si>
    <t>Dhaniram Parajuli</t>
  </si>
  <si>
    <t>DIL BAHADUR CHAND</t>
  </si>
  <si>
    <t>DINESH CHANDRA SHARMA</t>
  </si>
  <si>
    <t>DINESH DANGI</t>
  </si>
  <si>
    <t>DINESH KC</t>
  </si>
  <si>
    <t>DURGA LAL BK</t>
  </si>
  <si>
    <t>Durga Oli</t>
  </si>
  <si>
    <t>DURGA OLI</t>
  </si>
  <si>
    <t>GANESH MAN CHAUDHARY</t>
  </si>
  <si>
    <t>GANESHA BATHA PUN</t>
  </si>
  <si>
    <t>GANGA SHARMA</t>
  </si>
  <si>
    <t>GOBINDA NEUPANE</t>
  </si>
  <si>
    <t>HARI DEVI OLI</t>
  </si>
  <si>
    <t>HIMA BHUSHAL</t>
  </si>
  <si>
    <t>HIMA DEVI DANGI</t>
  </si>
  <si>
    <t>HOM BAHADUR KC</t>
  </si>
  <si>
    <t>HOMI CHALAUNE</t>
  </si>
  <si>
    <t>HUNSA KUMARI PUN</t>
  </si>
  <si>
    <t>ILLA KC</t>
  </si>
  <si>
    <t>Ivan Rawat</t>
  </si>
  <si>
    <t>JAGESHWOR REGMI</t>
  </si>
  <si>
    <t>JANAKI NEPALI</t>
  </si>
  <si>
    <t>Jhuplal Kunwar</t>
  </si>
  <si>
    <t>KAMALA KC</t>
  </si>
  <si>
    <t>KAMALA SHAI</t>
  </si>
  <si>
    <t>KARNA BHANDARY</t>
  </si>
  <si>
    <t>KAUSHILI OLI</t>
  </si>
  <si>
    <t>Khadak Singh B.K</t>
  </si>
  <si>
    <t>KHOPENDRA MALLA</t>
  </si>
  <si>
    <t>KHUMA OLI</t>
  </si>
  <si>
    <t>KUNTI DEVI KHAREL</t>
  </si>
  <si>
    <t>LAXMI CHAND</t>
  </si>
  <si>
    <t>LAXMI POKHREL</t>
  </si>
  <si>
    <t>LAXMI ROKA</t>
  </si>
  <si>
    <t>LILA DANGI</t>
  </si>
  <si>
    <t>LILA KHANAL</t>
  </si>
  <si>
    <t>LOK BAHADUR KC</t>
  </si>
  <si>
    <t>Madhu Dangi</t>
  </si>
  <si>
    <t>Mahadev Basnet</t>
  </si>
  <si>
    <t>Master.UMESH OLI</t>
  </si>
  <si>
    <t>MOHAN PANDEY</t>
  </si>
  <si>
    <t>MUKESH DHITAL</t>
  </si>
  <si>
    <t>NIMA DANGI</t>
  </si>
  <si>
    <t>Nirmala Budhathoki</t>
  </si>
  <si>
    <t>NIRMALA BUDHATHOKI</t>
  </si>
  <si>
    <t>Paras Pokhrel</t>
  </si>
  <si>
    <t>PARBATA OLI</t>
  </si>
  <si>
    <t>PRABIR SUNAR</t>
  </si>
  <si>
    <t>Prasad Budhathoki</t>
  </si>
  <si>
    <t>PREM BAHADUR TOMATA</t>
  </si>
  <si>
    <t>PUNAM POKHREL</t>
  </si>
  <si>
    <t>PURNA BAHADUR DANGI</t>
  </si>
  <si>
    <t>Purna Bahadur Kunwar</t>
  </si>
  <si>
    <t>PURNIMA NEPALI</t>
  </si>
  <si>
    <t>PUSPA BAIDHYA</t>
  </si>
  <si>
    <t>RADHA BHUDHATHOKI</t>
  </si>
  <si>
    <t>RAI BAHADUR PUN</t>
  </si>
  <si>
    <t>RAM BAHADUR SUNAR</t>
  </si>
  <si>
    <t>Rama Basnet</t>
  </si>
  <si>
    <t>RAMESH RAWAT</t>
  </si>
  <si>
    <t>RANA BAHADUR PUN</t>
  </si>
  <si>
    <t>REKHA BHATTA</t>
  </si>
  <si>
    <t>RENU K.C</t>
  </si>
  <si>
    <t>RITA CHAUDHARI</t>
  </si>
  <si>
    <t>Rudralal Sharma</t>
  </si>
  <si>
    <t>Salikram Shahu</t>
  </si>
  <si>
    <t>SAMBHAV KC</t>
  </si>
  <si>
    <t>SAMEER KC</t>
  </si>
  <si>
    <t>Sapana Basnet</t>
  </si>
  <si>
    <t>SHANKAR PAUDEL</t>
  </si>
  <si>
    <t>SHANTA SHRESTHA</t>
  </si>
  <si>
    <t>SHARMILA CHAUDHARY</t>
  </si>
  <si>
    <t>Sher Bahadur Basnet</t>
  </si>
  <si>
    <t>SHRIJANA KC</t>
  </si>
  <si>
    <t>SIRJANA CHAUDHARY</t>
  </si>
  <si>
    <t>Srijana Dangi</t>
  </si>
  <si>
    <t>SUBIT BASNET</t>
  </si>
  <si>
    <t>SUNTALI CHUNERI</t>
  </si>
  <si>
    <t>SURAKSHYA SHAH</t>
  </si>
  <si>
    <t>SURESH TAMANA</t>
  </si>
  <si>
    <t>SUSHILA OLI</t>
  </si>
  <si>
    <t>SWOSTIKA BASNET</t>
  </si>
  <si>
    <t>TEJ BAHADUR KC</t>
  </si>
  <si>
    <t>TIKA DANGI</t>
  </si>
  <si>
    <t>TIKARAM BHANDARI</t>
  </si>
  <si>
    <t>TIKARAM PANGALI</t>
  </si>
  <si>
    <t>TOP BAHADUR GHARTI</t>
  </si>
  <si>
    <t>Tulasha Khadka</t>
  </si>
  <si>
    <t>Tulasi Rana</t>
  </si>
  <si>
    <t>USHA DHITAL</t>
  </si>
  <si>
    <t>YUBRAJ DHITAL</t>
  </si>
  <si>
    <t>AAROHI BASNET</t>
  </si>
  <si>
    <t>ANJU NEPALI</t>
  </si>
  <si>
    <t>Baburam oli</t>
  </si>
  <si>
    <t>BAL BAHADUR KC</t>
  </si>
  <si>
    <t>BASANTA ROKA MAGAR</t>
  </si>
  <si>
    <t>BHIM BAHADUR PARIYAR</t>
  </si>
  <si>
    <t>BHIMSARA SUNWAR</t>
  </si>
  <si>
    <t>BHURI BAHADUR B.K.</t>
  </si>
  <si>
    <t>DIL MAYA DANGI</t>
  </si>
  <si>
    <t>GEHENDRA KARKI</t>
  </si>
  <si>
    <t>GOPI LAL OLI</t>
  </si>
  <si>
    <t>HIRA SUNWAR</t>
  </si>
  <si>
    <t>INDRA PRAKASH CHAND</t>
  </si>
  <si>
    <t>KARNA BAHADUR CHAUDHARY</t>
  </si>
  <si>
    <t>KHIM BAHADUR CHAUDHARY</t>
  </si>
  <si>
    <t>KRISHNA KC</t>
  </si>
  <si>
    <t>KRISHNA THAPA</t>
  </si>
  <si>
    <t>MAN KUMARI CHAUDHARI</t>
  </si>
  <si>
    <t>NUMA PAUDEL</t>
  </si>
  <si>
    <t>PABITRA BUDHA</t>
  </si>
  <si>
    <t>PADAM NEPALI</t>
  </si>
  <si>
    <t>PRATIVA BHANDARI</t>
  </si>
  <si>
    <t>PUJA BHANDARI</t>
  </si>
  <si>
    <t>RADHA DANGI</t>
  </si>
  <si>
    <t>RIMA NEUPANE</t>
  </si>
  <si>
    <t>SANJU DHITAL</t>
  </si>
  <si>
    <t>SAROJ DHITAL</t>
  </si>
  <si>
    <t>SHANTI DEVI BUDHA</t>
  </si>
  <si>
    <t>SHANTU CHAUDHARY</t>
  </si>
  <si>
    <t>SHARITA SUNAR</t>
  </si>
  <si>
    <t>SHER BAHADUR PUN</t>
  </si>
  <si>
    <t>SUMI DHITAL</t>
  </si>
  <si>
    <t>SUNDAR NEPALI</t>
  </si>
  <si>
    <t>TILAK KAMI</t>
  </si>
  <si>
    <t>Tilak Kami</t>
  </si>
  <si>
    <t>4:00 p.m.</t>
  </si>
  <si>
    <t>Durga Bahadur Oli</t>
  </si>
  <si>
    <t>Son</t>
  </si>
  <si>
    <t>Chakhaura</t>
  </si>
  <si>
    <t>Tribeni</t>
  </si>
  <si>
    <t>Mohan Budhathoki</t>
  </si>
  <si>
    <t>Dudhras</t>
  </si>
  <si>
    <t>Pahalman Budhathoki</t>
  </si>
  <si>
    <t>Bhuri Bahadur BK</t>
  </si>
  <si>
    <t>Anju Nepali</t>
  </si>
  <si>
    <t>Sundar Nepali</t>
  </si>
  <si>
    <t>Chitra Bahadur Yogi</t>
  </si>
  <si>
    <t>Laxmi Pun</t>
  </si>
  <si>
    <t>Bel Bahadur Nepali</t>
  </si>
  <si>
    <t>Santosh Yogi</t>
  </si>
  <si>
    <t>Uncle</t>
  </si>
  <si>
    <t>t'n;Lk'/</t>
  </si>
  <si>
    <t>b+uLz/0f</t>
  </si>
  <si>
    <t>aaO{</t>
  </si>
  <si>
    <t>7]uffgf</t>
  </si>
  <si>
    <t>lhNnf</t>
  </si>
  <si>
    <t>:yfgLo tx</t>
  </si>
  <si>
    <t>bfª</t>
  </si>
  <si>
    <t>;Nofg</t>
  </si>
  <si>
    <t>/f]Nkf</t>
  </si>
  <si>
    <t>;+lIfKt tflnsf</t>
  </si>
  <si>
    <t>दैनिक प्रगति प्रतिवेदन</t>
  </si>
  <si>
    <t>समय:-</t>
  </si>
  <si>
    <t>pkrf/ eO/x]sf] ;+Vof</t>
  </si>
  <si>
    <t>beljhundi</t>
  </si>
  <si>
    <t>BIPUSHA BASNET</t>
  </si>
  <si>
    <t>ANUSKA DANGI</t>
  </si>
  <si>
    <t>SUSHANTA POKHRELL</t>
  </si>
  <si>
    <t>DIPSHIKA OLI</t>
  </si>
  <si>
    <t>PRATIKSHYA SWORNAKAR</t>
  </si>
  <si>
    <t>ANIL BASNET</t>
  </si>
  <si>
    <t>Ajay Rawat</t>
  </si>
  <si>
    <t>UMESH BK</t>
  </si>
  <si>
    <t>NIRMALA KC</t>
  </si>
  <si>
    <t>TULASA TANDAN</t>
  </si>
  <si>
    <t>Sitaram Neupane</t>
  </si>
  <si>
    <t>KESHAVA TANDAN</t>
  </si>
  <si>
    <t>NISHA PANTI</t>
  </si>
  <si>
    <t>POOJA PUN</t>
  </si>
  <si>
    <t>Preeti Gupta Pokhrel</t>
  </si>
  <si>
    <t>JHARANA DANGI</t>
  </si>
  <si>
    <t>SANGITA RAWAT</t>
  </si>
  <si>
    <t>PREM CHAUDHARI</t>
  </si>
  <si>
    <t>Manisha Bhandari</t>
  </si>
  <si>
    <t>JANUKA KC</t>
  </si>
  <si>
    <t>NIMA B.K</t>
  </si>
  <si>
    <t>SAPANA BASNET</t>
  </si>
  <si>
    <t>SANGAM DANGI</t>
  </si>
  <si>
    <t>Bikash Adhikari</t>
  </si>
  <si>
    <t>PHUL KUMARI CHAUDHARY</t>
  </si>
  <si>
    <t>Mamata Adhikari</t>
  </si>
  <si>
    <t>ANIL KUMAR GUPTA</t>
  </si>
  <si>
    <t>RABINDRA REGMI</t>
  </si>
  <si>
    <t>ANITA K.C</t>
  </si>
  <si>
    <t>GOMATI OLI</t>
  </si>
  <si>
    <t>HARI DHAKAL</t>
  </si>
  <si>
    <t>RISHI RAJ DHAKAL</t>
  </si>
  <si>
    <t>Mohan B.K.</t>
  </si>
  <si>
    <t>PIMA KC</t>
  </si>
  <si>
    <t>BIMALI CHAUDHARY</t>
  </si>
  <si>
    <t>RUPENDRA KC</t>
  </si>
  <si>
    <t>NIRMALA OLI</t>
  </si>
  <si>
    <t>TARA DANGI</t>
  </si>
  <si>
    <t>DEVAKA ACHARYA</t>
  </si>
  <si>
    <t>HARI SUNAR</t>
  </si>
  <si>
    <t>Shobha Shrestha</t>
  </si>
  <si>
    <t>PREM BASHYAL</t>
  </si>
  <si>
    <t>LEK BAHADUR THAPALIYA</t>
  </si>
  <si>
    <t>Ruplal kuwar</t>
  </si>
  <si>
    <t>TULSI KHAREL</t>
  </si>
  <si>
    <t>BADH BIR ROKAYA</t>
  </si>
  <si>
    <t>ROBBER BAHADUR TANDAN</t>
  </si>
  <si>
    <t>PUSKAR BAHADUR MAHATARA</t>
  </si>
  <si>
    <t>PATALI BATALA</t>
  </si>
  <si>
    <t>DEVAKA OLI</t>
  </si>
  <si>
    <t>TILEY BATALA</t>
  </si>
  <si>
    <t>CHET LAL NEUPANE</t>
  </si>
  <si>
    <t>FATTA BAHADUR TANDAN</t>
  </si>
  <si>
    <t>DURGA DEVI KHADKA</t>
  </si>
  <si>
    <t>Salikram KC</t>
  </si>
  <si>
    <t>Ram Bahadur Oli</t>
  </si>
  <si>
    <t>Tulsi Devi Oli</t>
  </si>
  <si>
    <t>ISHWORI BDR SUNAR</t>
  </si>
  <si>
    <t>PUSKAR RAJ BHATTARAI</t>
  </si>
  <si>
    <t>PADAM BAIDHYA</t>
  </si>
  <si>
    <t>SASHILA JAISHI</t>
  </si>
  <si>
    <t>CHITRA BAHADUR YOGI</t>
  </si>
  <si>
    <t>CHANDRA BDR ROKA</t>
  </si>
  <si>
    <t>MEGH RAJ SEJUWAL</t>
  </si>
  <si>
    <t>ISHWORI K.C</t>
  </si>
  <si>
    <t>YAMLAL NEUPANE</t>
  </si>
  <si>
    <t>Yamlal Neupane</t>
  </si>
  <si>
    <t>MOHAN LAL KC</t>
  </si>
  <si>
    <t>SHER BAHADUR KHADKA</t>
  </si>
  <si>
    <t>Nandkali Khadka</t>
  </si>
  <si>
    <t>Lok Bahadur B.K.</t>
  </si>
  <si>
    <t>राप्ती प्रादेशिक अस्पताल तुलसीपुर</t>
  </si>
  <si>
    <t>AAITI BASNET</t>
  </si>
  <si>
    <t>AARATI RAWOT</t>
  </si>
  <si>
    <t>ALAN OLI</t>
  </si>
  <si>
    <t>ANJU KC</t>
  </si>
  <si>
    <t>ARJAN BASNET</t>
  </si>
  <si>
    <t>ASHMIT OLI</t>
  </si>
  <si>
    <t>BALIKA DANGI</t>
  </si>
  <si>
    <t>BAMDEB BHUSAL</t>
  </si>
  <si>
    <t>BHAGBATI DEVI BHATTARAI</t>
  </si>
  <si>
    <t>BHUBANESHWOR ACHARYA</t>
  </si>
  <si>
    <t>BIRENDRA OLI</t>
  </si>
  <si>
    <t>CHANDRIKA NEPALI</t>
  </si>
  <si>
    <t>CHUNKI CHAUDHARY</t>
  </si>
  <si>
    <t>DHAN BDR B.K</t>
  </si>
  <si>
    <t>DIL KUMARI ROKA</t>
  </si>
  <si>
    <t>Dilli Raj Rawat</t>
  </si>
  <si>
    <t>Dilli Raj Rawot</t>
  </si>
  <si>
    <t>DIPA CHAUDHARY</t>
  </si>
  <si>
    <t>DIPA GIRI</t>
  </si>
  <si>
    <t>DOLHA KHATRINI</t>
  </si>
  <si>
    <t>Geeta K.C.</t>
  </si>
  <si>
    <t>GITA KARKI</t>
  </si>
  <si>
    <t>HARI BAHADUR PUN</t>
  </si>
  <si>
    <t>HARI CHAUDHARY</t>
  </si>
  <si>
    <t>HEMANTA SEN</t>
  </si>
  <si>
    <t>HUMA BHANDARI</t>
  </si>
  <si>
    <t>ILLA OLI</t>
  </si>
  <si>
    <t>Indra Bahadur Oli</t>
  </si>
  <si>
    <t>JOGH BAHADUR MALLA</t>
  </si>
  <si>
    <t>KAMALA BHUSHAL</t>
  </si>
  <si>
    <t>KAMALA GIRI</t>
  </si>
  <si>
    <t>KHADKA BAHADUR DANGI</t>
  </si>
  <si>
    <t>KIRAN B.K</t>
  </si>
  <si>
    <t>KIRITI BAHADUR KHADKA</t>
  </si>
  <si>
    <t>KRISHNA BAHADUR BHANDARI</t>
  </si>
  <si>
    <t>Krishna Mani Sharma</t>
  </si>
  <si>
    <t>MADHAV REGMI</t>
  </si>
  <si>
    <t>MILAN POKHREL</t>
  </si>
  <si>
    <t>MIN RAJ BHATTRAI</t>
  </si>
  <si>
    <t>MINA GHARTI</t>
  </si>
  <si>
    <t>Mina Oli</t>
  </si>
  <si>
    <t>MOHAL LAL NEPALI</t>
  </si>
  <si>
    <t>Mohan Basnet</t>
  </si>
  <si>
    <t>NARAYAN CHAUDHARY</t>
  </si>
  <si>
    <t>NARAYAN REGMI</t>
  </si>
  <si>
    <t>NIRMAL BASNET</t>
  </si>
  <si>
    <t>NUMA BASNET</t>
  </si>
  <si>
    <t>PRABIN CHAUDHARY</t>
  </si>
  <si>
    <t>PRATIKCHYA KARKI</t>
  </si>
  <si>
    <t>PURNA PUN</t>
  </si>
  <si>
    <t>PUSHPA CHAND</t>
  </si>
  <si>
    <t>RATO CHAND</t>
  </si>
  <si>
    <t>RESHAM KUMARI BASNET</t>
  </si>
  <si>
    <t>SAMEER CHAUDHARY</t>
  </si>
  <si>
    <t>SANGITA SHARMA</t>
  </si>
  <si>
    <t>SARITA ADHIKARI</t>
  </si>
  <si>
    <t>SHAMVHU NEUPANE</t>
  </si>
  <si>
    <t>SHRIJANA B.K</t>
  </si>
  <si>
    <t>SUMITRA KHADKA</t>
  </si>
  <si>
    <t>Tanki Khatri</t>
  </si>
  <si>
    <t>TARA DEVI CHANABA</t>
  </si>
  <si>
    <t>TEK BAHADUR THAPA</t>
  </si>
  <si>
    <t>TOP BAHADUR KARKI</t>
  </si>
  <si>
    <t>YAM BAHADUR RAWOT</t>
  </si>
  <si>
    <t>NAR BAHADUR YOGI</t>
  </si>
  <si>
    <t>5:00 a.m.</t>
  </si>
  <si>
    <t>AASHA CHAUDHARY</t>
  </si>
  <si>
    <t>AMRIT BK</t>
  </si>
  <si>
    <t>ARUN CHAUDHARY</t>
  </si>
  <si>
    <t>BAKSI RAM CHAUDHARY</t>
  </si>
  <si>
    <t>BASANTA K.C</t>
  </si>
  <si>
    <t>BHARAT KUMAR B.K</t>
  </si>
  <si>
    <t>BHOPENDRA OLI</t>
  </si>
  <si>
    <t>Bir Bahadur Kunwar</t>
  </si>
  <si>
    <t>BISHNU BHATTARAI</t>
  </si>
  <si>
    <t>BISHNU D.K</t>
  </si>
  <si>
    <t>Bishnu Dangi</t>
  </si>
  <si>
    <t>Chandra Dev Kawar</t>
  </si>
  <si>
    <t>CHATUR DHAN BISHWOKARMA</t>
  </si>
  <si>
    <t>DEVI KC</t>
  </si>
  <si>
    <t>DIL KUMARI BISTA</t>
  </si>
  <si>
    <t>GHANSHYAM BASNET</t>
  </si>
  <si>
    <t>GYAN KUMARI RAWAL</t>
  </si>
  <si>
    <t>HARIKALA B.K</t>
  </si>
  <si>
    <t>HARSHA BAHADUR HAMAL</t>
  </si>
  <si>
    <t>HUM BAHADUR BISHWOKARMA</t>
  </si>
  <si>
    <t>HUM RAJ SHARMA</t>
  </si>
  <si>
    <t>INDRA JEET CHAUDHARY</t>
  </si>
  <si>
    <t>JHARANA PARIYAR</t>
  </si>
  <si>
    <t>KALPANA BHUSAL</t>
  </si>
  <si>
    <t>KHIM RAJ BOHARA</t>
  </si>
  <si>
    <t>KRISHNA BAHADUR DANGI</t>
  </si>
  <si>
    <t>LAKXMAN CHAUDHARY</t>
  </si>
  <si>
    <t>MAMATA SHARKI</t>
  </si>
  <si>
    <t>MENUKA BASNET</t>
  </si>
  <si>
    <t>MINA KC</t>
  </si>
  <si>
    <t>Mukti Gauchan</t>
  </si>
  <si>
    <t>NABINA KC</t>
  </si>
  <si>
    <t>NAR BAHADUR KAWAR</t>
  </si>
  <si>
    <t>NARAYANI PUN</t>
  </si>
  <si>
    <t>NIMA DEVI BITALU</t>
  </si>
  <si>
    <t>NIMA SUNAR</t>
  </si>
  <si>
    <t>PABITRA KUMARI KHADKA</t>
  </si>
  <si>
    <t>PARBATI K.C</t>
  </si>
  <si>
    <t>PRAJWOL PAUDEL</t>
  </si>
  <si>
    <t>Radha Gharti Magar</t>
  </si>
  <si>
    <t>RAKSHYA DANGI</t>
  </si>
  <si>
    <t>RAM BAHADUR BUDHATHOKI</t>
  </si>
  <si>
    <t>RAM BAHADUR KHADKA</t>
  </si>
  <si>
    <t>RAMESH SHRESTHA</t>
  </si>
  <si>
    <t>Rublal Sunar</t>
  </si>
  <si>
    <t>Sarita Chaudhary</t>
  </si>
  <si>
    <t>SARSWOTI GIRI</t>
  </si>
  <si>
    <t>SHEVANTA HAMAL</t>
  </si>
  <si>
    <t>SHIV RAM CHAUDHARY</t>
  </si>
  <si>
    <t>SHOM PSD CHAUDHARY</t>
  </si>
  <si>
    <t>SHOVAKAR DANGI</t>
  </si>
  <si>
    <t>SUSHILA KC</t>
  </si>
  <si>
    <t>TEJASHU DANGI</t>
  </si>
  <si>
    <t>TEK BAHADUR GAHA MAGAR</t>
  </si>
  <si>
    <t>TIKA PRASAD GIRI</t>
  </si>
  <si>
    <t>TIKARAM THARU</t>
  </si>
  <si>
    <t>Tilak Bahadur Gharti</t>
  </si>
  <si>
    <t>TULSA DANGI KHADKA</t>
  </si>
  <si>
    <t>UMA KUMARI GURUNG</t>
  </si>
  <si>
    <t>USHA RAWOT</t>
  </si>
  <si>
    <t>YEGYA BAHADUR DANGI</t>
  </si>
  <si>
    <t>bamdev bhusal</t>
  </si>
  <si>
    <t>bhup bdr kunwar</t>
  </si>
  <si>
    <t>ishori kc</t>
  </si>
  <si>
    <t>kamal bahadur budathoki</t>
  </si>
  <si>
    <t>padam nepali</t>
  </si>
  <si>
    <t>tilak ram chaudhary</t>
  </si>
  <si>
    <t>yamuna chaudhary</t>
  </si>
  <si>
    <t>Bhumisara sunar</t>
  </si>
  <si>
    <t>chaturdhan bk</t>
  </si>
  <si>
    <t>harikala bk</t>
  </si>
  <si>
    <t>hira sunar</t>
  </si>
  <si>
    <t>man bahadur khatri</t>
  </si>
  <si>
    <t>meghraj dahal</t>
  </si>
  <si>
    <t>prem kumari chaudhary</t>
  </si>
  <si>
    <t>radha gharti</t>
  </si>
  <si>
    <t>ramesh bahadur bk</t>
  </si>
  <si>
    <t>sita kumari bhandari</t>
  </si>
  <si>
    <t>घोराही</t>
  </si>
  <si>
    <t>nirmala bhusal</t>
  </si>
  <si>
    <t>sita kunwar</t>
  </si>
  <si>
    <t>basant sen thakuri</t>
  </si>
  <si>
    <t>nabraj kc</t>
  </si>
  <si>
    <t>santosh budathoki</t>
  </si>
  <si>
    <t>ram bahadur nepali</t>
  </si>
  <si>
    <t>pinki chaudhary</t>
  </si>
  <si>
    <t>kedar sunar</t>
  </si>
  <si>
    <t>raj kumar bk</t>
  </si>
  <si>
    <t>swastika sunar</t>
  </si>
  <si>
    <t>muna serpaili</t>
  </si>
  <si>
    <t>arjun oli</t>
  </si>
  <si>
    <t>prabin dahal</t>
  </si>
  <si>
    <t>thamman chaudhary</t>
  </si>
  <si>
    <t>ganag ram gharti</t>
  </si>
  <si>
    <t>laxmi bhandari</t>
  </si>
  <si>
    <t>dilli bahadur oli</t>
  </si>
  <si>
    <t>hDdf egf{</t>
  </si>
  <si>
    <t>pkrf/ eO/x]sf]</t>
  </si>
  <si>
    <t>l8:rfh{ ePsf] s];</t>
  </si>
  <si>
    <t xml:space="preserve">t'n;Lk'/ d]6|f] sf]/f]gf cfO;f]n;g xl:k6n </t>
  </si>
  <si>
    <t>Dhanwa Chaudhary</t>
  </si>
  <si>
    <t>राप्र्ती प्रादेशिक अस्पताल</t>
  </si>
  <si>
    <t>7:54 a.m.</t>
  </si>
  <si>
    <t>Dashiram Chaduhary</t>
  </si>
  <si>
    <t>Harikala BK</t>
  </si>
  <si>
    <t>yamlal pujari</t>
  </si>
  <si>
    <t>tanka prasad neupane</t>
  </si>
  <si>
    <t>शान्तिनगर</t>
  </si>
  <si>
    <t>santosh nepali</t>
  </si>
  <si>
    <t>puskar raj bhattarai</t>
  </si>
  <si>
    <t>c042105355</t>
  </si>
  <si>
    <t>sunil bhattarai</t>
  </si>
  <si>
    <t>rekha budhathoki</t>
  </si>
  <si>
    <t>bed bahadur budhathoki</t>
  </si>
  <si>
    <t>Beljhundi Corona Hospital</t>
  </si>
  <si>
    <t>Nepalgunj</t>
  </si>
  <si>
    <t>prashu ram pun</t>
  </si>
  <si>
    <t>3f]/fxL</t>
  </si>
  <si>
    <t>zflGtgu/</t>
  </si>
  <si>
    <t>PREM GIRI</t>
  </si>
  <si>
    <t>TOP BAHADUR BASNET</t>
  </si>
  <si>
    <t>Aamar Singh K.C.</t>
  </si>
  <si>
    <t>MOHAN KUMAR OLI</t>
  </si>
  <si>
    <t>MOHAN PYARI CHAUDHARY</t>
  </si>
  <si>
    <t>DHAN BIR REULA</t>
  </si>
  <si>
    <t>RAJESH ACHARYA</t>
  </si>
  <si>
    <t>SUSHIL DUKU</t>
  </si>
  <si>
    <t>GRITA GHARTI</t>
  </si>
  <si>
    <t>MELINA KHADKA</t>
  </si>
  <si>
    <t>RADHA GHARTI</t>
  </si>
  <si>
    <t>RAKSHYA SHARMA</t>
  </si>
  <si>
    <t>SARADA THAPA</t>
  </si>
  <si>
    <t>Lok bahadur oli</t>
  </si>
  <si>
    <t>MAMATA BUDHATHOKI</t>
  </si>
  <si>
    <t>DIPA YOGI</t>
  </si>
  <si>
    <t>MUINA MOTI CHAUDHARY</t>
  </si>
  <si>
    <t>Samikshya Singh</t>
  </si>
  <si>
    <t>SULOCHANA PRABHA MAJGAIYAN</t>
  </si>
  <si>
    <t>DEV BAHADUR CHAUDHARY</t>
  </si>
  <si>
    <t>Khadananda K.C.</t>
  </si>
  <si>
    <t>KUNDAN KISHORI B.K</t>
  </si>
  <si>
    <t>Prakash Chaudhari</t>
  </si>
  <si>
    <t>BIMALA SIJALI</t>
  </si>
  <si>
    <t>LAXMI B.K</t>
  </si>
  <si>
    <t>SABINA ADHIKARI</t>
  </si>
  <si>
    <t>NARBADA RAJAURE</t>
  </si>
  <si>
    <t>Rekha Budhathoki</t>
  </si>
  <si>
    <t>SAMIKCHYA OLI CHAND</t>
  </si>
  <si>
    <t>SHREE PRASHAD CHAUDHARY</t>
  </si>
  <si>
    <t>BISHNU BOHORA MAHATRA</t>
  </si>
  <si>
    <t>RUNCHI CHAUDHARI</t>
  </si>
  <si>
    <t>GITA NEPALI</t>
  </si>
  <si>
    <t>Sunita Sahu</t>
  </si>
  <si>
    <t>KUL BAHADUR CHAND</t>
  </si>
  <si>
    <t>SAPANA CHAUDHARY</t>
  </si>
  <si>
    <t>KHUM RAJ OLI</t>
  </si>
  <si>
    <t>lok raj rawat</t>
  </si>
  <si>
    <t>KHIMA BASNET</t>
  </si>
  <si>
    <t>CHANDRA OLI</t>
  </si>
  <si>
    <t>PREM KUMARI CHAUDHARY</t>
  </si>
  <si>
    <t>BALIRAM CHAUDHARY</t>
  </si>
  <si>
    <t>MANISH SHARMA</t>
  </si>
  <si>
    <t>MUKTA BAHADUR OLI</t>
  </si>
  <si>
    <t>KESH KUMARI PUN MAGAR</t>
  </si>
  <si>
    <t>NILAM ACHARYA</t>
  </si>
  <si>
    <t>SITAKUMARI BHANDARI</t>
  </si>
  <si>
    <t>LAXMI PRASHAD NEPALI</t>
  </si>
  <si>
    <t>Juddha Bahadur Khatri</t>
  </si>
  <si>
    <t>GANESH KUMARI CHAUDHARY</t>
  </si>
  <si>
    <t>JAYANTI KHATRI</t>
  </si>
  <si>
    <t>Puja Kc</t>
  </si>
  <si>
    <t>Cheta Kumari Dangi</t>
  </si>
  <si>
    <t>Dev Bahadur Basnet</t>
  </si>
  <si>
    <t>RAMESH SINGH</t>
  </si>
  <si>
    <t>Alveena Panta</t>
  </si>
  <si>
    <t>DILA NEPALI</t>
  </si>
  <si>
    <t>KALA SHARMA</t>
  </si>
  <si>
    <t>kanchu chaudhary</t>
  </si>
  <si>
    <t>surendra chaudhary</t>
  </si>
  <si>
    <t>कपुरकोट</t>
  </si>
  <si>
    <t>khadka pun</t>
  </si>
  <si>
    <t>harilal pun</t>
  </si>
  <si>
    <t>bishnu bhattrai</t>
  </si>
  <si>
    <t>ganesh khadka</t>
  </si>
  <si>
    <t>manjari oli</t>
  </si>
  <si>
    <t>indrajit chaudhary</t>
  </si>
  <si>
    <t>yubraj bhattrai</t>
  </si>
  <si>
    <t>gopal khadka</t>
  </si>
  <si>
    <t>yagya bahadur khatri</t>
  </si>
  <si>
    <t>prakash oli</t>
  </si>
  <si>
    <t>sitaram chaudhary</t>
  </si>
  <si>
    <t>goma nepali</t>
  </si>
  <si>
    <t>durga prasad nepali</t>
  </si>
  <si>
    <t>bir bahadur nepali</t>
  </si>
  <si>
    <t>mukta bahadur oli</t>
  </si>
  <si>
    <t>ABISHEK CHAUDHARY</t>
  </si>
  <si>
    <t>ALINA THAPA</t>
  </si>
  <si>
    <t>AMRITA KUMARI GAIRE</t>
  </si>
  <si>
    <t>ANITA PARIYAR</t>
  </si>
  <si>
    <t>BASISTHA ACHARYA</t>
  </si>
  <si>
    <t>BHARAT PURI</t>
  </si>
  <si>
    <t>BHIMLAL BHANDARI</t>
  </si>
  <si>
    <t>BIMALA PARIYAR</t>
  </si>
  <si>
    <t>BINU NEPALI</t>
  </si>
  <si>
    <t>BIR BDR NEPALI</t>
  </si>
  <si>
    <t>BISHNU BDR KC</t>
  </si>
  <si>
    <t>BISHNU BHANDARI</t>
  </si>
  <si>
    <t>CHANDRA BIR THARU</t>
  </si>
  <si>
    <t>CHITRA BDR BUDDHATHOKI</t>
  </si>
  <si>
    <t>DEVA BANDHARI</t>
  </si>
  <si>
    <t>DEVI BK</t>
  </si>
  <si>
    <t>DIL KUMARI DANGI</t>
  </si>
  <si>
    <t>DILA RIJAL</t>
  </si>
  <si>
    <t>DILLI BDR KHADKA</t>
  </si>
  <si>
    <t>DILLI RAJ KADEL</t>
  </si>
  <si>
    <t>GOMA NEPALI</t>
  </si>
  <si>
    <t>Gyanu Bista</t>
  </si>
  <si>
    <t>HARI BK</t>
  </si>
  <si>
    <t>HARI KALA BK</t>
  </si>
  <si>
    <t>INDRAMANI PARIYAR</t>
  </si>
  <si>
    <t>JAISHREE RAWAT</t>
  </si>
  <si>
    <t>JUKTI BHANDARI</t>
  </si>
  <si>
    <t>JYOTSHNA SHRESTHA</t>
  </si>
  <si>
    <t>KALI MURTI CHAUDHARY</t>
  </si>
  <si>
    <t>KAMAL KHADKA</t>
  </si>
  <si>
    <t>KAMALA BHANDHARI</t>
  </si>
  <si>
    <t>KANCHU CHAUDHARI</t>
  </si>
  <si>
    <t>MADHUSUDAN BHATTRAI</t>
  </si>
  <si>
    <t>MAMATA SHARMA</t>
  </si>
  <si>
    <t>NIMA KUMARI KHANAL</t>
  </si>
  <si>
    <t>NIRMAL SHING</t>
  </si>
  <si>
    <t>PREM CHAND</t>
  </si>
  <si>
    <t>REKHA DANGI</t>
  </si>
  <si>
    <t>REKHA NEPALI</t>
  </si>
  <si>
    <t>RUPA BUDHA</t>
  </si>
  <si>
    <t>SARSWOTI BASNET</t>
  </si>
  <si>
    <t>SHEBAK RIJAL</t>
  </si>
  <si>
    <t>Shila Dhital</t>
  </si>
  <si>
    <t>SIJAN POUDEL</t>
  </si>
  <si>
    <t>SIRJANA BISTA</t>
  </si>
  <si>
    <t>SIRJANA POUDEL KC</t>
  </si>
  <si>
    <t>SUK KUMARI BK</t>
  </si>
  <si>
    <t>SUMAN POKHREL</t>
  </si>
  <si>
    <t>SURAJ OLI</t>
  </si>
  <si>
    <t>SUSHILA SUNAR</t>
  </si>
  <si>
    <t>TILAK BDR SINGH</t>
  </si>
  <si>
    <t>TOYA NATH DHITAL</t>
  </si>
  <si>
    <t>TULSI SUNAR</t>
  </si>
  <si>
    <t>USHA NEPALI</t>
  </si>
  <si>
    <t>SITA SAPKOTA</t>
  </si>
  <si>
    <t>HASHIRAM CHAUDHARY</t>
  </si>
  <si>
    <t>HUKUM BAHADUR GHARTI</t>
  </si>
  <si>
    <t>SARMILA GHARTI</t>
  </si>
  <si>
    <t>BHARAT SHARMA</t>
  </si>
  <si>
    <t>HIRA BAHADUR RAJALI</t>
  </si>
  <si>
    <t>MUN BAHADUR BUDHATHOKI</t>
  </si>
  <si>
    <t>DHURBA RAJ PANDEY</t>
  </si>
  <si>
    <t>PREM KUMARI B.K</t>
  </si>
  <si>
    <t>SABITRA PARIYAR</t>
  </si>
  <si>
    <t>PADMA KUMARI REGMI</t>
  </si>
  <si>
    <t>MANJARI OLI</t>
  </si>
  <si>
    <t>NIMRAJ BHUSAL</t>
  </si>
  <si>
    <t>ASHOK K.C</t>
  </si>
  <si>
    <t>DHANA K.C</t>
  </si>
  <si>
    <t>KHADKA BAHADUR OLI</t>
  </si>
  <si>
    <t>DEEPAK CHAUDHARY</t>
  </si>
  <si>
    <t>TEJ BAHADUR OLI</t>
  </si>
  <si>
    <t>SIMRAN PUN</t>
  </si>
  <si>
    <t>SHARAD CHAUDHARY</t>
  </si>
  <si>
    <t>BHUPENDRA K.C</t>
  </si>
  <si>
    <t>DHANI YOGI</t>
  </si>
  <si>
    <t>SABITRA YOGI</t>
  </si>
  <si>
    <t xml:space="preserve">MENAKA BHUSAL </t>
  </si>
  <si>
    <t>PRAKASH KHADKA</t>
  </si>
  <si>
    <t>GANGARAM GHARTI</t>
  </si>
  <si>
    <t>KYAR SINGH DANGI</t>
  </si>
  <si>
    <t>ANITA OLI</t>
  </si>
  <si>
    <t>KISHOR DANGI</t>
  </si>
  <si>
    <t>UMA KUMARI GUBAJU</t>
  </si>
  <si>
    <t xml:space="preserve">BISHNU PUN </t>
  </si>
  <si>
    <t>INDRA MANI KHANAL</t>
  </si>
  <si>
    <t>CHANITA CHAUDHARY</t>
  </si>
  <si>
    <t>JIM BAHADUR SUNAR</t>
  </si>
  <si>
    <t>MAYA SUNAR</t>
  </si>
  <si>
    <t>ANJALI SUNAR</t>
  </si>
  <si>
    <t>JAYA SUNAR</t>
  </si>
  <si>
    <t>SALIK RAM DAMAI</t>
  </si>
  <si>
    <t>BHIM BAHADUR KHADKA</t>
  </si>
  <si>
    <t>SWASTIKA SUNAR</t>
  </si>
  <si>
    <t>ASHOK BUDHATHOKI</t>
  </si>
  <si>
    <t>NABRAJ KANDEL</t>
  </si>
  <si>
    <t>RAJIRAM CHAUDHARY</t>
  </si>
  <si>
    <t>HARI RAM K.C</t>
  </si>
  <si>
    <t>DEEPA KUMARI OLI</t>
  </si>
  <si>
    <t>BHUMA K.C</t>
  </si>
  <si>
    <t>SARITA SHARMA</t>
  </si>
  <si>
    <t>SHIVA LAL BASNET</t>
  </si>
  <si>
    <t>SUMAN CHAUDHARY</t>
  </si>
  <si>
    <t>NISCHAL DANGI</t>
  </si>
  <si>
    <t>DEV KUMARI DAMANI</t>
  </si>
  <si>
    <t>JHARANA RAWAT</t>
  </si>
  <si>
    <t>SITA GIRI RAWAT</t>
  </si>
  <si>
    <t>SUSHANT RAWAT</t>
  </si>
  <si>
    <t>MOTI RAM CHAUDHARY</t>
  </si>
  <si>
    <t xml:space="preserve">PIMA GIRI </t>
  </si>
  <si>
    <t>KHADKA BAHADUR BASNET</t>
  </si>
  <si>
    <t>HASTI KUMARI BASNET</t>
  </si>
  <si>
    <t>NANDA LAL KHATRI</t>
  </si>
  <si>
    <t>ANANTA RIJAL</t>
  </si>
  <si>
    <t>BHIM BDR SHAHA</t>
  </si>
  <si>
    <t>BINOD BASNET </t>
  </si>
  <si>
    <t>DILLI RAJ SHARMA</t>
  </si>
  <si>
    <t>GIRI RAJ BHUSAL</t>
  </si>
  <si>
    <t>HARI BDR DANGI</t>
  </si>
  <si>
    <t>HARI PSD POKHREL</t>
  </si>
  <si>
    <t>JAGESHWOR KHANAL</t>
  </si>
  <si>
    <t>JANIKA POUDEL</t>
  </si>
  <si>
    <t>KHIMA POUDEL</t>
  </si>
  <si>
    <t>MANSHING SUNAR</t>
  </si>
  <si>
    <t>BIMA THADA</t>
  </si>
  <si>
    <t>DEVI K C</t>
  </si>
  <si>
    <t>DHANA DEVI DHITAL</t>
  </si>
  <si>
    <t>HARIKALA SUNAR</t>
  </si>
  <si>
    <t>KAWOLA KUMARI BASNET</t>
  </si>
  <si>
    <t>MAYA NEPALI</t>
  </si>
  <si>
    <t>POISTOKI YOGI</t>
  </si>
  <si>
    <t>SITA CHAUDHARY</t>
  </si>
  <si>
    <t>SUMITRA BASNET</t>
  </si>
  <si>
    <t>TRIPTI SAPKOTA</t>
  </si>
  <si>
    <t>indra bahadur kc</t>
  </si>
  <si>
    <t>top bahadur khatri</t>
  </si>
  <si>
    <t>hasiram chaudhary</t>
  </si>
  <si>
    <t>jagmati chaudhary</t>
  </si>
  <si>
    <t>hari bahadur pun</t>
  </si>
  <si>
    <t>tilsara pun</t>
  </si>
  <si>
    <t>bhupendra kc</t>
  </si>
  <si>
    <t>sarita kc</t>
  </si>
  <si>
    <t>tilak bahadur singh</t>
  </si>
  <si>
    <t>balika singh</t>
  </si>
  <si>
    <t>SARMILA CHAUDHARY</t>
  </si>
  <si>
    <t>Hurmat Bdr Dangi</t>
  </si>
  <si>
    <t>Suresh Chaudhary</t>
  </si>
  <si>
    <t>Shrijana Gautam</t>
  </si>
  <si>
    <t>8:30 a.m.</t>
  </si>
  <si>
    <t xml:space="preserve">tulsipur 2 </t>
  </si>
  <si>
    <t xml:space="preserve">tulsipur 3 </t>
  </si>
  <si>
    <t xml:space="preserve">tulsipur 4 </t>
  </si>
  <si>
    <t>arjun thapa</t>
  </si>
  <si>
    <t>छत्रेश्वरी</t>
  </si>
  <si>
    <t>devraj kc</t>
  </si>
  <si>
    <t>jamuna kc</t>
  </si>
  <si>
    <t>aashish kc</t>
  </si>
  <si>
    <t>bhim dangi</t>
  </si>
  <si>
    <t>hemanta singh thakuri</t>
  </si>
  <si>
    <t>Durga Ghimire</t>
  </si>
  <si>
    <t>CHHABILAL NEUPANE</t>
  </si>
  <si>
    <t>SANTOSH OLI</t>
  </si>
  <si>
    <t>Ramesh Kumar Shrestha</t>
  </si>
  <si>
    <t>BINOD BASNET</t>
  </si>
  <si>
    <t>KASHIRAM CHAUDHARY</t>
  </si>
  <si>
    <t>RAMA OLI</t>
  </si>
  <si>
    <t>SHOBHANA SHAH</t>
  </si>
  <si>
    <t>TILU SHRESTHA</t>
  </si>
  <si>
    <t>कोहोलपुर मेडिकल कलेज</t>
  </si>
  <si>
    <t xml:space="preserve">कोहोलपुर </t>
  </si>
  <si>
    <t>7:30 p.m.</t>
  </si>
  <si>
    <t>BISHNU REGMI</t>
  </si>
  <si>
    <t>GURU PARSAD REGMI</t>
  </si>
  <si>
    <t>AMAR REGMI</t>
  </si>
  <si>
    <t>GOMA BHANDARI</t>
  </si>
  <si>
    <t>TULSI RAM SHRESTHA</t>
  </si>
  <si>
    <t>JIVA GIRI</t>
  </si>
  <si>
    <t>SAMBHU NEPALI</t>
  </si>
  <si>
    <t>JANAK OLI</t>
  </si>
  <si>
    <t>GYAN MALA OLI</t>
  </si>
  <si>
    <t>RESHMA PARIYAR</t>
  </si>
  <si>
    <t>GOPAL GANDARVA</t>
  </si>
  <si>
    <t>PRADESHI CHAUDHARY</t>
  </si>
  <si>
    <t>TANKA BDR KHATRI</t>
  </si>
  <si>
    <t>RAMA KC</t>
  </si>
  <si>
    <t>RUPESH REGMI</t>
  </si>
  <si>
    <t>KESHARI RIJAL</t>
  </si>
  <si>
    <t>SAPANA RIJAL</t>
  </si>
  <si>
    <t>RAJ RIJAL</t>
  </si>
  <si>
    <t>DOTI KC</t>
  </si>
  <si>
    <t>BATA RAM BASNET</t>
  </si>
  <si>
    <t>Binu Bista</t>
  </si>
  <si>
    <t>BISHNU PUN</t>
  </si>
  <si>
    <t>Daya Murti Pokhrel</t>
  </si>
  <si>
    <t>MENAKA BHUSAL</t>
  </si>
  <si>
    <t>BRAJA DHAN GHARTI MAGAR</t>
  </si>
  <si>
    <t>GURI LAL CHAUDHARY</t>
  </si>
  <si>
    <t>JIT BAHADUR RAWAT</t>
  </si>
  <si>
    <t>JUDHAN CHAUDHARY</t>
  </si>
  <si>
    <t>KHUM BAHADUR OLI</t>
  </si>
  <si>
    <t>MANI RAM KUMAL</t>
  </si>
  <si>
    <t>SURYA BDR PARIYAR</t>
  </si>
  <si>
    <t>SHARMILA CHAUDHARI</t>
  </si>
  <si>
    <t>USHA RAWAT</t>
  </si>
  <si>
    <t>PIMA GIRI</t>
  </si>
  <si>
    <t>Prabita Basnet</t>
  </si>
  <si>
    <t>Raj Babu K.C.</t>
  </si>
  <si>
    <t>Shova Basnet</t>
  </si>
  <si>
    <t>Sushma K.C.</t>
  </si>
  <si>
    <t>TANKA PSD NEUPANE</t>
  </si>
  <si>
    <t>ganesh basnet</t>
  </si>
  <si>
    <t>ramesh basnet</t>
  </si>
  <si>
    <t>bir bahadur chantyal</t>
  </si>
  <si>
    <t>tikaram chantyal</t>
  </si>
  <si>
    <t>min kumar basnet</t>
  </si>
  <si>
    <t>anita oli</t>
  </si>
  <si>
    <t>birman oli</t>
  </si>
  <si>
    <t>dhan bahadur sen</t>
  </si>
  <si>
    <t>pabitra sen</t>
  </si>
  <si>
    <t>suntali gharti</t>
  </si>
  <si>
    <t>khuma gharti</t>
  </si>
  <si>
    <t>ram kumari chaudhary</t>
  </si>
  <si>
    <t>ram bikram chaudhary</t>
  </si>
  <si>
    <t>lalmani chaudhary</t>
  </si>
  <si>
    <t>gajman chaudhary</t>
  </si>
  <si>
    <t>ram jalan chaudhary</t>
  </si>
  <si>
    <t>krishi gurung</t>
  </si>
  <si>
    <t>patiram chaudhary</t>
  </si>
  <si>
    <t>pabitra oli</t>
  </si>
  <si>
    <t>Lord Buddha Butwal</t>
  </si>
  <si>
    <t>Corona Hospital Beljhundi</t>
  </si>
  <si>
    <t>Fuchi Roka</t>
  </si>
  <si>
    <t>MADAN KUMAR DANGI</t>
  </si>
  <si>
    <t>PADAM SHAH</t>
  </si>
  <si>
    <t>RAJAN BASNET</t>
  </si>
  <si>
    <t>BALIKA BASNET</t>
  </si>
  <si>
    <t>BASANTA BAHADUR KHATRI</t>
  </si>
  <si>
    <t>BHARAT KHADKA</t>
  </si>
  <si>
    <t>BIPANA NEUPANE</t>
  </si>
  <si>
    <t>BIR BHAN OLI</t>
  </si>
  <si>
    <t>DILLI BAHADUR KHATRI</t>
  </si>
  <si>
    <t>INDRA BAHADUR B.M</t>
  </si>
  <si>
    <t>JIV KUMARI BASNET</t>
  </si>
  <si>
    <t>KABITA KUMARI G.M</t>
  </si>
  <si>
    <t>KHADKA BAHADUR B.K</t>
  </si>
  <si>
    <t>KHIMA ADHIKARI</t>
  </si>
  <si>
    <t>KRISHNA GHARTI</t>
  </si>
  <si>
    <t>LILA DHAR NEPALI</t>
  </si>
  <si>
    <t>BUDDHI KUMAR K.C</t>
  </si>
  <si>
    <t>LALMANI CHAUDHARY</t>
  </si>
  <si>
    <t>TILAK RAJ TANIKKER</t>
  </si>
  <si>
    <t>BISHNU MAYA SHRESHTHA</t>
  </si>
  <si>
    <t>NIRMALA PUN</t>
  </si>
  <si>
    <t>PREETI KC</t>
  </si>
  <si>
    <t>PREM KUMARI RIJAL</t>
  </si>
  <si>
    <t>SANGITA DHAKAL</t>
  </si>
  <si>
    <t>SUNTALI GHARTI MAGAR</t>
  </si>
  <si>
    <t>RABIN CHAUDHARY</t>
  </si>
  <si>
    <t>RAM JALAN CHAUDHARY</t>
  </si>
  <si>
    <t>SABITRA PANDEY</t>
  </si>
  <si>
    <t>SHOVARAM TANDAN</t>
  </si>
  <si>
    <t>SOVA DEVI BHANDARI</t>
  </si>
  <si>
    <t>SUSHMA BUDHA</t>
  </si>
  <si>
    <t>TARA SINGH THAKURI</t>
  </si>
  <si>
    <t>TEKENDRA RAJ BHATTARAI</t>
  </si>
  <si>
    <t>मनोविमर्शकर्ताद्वारा दिइएको मनोसामाजिक परामर्श तथा PFA(Psychological First Aid ) को विवरण</t>
  </si>
  <si>
    <t>क्र.सं.</t>
  </si>
  <si>
    <t>मनोविमर्शकर्ताको नाम</t>
  </si>
  <si>
    <t>जम्मा संख्या</t>
  </si>
  <si>
    <t>सामान्य केस</t>
  </si>
  <si>
    <t>मध्यम केस</t>
  </si>
  <si>
    <t>कडा केस</t>
  </si>
  <si>
    <t>मृत्यु भएको परिवार मनोविमर्श सेवा</t>
  </si>
  <si>
    <t>सिन्धु हमाल</t>
  </si>
  <si>
    <t>जया पाण्डे</t>
  </si>
  <si>
    <t>कल्पना चौधरी</t>
  </si>
  <si>
    <t>यज्ञ केसी</t>
  </si>
  <si>
    <t>जम्मा</t>
  </si>
  <si>
    <t>maya chaudhary</t>
  </si>
  <si>
    <t>smarika chaudhary</t>
  </si>
  <si>
    <t>sumitra bk</t>
  </si>
  <si>
    <t>nar bahadur bk</t>
  </si>
  <si>
    <t>juthi nepali</t>
  </si>
  <si>
    <t>amrita nepali</t>
  </si>
  <si>
    <t>Bharat Raj Bhattarai</t>
  </si>
  <si>
    <t>Dharma Devkota</t>
  </si>
  <si>
    <t>Durka Bahadur Khadka</t>
  </si>
  <si>
    <t>Lalita Devi Khadka</t>
  </si>
  <si>
    <t>Tulasa Karki</t>
  </si>
  <si>
    <t>Veshraj Rawat</t>
  </si>
  <si>
    <t>AMRIT B.K</t>
  </si>
  <si>
    <t>BUJHAUNA CHAUDHARY</t>
  </si>
  <si>
    <t>HARI BAHADUR B.K</t>
  </si>
  <si>
    <t>JAYA KALA BASHYAL</t>
  </si>
  <si>
    <t>JUTHI NEPALI</t>
  </si>
  <si>
    <t>MAN BAHADUR GHARTI</t>
  </si>
  <si>
    <t>ANKIT BISWAKARMA</t>
  </si>
  <si>
    <t>JAGURAM CHAUDHARY</t>
  </si>
  <si>
    <t>RUP BAHADUR KHATRI</t>
  </si>
  <si>
    <t>JOK MAYA GHARTI</t>
  </si>
  <si>
    <t>KARINA NEPALI</t>
  </si>
  <si>
    <t>SUMITRA B.K</t>
  </si>
  <si>
    <t>TILA NEPALI</t>
  </si>
  <si>
    <t>NIRA CHAUDHARY</t>
  </si>
  <si>
    <t>PUSHPA KHATRI SAPKOTA</t>
  </si>
  <si>
    <t>SHOVA BAHADUR B.K</t>
  </si>
  <si>
    <t>khima thapa</t>
  </si>
  <si>
    <t>kamala basnet</t>
  </si>
  <si>
    <t>1:45 a.m.</t>
  </si>
  <si>
    <t>AMBIKA KARKI</t>
  </si>
  <si>
    <t>Bijaya Dahal Gautam</t>
  </si>
  <si>
    <t>Bimal Gautam</t>
  </si>
  <si>
    <t>Bimala Chaudhary</t>
  </si>
  <si>
    <t>CHEAT KUMARI SUNAR</t>
  </si>
  <si>
    <t>DILA KUMARI KHADKA</t>
  </si>
  <si>
    <t>KHIMA KC</t>
  </si>
  <si>
    <t>KHIMA THAPA</t>
  </si>
  <si>
    <t>MAYA THAPA</t>
  </si>
  <si>
    <t>Meghraj Pokhrel</t>
  </si>
  <si>
    <t>BHADASHARYA CHAUDHARY</t>
  </si>
  <si>
    <t>BINOD BAHADUR BASNET</t>
  </si>
  <si>
    <t>KRISHNA BAHADUR PUN</t>
  </si>
  <si>
    <t>NANDALAL GURUNG</t>
  </si>
  <si>
    <t>SARSWOTI NEPALI</t>
  </si>
  <si>
    <t>BINA OLI</t>
  </si>
  <si>
    <t>HIRA ACHARYA BHUSAL</t>
  </si>
  <si>
    <t>UMA BASNET</t>
  </si>
  <si>
    <t>NANDALAL KHADKA</t>
  </si>
  <si>
    <t>NIGAM KHATRI</t>
  </si>
  <si>
    <t>PRATAP BK</t>
  </si>
  <si>
    <t>Purna Kumari KC</t>
  </si>
  <si>
    <t>RAMESHWOR CHAUDHARY</t>
  </si>
  <si>
    <t>RATNA POKHREL</t>
  </si>
  <si>
    <t>RIMASH BK</t>
  </si>
  <si>
    <t>RUPSARI BK</t>
  </si>
  <si>
    <t>SARASWATI RIJAL</t>
  </si>
  <si>
    <t>SITA DC</t>
  </si>
  <si>
    <t>Sushila Nepali</t>
  </si>
  <si>
    <t>TIRISHA BAHADUR NEPALI</t>
  </si>
  <si>
    <t>TULASHA GHARTI</t>
  </si>
  <si>
    <t>sita dc</t>
  </si>
  <si>
    <t>narayan dangi</t>
  </si>
  <si>
    <t>कोरोना आइसोलेसन अस्पताल बेलझुन्डी</t>
  </si>
  <si>
    <t>Chandra Kumari Nepali</t>
  </si>
  <si>
    <t>Bhup Bahadur Kawar</t>
  </si>
  <si>
    <t>Sabitra Gharti</t>
  </si>
  <si>
    <t>Hasi Ram Chaudhary</t>
  </si>
  <si>
    <t>Atiram Giri</t>
  </si>
  <si>
    <t>Tilak Bahadur singh</t>
  </si>
  <si>
    <t>ARNAB GIRI</t>
  </si>
  <si>
    <t>Baby.SAMRIDDHI NEUPANE</t>
  </si>
  <si>
    <t>BALIKA NEPALI</t>
  </si>
  <si>
    <t>BIMALA BK</t>
  </si>
  <si>
    <t>BIR BAL BHANDARI</t>
  </si>
  <si>
    <t>Dinesh Kumar Lamichhane</t>
  </si>
  <si>
    <t>Karuna K.C.</t>
  </si>
  <si>
    <t>Kulraj Lamichhane</t>
  </si>
  <si>
    <t>LAXMI PUN</t>
  </si>
  <si>
    <t>AAKASH SAPKOTA</t>
  </si>
  <si>
    <t>DEV BAHADUR ALE</t>
  </si>
  <si>
    <t>BIDHYA CHAND</t>
  </si>
  <si>
    <t>DEVI SUNAR</t>
  </si>
  <si>
    <t>MOTI OLI</t>
  </si>
  <si>
    <t>PRAVA CHAUDHARY</t>
  </si>
  <si>
    <t>SITA SHARMA</t>
  </si>
  <si>
    <t>NITRA DEVI BHATTRAI</t>
  </si>
  <si>
    <t>OMKALI BHANDARI</t>
  </si>
  <si>
    <t>PADAM BAHADUR OLI</t>
  </si>
  <si>
    <t>RAMESH SIJALI</t>
  </si>
  <si>
    <t>RISHI RAJ BHANDARI</t>
  </si>
  <si>
    <t>RUPA K.C</t>
  </si>
  <si>
    <t>SAMEER DANGI</t>
  </si>
  <si>
    <t>SARADHANI CHAUDHARY</t>
  </si>
  <si>
    <t>TEK BDR DANGI</t>
  </si>
  <si>
    <t>6:20 a.m.</t>
  </si>
  <si>
    <t>bidhya chand</t>
  </si>
  <si>
    <t>chaya chand</t>
  </si>
  <si>
    <t>mohanlal gurung</t>
  </si>
  <si>
    <t>rupa gurung</t>
  </si>
  <si>
    <t>mohanlal bk</t>
  </si>
  <si>
    <t>shankar bk</t>
  </si>
  <si>
    <t>lila bahadut thapa</t>
  </si>
  <si>
    <t>GURU PRASAD KC</t>
  </si>
  <si>
    <t>BASABTA RAWAT</t>
  </si>
  <si>
    <t>TARA NEUPANE</t>
  </si>
  <si>
    <t>KHARKEY GHARTI</t>
  </si>
  <si>
    <t>PRAKASH KC</t>
  </si>
  <si>
    <t>PABIRA NEUPANE</t>
  </si>
  <si>
    <t>SHIVA BHANDARI</t>
  </si>
  <si>
    <t>TANKA BAHADUR KC</t>
  </si>
  <si>
    <t>CHABILAL OLI</t>
  </si>
  <si>
    <t>KHIM RAJ THAPA</t>
  </si>
  <si>
    <t>TARA GURUNG</t>
  </si>
  <si>
    <t>MENAKA V.R</t>
  </si>
  <si>
    <t>PARBATI KC</t>
  </si>
  <si>
    <t>RENU CHAUDHARY</t>
  </si>
  <si>
    <t>YAM KUMARI OLI</t>
  </si>
  <si>
    <t>PRASHANT SHAH</t>
  </si>
  <si>
    <t>BHUPENDRA BUDHATHOKI</t>
  </si>
  <si>
    <t>BAYALU CHAUDHARI</t>
  </si>
  <si>
    <t>NPL</t>
  </si>
  <si>
    <t>DHARMA DEVI BHANDARI</t>
  </si>
  <si>
    <t>KAMALA K.C</t>
  </si>
  <si>
    <t>SHAKUNTALA SHARMA</t>
  </si>
  <si>
    <t>SWOHITYA MALLA</t>
  </si>
  <si>
    <t>Bharati Gandarbha</t>
  </si>
  <si>
    <t>राप्ति प्रादेशिक अस्पताल</t>
  </si>
  <si>
    <t>Bhadri Nepali</t>
  </si>
  <si>
    <t>कोहलपुर मेडिकल कलेज</t>
  </si>
  <si>
    <t>1:45 p.m.</t>
  </si>
  <si>
    <t>Tika Bahadur Khatri</t>
  </si>
  <si>
    <t>BIR BDR CHAUDHARY</t>
  </si>
  <si>
    <t>11:00 P.M.</t>
  </si>
  <si>
    <t>12:15 p.m.</t>
  </si>
  <si>
    <t>4:55 a.m.</t>
  </si>
  <si>
    <t>2:45 a.m.</t>
  </si>
  <si>
    <t>kebala kumari basnet</t>
  </si>
  <si>
    <t>DIL BDR CHAUDHARY</t>
  </si>
  <si>
    <t>UCMS</t>
  </si>
  <si>
    <t>LOKRAJ RAWAT</t>
  </si>
  <si>
    <t>INDRA BAHADUR K.C</t>
  </si>
  <si>
    <t>NAND BAHADUR OLI</t>
  </si>
  <si>
    <t>TIKA BAHADUR KHATRI</t>
  </si>
  <si>
    <t>AMRITA KHATRI</t>
  </si>
  <si>
    <t>BHIM BAHADUR OLI</t>
  </si>
  <si>
    <t>KAMALA CHANTYAL</t>
  </si>
  <si>
    <t>PUSPA NEUPANE</t>
  </si>
  <si>
    <t>RADHA OLI</t>
  </si>
  <si>
    <t>SUK KUMARI GHARTI MAGAR</t>
  </si>
  <si>
    <t>NARAYAN PARSAD GUPTA</t>
  </si>
  <si>
    <t>SUNTALI B.K</t>
  </si>
  <si>
    <t>JAYA OLI</t>
  </si>
  <si>
    <t>MENAKA THAPA</t>
  </si>
  <si>
    <t>GANGA ARYAL</t>
  </si>
  <si>
    <t>JAMUNA ARYAL</t>
  </si>
  <si>
    <t>GOMA PARIYAR</t>
  </si>
  <si>
    <t>JUNA POKHREL</t>
  </si>
  <si>
    <t>SANGITA RIJAL</t>
  </si>
  <si>
    <t>SUPREME THAPA</t>
  </si>
  <si>
    <t>JANAKI CHAUDHARY</t>
  </si>
  <si>
    <t>shanta bdr bk</t>
  </si>
  <si>
    <t>NPJ004855</t>
  </si>
  <si>
    <t>prabit bk</t>
  </si>
  <si>
    <t>लिबाङ</t>
  </si>
  <si>
    <t>gagan rokaya</t>
  </si>
  <si>
    <t>रोल्पा हस्पिटल रेउघा</t>
  </si>
  <si>
    <t>210529-271</t>
  </si>
  <si>
    <t>anita rokaya</t>
  </si>
  <si>
    <t>BEL PRASHAD CHAUDHJARY</t>
  </si>
  <si>
    <t>बागेश्वरी प्याथ ल्याब</t>
  </si>
  <si>
    <t>BIMALA NEPALI</t>
  </si>
  <si>
    <t>CHEBAN BASNET</t>
  </si>
  <si>
    <t>DHAN PRASHAD KHADKA</t>
  </si>
  <si>
    <t>JYOTI KHADKA</t>
  </si>
  <si>
    <t>LALI KUMARI THADHA</t>
  </si>
  <si>
    <t>MAN KALWA CHAUDHARY</t>
  </si>
  <si>
    <t>MAYA DEVI K.C</t>
  </si>
  <si>
    <t>MUGA KUMARI HAMAL</t>
  </si>
  <si>
    <t>RAM KUMARI B.K</t>
  </si>
  <si>
    <t>SAMIR CHAND</t>
  </si>
  <si>
    <t>SANJU NEPALI</t>
  </si>
  <si>
    <t>SANTOSH GURUNG</t>
  </si>
  <si>
    <t>SUJATA DANGI</t>
  </si>
  <si>
    <t>GAMBAR KHADKA</t>
  </si>
  <si>
    <t>ISHORI KUMAR POUDEL</t>
  </si>
  <si>
    <t>REWONT RANA</t>
  </si>
  <si>
    <t>ROSHAN RANA</t>
  </si>
  <si>
    <t>DHANA DEVI DANGI</t>
  </si>
  <si>
    <t>GOMA DEVI KHATRI</t>
  </si>
  <si>
    <t>RITA MAHARA</t>
  </si>
  <si>
    <t>TULSA KC</t>
  </si>
  <si>
    <t>NARESH DANGI</t>
  </si>
  <si>
    <t>c042105845</t>
  </si>
  <si>
    <t>tej kumar oli</t>
  </si>
  <si>
    <t>MALATA K.C</t>
  </si>
  <si>
    <t>GAYETRI GIRI</t>
  </si>
  <si>
    <t>DABALI GHYAN</t>
  </si>
  <si>
    <t>ASHOK SHAH</t>
  </si>
  <si>
    <t>ram kali rawat</t>
  </si>
  <si>
    <t>uc04.0000000906</t>
  </si>
  <si>
    <t>puja rawat</t>
  </si>
  <si>
    <t>dorna bahadur bhandari</t>
  </si>
  <si>
    <t>Man kumari Chaudhary</t>
  </si>
  <si>
    <t>CHANDRA KC</t>
  </si>
  <si>
    <t>PAL SINGH KHADKA</t>
  </si>
  <si>
    <t>RAM KALI RAWOT</t>
  </si>
  <si>
    <t>SARITA KC</t>
  </si>
  <si>
    <t>10:20 p.m.</t>
  </si>
  <si>
    <t>JIT BAHADUR TANDON</t>
  </si>
  <si>
    <t>dhan bahadur khatri</t>
  </si>
  <si>
    <t>UC04.0000000764</t>
  </si>
  <si>
    <t>hari ram kc</t>
  </si>
  <si>
    <t>AARATI RAWAT</t>
  </si>
  <si>
    <t>HUMA SUNAR</t>
  </si>
  <si>
    <t>KAMALA GC</t>
  </si>
  <si>
    <t>KAMALA OLI</t>
  </si>
  <si>
    <t>KHIM BAHADUR KC</t>
  </si>
  <si>
    <t>KOPILA SUBEDI</t>
  </si>
  <si>
    <t>BISHNU PRASAD KHANAL</t>
  </si>
  <si>
    <t>MOTI LAL CHAUDHARI</t>
  </si>
  <si>
    <t>RATI BANG BUDHATHOKI</t>
  </si>
  <si>
    <t>SATEYENDRA CHAUDHARY</t>
  </si>
  <si>
    <t>KESHAR BAHADUR K.C</t>
  </si>
  <si>
    <t>KAMALA DEVI K.C</t>
  </si>
  <si>
    <t>CHOPLAL OLI</t>
  </si>
  <si>
    <t>GOPAL KAMI</t>
  </si>
  <si>
    <t>ANGEL THAPA</t>
  </si>
  <si>
    <t>TILU SHRESTHA </t>
  </si>
  <si>
    <t>6:16 p.m.</t>
  </si>
  <si>
    <r>
      <t xml:space="preserve">!! </t>
    </r>
    <r>
      <rPr>
        <sz val="16"/>
        <color rgb="FF9C6500"/>
        <rFont val="Arial"/>
        <family val="2"/>
      </rPr>
      <t>-</t>
    </r>
    <r>
      <rPr>
        <sz val="16"/>
        <color rgb="FF9C6500"/>
        <rFont val="Preeti"/>
      </rPr>
      <t xml:space="preserve"> @) jif{</t>
    </r>
  </si>
  <si>
    <r>
      <t xml:space="preserve"> @! </t>
    </r>
    <r>
      <rPr>
        <sz val="16"/>
        <color rgb="FF9C6500"/>
        <rFont val="Times New Roman"/>
        <family val="1"/>
      </rPr>
      <t>-</t>
    </r>
    <r>
      <rPr>
        <sz val="16"/>
        <color rgb="FF9C6500"/>
        <rFont val="Preeti"/>
      </rPr>
      <t xml:space="preserve"> #) jif{</t>
    </r>
  </si>
  <si>
    <r>
      <t xml:space="preserve">#! </t>
    </r>
    <r>
      <rPr>
        <sz val="16"/>
        <color rgb="FF9C6500"/>
        <rFont val="Times New Roman"/>
        <family val="1"/>
      </rPr>
      <t>-</t>
    </r>
    <r>
      <rPr>
        <sz val="16"/>
        <color rgb="FF9C6500"/>
        <rFont val="Preeti"/>
      </rPr>
      <t xml:space="preserve"> $) jif{</t>
    </r>
  </si>
  <si>
    <r>
      <t xml:space="preserve">$! </t>
    </r>
    <r>
      <rPr>
        <sz val="16"/>
        <color rgb="FF9C6500"/>
        <rFont val="Times New Roman"/>
        <family val="1"/>
      </rPr>
      <t>-</t>
    </r>
    <r>
      <rPr>
        <sz val="16"/>
        <color rgb="FF9C6500"/>
        <rFont val="Preeti"/>
      </rPr>
      <t xml:space="preserve"> %) jif{</t>
    </r>
  </si>
  <si>
    <r>
      <t xml:space="preserve">%! </t>
    </r>
    <r>
      <rPr>
        <sz val="16"/>
        <color rgb="FF9C6500"/>
        <rFont val="Times New Roman"/>
        <family val="1"/>
      </rPr>
      <t>-</t>
    </r>
    <r>
      <rPr>
        <sz val="16"/>
        <color rgb="FF9C6500"/>
        <rFont val="Preeti"/>
      </rPr>
      <t xml:space="preserve"> ^) jif{</t>
    </r>
  </si>
  <si>
    <r>
      <t xml:space="preserve">^! </t>
    </r>
    <r>
      <rPr>
        <sz val="16"/>
        <color rgb="FF9C6500"/>
        <rFont val="Times New Roman"/>
        <family val="1"/>
      </rPr>
      <t>-</t>
    </r>
    <r>
      <rPr>
        <sz val="16"/>
        <color rgb="FF9C6500"/>
        <rFont val="Preeti"/>
      </rPr>
      <t xml:space="preserve"> &amp;) jif{</t>
    </r>
  </si>
  <si>
    <r>
      <t xml:space="preserve">&amp;! </t>
    </r>
    <r>
      <rPr>
        <sz val="16"/>
        <color rgb="FF9C6500"/>
        <rFont val="Times New Roman"/>
        <family val="1"/>
      </rPr>
      <t xml:space="preserve">- </t>
    </r>
    <r>
      <rPr>
        <sz val="16"/>
        <color rgb="FF9C6500"/>
        <rFont val="Preeti"/>
      </rPr>
      <t>*) jif{</t>
    </r>
  </si>
  <si>
    <t>dilli bahadur chand</t>
  </si>
  <si>
    <t>गारमा</t>
  </si>
  <si>
    <t>UC04.0000000943</t>
  </si>
  <si>
    <t>birendra prakash chand</t>
  </si>
  <si>
    <t>arun basnet</t>
  </si>
  <si>
    <t>SAMSHER HAMAL</t>
  </si>
  <si>
    <t>मेट्रो अस्पताल</t>
  </si>
  <si>
    <t>SHANTI CHAUDHARY</t>
  </si>
  <si>
    <t>SWARSATI SHREASTHA</t>
  </si>
  <si>
    <t>SHARMILA GHARTI</t>
  </si>
  <si>
    <t>SAMJHANA CHAUDHARY</t>
  </si>
  <si>
    <t>UMA GIRI</t>
  </si>
  <si>
    <t>KAMALI BK</t>
  </si>
  <si>
    <t>JITKALI BK</t>
  </si>
  <si>
    <t>SUMAN KC</t>
  </si>
  <si>
    <t>SUBASH YOGI</t>
  </si>
  <si>
    <t>MADAN YOGI</t>
  </si>
  <si>
    <t>GALBIR KHATRI</t>
  </si>
  <si>
    <t>NARAYAN PRASAD POKHREL</t>
  </si>
  <si>
    <t>palsingh khadka</t>
  </si>
  <si>
    <t>UC02.0000002595</t>
  </si>
  <si>
    <t>binod khadka</t>
  </si>
  <si>
    <t>बसेको दिन</t>
  </si>
  <si>
    <t>KAMALA DANGI</t>
  </si>
  <si>
    <t>बागचौर</t>
  </si>
  <si>
    <t>chitra kumari malla</t>
  </si>
  <si>
    <t>UC04.0000000978</t>
  </si>
  <si>
    <t>ekraj malla</t>
  </si>
  <si>
    <r>
      <t xml:space="preserve">मिति </t>
    </r>
    <r>
      <rPr>
        <sz val="12"/>
        <color theme="1"/>
        <rFont val="Arial"/>
        <family val="2"/>
      </rPr>
      <t>:-</t>
    </r>
  </si>
  <si>
    <t>BIR BAHADUR OLI</t>
  </si>
  <si>
    <t>ritu bista</t>
  </si>
  <si>
    <t>कुमाख</t>
  </si>
  <si>
    <t>UC04.0000000986</t>
  </si>
  <si>
    <t>suresh budathoki</t>
  </si>
  <si>
    <t>sk'/sf]6, sfnLdf6L,5q]Zj/L,uf/df, afurf}/, s'dfv</t>
  </si>
  <si>
    <t>JAGANNI CHAUDHARY</t>
  </si>
  <si>
    <t>AJAY RAWOT</t>
  </si>
  <si>
    <t>CHUDAMANI OLI</t>
  </si>
  <si>
    <t>Dev Kumari Bhusal</t>
  </si>
  <si>
    <t>DHAN KUMARI BHANDARI</t>
  </si>
  <si>
    <t>HARKA BAHADUR PUN</t>
  </si>
  <si>
    <t>HURMAT BAHADUR DANGI</t>
  </si>
  <si>
    <t>Kamala Khanal</t>
  </si>
  <si>
    <t>MENAKA KUMARI BUDHATHOKI</t>
  </si>
  <si>
    <t>PARVATI B.K</t>
  </si>
  <si>
    <t>RESHMA SHARMA</t>
  </si>
  <si>
    <t>RITU BISTA</t>
  </si>
  <si>
    <t>SARITA OLI</t>
  </si>
  <si>
    <t>Swohita Malla</t>
  </si>
  <si>
    <t>TIRSI BDR NEPALI</t>
  </si>
  <si>
    <t>VED PRAKASH DUBEY</t>
  </si>
  <si>
    <t>Krish Bahadur Nepali</t>
  </si>
  <si>
    <t>DIPA CHAND</t>
  </si>
  <si>
    <t>GAUMATI B .K</t>
  </si>
  <si>
    <t>HUMLAL BISHWOKARMA</t>
  </si>
  <si>
    <t>Kiran Chand</t>
  </si>
  <si>
    <t>KRISHNA RAJ KHADKA</t>
  </si>
  <si>
    <t>MABIR CHAUDHARY</t>
  </si>
  <si>
    <t>KAMALA BUDHATHOKI</t>
  </si>
  <si>
    <t>Sapana Khadka Bhandari</t>
  </si>
  <si>
    <t>NANDA LAL MOHARA</t>
  </si>
  <si>
    <t>DIPAK KC</t>
  </si>
  <si>
    <t>BANDHYA THARUNI</t>
  </si>
  <si>
    <t>KRISHNI BK</t>
  </si>
  <si>
    <t>Amar Bahadur Rokaya</t>
  </si>
  <si>
    <t>bandhaya tharuni</t>
  </si>
  <si>
    <t>dev bahadur tharu</t>
  </si>
  <si>
    <t>Yamlal Chaudhary</t>
  </si>
  <si>
    <t>राप्ती स्वास्थय विज्ञान प्रतिष्ठान</t>
  </si>
  <si>
    <t>Dorna Bdr Bhandari</t>
  </si>
  <si>
    <t>Goma Bhusal</t>
  </si>
  <si>
    <t>Suklal Nepali</t>
  </si>
  <si>
    <t>Hima Basnet</t>
  </si>
  <si>
    <t>Lal Bahadur Bk</t>
  </si>
  <si>
    <t>Dila Ram B C</t>
  </si>
  <si>
    <t>Jagat Chaudhary</t>
  </si>
  <si>
    <t>Pampha Kumari Oli</t>
  </si>
  <si>
    <t>Anju Devkota</t>
  </si>
  <si>
    <t>Hamant Khadka</t>
  </si>
  <si>
    <t>Malina Khadka</t>
  </si>
  <si>
    <t>Saman Gurung Khadka</t>
  </si>
  <si>
    <t>Tika Basnet</t>
  </si>
  <si>
    <t>Sinjita Oli</t>
  </si>
  <si>
    <t>Dila Oli</t>
  </si>
  <si>
    <t>Khim B Oli</t>
  </si>
  <si>
    <t>Tikaran Jaishi</t>
  </si>
  <si>
    <t>Bed KUmari Oli</t>
  </si>
  <si>
    <t>dipesh Khadka</t>
  </si>
  <si>
    <t>Malati K C</t>
  </si>
  <si>
    <t>Janaki K C</t>
  </si>
  <si>
    <t>Sushil Kc</t>
  </si>
  <si>
    <t>Lok Bdr Kc</t>
  </si>
  <si>
    <t>Rupkali Khattri</t>
  </si>
  <si>
    <t>surixabhushal</t>
  </si>
  <si>
    <t>Syntali B K</t>
  </si>
  <si>
    <t>Suntali Sunar</t>
  </si>
  <si>
    <t>Maya Chaudhry</t>
  </si>
  <si>
    <t>Chandra Lal Chaudhary</t>
  </si>
  <si>
    <t>Tribikram Tandan</t>
  </si>
  <si>
    <t>santa Kc</t>
  </si>
  <si>
    <t>Man B Chaudhary</t>
  </si>
  <si>
    <t>khusi Ram Chaudhary</t>
  </si>
  <si>
    <t>Shibha Kumar Pariyar</t>
  </si>
  <si>
    <t>Tika Bk</t>
  </si>
  <si>
    <t>2/29/2078</t>
  </si>
  <si>
    <t>UMESH KUMAR BASNET</t>
  </si>
  <si>
    <t>DILA RAM BC</t>
  </si>
  <si>
    <t>Rudra Prasad Ghimire</t>
  </si>
  <si>
    <t>Dal Bahadur BK</t>
  </si>
  <si>
    <t>2/30/2078</t>
  </si>
  <si>
    <t>menaka ghimire</t>
  </si>
  <si>
    <t>21609-426</t>
  </si>
  <si>
    <t>Gulki Chaudhary</t>
  </si>
  <si>
    <t>DAL BDR B K</t>
  </si>
  <si>
    <t>KALU BOHARA</t>
  </si>
  <si>
    <t>LOKMANI PANDEY</t>
  </si>
  <si>
    <t>MEGHLAL BK</t>
  </si>
  <si>
    <t>RUDRA PSD GHIMIRE</t>
  </si>
  <si>
    <t>BASANTI PANDEY</t>
  </si>
  <si>
    <t>JAGANNAI CHAUDHARY</t>
  </si>
  <si>
    <t>LEKHA DEVI BASNET</t>
  </si>
  <si>
    <t>Tulsiram Giri</t>
  </si>
  <si>
    <t>RAM LAL THARU</t>
  </si>
  <si>
    <t>Samir Lamsal</t>
  </si>
  <si>
    <t>Sudip Lamsal</t>
  </si>
  <si>
    <t>Man Bahadur KC</t>
  </si>
  <si>
    <t>MUNDHARY OLI</t>
  </si>
  <si>
    <t>BINA BASNET</t>
  </si>
  <si>
    <t>RAMILA BUDHMAGAR</t>
  </si>
  <si>
    <t>SITA THAPA</t>
  </si>
  <si>
    <t>2/31/2078</t>
  </si>
  <si>
    <t>C042106100</t>
  </si>
  <si>
    <t>shyam prasad ghimire</t>
  </si>
  <si>
    <t>khim bahadur rajkoti</t>
  </si>
  <si>
    <t>C0421061133</t>
  </si>
  <si>
    <t>suman rajkoti</t>
  </si>
  <si>
    <t>AMRIT BAHADUR OLI</t>
  </si>
  <si>
    <t>TOP KUMARI DANGI</t>
  </si>
  <si>
    <t>SUNKESHA ROKYA</t>
  </si>
  <si>
    <t>KHIM BAHADUR RAJKOTI</t>
  </si>
  <si>
    <t>Chuttra Bahadur Chaudhary</t>
  </si>
  <si>
    <t>SHYAM PRASAD GHIMIRE</t>
  </si>
  <si>
    <t>SIDDHANT GHIMIRE</t>
  </si>
  <si>
    <t>LILAOTI NEPALI</t>
  </si>
  <si>
    <t>SHAMBHU NEPALI</t>
  </si>
  <si>
    <t>DEVA GIRI</t>
  </si>
  <si>
    <t>RABIKA BUDHA</t>
  </si>
  <si>
    <t>SANGITA BUDHA</t>
  </si>
  <si>
    <t>SOHAN CHAUDHARY</t>
  </si>
  <si>
    <t>DEV PRASAD MAHATARA</t>
  </si>
  <si>
    <t>Kularaj Lamichhane</t>
  </si>
  <si>
    <t>CHHETRA BAHADUR CHAUDHARY</t>
  </si>
  <si>
    <t>DAL BAHADUR CHAUDHARY</t>
  </si>
  <si>
    <t>RAMESH NEUPANE</t>
  </si>
  <si>
    <t>CHAKRA BAHADUR THAPA</t>
  </si>
  <si>
    <t>SIPALI KHADKA</t>
  </si>
  <si>
    <t>RITA THAPA</t>
  </si>
  <si>
    <t>dev prasad mahatara</t>
  </si>
  <si>
    <t>rajendra mahatara</t>
  </si>
  <si>
    <t>Tulsi Nepali</t>
  </si>
  <si>
    <t>MINA PURI</t>
  </si>
  <si>
    <t>RUKMINA PANDAY</t>
  </si>
  <si>
    <t>ISHWORI PRASHAD PAUDEL</t>
  </si>
  <si>
    <t>ASMITA DANGI</t>
  </si>
  <si>
    <t>GANGA RAM OLI</t>
  </si>
  <si>
    <t>Arjun Chaudhary</t>
  </si>
  <si>
    <t>Keshara Kumari Yogi</t>
  </si>
  <si>
    <t>8:35 p.m.</t>
  </si>
  <si>
    <t>dilli bahadur thapa</t>
  </si>
  <si>
    <t>UC04.0000001124</t>
  </si>
  <si>
    <t>yak raj thapa</t>
  </si>
  <si>
    <t>Ram Prasad Chaudhary</t>
  </si>
  <si>
    <t>Rudra Yogi</t>
  </si>
  <si>
    <t>Man Bahadur K.C.</t>
  </si>
  <si>
    <t>HIRA PARIYAR</t>
  </si>
  <si>
    <t>SRIJANA PANDEY</t>
  </si>
  <si>
    <t>TULSIRAM CHAUDHARY</t>
  </si>
  <si>
    <t>Rajnish Kumar Nirala</t>
  </si>
  <si>
    <t>Ankit Kumar</t>
  </si>
  <si>
    <t>kalpana Budhathoki</t>
  </si>
  <si>
    <t>hatikala Nepali</t>
  </si>
  <si>
    <t>Deva Neplli</t>
  </si>
  <si>
    <t>pream Bk</t>
  </si>
  <si>
    <t>gami Bk</t>
  </si>
  <si>
    <t xml:space="preserve"> महिला</t>
  </si>
  <si>
    <t>JUIPAL OLI</t>
  </si>
  <si>
    <t>DILA KUMARI BASNET</t>
  </si>
  <si>
    <t>Manoj Kumar Rawat</t>
  </si>
  <si>
    <t xml:space="preserve">tulsipur 14 </t>
  </si>
  <si>
    <t>BAL BAHADUR PUN</t>
  </si>
  <si>
    <t>GAYATRI OLI</t>
  </si>
  <si>
    <t>tulasi sharki</t>
  </si>
  <si>
    <t>NGMC-NPJ005114</t>
  </si>
  <si>
    <t>Krishna sharki</t>
  </si>
  <si>
    <t>Basudev Chaudhary</t>
  </si>
  <si>
    <t>DEVI GIRI</t>
  </si>
  <si>
    <t>Ramlal Paswan</t>
  </si>
  <si>
    <t>BHUPENDRA GIRI</t>
  </si>
  <si>
    <t>SUNITA GIRI</t>
  </si>
  <si>
    <t>Purna Bahadur Oli</t>
  </si>
  <si>
    <t>Gahendra Dhakal</t>
  </si>
  <si>
    <t>KRITI RAJ B.K</t>
  </si>
  <si>
    <t>RANJANA REGMI</t>
  </si>
  <si>
    <t>SARJANI B.K.</t>
  </si>
  <si>
    <t>Mohan Singh Oli</t>
  </si>
  <si>
    <t>hurmat oli</t>
  </si>
  <si>
    <t>UC04.00000001159</t>
  </si>
  <si>
    <t>susma oli</t>
  </si>
  <si>
    <t>sarjani bk</t>
  </si>
  <si>
    <t>1980-210628-38137</t>
  </si>
  <si>
    <t>prem kumari bk</t>
  </si>
  <si>
    <t>Man Bdr Khatri</t>
  </si>
  <si>
    <t>NAMS, Bir Hospital, Kathmandu</t>
  </si>
  <si>
    <t>5:35 a.m.</t>
  </si>
  <si>
    <t>RAJIKA CHAUDHARY</t>
  </si>
  <si>
    <t>Bhuma Kushari</t>
  </si>
  <si>
    <t>Sardin Kushari</t>
  </si>
  <si>
    <t>kamala  kc</t>
  </si>
  <si>
    <t>34458-46</t>
  </si>
  <si>
    <t>Min raj paudel</t>
  </si>
  <si>
    <t>Kamal prasad shrama</t>
  </si>
  <si>
    <t>तुलसीपुर मेट्रो अस्पताल</t>
  </si>
  <si>
    <t>0575-B11vLW</t>
  </si>
  <si>
    <t>prakash sharma</t>
  </si>
  <si>
    <t>keshari sharma</t>
  </si>
  <si>
    <t>0575-6JOH8q</t>
  </si>
  <si>
    <t>Keshari Gautam</t>
  </si>
  <si>
    <t>KHIMA OLI</t>
  </si>
  <si>
    <t>PUP LAL B K</t>
  </si>
  <si>
    <t>KHADKA BHANDARI</t>
  </si>
  <si>
    <t>Ruplal bk</t>
  </si>
  <si>
    <t>Mahendri Regmi</t>
  </si>
  <si>
    <t>होम आइसोलसेन</t>
  </si>
  <si>
    <t>Pabitra Paudel</t>
  </si>
  <si>
    <t>khima oli</t>
  </si>
  <si>
    <t>CO421071235</t>
  </si>
  <si>
    <t>TILAK BDR KHATRI</t>
  </si>
  <si>
    <t>sujan babu kc</t>
  </si>
  <si>
    <t>0575-210703-45857</t>
  </si>
  <si>
    <t>Tank kc</t>
  </si>
  <si>
    <t>tank kc</t>
  </si>
  <si>
    <t>BABU RAM CHAUDHARI</t>
  </si>
  <si>
    <t>SHARADA KUMARI K.C</t>
  </si>
  <si>
    <t>BRIZ BDR THARU</t>
  </si>
  <si>
    <t>GHANSAM BHANDARI</t>
  </si>
  <si>
    <t>Tika Bdr K.c.</t>
  </si>
  <si>
    <t>Shree Birendra Hospital</t>
  </si>
  <si>
    <t>Durga Prasad Chaudhary</t>
  </si>
  <si>
    <t>Dinesh Dahit</t>
  </si>
  <si>
    <t>Shambhu Regmi</t>
  </si>
  <si>
    <t>BHUMIKA OLI</t>
  </si>
  <si>
    <t>HURMAT GIRI</t>
  </si>
  <si>
    <t>Ranjita Giri</t>
  </si>
  <si>
    <t>Shree Birendra Hospital, Chhauni</t>
  </si>
  <si>
    <t xml:space="preserve"> Positive देखिएको संक्रमितको संख्या</t>
  </si>
  <si>
    <t>sital kc</t>
  </si>
  <si>
    <t>Test गरिएको जम्मा Antigen संख्या</t>
  </si>
  <si>
    <r>
      <t>तुलसीपुर</t>
    </r>
    <r>
      <rPr>
        <sz val="18"/>
        <color theme="1"/>
        <rFont val="Arial"/>
        <family val="2"/>
      </rPr>
      <t>को</t>
    </r>
    <r>
      <rPr>
        <b/>
        <sz val="18"/>
        <color theme="1"/>
        <rFont val="Arial"/>
        <family val="2"/>
      </rPr>
      <t xml:space="preserve"> Antigen Test को विवरण</t>
    </r>
  </si>
  <si>
    <t>Anu Basnet</t>
  </si>
  <si>
    <t>Tulsa Kumari Basnet</t>
  </si>
  <si>
    <t>Bimala Kumari KC</t>
  </si>
  <si>
    <t>loka devi kc</t>
  </si>
  <si>
    <t>yub raj gautam</t>
  </si>
  <si>
    <t>raman kumar gautam</t>
  </si>
  <si>
    <t>rama khanal</t>
  </si>
  <si>
    <t>t'n;Lk'/ d]6«f],sf]/f]gf cfO;f]n];g c:ktfn, t'n;Lk'/ bfª</t>
  </si>
  <si>
    <t>बागचौर कोभिड अस्पताल</t>
  </si>
  <si>
    <t>अनन्त गौतम</t>
  </si>
  <si>
    <t>JIT BAHADUR PUN</t>
  </si>
  <si>
    <t>Alfa Heath Care and Diagnostic Centre</t>
  </si>
  <si>
    <t>VESH RAJ BUDHATHOKI</t>
  </si>
  <si>
    <t>SHIBA BUDHATHOKI</t>
  </si>
  <si>
    <t>HOM BAHADUR BUDHATHOKI</t>
  </si>
  <si>
    <t>SUNTALI CHAUDHARY</t>
  </si>
  <si>
    <t>Asoda Kadel</t>
  </si>
  <si>
    <t>Maya KC</t>
  </si>
  <si>
    <t>Ritu kumari sharma</t>
  </si>
  <si>
    <t>Basant kumar sharma</t>
  </si>
  <si>
    <t>लमही अस्पताल</t>
  </si>
  <si>
    <t>गढवा</t>
  </si>
  <si>
    <t>u9jf</t>
  </si>
  <si>
    <t>Hemraj Karki</t>
  </si>
  <si>
    <t>Star Hospital, Sanepa</t>
  </si>
  <si>
    <t>Nokhiram Dangi</t>
  </si>
  <si>
    <t>Padam Bahadur Basnet</t>
  </si>
  <si>
    <t>Kamala Nakal</t>
  </si>
  <si>
    <t>kamala nakal</t>
  </si>
  <si>
    <t>210711-77</t>
  </si>
  <si>
    <t>dhan bdr nakal</t>
  </si>
  <si>
    <t>;Dd ck8]6</t>
  </si>
  <si>
    <t>t'n;Lk'/ pkdxfgu/kflnsfsf] sf]/f]gf ck8]6</t>
  </si>
  <si>
    <t>sf]/f]gf ;+s|ldtsf] xfn;Ddsf] ljj/0f</t>
  </si>
  <si>
    <t>Subh Bahadur Thapa Magar</t>
  </si>
  <si>
    <t>Nepal Armed Police Force Hospital</t>
  </si>
  <si>
    <t>उपचार भईरहेको अस्पताल/आइसोलेसन</t>
  </si>
  <si>
    <t>RAM BDR NEPALI</t>
  </si>
  <si>
    <t>HARI PAUDEL</t>
  </si>
  <si>
    <t>Sushasan Singh Dangi</t>
  </si>
  <si>
    <t>Tansen CICT 1</t>
  </si>
  <si>
    <t>Dan Bahadur Khadka</t>
  </si>
  <si>
    <t>अनिसा वली</t>
  </si>
  <si>
    <t>Anisa Oli</t>
  </si>
  <si>
    <t>Prabin Dangi</t>
  </si>
  <si>
    <t>Keshab Acharya</t>
  </si>
  <si>
    <t>Narayani Gautam</t>
  </si>
  <si>
    <t>Nabin Gautam</t>
  </si>
  <si>
    <t>Junu Gautam</t>
  </si>
  <si>
    <t>junu gautam</t>
  </si>
  <si>
    <t>Narayani gautam</t>
  </si>
  <si>
    <t>210714-96</t>
  </si>
  <si>
    <t>0575-210714-53863</t>
  </si>
  <si>
    <t>0575-210714-67753</t>
  </si>
  <si>
    <t>Bam Dev Regmi</t>
  </si>
  <si>
    <t>Madhya Bindu District Hospital, Nawalpur</t>
  </si>
  <si>
    <t>Sita Adhikari</t>
  </si>
  <si>
    <t>Bishnu Psd Wali</t>
  </si>
  <si>
    <t>Phulpati Chaudhary</t>
  </si>
  <si>
    <t>Nepalgunj Medical College, Kohalpur, Banke</t>
  </si>
  <si>
    <t>Krishna Bhandari</t>
  </si>
  <si>
    <t>Anisha Chaudhary</t>
  </si>
  <si>
    <t>Nirmala Bhattarai</t>
  </si>
  <si>
    <t>Ram Bdr Daulakoti</t>
  </si>
  <si>
    <t>UTTAM CHAUDHARY</t>
  </si>
  <si>
    <t>KHAL BAHADUR K.C</t>
  </si>
  <si>
    <t>KALPANA K.C</t>
  </si>
  <si>
    <t>Anamol Bdhathoki</t>
  </si>
  <si>
    <t>No 4 field ambulance company.cicy</t>
  </si>
  <si>
    <t xml:space="preserve">Alfa Heath Care and Diagnostic </t>
  </si>
  <si>
    <t>Sundarlal Chaudhary</t>
  </si>
  <si>
    <t>Diristi Gautam</t>
  </si>
  <si>
    <t>Roshan Kc</t>
  </si>
  <si>
    <t>Karishna Khadka</t>
  </si>
  <si>
    <t>parita chaudhary</t>
  </si>
  <si>
    <t>chakra bahadur pariyar</t>
  </si>
  <si>
    <t>durga kc</t>
  </si>
  <si>
    <t>sundar lal chaudhary</t>
  </si>
  <si>
    <t>4c04.0000001246</t>
  </si>
  <si>
    <t>दिल कुमारी परियार</t>
  </si>
  <si>
    <t>सुनिल योगी</t>
  </si>
  <si>
    <t>परिता चौधरी</t>
  </si>
  <si>
    <t>सुन्दरलाल चौधरी</t>
  </si>
  <si>
    <t>SHANTI DEVI CHAUDHARY</t>
  </si>
  <si>
    <t>BIKAM POKHREL</t>
  </si>
  <si>
    <t>Civil Service Hospital</t>
  </si>
  <si>
    <t>Dambar Bahadur Damai</t>
  </si>
  <si>
    <t>Sushila Oli</t>
  </si>
  <si>
    <t>Bal Bahadur Pun magar</t>
  </si>
  <si>
    <t>TEJA WOTI BHANDARI</t>
  </si>
  <si>
    <t>CHANDRA SHAHI</t>
  </si>
  <si>
    <t>Mina Khanal</t>
  </si>
  <si>
    <t>Chetana Pardhey</t>
  </si>
  <si>
    <t>Mitralal Bhandari</t>
  </si>
  <si>
    <t>Yubraj Bhandari</t>
  </si>
  <si>
    <t>dil kumari pariyar</t>
  </si>
  <si>
    <t>mitralal bhandari</t>
  </si>
  <si>
    <t>dal bahadur dangi</t>
  </si>
  <si>
    <t>mina khanal</t>
  </si>
  <si>
    <t>top bahadur dangi</t>
  </si>
  <si>
    <t>RT Antigen Test/राप्ति स्वास्थ्य विज्ञान प्रतिष्ठान</t>
  </si>
  <si>
    <t>LAXMAN CHAUDHARY</t>
  </si>
  <si>
    <t>Tribhuvan International Airport (Departure PoE)</t>
  </si>
  <si>
    <t>RASMITA SHAKYA</t>
  </si>
  <si>
    <t>OM PRAKASH CHAUDHARY</t>
  </si>
  <si>
    <t>होम आइसोलसन</t>
  </si>
  <si>
    <t>Sarita Gharti magar</t>
  </si>
  <si>
    <t>Gyatri Sejwal</t>
  </si>
  <si>
    <t>Sunil Nepali</t>
  </si>
  <si>
    <t>BINITA OLI</t>
  </si>
  <si>
    <t>ROSHAN K.C</t>
  </si>
  <si>
    <t>Pawan Oli</t>
  </si>
  <si>
    <t>Dhulikhel Hospital, Dhulikhel, Kavre</t>
  </si>
  <si>
    <t>ghamanda oli</t>
  </si>
  <si>
    <t>गंगादेव</t>
  </si>
  <si>
    <t>vimi oli</t>
  </si>
  <si>
    <t>tekendra dangi</t>
  </si>
  <si>
    <t>lqj]0fL, /]p3f, u+ufb]j</t>
  </si>
  <si>
    <t>tikaram neupane</t>
  </si>
  <si>
    <t>bishnu kumari acharya</t>
  </si>
  <si>
    <t>Yashoda Gautam</t>
  </si>
  <si>
    <t>Dinanath Bhattrai</t>
  </si>
  <si>
    <t>Nabaraj Sharma</t>
  </si>
  <si>
    <t>Lila Basnet</t>
  </si>
  <si>
    <t>Himlata Gharti</t>
  </si>
  <si>
    <t>Shanta Lamichane</t>
  </si>
  <si>
    <t>Bhojraj Lamichine</t>
  </si>
  <si>
    <t>Karuna Budhathoki</t>
  </si>
  <si>
    <t>Bir Bdr Kc</t>
  </si>
  <si>
    <t>Bhimi Oli</t>
  </si>
  <si>
    <t>Ghamanda Oli</t>
  </si>
  <si>
    <t>Nomesh Bdr Oli</t>
  </si>
  <si>
    <t>Saraswoti Sharma</t>
  </si>
  <si>
    <t>BAL BAHADUR RANA MAGAR</t>
  </si>
  <si>
    <t>Pramod Prasad Ghimire</t>
  </si>
  <si>
    <t>Dipendra Sunar</t>
  </si>
  <si>
    <t>Dalsari Sunar</t>
  </si>
  <si>
    <t>Upma Sunar</t>
  </si>
  <si>
    <t>sundar kumar kc</t>
  </si>
  <si>
    <t>susma kc</t>
  </si>
  <si>
    <t>nirmala kc</t>
  </si>
  <si>
    <t>sunishmaa kc</t>
  </si>
  <si>
    <t>DEV BAHADUR K.C</t>
  </si>
  <si>
    <t>Janamaitri Hospital, kathmandu</t>
  </si>
  <si>
    <t>Jagdish Dhungel</t>
  </si>
  <si>
    <t>Chudamani Dhungel</t>
  </si>
  <si>
    <t>Durga Bahadur Dangi</t>
  </si>
  <si>
    <t>Khal Bahadur Kc</t>
  </si>
  <si>
    <t>Gayatri Pokhrel</t>
  </si>
  <si>
    <t>Turunta Chaudhary</t>
  </si>
  <si>
    <t>Manab Bhattarai</t>
  </si>
  <si>
    <t>Puspa Bhattarai</t>
  </si>
  <si>
    <t>Tejendra Ruchal</t>
  </si>
  <si>
    <t>Rama Khadka</t>
  </si>
  <si>
    <t>Tul Bdr Bk</t>
  </si>
  <si>
    <t>Madhab Bhattrai</t>
  </si>
  <si>
    <t>DB Kc</t>
  </si>
  <si>
    <t>Kamal Bdr Basnetd</t>
  </si>
  <si>
    <t>Nirmala Kc</t>
  </si>
  <si>
    <t>Sundar Kumar Kc</t>
  </si>
  <si>
    <t>Suikarti Lamichane</t>
  </si>
  <si>
    <t>belmati oli</t>
  </si>
  <si>
    <t>Lok Bahadur Oli</t>
  </si>
  <si>
    <t>Shiv Raj Dangi</t>
  </si>
  <si>
    <t>Bharatpur Hospital COVID-19 Diagnostic Lab</t>
  </si>
  <si>
    <t>Puspa Roka</t>
  </si>
  <si>
    <t>tank raj oli</t>
  </si>
  <si>
    <t>Santi Oli</t>
  </si>
  <si>
    <t>hari bahadur oli</t>
  </si>
  <si>
    <t>Sharada K C</t>
  </si>
  <si>
    <t>shanti oli</t>
  </si>
  <si>
    <t>Binod Oli</t>
  </si>
  <si>
    <t>Gopal D.c.</t>
  </si>
  <si>
    <t>Tirtha Bahadur Dangi</t>
  </si>
  <si>
    <t>sharswoti shrama</t>
  </si>
  <si>
    <t>surendra sing rathor</t>
  </si>
  <si>
    <t>tejendra ruchal</t>
  </si>
  <si>
    <t>nisha ruchel</t>
  </si>
  <si>
    <t>KABI RAJ GAUTAM</t>
  </si>
  <si>
    <t>Damma Bahadur Sen</t>
  </si>
  <si>
    <t>Sudip Bhusal</t>
  </si>
  <si>
    <t>Hemlata Gharti</t>
  </si>
  <si>
    <t>Nisha Ruchal</t>
  </si>
  <si>
    <t>Bipisha Ruchal</t>
  </si>
  <si>
    <t>Bed Prasad KC</t>
  </si>
  <si>
    <t>bipisha ruchal</t>
  </si>
  <si>
    <t>Nisha Ruchel</t>
  </si>
  <si>
    <t>mahesh paudel</t>
  </si>
  <si>
    <t>Kashi Ram Dangi</t>
  </si>
  <si>
    <t>PREM BAHADUR DANGI</t>
  </si>
  <si>
    <t>RESHAM BAHADUR G.C</t>
  </si>
  <si>
    <t>SUSHILA K.C</t>
  </si>
  <si>
    <t>Mahesh Poudel</t>
  </si>
  <si>
    <t>Hira KC</t>
  </si>
  <si>
    <t>Rabi Kumar Bista</t>
  </si>
  <si>
    <t>Tika Khadka</t>
  </si>
  <si>
    <t>Yamuna Giri</t>
  </si>
  <si>
    <t>Bijaya Puri</t>
  </si>
  <si>
    <t>Tikaram Neupane</t>
  </si>
  <si>
    <t>Shuk Bahadur Khatri</t>
  </si>
  <si>
    <t>Shyam Kali BK</t>
  </si>
  <si>
    <t>Man Bahadur BK</t>
  </si>
  <si>
    <t>Amar raj Regmi</t>
  </si>
  <si>
    <t>PURNA BAHADUR BASNET</t>
  </si>
  <si>
    <t>LAL BAHADUR KHADKA</t>
  </si>
  <si>
    <t>GOMA SHARMA</t>
  </si>
  <si>
    <t>KHAGENDRA RAJ BASHYAL</t>
  </si>
  <si>
    <t>rupa khatri</t>
  </si>
  <si>
    <t>Hum Bahadur Khadka</t>
  </si>
  <si>
    <t>NARAYAN BAHADUR K.C.</t>
  </si>
  <si>
    <t>SHIHALI CHAUDHARY</t>
  </si>
  <si>
    <t>CHADANI BHANDARI</t>
  </si>
  <si>
    <t>Yang Lal Oli</t>
  </si>
  <si>
    <t>Rima Oli</t>
  </si>
  <si>
    <t>khima kc</t>
  </si>
  <si>
    <t>khusi kc</t>
  </si>
  <si>
    <t>RITA OLI KHADKA</t>
  </si>
  <si>
    <t>Nilam Sharma</t>
  </si>
  <si>
    <t>CHANDRAWATI KANDEL</t>
  </si>
  <si>
    <t>KHUMA K.C</t>
  </si>
  <si>
    <t>Mr.RAM PRASAD GHIMIRE</t>
  </si>
  <si>
    <t>Ritesh Bhattrai</t>
  </si>
  <si>
    <t>Bharat Prakash Malla</t>
  </si>
  <si>
    <t>AADIM KC</t>
  </si>
  <si>
    <t>Grande International Hospital Ltd.</t>
  </si>
  <si>
    <t>Tika ram Khadka</t>
  </si>
  <si>
    <t>Ramachandra Budhamagar</t>
  </si>
  <si>
    <t>d]6|f] c:ktfn</t>
  </si>
  <si>
    <t>cGo c:ktfn</t>
  </si>
  <si>
    <t xml:space="preserve"> t'n;Lk'/ pkdxfgu/kflnsfsf ;ls|o ;+s|ldtx?sf] ljj/0f</t>
  </si>
  <si>
    <t>Puskar Mahatara</t>
  </si>
  <si>
    <t>LOKENDRA YOGI</t>
  </si>
  <si>
    <t>bipana kc</t>
  </si>
  <si>
    <t>Mansara KC</t>
  </si>
  <si>
    <t>Khim Bdr Kc</t>
  </si>
  <si>
    <t>Simant Kc</t>
  </si>
  <si>
    <t>Sita Kc</t>
  </si>
  <si>
    <t>Pushkar Mahatara</t>
  </si>
  <si>
    <t>Khim Bahadur KC</t>
  </si>
  <si>
    <t>Krishana Mahatara</t>
  </si>
  <si>
    <t>Sita KC</t>
  </si>
  <si>
    <t>Kul Bahadur Oli</t>
  </si>
  <si>
    <t>TILA REULE KHADKA</t>
  </si>
  <si>
    <t>Binod Kumar Acharya</t>
  </si>
  <si>
    <t>SIMA OLI</t>
  </si>
  <si>
    <t>Alka Hospital</t>
  </si>
  <si>
    <t>Dipak Bk</t>
  </si>
  <si>
    <t>Crystal Diagnostic Private Limited</t>
  </si>
  <si>
    <t>PARBATA G.C</t>
  </si>
  <si>
    <t>DURHA PDS ADHAKARI</t>
  </si>
  <si>
    <t>BIRMA KUMARI KHADKA</t>
  </si>
  <si>
    <t>SONAM HAMAL</t>
  </si>
  <si>
    <t>ALVIN HAMAL</t>
  </si>
  <si>
    <t>DILLU RAJAURE</t>
  </si>
  <si>
    <t>SUSHILA SINGH</t>
  </si>
  <si>
    <t>4/31/2078</t>
  </si>
  <si>
    <t>TEJ BAHADUR DAMAI PPN</t>
  </si>
  <si>
    <t>NMC Kohalpur, Banke</t>
  </si>
  <si>
    <t>4:40 a.m.</t>
  </si>
  <si>
    <t>RUPA KHATRI</t>
  </si>
  <si>
    <t>shihali chaudhary</t>
  </si>
  <si>
    <t>shisir chaudhary</t>
  </si>
  <si>
    <t>4/32/2078</t>
  </si>
  <si>
    <t>BASU DEV BASNET</t>
  </si>
  <si>
    <t>Ashmita Kc</t>
  </si>
  <si>
    <t>Bishal Acharya</t>
  </si>
  <si>
    <t>Tika kumari Roka k.c.</t>
  </si>
  <si>
    <t>SHER BAHADUR BISTA</t>
  </si>
  <si>
    <t>KUSHAL OLI</t>
  </si>
  <si>
    <t>बेलझुन्डी आइसोलेसन</t>
  </si>
  <si>
    <t>VEDHA KUMARI OLI</t>
  </si>
  <si>
    <t>National Path Lab</t>
  </si>
  <si>
    <t>PRABHASH SHRESTHA</t>
  </si>
  <si>
    <t>DIL MAYA BASNET</t>
  </si>
  <si>
    <t>Dev Maya Regmi</t>
  </si>
  <si>
    <t>Bedraj Dhital</t>
  </si>
  <si>
    <t>NIRMILA NEUPANE</t>
  </si>
  <si>
    <t>RAVI KUMAR SAWAD</t>
  </si>
  <si>
    <t>MAHESH RAJBANSHI</t>
  </si>
  <si>
    <t>RAMESH RAUT</t>
  </si>
  <si>
    <t>TOP BDR PARDHE</t>
  </si>
  <si>
    <t>DEB BDR DANGI</t>
  </si>
  <si>
    <t>Pritam Dangi</t>
  </si>
  <si>
    <t>Binod Ghimire</t>
  </si>
  <si>
    <t>Shristi Paudel</t>
  </si>
  <si>
    <t>BISHAL ADHIKARI</t>
  </si>
  <si>
    <t>SITA KUMARI DANGI</t>
  </si>
  <si>
    <t>INDRA KHADKA (PPN-07383845)</t>
  </si>
  <si>
    <t>Lalmoti Chaudhary</t>
  </si>
  <si>
    <t>BAL BIKRAM SEN</t>
  </si>
  <si>
    <t>NABIN BHUSAL</t>
  </si>
  <si>
    <t>Bala Devi Bhusal</t>
  </si>
  <si>
    <t>Padiham Kumar Gyawali</t>
  </si>
  <si>
    <t>Damanta Godathoki</t>
  </si>
  <si>
    <t>Saraswoti Kheral</t>
  </si>
  <si>
    <t>Kedar Godathoki</t>
  </si>
  <si>
    <t>Tek Bahadur Mahal</t>
  </si>
  <si>
    <t>Khim Bahadur Budhathoki</t>
  </si>
  <si>
    <t>Lila Budhathoki</t>
  </si>
  <si>
    <t>Lila Kumari Mahat</t>
  </si>
  <si>
    <t>SOM RAJ DANGI</t>
  </si>
  <si>
    <t>ANITA GHIMIRE</t>
  </si>
  <si>
    <t>Dillu Bhandari</t>
  </si>
  <si>
    <t>Bimala Bhandari</t>
  </si>
  <si>
    <t>Kamal Basnet</t>
  </si>
  <si>
    <t>Tulsi Kumari Basnet</t>
  </si>
  <si>
    <t>Dal Bdr Dangi</t>
  </si>
  <si>
    <t>Top Bdr Gaha</t>
  </si>
  <si>
    <t>Sumitra Gaha</t>
  </si>
  <si>
    <t>Bhima Bk</t>
  </si>
  <si>
    <t>Narayan Regmi</t>
  </si>
  <si>
    <t>PUSPA ADHAKARI</t>
  </si>
  <si>
    <t>Basanta Rijal</t>
  </si>
  <si>
    <t>Sita Rijal</t>
  </si>
  <si>
    <t>Thaggu prasad Rijal</t>
  </si>
  <si>
    <t>Jeevan Devkota</t>
  </si>
  <si>
    <t>SAGUN RAJAURE</t>
  </si>
  <si>
    <t>KMC Hospital,Duwakot</t>
  </si>
  <si>
    <t>Bhuma Gaha</t>
  </si>
  <si>
    <t>Susan Gaha</t>
  </si>
  <si>
    <t>Jit Bdr Gaha</t>
  </si>
  <si>
    <t>Hari Poudel</t>
  </si>
  <si>
    <t>Nabin Chaudhari</t>
  </si>
  <si>
    <t>SABITRA B.K</t>
  </si>
  <si>
    <t>B. P. Koirala Memorial Cancer Hospital (BPKMCH)</t>
  </si>
  <si>
    <t>KANTA PSD THARU</t>
  </si>
  <si>
    <t>TIKA RAM NEUPANE</t>
  </si>
  <si>
    <t>MAYA BK</t>
  </si>
  <si>
    <t>ACHYUT RAJ PAUDEL</t>
  </si>
  <si>
    <t>Chitwan Medical College, Bharatpur</t>
  </si>
  <si>
    <t>HUM BAHADUR K C</t>
  </si>
  <si>
    <t>Samjhana Basnet</t>
  </si>
  <si>
    <t>Suraj Kc</t>
  </si>
  <si>
    <t>Rajani Sing</t>
  </si>
  <si>
    <t>Subash Sen Thakuri</t>
  </si>
  <si>
    <t>Gita Devkota</t>
  </si>
  <si>
    <t>Mohan Sharma</t>
  </si>
  <si>
    <t>Hukumi Khadka</t>
  </si>
  <si>
    <t>Resham Pariyar</t>
  </si>
  <si>
    <t>Parsabi Pokhral</t>
  </si>
  <si>
    <t>Binulal Pokhral</t>
  </si>
  <si>
    <t>Sumitra Pokhral</t>
  </si>
  <si>
    <t>Sarmila Lamichhane</t>
  </si>
  <si>
    <t>Basanta Adhikari</t>
  </si>
  <si>
    <t>Pooja Basnet</t>
  </si>
  <si>
    <t>TEK BDR KHATRI</t>
  </si>
  <si>
    <t>BIDHYA POKHERAL</t>
  </si>
  <si>
    <t>SHOVA RAM BHUSAL</t>
  </si>
  <si>
    <t>Shirish Shrestha</t>
  </si>
  <si>
    <t>Kiran B.k</t>
  </si>
  <si>
    <t>Tek Bdr Kc</t>
  </si>
  <si>
    <t>BISHNA THARU</t>
  </si>
  <si>
    <t>SUMERU SAMUDAYIK HOSPITAL</t>
  </si>
  <si>
    <t>Chheku Tamang</t>
  </si>
  <si>
    <t>Gaddachauki HD (POE)</t>
  </si>
  <si>
    <t>Hom Bahadur Oli</t>
  </si>
  <si>
    <t>KARAN BUDHATHOKI</t>
  </si>
  <si>
    <t>PALISTAN REGMI</t>
  </si>
  <si>
    <t>Yubraj Kumal</t>
  </si>
  <si>
    <t>Bhuma Dangi</t>
  </si>
  <si>
    <t>Lila Bahadur Bishwokarma</t>
  </si>
  <si>
    <t>Lumbini Provincial Hospital</t>
  </si>
  <si>
    <t>LAXMI RIJAL</t>
  </si>
  <si>
    <t>TOPENDRA THAPA</t>
  </si>
  <si>
    <t>GITA KHATRI</t>
  </si>
  <si>
    <t>Radhe Kumar Bomjan</t>
  </si>
  <si>
    <t>Other</t>
  </si>
  <si>
    <t>Nirav Oli</t>
  </si>
  <si>
    <t>Transport/Delivery</t>
  </si>
  <si>
    <t>Sasi Basnet</t>
  </si>
  <si>
    <t>Nar bahadur oli</t>
  </si>
  <si>
    <t>Police/Army</t>
  </si>
  <si>
    <t>Military Hospital Nepagunj</t>
  </si>
  <si>
    <t>LALBIR KHADKA</t>
  </si>
  <si>
    <t>Ishwor Pdr Lamichhane</t>
  </si>
  <si>
    <t>Agriculture</t>
  </si>
  <si>
    <t>BIDHAYA KHADKA</t>
  </si>
  <si>
    <t>Laxmi Dangi</t>
  </si>
  <si>
    <t>Teacher/Student/Education</t>
  </si>
  <si>
    <t>Resham Oli</t>
  </si>
  <si>
    <t>Bharat Raj Acharya</t>
  </si>
  <si>
    <t>RAMESH GHIMIRE</t>
  </si>
  <si>
    <t>GEHENDRA BDR OLI</t>
  </si>
  <si>
    <t>Radhika Khadka</t>
  </si>
  <si>
    <t>SABITA DANGI</t>
  </si>
  <si>
    <t>SHIRJANA THADA</t>
  </si>
  <si>
    <t>Yubraj Rijal</t>
  </si>
  <si>
    <t>Business/Industry</t>
  </si>
  <si>
    <t>Prasun Rijal</t>
  </si>
  <si>
    <t>Sharmila Tiwari</t>
  </si>
  <si>
    <t>Puja Rijal</t>
  </si>
  <si>
    <t>Aarati Rijal</t>
  </si>
  <si>
    <t>Huma Rijal</t>
  </si>
  <si>
    <t>Himlal Neupane</t>
  </si>
  <si>
    <t>Rajesh Nepali</t>
  </si>
  <si>
    <t>Barsha Bista</t>
  </si>
  <si>
    <t>Prashyas Bista</t>
  </si>
  <si>
    <t>Simran Kharel</t>
  </si>
  <si>
    <t>Birendra Jung Shrestha</t>
  </si>
  <si>
    <t>Kokila Singh Thakuri</t>
  </si>
  <si>
    <t>Barsha BK</t>
  </si>
  <si>
    <t>Kamala Chhetri</t>
  </si>
  <si>
    <t>Yagya Murti gautam</t>
  </si>
  <si>
    <t>Puspa Subedi</t>
  </si>
  <si>
    <t>Nama Devi Bhandari</t>
  </si>
  <si>
    <t>Dipa Budhathoki</t>
  </si>
  <si>
    <t>Balika Kumari Poudel</t>
  </si>
  <si>
    <t>Nima Shrestha</t>
  </si>
  <si>
    <t>Parbati BK</t>
  </si>
  <si>
    <t>SAGAR BASNET</t>
  </si>
  <si>
    <t>SHYAMLAL RIJAL</t>
  </si>
  <si>
    <t>Ambika Bhandari</t>
  </si>
  <si>
    <t>Kul Prasad Bhandari</t>
  </si>
  <si>
    <t>Dila Bhandari</t>
  </si>
  <si>
    <t>Dipson Bhandari</t>
  </si>
  <si>
    <t>Puran Bahadur Oli</t>
  </si>
  <si>
    <t>Ghorahi CICT Health Office</t>
  </si>
  <si>
    <t>Sher Bahadur Kc</t>
  </si>
  <si>
    <t>ghorahi CICT 7</t>
  </si>
  <si>
    <t>Basant Ghimire</t>
  </si>
  <si>
    <t>No Lab Name Hospital</t>
  </si>
  <si>
    <t>Civil Servant</t>
  </si>
  <si>
    <t>Pradip Sharma</t>
  </si>
  <si>
    <t>Ratna Bahadur Dangi</t>
  </si>
  <si>
    <t>Madan Raj Bhatta</t>
  </si>
  <si>
    <t>Tej Kumari Dangi</t>
  </si>
  <si>
    <t>Manish Basnet</t>
  </si>
  <si>
    <t>Anish Basnet</t>
  </si>
  <si>
    <t>TESAWI RIJAL</t>
  </si>
  <si>
    <t>Rapti Academy of Health Science, Dang</t>
  </si>
  <si>
    <t>Ishu K.C.</t>
  </si>
  <si>
    <t>Madhab K.C.</t>
  </si>
  <si>
    <t>Madan Raj Bhatt</t>
  </si>
  <si>
    <t>HEM RAJ G C</t>
  </si>
  <si>
    <t>PRATIBHA LAMICHHANE</t>
  </si>
  <si>
    <t>SAGUN THAPA</t>
  </si>
  <si>
    <t>SHISHIR POKHREL</t>
  </si>
  <si>
    <t>Beerindra Khadka</t>
  </si>
  <si>
    <t>Shreegaun PHCC(isolation)</t>
  </si>
  <si>
    <t>Amit Nepali</t>
  </si>
  <si>
    <t>Kathmandu CICT 2</t>
  </si>
  <si>
    <t>National Path Lab &amp; Research Center Pvt. Ltd.</t>
  </si>
  <si>
    <t>KESHAL RAJ SHARMA</t>
  </si>
  <si>
    <t>HARI SUBEDI</t>
  </si>
  <si>
    <t xml:space="preserve"> MEGH RAJ KALATHOKI</t>
  </si>
  <si>
    <t>TUTH KTM</t>
  </si>
  <si>
    <t>SURESH PARIYAR</t>
  </si>
  <si>
    <t> Alfa Heath Care and Diagnostic Centre</t>
  </si>
  <si>
    <t>MEGH RAJ KALATHOKI</t>
  </si>
  <si>
    <t>Tribhuvan University Teaching Hospital (TUTH) - tuth.ktm</t>
  </si>
  <si>
    <t>Gopal Dangi</t>
  </si>
  <si>
    <t>Shantinagar</t>
  </si>
  <si>
    <t>PRABHA BOHARA</t>
  </si>
  <si>
    <t>PURNA BAHADUR OLI</t>
  </si>
  <si>
    <t>ANSAN CHAUDHARY</t>
  </si>
  <si>
    <t>CHURNA BAHADUR CHAUDHARY</t>
  </si>
  <si>
    <t>BUTIYA CHAUDHARY</t>
  </si>
  <si>
    <t>KRITANI CHAUDHARY</t>
  </si>
  <si>
    <t>RAJ KU. GAUTAM</t>
  </si>
  <si>
    <t>NIM BDR DANGI</t>
  </si>
  <si>
    <t>AMBIKA BHANDARI</t>
  </si>
  <si>
    <t>Purna Bahadur Kumal</t>
  </si>
  <si>
    <t>Bishnu Panthi</t>
  </si>
  <si>
    <t>Shankar Kandel</t>
  </si>
  <si>
    <t>Dipa Oli</t>
  </si>
  <si>
    <t>Purna Bdr Kumal</t>
  </si>
  <si>
    <t>Goma Devi Oli</t>
  </si>
  <si>
    <t>Bhesraj Lamichhane</t>
  </si>
  <si>
    <t>Rupesh Bhandari</t>
  </si>
  <si>
    <t>KHIRMALI KHADKA</t>
  </si>
  <si>
    <t>LALIT JUNG SHAHA</t>
  </si>
  <si>
    <t>Sarita Dahal</t>
  </si>
  <si>
    <t>Pradip Dahal</t>
  </si>
  <si>
    <t>Dinesh Aacharya</t>
  </si>
  <si>
    <t>Samarth Aacharya</t>
  </si>
  <si>
    <t>Poshan Bhusal</t>
  </si>
  <si>
    <t>SUDIP BUDHATHOKI</t>
  </si>
  <si>
    <t>Ghanshyam Oli</t>
  </si>
  <si>
    <t>KRISHNA BAHADUR CHAUDHARY</t>
  </si>
  <si>
    <t>Parwati Basnet</t>
  </si>
  <si>
    <t>Nanda Kala Panthi</t>
  </si>
  <si>
    <t>BANDANA SHARMA</t>
  </si>
  <si>
    <t>KARAN ACHARAYA</t>
  </si>
  <si>
    <t>CHANDRA LAL KANDEL</t>
  </si>
  <si>
    <t>Seema Neupane</t>
  </si>
  <si>
    <t>Rapti Provincial Hospital (Kendriya Ayurbed Bidhyapith, Beljhundi, Dang)</t>
  </si>
  <si>
    <t>Komal Chanara</t>
  </si>
  <si>
    <t>/fKtL k|fb]lzs c:ktfn</t>
  </si>
  <si>
    <t>Kamala Bhusal</t>
  </si>
  <si>
    <t>Nar Singh BK</t>
  </si>
  <si>
    <t>Nepalgunj Medical College, Kohalpur</t>
  </si>
  <si>
    <t>Sankalpa Raj Acharya</t>
  </si>
  <si>
    <t>Man Bahadur Reule</t>
  </si>
  <si>
    <t>Susila Subedi</t>
  </si>
  <si>
    <t>Khagendra Sapkota</t>
  </si>
  <si>
    <t>Keshar Bahadur Oli</t>
  </si>
  <si>
    <t>Goma Panthi</t>
  </si>
  <si>
    <t>Sita Kumari Adhikari</t>
  </si>
  <si>
    <t>Shiva Adhikari</t>
  </si>
  <si>
    <t>Kar Bir Shahu</t>
  </si>
  <si>
    <t>AARAV KHATRI</t>
  </si>
  <si>
    <t>MAYA SHAH</t>
  </si>
  <si>
    <t>PRASHANT NEPALI</t>
  </si>
  <si>
    <t>Sumitra Pariyar</t>
  </si>
  <si>
    <t>Anil Yadav</t>
  </si>
  <si>
    <t>Sabitri Pokhrel</t>
  </si>
  <si>
    <t>Parkash Acharya</t>
  </si>
  <si>
    <t>tulsiupr 11</t>
  </si>
  <si>
    <t>Narayani Chaudhary</t>
  </si>
  <si>
    <t>INDU SHREE</t>
  </si>
  <si>
    <t>SUNIL NEUPANE</t>
  </si>
  <si>
    <t>SHIJAN SHARMA</t>
  </si>
  <si>
    <t>KAMALA CHAUDHARY</t>
  </si>
  <si>
    <t>KABI RAJ ACHARYA</t>
  </si>
  <si>
    <t>Basanta Bhusal</t>
  </si>
  <si>
    <t>Prema Shahi</t>
  </si>
  <si>
    <t>Krishna Prasad Sharma</t>
  </si>
  <si>
    <t>GITA DEVI REGMI</t>
  </si>
  <si>
    <t>RAM PRD GYAWALI</t>
  </si>
  <si>
    <t>MANISHA G.C</t>
  </si>
  <si>
    <t>TILA RAM BHANDARI</t>
  </si>
  <si>
    <t>Laxman Jung Shah</t>
  </si>
  <si>
    <t>;+s|ldtsf] j8fut ljj/0f -Hofgj/L ! @)@@, kf}if !&amp; ut]b]lv  xfn;Ddsf] ljj/0f_</t>
  </si>
  <si>
    <t>Anu Pokhrel</t>
  </si>
  <si>
    <t>Tulsipur Metro Hospital</t>
  </si>
  <si>
    <t>employee</t>
  </si>
  <si>
    <t>राप्ती प्रादेशिक अस्पताल</t>
  </si>
  <si>
    <t>Akabar Gurung</t>
  </si>
  <si>
    <t>Himal Chand</t>
  </si>
  <si>
    <t>Keshab Singh</t>
  </si>
  <si>
    <t>Dhaneshor Oli</t>
  </si>
  <si>
    <t>Sarswoti Chaudhary</t>
  </si>
  <si>
    <t>Nirmala Dangi</t>
  </si>
  <si>
    <t>Yogmaya Yogi</t>
  </si>
  <si>
    <t>Bishnu Acharya</t>
  </si>
  <si>
    <t>Rajani Bhandari</t>
  </si>
  <si>
    <t>Poshan Raj Thapa</t>
  </si>
  <si>
    <t>Bharat Oli</t>
  </si>
  <si>
    <t>Shovaram Oli</t>
  </si>
  <si>
    <t>Sanjay Sharma</t>
  </si>
  <si>
    <t>Deepak Oli</t>
  </si>
  <si>
    <t>Shiva Prasad Lamicchane</t>
  </si>
  <si>
    <t>Keshav Raj Giri</t>
  </si>
  <si>
    <t>Rekha Shahi</t>
  </si>
  <si>
    <t>Sarada Khadka</t>
  </si>
  <si>
    <t>Sushil thapa</t>
  </si>
  <si>
    <t>Kopila Khadka</t>
  </si>
  <si>
    <t>Kalpana Sharma</t>
  </si>
  <si>
    <t>Manish Oli</t>
  </si>
  <si>
    <t>teacher</t>
  </si>
  <si>
    <t>businessman</t>
  </si>
  <si>
    <t>student</t>
  </si>
  <si>
    <t>तुलसीपुर उपमहानगरपालिकामा Vaccine लगाएको को विवरण</t>
  </si>
  <si>
    <t>Jennsen and Jennsen</t>
  </si>
  <si>
    <t>Remant KC</t>
  </si>
  <si>
    <t>Bhagbat Ghimire</t>
  </si>
  <si>
    <t>Sanskriti Upreti</t>
  </si>
  <si>
    <t>Sankar Prasad Pokhrel</t>
  </si>
  <si>
    <t>Sanskar Upreti</t>
  </si>
  <si>
    <t>Pabitra KC</t>
  </si>
  <si>
    <t>Buddhi Prakash Sharma</t>
  </si>
  <si>
    <t>Sindu Hamal</t>
  </si>
  <si>
    <t>Sabitra Pokhrel</t>
  </si>
  <si>
    <t>Kamala KC</t>
  </si>
  <si>
    <t>Badsa Ansari</t>
  </si>
  <si>
    <t>Sujit Sharma</t>
  </si>
  <si>
    <t>IT ENgineer</t>
  </si>
  <si>
    <t>Health person</t>
  </si>
  <si>
    <t>Bishnu Giri</t>
  </si>
  <si>
    <t>Khum Prasad Neupane</t>
  </si>
  <si>
    <t>Navraj Pandey</t>
  </si>
  <si>
    <t>Udshav Yogi</t>
  </si>
  <si>
    <t>Hom Bahadur Bhandari</t>
  </si>
  <si>
    <t>Purnima KC</t>
  </si>
  <si>
    <t>Thapiram Khadka</t>
  </si>
  <si>
    <t>Shanti  Budhathoki</t>
  </si>
  <si>
    <t>Durga Neupane</t>
  </si>
  <si>
    <t>Dhan bahadur Budhathoki</t>
  </si>
  <si>
    <t>Dhan Maya Dhital</t>
  </si>
  <si>
    <t>Chitra BK</t>
  </si>
  <si>
    <t>Sabitra Kunwar</t>
  </si>
  <si>
    <t>Shristi Khadka</t>
  </si>
  <si>
    <t>Employee</t>
  </si>
  <si>
    <t>Bishnu KC</t>
  </si>
  <si>
    <t>Chadani KC</t>
  </si>
  <si>
    <t>Saroj Dangi</t>
  </si>
  <si>
    <t>Dipak Pun Magar</t>
  </si>
  <si>
    <t>Anmol Acharya</t>
  </si>
  <si>
    <t>Subarna Budha Magar</t>
  </si>
  <si>
    <t>Salina Kunwar</t>
  </si>
  <si>
    <t>Utsav Gautam</t>
  </si>
  <si>
    <t>Dilip Bhandari</t>
  </si>
  <si>
    <t>Barsat Bhandari</t>
  </si>
  <si>
    <t>Mamata Dangi</t>
  </si>
  <si>
    <t>Madhav Kumar Gyawali</t>
  </si>
  <si>
    <t>Bibek Lamicchane</t>
  </si>
  <si>
    <t>Sanu Chaudhary</t>
  </si>
  <si>
    <t>Dipa Roka</t>
  </si>
  <si>
    <t>Raju BK</t>
  </si>
  <si>
    <t>Narendra Basnet</t>
  </si>
  <si>
    <t>Dhana KC</t>
  </si>
  <si>
    <t>Karan Oli</t>
  </si>
  <si>
    <t xml:space="preserve"> </t>
  </si>
  <si>
    <t>Kamala Budha Magar</t>
  </si>
  <si>
    <t>Sarada Pun Magar</t>
  </si>
  <si>
    <t>Kamala BK</t>
  </si>
  <si>
    <t>Navraj Shah</t>
  </si>
  <si>
    <t>Sujata Pun</t>
  </si>
  <si>
    <t>Goma Dangi</t>
  </si>
  <si>
    <t>Prahlad Shahu</t>
  </si>
  <si>
    <t>Lok Prasad Bista</t>
  </si>
  <si>
    <t>Yagya Khadka</t>
  </si>
  <si>
    <t>Tilak Oli</t>
  </si>
  <si>
    <t>Rishi Raj Khatri</t>
  </si>
  <si>
    <t>Hemraj Khatri</t>
  </si>
  <si>
    <t>Nirajan Dangi</t>
  </si>
  <si>
    <t>Govinda Pardhe</t>
  </si>
  <si>
    <t>Pratima KC</t>
  </si>
  <si>
    <t>Soni Baishya</t>
  </si>
  <si>
    <t>Kausila Oli</t>
  </si>
  <si>
    <t>Pushpalata Gharti</t>
  </si>
  <si>
    <t>Amrit Gharti</t>
  </si>
  <si>
    <t>Parshuram Chaudhary</t>
  </si>
  <si>
    <t>Janaki Bhandari</t>
  </si>
  <si>
    <t>Lalit Bhandari</t>
  </si>
  <si>
    <t>Nabin Khadka</t>
  </si>
  <si>
    <t>Ritesh Khadka</t>
  </si>
  <si>
    <t>Bashudev Chaudhary</t>
  </si>
  <si>
    <t>Suresh KC</t>
  </si>
  <si>
    <t>Krishna Prasad Bhandari</t>
  </si>
  <si>
    <t>Devi Basnet</t>
  </si>
  <si>
    <t>Kabita Shah</t>
  </si>
  <si>
    <t>Niru KC</t>
  </si>
  <si>
    <t>Bhima Budha Magar</t>
  </si>
  <si>
    <t>Hari Khanal</t>
  </si>
  <si>
    <t>Bidhya Raj Kandel</t>
  </si>
  <si>
    <t>Nima Kumari Oli</t>
  </si>
  <si>
    <t>Kabita Bhattarai</t>
  </si>
  <si>
    <t>Nirajan Chaudhary</t>
  </si>
  <si>
    <t>Jenish Chand</t>
  </si>
  <si>
    <t>Alisha Kc</t>
  </si>
  <si>
    <t>Samikshya Dangi</t>
  </si>
  <si>
    <t>तुलसीपुर</t>
  </si>
  <si>
    <t>Baldev Pokhrel</t>
  </si>
  <si>
    <t>Durga Bahadur KC</t>
  </si>
  <si>
    <t>Kalpana Oli</t>
  </si>
  <si>
    <t>Dorna Prasad Neupane</t>
  </si>
  <si>
    <t>Anju Khan</t>
  </si>
  <si>
    <t>Bhim Dangi</t>
  </si>
  <si>
    <t>Suman Giri</t>
  </si>
  <si>
    <t>Dila Pun</t>
  </si>
  <si>
    <t>Ammar Bahadur Oli</t>
  </si>
  <si>
    <t>Yek Raj Khatri</t>
  </si>
  <si>
    <t>Chanda Khadka</t>
  </si>
  <si>
    <t>Omkar Bista</t>
  </si>
  <si>
    <t>Sushil Kumar Pandey</t>
  </si>
  <si>
    <t>Samir KC</t>
  </si>
  <si>
    <t>Megraj Pokhrel</t>
  </si>
  <si>
    <t>Bebul Jung Shah</t>
  </si>
  <si>
    <t>Soni Singh</t>
  </si>
  <si>
    <t>Khusi Pariyar</t>
  </si>
  <si>
    <t>Surendra Giri</t>
  </si>
  <si>
    <t>Sanjok Giri</t>
  </si>
  <si>
    <t>Dilip BK</t>
  </si>
  <si>
    <t>Sangit Singh</t>
  </si>
  <si>
    <t>Putala Nepali</t>
  </si>
  <si>
    <t>Ritesh Rana</t>
  </si>
  <si>
    <t>Ritika Rana</t>
  </si>
  <si>
    <t>Nanda Lal Khatri</t>
  </si>
  <si>
    <t>Thaman yadav</t>
  </si>
  <si>
    <t>Bhadri Oli</t>
  </si>
  <si>
    <t>Bishnu Bashyal</t>
  </si>
  <si>
    <t>Harikala KC</t>
  </si>
  <si>
    <t>Lekhraj Basnet</t>
  </si>
  <si>
    <t>Dev Bahadur Malla</t>
  </si>
  <si>
    <t>Kamala Pariyar</t>
  </si>
  <si>
    <t>Ram Bahadur Pun Magar</t>
  </si>
  <si>
    <t>Nandapani Ghimire</t>
  </si>
  <si>
    <t>Bhupendra Khadka</t>
  </si>
  <si>
    <t>Nisha Pokhrel</t>
  </si>
  <si>
    <t>Datha Bahadur Singh</t>
  </si>
  <si>
    <t>Saurab Basnet</t>
  </si>
  <si>
    <t>Pooja Gautam</t>
  </si>
  <si>
    <t>Kamal Bahadur KC</t>
  </si>
  <si>
    <t>Ganesh Adhikari</t>
  </si>
  <si>
    <t>Bhupesh Kumar Khatri</t>
  </si>
  <si>
    <t>Saru Oli</t>
  </si>
  <si>
    <t>Ser Bahadur Oli</t>
  </si>
  <si>
    <t>Yamuna Pariyar</t>
  </si>
  <si>
    <t>Aayush Sharma</t>
  </si>
  <si>
    <t>Prem Acharya</t>
  </si>
  <si>
    <t>Saugat Giri</t>
  </si>
  <si>
    <t>Huma Basnet</t>
  </si>
  <si>
    <t>Narayani Regmi</t>
  </si>
  <si>
    <t>Tulsa Pokhrel</t>
  </si>
  <si>
    <t>Aasha Gharti</t>
  </si>
  <si>
    <t>Reg Bikram Rana</t>
  </si>
  <si>
    <t>Sudip Prakash Sharma</t>
  </si>
  <si>
    <t>Bishnu Bahadur Chhetri</t>
  </si>
  <si>
    <t>Topendra Dangi</t>
  </si>
  <si>
    <t>Aaska Neupane</t>
  </si>
  <si>
    <t>Prithvi Thapa</t>
  </si>
  <si>
    <t>Aashiwin Thapa</t>
  </si>
  <si>
    <t>Samjhana Dangi</t>
  </si>
  <si>
    <t>Reba Rawat</t>
  </si>
  <si>
    <t>Narmada Pokhrel</t>
  </si>
  <si>
    <t>Dharma Oli</t>
  </si>
  <si>
    <t>Tulsa KC</t>
  </si>
  <si>
    <t>Arju Jungraj Bhandari</t>
  </si>
  <si>
    <t>Dhansari Dangi</t>
  </si>
  <si>
    <t>Ishor Prasad Giri</t>
  </si>
  <si>
    <t>Bhanujyoti Oli</t>
  </si>
  <si>
    <t>Menaka Sharma</t>
  </si>
  <si>
    <t>Regina KC</t>
  </si>
  <si>
    <t>Lalita Sharma</t>
  </si>
  <si>
    <t>Yagyaraj Sharma</t>
  </si>
  <si>
    <t>Gyanu Oli</t>
  </si>
  <si>
    <t>Samjhana Neupane</t>
  </si>
  <si>
    <t>Sushila Shrestha</t>
  </si>
  <si>
    <t>Showyam Regmi</t>
  </si>
  <si>
    <t>Bashanta Regmi</t>
  </si>
  <si>
    <t>Namaram Basnet</t>
  </si>
  <si>
    <t>Nirma Chaudhary</t>
  </si>
  <si>
    <t>alisha thapa</t>
  </si>
  <si>
    <t>sandhya oli</t>
  </si>
  <si>
    <t>om prakash yadav</t>
  </si>
  <si>
    <t>Front Line Health Worker</t>
  </si>
  <si>
    <t>shikha k.c</t>
  </si>
  <si>
    <t>nishu k.c</t>
  </si>
  <si>
    <t>karishma khanal</t>
  </si>
  <si>
    <t>arati acharya</t>
  </si>
  <si>
    <t>Nirmal Nepali</t>
  </si>
  <si>
    <t>Rohit Bhandari</t>
  </si>
  <si>
    <t>Shiva Oli</t>
  </si>
  <si>
    <t>Sabitra Poudel</t>
  </si>
  <si>
    <t>Pramish Pathak</t>
  </si>
  <si>
    <t>Yamnath Upadhayay</t>
  </si>
  <si>
    <t>Bimal Regmi</t>
  </si>
  <si>
    <t>Humraj Yogi</t>
  </si>
  <si>
    <t>Sarad raj Sharma</t>
  </si>
  <si>
    <t>Resma Dangi</t>
  </si>
  <si>
    <t>Manish Dangi</t>
  </si>
  <si>
    <t>Maya Devkota</t>
  </si>
  <si>
    <t>Binod Basnet</t>
  </si>
  <si>
    <t>Prakash Subedi</t>
  </si>
  <si>
    <t>Krishna sagar oli</t>
  </si>
  <si>
    <t>Krishna Adhikari</t>
  </si>
  <si>
    <t>Bishna Bhandari</t>
  </si>
  <si>
    <t>Bhub Bahadur Bista</t>
  </si>
  <si>
    <t>Ram Bahadur Basnet</t>
  </si>
  <si>
    <t>Sunil Lamicchane</t>
  </si>
  <si>
    <t>Rapti Eye Hospital</t>
  </si>
  <si>
    <t>SHANTI PARIYAR</t>
  </si>
  <si>
    <t>RADHIKA KHATTRI</t>
  </si>
  <si>
    <t>BIJAY LAL SHRESTHA</t>
  </si>
  <si>
    <t>BHUPENDRA SINGH THAPA</t>
  </si>
  <si>
    <t>KAMALA PANDEYA</t>
  </si>
  <si>
    <t>KRISHNA BHANDARI</t>
  </si>
  <si>
    <t>TIKA KUMARI DANGI</t>
  </si>
  <si>
    <t>KALPANA OLI</t>
  </si>
  <si>
    <t>SURAJ KHANAL</t>
  </si>
  <si>
    <t>GIRDHAR BHANDARI</t>
  </si>
  <si>
    <t>Balaram Bishwokarma</t>
  </si>
  <si>
    <t>Maiti Damaini</t>
  </si>
  <si>
    <t>Bhim Prasad Kandel</t>
  </si>
  <si>
    <t>Bhimkiran Gautam</t>
  </si>
  <si>
    <t>Hemanta Sharma</t>
  </si>
  <si>
    <t>Nilam Shrestha</t>
  </si>
  <si>
    <t>Rohit Kathyat</t>
  </si>
  <si>
    <t>Devendra Bhandari</t>
  </si>
  <si>
    <t>Mahesh Kumar Sharma</t>
  </si>
  <si>
    <t>Baburam Chaudhary</t>
  </si>
  <si>
    <t>Sunil Dangi</t>
  </si>
  <si>
    <t>Puran Budhathoki</t>
  </si>
  <si>
    <t>Prajol Regmi</t>
  </si>
  <si>
    <t>Sushma Dhital</t>
  </si>
  <si>
    <t>Bhabana Bhandari</t>
  </si>
  <si>
    <t>Bhagwat Paudel</t>
  </si>
  <si>
    <t>Sunil Dhital</t>
  </si>
  <si>
    <t>Krishna Bahadur KC</t>
  </si>
  <si>
    <t>Subash Aryal</t>
  </si>
  <si>
    <t>Taru Sapkota</t>
  </si>
  <si>
    <t>Umesh KC</t>
  </si>
  <si>
    <t>Sabitra Chaudhary</t>
  </si>
  <si>
    <t>Chahana Acharya</t>
  </si>
  <si>
    <t>Lokraj Dhital</t>
  </si>
  <si>
    <t>Aastha Dhital</t>
  </si>
  <si>
    <t>Devraj KC</t>
  </si>
  <si>
    <t>Ganesh Khadka</t>
  </si>
  <si>
    <t>Dibash KC</t>
  </si>
  <si>
    <t>Ankita Adhikari</t>
  </si>
  <si>
    <t>rapti provincial hospital</t>
  </si>
  <si>
    <t>Nim Bahadur Oli</t>
  </si>
  <si>
    <t>Madhu Pokhrel</t>
  </si>
  <si>
    <t>Haris Giri</t>
  </si>
  <si>
    <t>Saugat Sharma</t>
  </si>
  <si>
    <t>Krishna Prasad Pokhrel</t>
  </si>
  <si>
    <t>Mitralal Khanal</t>
  </si>
  <si>
    <t>Samridhi Giri</t>
  </si>
  <si>
    <t>Khetu Bhandari</t>
  </si>
  <si>
    <t>Aastik Dhital</t>
  </si>
  <si>
    <t>Jeevan Kumar Basnet</t>
  </si>
  <si>
    <t>Krishna Oli</t>
  </si>
  <si>
    <t>Ajaya Mishra</t>
  </si>
  <si>
    <t>Radha Devi Bashyal</t>
  </si>
  <si>
    <t>Birsingh yari</t>
  </si>
  <si>
    <t>Devendra Chhantyal</t>
  </si>
  <si>
    <t>Narendra</t>
  </si>
  <si>
    <t>Pratikshya Rana</t>
  </si>
  <si>
    <t>Shrijana Dangi</t>
  </si>
  <si>
    <t>Bijaya Acharya</t>
  </si>
  <si>
    <t>Mina Bhusal</t>
  </si>
  <si>
    <t>Rudra Bahadur Chand</t>
  </si>
  <si>
    <t>Usha Chand</t>
  </si>
  <si>
    <t>Dhan Kumari Chand</t>
  </si>
  <si>
    <t>Dilaram Bista</t>
  </si>
  <si>
    <t>Jagmati Bista</t>
  </si>
  <si>
    <t>Tara Thapa</t>
  </si>
  <si>
    <t>Remant Oli</t>
  </si>
  <si>
    <t>Netralal Pandey</t>
  </si>
  <si>
    <t>Bishal Bishokarma</t>
  </si>
  <si>
    <t>Khagendra Prasad</t>
  </si>
  <si>
    <t>Bikash Pariyar</t>
  </si>
  <si>
    <t>Deepa KC</t>
  </si>
  <si>
    <t>Binod Bhandari</t>
  </si>
  <si>
    <t>Narendra KC</t>
  </si>
  <si>
    <t>Jitsagar Budhathoki</t>
  </si>
  <si>
    <t>Bigyan Shrestha</t>
  </si>
  <si>
    <t>Saraswoti Budhathoki</t>
  </si>
  <si>
    <t>Bimala Subedi</t>
  </si>
  <si>
    <t>Rabindra Chaudhary</t>
  </si>
  <si>
    <t>Sita Kumari Chaudhary</t>
  </si>
  <si>
    <t>Sunil Acharya</t>
  </si>
  <si>
    <t>Tilshara Khadka</t>
  </si>
  <si>
    <t>Deurupa Khadka</t>
  </si>
  <si>
    <t>Barsha Thapa</t>
  </si>
  <si>
    <t>Basanta Pujara</t>
  </si>
  <si>
    <t>Yamuna Darlami</t>
  </si>
  <si>
    <t>Pardip Dangi</t>
  </si>
  <si>
    <t>Pabitra Kafle</t>
  </si>
  <si>
    <t>Sindu Saha</t>
  </si>
  <si>
    <t>Tikaram Oli</t>
  </si>
  <si>
    <t>Bharat Bahadur Pardhe</t>
  </si>
  <si>
    <t>Topendra Bahadur khatri</t>
  </si>
  <si>
    <t>Bashanta KC</t>
  </si>
  <si>
    <t>Anu Roka Magar</t>
  </si>
  <si>
    <t>Anita Bhandari</t>
  </si>
  <si>
    <t>Ramesh Pariyar</t>
  </si>
  <si>
    <t>Bhima Budha</t>
  </si>
  <si>
    <t>Sachin Subedi</t>
  </si>
  <si>
    <t>Bhim Bahadur BC</t>
  </si>
  <si>
    <t>Yam Prasad Sharma</t>
  </si>
  <si>
    <t>TSMC Employee</t>
  </si>
  <si>
    <t>Jagmati Chaudhary</t>
  </si>
  <si>
    <t>13:15 p.m.</t>
  </si>
  <si>
    <t>Niraj Khatri</t>
  </si>
  <si>
    <t>Jibraj Sharma</t>
  </si>
  <si>
    <t>Khumraj Pandey</t>
  </si>
  <si>
    <t>Shovaram KC</t>
  </si>
  <si>
    <t>Hum Bahadur KC</t>
  </si>
  <si>
    <t>Shiva Kumar Poudel</t>
  </si>
  <si>
    <t>Prashant Bhandari</t>
  </si>
  <si>
    <t>Mitho Shah</t>
  </si>
  <si>
    <t>Kali Bahadur Khatri</t>
  </si>
  <si>
    <t>Padam Bahadur Rawat</t>
  </si>
  <si>
    <t>Dil Bahadur Thapa</t>
  </si>
  <si>
    <t>Priti Gharti</t>
  </si>
  <si>
    <t xml:space="preserve">तुलसीपुर उपमहानगरपालिका मेट्रो अस्पतालमा २०७७ बैशाख २७ गेतेदेखि भाद्र मसान्तसममको विवरण </t>
  </si>
  <si>
    <t>Prem Bahadur Gurung</t>
  </si>
  <si>
    <t>Rimikali Chapagain</t>
  </si>
  <si>
    <t>Santosh Basnet</t>
  </si>
  <si>
    <t>Nandaram Bista</t>
  </si>
  <si>
    <t>Pragya DC</t>
  </si>
  <si>
    <t>Samikshya BK</t>
  </si>
  <si>
    <t>Rajan Dangi</t>
  </si>
  <si>
    <t>Nikita Oli</t>
  </si>
  <si>
    <t>Gokarna Dangi</t>
  </si>
  <si>
    <t>Sushila KC Dangi</t>
  </si>
  <si>
    <t>Sornim Dangi</t>
  </si>
  <si>
    <t>Manaka KC</t>
  </si>
  <si>
    <t>Anita Malla</t>
  </si>
  <si>
    <t>TSMC Antigen Test</t>
  </si>
  <si>
    <t>Mona Chaudhary</t>
  </si>
  <si>
    <t>Hariram Chaudhary</t>
  </si>
  <si>
    <t>Ajita Bhattarai</t>
  </si>
  <si>
    <t>BIsram Chaudhary</t>
  </si>
  <si>
    <t>Laxmi BK</t>
  </si>
  <si>
    <t>Yagya Bahadur Oli</t>
  </si>
  <si>
    <t>Hira Devi Oli</t>
  </si>
  <si>
    <t>Lalita Rijal</t>
  </si>
  <si>
    <t>Harke Bahadur Budhathoki</t>
  </si>
  <si>
    <t>Megraj Sunar</t>
  </si>
  <si>
    <t>Sunita Neupane</t>
  </si>
  <si>
    <t>Birendra Chaudhary</t>
  </si>
  <si>
    <t>Arju Chaudhary</t>
  </si>
  <si>
    <t>Sapana Subedi</t>
  </si>
  <si>
    <t>Lalit Bahadur Oli</t>
  </si>
  <si>
    <t>Uma Khadka</t>
  </si>
  <si>
    <t>Bhansingh Chaudhary</t>
  </si>
  <si>
    <t>JP KC</t>
  </si>
  <si>
    <t>Dipak Bhandari</t>
  </si>
  <si>
    <t>Devendra Kumar Bhandari</t>
  </si>
  <si>
    <t>Megraj Dangi</t>
  </si>
  <si>
    <t>Dandoti Bista</t>
  </si>
  <si>
    <t>Dilli Bhandari</t>
  </si>
  <si>
    <t>Goma Pun</t>
  </si>
  <si>
    <t>Sanjaya Kumar Yadav</t>
  </si>
  <si>
    <t>Dipa Kunwar</t>
  </si>
  <si>
    <t>Padma Oli</t>
  </si>
  <si>
    <t>Sita Khadka</t>
  </si>
  <si>
    <t>Anjila Bhandari</t>
  </si>
  <si>
    <t>Huma KC</t>
  </si>
  <si>
    <t>Punakali Pandey</t>
  </si>
  <si>
    <t>Bharat Kumar Dangi</t>
  </si>
  <si>
    <t>Yem Prasad Subedi</t>
  </si>
  <si>
    <t>Surya Prasad Poudel</t>
  </si>
  <si>
    <t>Shreedhar Sharma</t>
  </si>
  <si>
    <t>Goma Giri</t>
  </si>
  <si>
    <t>Rabi Chandra Sharma</t>
  </si>
  <si>
    <t>Bal Bahadur Bista</t>
  </si>
  <si>
    <t>Yamuna Bista</t>
  </si>
  <si>
    <t>Puspa Regmi</t>
  </si>
  <si>
    <t>Mohan BK</t>
  </si>
  <si>
    <t>Sanjit Chaudhary</t>
  </si>
  <si>
    <t>Shrisha Dahit</t>
  </si>
  <si>
    <t>Durga Prasad Regmi</t>
  </si>
  <si>
    <t>Manoj Chaudhary</t>
  </si>
  <si>
    <t>Tara Basnet</t>
  </si>
  <si>
    <t>Birendra Oli</t>
  </si>
  <si>
    <t>Gausara Dangi</t>
  </si>
  <si>
    <t>Pramod Regmi</t>
  </si>
  <si>
    <t>Ajaya KC</t>
  </si>
  <si>
    <t>Mina Rijal</t>
  </si>
  <si>
    <t>Janaki Bhusal</t>
  </si>
  <si>
    <t>Deva Chaudhary</t>
  </si>
  <si>
    <t>Hurmat Dangi</t>
  </si>
  <si>
    <t>Sudip Chaudhary</t>
  </si>
  <si>
    <t>Bhim Bahadur Basnet</t>
  </si>
  <si>
    <t>Dilliraj Bhandari</t>
  </si>
  <si>
    <t>Bimala KC</t>
  </si>
  <si>
    <t>Dr Bashant Regmi</t>
  </si>
  <si>
    <t>Tila Malla</t>
  </si>
  <si>
    <t>Parbati DC</t>
  </si>
  <si>
    <t>Karishma Oli</t>
  </si>
  <si>
    <t>Ashu Oli</t>
  </si>
  <si>
    <t>Ganesh BK</t>
  </si>
  <si>
    <t>Durga Bahadur Thapa</t>
  </si>
  <si>
    <t>Manisha Oli</t>
  </si>
  <si>
    <t>Rima Devkota</t>
  </si>
  <si>
    <t>Binana Basnet</t>
  </si>
  <si>
    <t>Jyoti Dhital</t>
  </si>
  <si>
    <t>Ramesh Regmi</t>
  </si>
  <si>
    <t>Narayan GC</t>
  </si>
  <si>
    <t>Dipendra Devkota</t>
  </si>
  <si>
    <t>RN Chaudhary</t>
  </si>
  <si>
    <t>Ghanshyam Sapkota</t>
  </si>
  <si>
    <t>Basanta KC</t>
  </si>
  <si>
    <t>Uma Bista</t>
  </si>
  <si>
    <t>Sher Bahadur Rawal</t>
  </si>
  <si>
    <t>Sandhya KC</t>
  </si>
  <si>
    <t>Balika Sunar</t>
  </si>
  <si>
    <t>Pardip Bhandari</t>
  </si>
  <si>
    <t>Dhanraj Yogi</t>
  </si>
  <si>
    <t>Bibek Basnet</t>
  </si>
  <si>
    <t>Sunrupi Roka Magar</t>
  </si>
  <si>
    <t>Sumitra Gharti</t>
  </si>
  <si>
    <t>Jaya Gharti Magar</t>
  </si>
  <si>
    <t>Hot Bahadur Khatri</t>
  </si>
  <si>
    <t>Chandani Kali BK</t>
  </si>
  <si>
    <t>Durpati Pariyar</t>
  </si>
  <si>
    <t>Min Bahadur Basnet</t>
  </si>
  <si>
    <t>Barsha KC</t>
  </si>
  <si>
    <t>Yadav Bishokarma</t>
  </si>
  <si>
    <t>Rajendra Dhital</t>
  </si>
  <si>
    <t>Narayan Pokhrel</t>
  </si>
  <si>
    <t>Ganga Poudel</t>
  </si>
  <si>
    <t>Ashok Dangi</t>
  </si>
  <si>
    <t>Samir Oli</t>
  </si>
  <si>
    <t>Radha Chaudhary</t>
  </si>
  <si>
    <t>Anil KC</t>
  </si>
  <si>
    <t>Devraj Budhathoki</t>
  </si>
  <si>
    <t>Tikaram Khadka</t>
  </si>
  <si>
    <t>Sandip Gautam</t>
  </si>
  <si>
    <t>Jhuplal Khatri</t>
  </si>
  <si>
    <t>Lalita Kandel</t>
  </si>
  <si>
    <t>Sagar Subedi</t>
  </si>
  <si>
    <t>Bikash Dangi</t>
  </si>
  <si>
    <t>Juddhabir BK</t>
  </si>
  <si>
    <t>Hira Dangi</t>
  </si>
  <si>
    <t>Subash Kumar Basnet</t>
  </si>
  <si>
    <t>Ishori Chalise</t>
  </si>
  <si>
    <t>Sapana Sen</t>
  </si>
  <si>
    <t>Kadananda KC</t>
  </si>
  <si>
    <t>Tulsipur Health Dept</t>
  </si>
  <si>
    <t>Siba Budhathoki</t>
  </si>
  <si>
    <t>Bhov Bahadur Dangi</t>
  </si>
  <si>
    <t>Lokmani Dangi</t>
  </si>
  <si>
    <t>Ganesh Oli</t>
  </si>
  <si>
    <t>Resham Bhusal</t>
  </si>
  <si>
    <t>Dorna Dangi</t>
  </si>
  <si>
    <t>Rajani Kumar Shah</t>
  </si>
  <si>
    <t>Dipshikha Khadka</t>
  </si>
  <si>
    <t>Gita BK</t>
  </si>
  <si>
    <t>Sangita Dangi</t>
  </si>
  <si>
    <t>Anoj Lamichane</t>
  </si>
  <si>
    <t>Nami Kumari Regmi</t>
  </si>
  <si>
    <t>Nabin BK</t>
  </si>
  <si>
    <t>Phanalal Pokhrel</t>
  </si>
  <si>
    <t>Surya Prakash Bhandari</t>
  </si>
  <si>
    <t>Chandrakala Bhandari</t>
  </si>
  <si>
    <t>Manju Bhatta</t>
  </si>
  <si>
    <t>Belmati Oli</t>
  </si>
  <si>
    <t>Narayani Dangi</t>
  </si>
  <si>
    <t>Kalpana Pariyar</t>
  </si>
  <si>
    <t>Sher Bahadur Khatri</t>
  </si>
  <si>
    <t>Kamala Rana</t>
  </si>
  <si>
    <t>Dandwati Budhathoki</t>
  </si>
  <si>
    <t>Tika Kumari Salami</t>
  </si>
  <si>
    <t>Jit Kumari Nepali</t>
  </si>
  <si>
    <t>Akriti KC</t>
  </si>
  <si>
    <t>Manju Sahu</t>
  </si>
  <si>
    <t>Balika Bhusal</t>
  </si>
  <si>
    <t>Rohani Prasad Budhathoki</t>
  </si>
  <si>
    <t>Yagya Bahadur Khatri</t>
  </si>
  <si>
    <t>Gita Dangi</t>
  </si>
  <si>
    <t>Tikaram Hamal</t>
  </si>
  <si>
    <t>Dil Bahadur Rana</t>
  </si>
  <si>
    <t>Prabin Giri</t>
  </si>
  <si>
    <t>Sarita Bhandari</t>
  </si>
  <si>
    <t>Bhojraj Bhandari</t>
  </si>
  <si>
    <t>Chandra Bahadur Khatri</t>
  </si>
  <si>
    <t>Hari Prasad Kandel</t>
  </si>
  <si>
    <t>Maniram Chaudhary</t>
  </si>
  <si>
    <t>Gita Sunar</t>
  </si>
  <si>
    <t>Suniya Chaudhary</t>
  </si>
  <si>
    <t>Janaki Chaudhary</t>
  </si>
  <si>
    <t>Tek Kumari Budha</t>
  </si>
  <si>
    <t>Kamala Bohara</t>
  </si>
  <si>
    <t>Pratima Bhusal</t>
  </si>
  <si>
    <t>Chakra Bahadur Bharati</t>
  </si>
  <si>
    <t>Yamuna Yogi</t>
  </si>
  <si>
    <t>Devraj Kharel</t>
  </si>
  <si>
    <t>Durga Bahadur Basnet</t>
  </si>
  <si>
    <t>Naine Pun</t>
  </si>
  <si>
    <t>Bishnu Prasad Dhital</t>
  </si>
  <si>
    <t>Shebakram Acharya</t>
  </si>
  <si>
    <t>Bal Bahadur Pun</t>
  </si>
  <si>
    <t>Udaya Bhusal</t>
  </si>
  <si>
    <t>Ram Bahadur Chaudhary</t>
  </si>
  <si>
    <t>Hari Singh</t>
  </si>
  <si>
    <t>Bir Bahadur Oli</t>
  </si>
  <si>
    <t>Prem Prakash Dangi</t>
  </si>
  <si>
    <t>Samikshya Chaudhary</t>
  </si>
  <si>
    <t>Dilli Bahadur Khatri</t>
  </si>
  <si>
    <t>Tank Bahadur KC</t>
  </si>
  <si>
    <t>Contact Tracing</t>
  </si>
  <si>
    <t>Sabitra Rijal</t>
  </si>
  <si>
    <t>Sadgun Rijal</t>
  </si>
  <si>
    <t>Hirasingh Gharti</t>
  </si>
  <si>
    <t>Shiva Khadka</t>
  </si>
  <si>
    <t>Balaram Sunar</t>
  </si>
  <si>
    <t>Pratikshya Giri</t>
  </si>
  <si>
    <t>Madhab Giri</t>
  </si>
  <si>
    <t>Purnima Giri</t>
  </si>
  <si>
    <t>Surendra KC</t>
  </si>
  <si>
    <t>Manoj Shrestha</t>
  </si>
  <si>
    <t>Suresh BK</t>
  </si>
  <si>
    <t>Kul Bahadur Reule</t>
  </si>
  <si>
    <t>Sharad Khanal</t>
  </si>
  <si>
    <t>Mohan Oli</t>
  </si>
  <si>
    <t>Kanta Kumari Thapa</t>
  </si>
  <si>
    <t>Lalita Oli</t>
  </si>
  <si>
    <t>Tika KC</t>
  </si>
  <si>
    <t>Gita Chaudhary</t>
  </si>
  <si>
    <t>Muna Shahi</t>
  </si>
  <si>
    <t>Tika Nepali</t>
  </si>
  <si>
    <t>Raj Kumar Shrestha</t>
  </si>
  <si>
    <t>Purushottam Adhikari</t>
  </si>
  <si>
    <t>Dipendr Sharma</t>
  </si>
  <si>
    <t>Amar Bista</t>
  </si>
  <si>
    <t>Pabita Rawal</t>
  </si>
  <si>
    <t>Aayush Upadhayay</t>
  </si>
  <si>
    <t>Gita Paudel</t>
  </si>
  <si>
    <t>Khim Bahadur Chaudhari</t>
  </si>
  <si>
    <t>Sarita Dangi</t>
  </si>
  <si>
    <t>Krishna Bohara</t>
  </si>
  <si>
    <t>Raidarman Chaudhary</t>
  </si>
  <si>
    <t>Pushpa Khatri</t>
  </si>
  <si>
    <t>Parbhat Adhikari</t>
  </si>
  <si>
    <t>Pabitra Rawat</t>
  </si>
  <si>
    <t>Kamal Prasad Pun</t>
  </si>
  <si>
    <t>Dilli Bahadur Basnet</t>
  </si>
  <si>
    <t>Dilli Bahadur Dangi</t>
  </si>
  <si>
    <t>Punam KC</t>
  </si>
  <si>
    <t>Sushma Bhusal</t>
  </si>
  <si>
    <t>Madhav Kandel</t>
  </si>
  <si>
    <t>Kishor Aryal</t>
  </si>
  <si>
    <t>Asmita Shahi</t>
  </si>
  <si>
    <t>Keshav Shahi</t>
  </si>
  <si>
    <t>Rajendra Gautam</t>
  </si>
  <si>
    <t>Pancharam Oli</t>
  </si>
  <si>
    <t>Narayan BC</t>
  </si>
  <si>
    <t>Pradip Kumar Oli</t>
  </si>
  <si>
    <t>Ghem Prasad Pandey</t>
  </si>
  <si>
    <t>Khim Bahadur Khadka</t>
  </si>
  <si>
    <t>Amar Khadka</t>
  </si>
  <si>
    <t>Yubraj Chaudhary</t>
  </si>
  <si>
    <t>Ganesh Dhital</t>
  </si>
  <si>
    <t>Hemraj Dangi</t>
  </si>
  <si>
    <t>Ishwori Bahadur Basnet</t>
  </si>
  <si>
    <t>Radhika Neupane</t>
  </si>
  <si>
    <t>Bishnu Neupane</t>
  </si>
  <si>
    <t>Ajaya Bhandari</t>
  </si>
  <si>
    <t>Sukumbas Chaudhary</t>
  </si>
  <si>
    <t>Sarad Oli</t>
  </si>
  <si>
    <t>Prakash Oli</t>
  </si>
  <si>
    <t>Bhusan Subedi</t>
  </si>
  <si>
    <t>Mahima Oli</t>
  </si>
  <si>
    <t>Santa Budhathoki</t>
  </si>
  <si>
    <t>Giridhalilal Chaudhary</t>
  </si>
  <si>
    <t>Barsha Chaudhary</t>
  </si>
  <si>
    <t>Hunaram Gautam</t>
  </si>
  <si>
    <t>Yamindra Bahadur Oli</t>
  </si>
  <si>
    <t>Damodar Paudel</t>
  </si>
  <si>
    <t>Rajib Oli</t>
  </si>
  <si>
    <t>Deepa Oli</t>
  </si>
  <si>
    <t>Khuma Acharya</t>
  </si>
  <si>
    <t>Deepak Kumar Bhandari</t>
  </si>
  <si>
    <t>Roshani Budhathoki</t>
  </si>
  <si>
    <t>Dr. Pradeep Adhikari</t>
  </si>
  <si>
    <t>Pradip Bhusal</t>
  </si>
  <si>
    <t>Narayan Pahadi</t>
  </si>
  <si>
    <t>Jharana KC</t>
  </si>
  <si>
    <t>Krishna Khadka</t>
  </si>
  <si>
    <t>Pritima Khadka</t>
  </si>
  <si>
    <t>Kopila Pun</t>
  </si>
  <si>
    <t>Evan Paudel</t>
  </si>
  <si>
    <t>Ayushree Paudel</t>
  </si>
  <si>
    <t>Dip Bahadur Khadka</t>
  </si>
  <si>
    <t>Aayush Chhantyal</t>
  </si>
  <si>
    <t>Motilal BK</t>
  </si>
  <si>
    <t>Mira Regmi</t>
  </si>
  <si>
    <t>Pabhindra Bhattarai</t>
  </si>
  <si>
    <t>Himal Khadka</t>
  </si>
  <si>
    <t>Shiva Prasad Acharya</t>
  </si>
  <si>
    <t>Parbata Acharya</t>
  </si>
  <si>
    <t>Laxman Kumar Devkota</t>
  </si>
  <si>
    <t>Lok Bahadur Dangi</t>
  </si>
  <si>
    <t>Garima Shahu</t>
  </si>
  <si>
    <t>Kulraj Lamicchane</t>
  </si>
  <si>
    <t>Dinesh Kumar Lamicchane</t>
  </si>
  <si>
    <t>Birendra Singh</t>
  </si>
  <si>
    <t>Chitra Basnet</t>
  </si>
  <si>
    <t>Tara Pathak</t>
  </si>
  <si>
    <t>Maya Khadka</t>
  </si>
  <si>
    <t>Damodar Neupane</t>
  </si>
  <si>
    <t>Lalit KC</t>
  </si>
  <si>
    <t>Pratima Lamichhane</t>
  </si>
  <si>
    <t>Indra Oli</t>
  </si>
  <si>
    <t>Indralal KC</t>
  </si>
  <si>
    <t>Sushma Oli</t>
  </si>
  <si>
    <t>Pramila Lamichhane</t>
  </si>
  <si>
    <t>Khadka Bahadur Oli</t>
  </si>
  <si>
    <t>Tanka Bahadur Rawat</t>
  </si>
  <si>
    <t>Sital SUbedi</t>
  </si>
  <si>
    <t>Dony Mahat</t>
  </si>
  <si>
    <t>Ankit Bohara</t>
  </si>
  <si>
    <t>Aiti Chaudhary</t>
  </si>
  <si>
    <t>Puja Oli</t>
  </si>
  <si>
    <t>Liladhar BK</t>
  </si>
  <si>
    <t>Bijaya KC</t>
  </si>
  <si>
    <t>Sushila Sharma</t>
  </si>
  <si>
    <t>Amar KC</t>
  </si>
  <si>
    <t>Balika Shahu</t>
  </si>
  <si>
    <t>Puspa Kumari Adhikari</t>
  </si>
  <si>
    <t>Sarswoti KC</t>
  </si>
  <si>
    <t>Goma Bhattarai</t>
  </si>
  <si>
    <t>Min Kumar DHakal</t>
  </si>
  <si>
    <t>Bodhi Prasad Bohara</t>
  </si>
  <si>
    <t>Pabisara Bhusal</t>
  </si>
  <si>
    <t>Ishwori Sunar</t>
  </si>
  <si>
    <t>Maya Acharya</t>
  </si>
  <si>
    <t>Nabin Sharma</t>
  </si>
  <si>
    <t>Kushum Budha Magar</t>
  </si>
  <si>
    <t>Dipa KC</t>
  </si>
  <si>
    <t>Shanta Neupane</t>
  </si>
  <si>
    <t>Sanju Oli</t>
  </si>
  <si>
    <t>Samjhana Pandey</t>
  </si>
  <si>
    <t>Pramod Bista</t>
  </si>
  <si>
    <t>Pratikshya Sharma</t>
  </si>
  <si>
    <t>Srijana Adhikari</t>
  </si>
  <si>
    <t>Sarita Sharma</t>
  </si>
  <si>
    <t>Sambriddhi Bhandari</t>
  </si>
  <si>
    <t>Lalita KC</t>
  </si>
  <si>
    <t>Gokarna Oli</t>
  </si>
  <si>
    <t>Hari Prasad Pandey</t>
  </si>
  <si>
    <t>Dev Kumar Bhandari Oli</t>
  </si>
  <si>
    <t>Chandra Lok BK</t>
  </si>
  <si>
    <t>Kabita Basnet</t>
  </si>
  <si>
    <t>Lal Bahadur Neupali</t>
  </si>
  <si>
    <t>Aadhar Pokhrel</t>
  </si>
  <si>
    <t>Basanta Raimajhi</t>
  </si>
  <si>
    <t>Nandakalia Khatri</t>
  </si>
  <si>
    <t>Begi Nepali</t>
  </si>
  <si>
    <t>Kunta Kandel</t>
  </si>
  <si>
    <t>Bhagirath Sharma</t>
  </si>
  <si>
    <t>Chandrika Oli</t>
  </si>
  <si>
    <t>Aayam Bohara</t>
  </si>
  <si>
    <t>Dilmaya Budha</t>
  </si>
  <si>
    <t>Rukma Sharma</t>
  </si>
  <si>
    <t>Tulsiram Chaudhary</t>
  </si>
  <si>
    <t>Dipati Chaudhary</t>
  </si>
  <si>
    <t>Deva Basnet</t>
  </si>
  <si>
    <t>Bharat Kumar Singh</t>
  </si>
  <si>
    <t>Dhakaram Jaisi</t>
  </si>
  <si>
    <t>Sumira Shrestha</t>
  </si>
  <si>
    <t>Saraswati Pokhrel</t>
  </si>
  <si>
    <t>Sabitra Bhatta</t>
  </si>
  <si>
    <t>Uttam Dangi</t>
  </si>
  <si>
    <t>Aruna Dangi</t>
  </si>
  <si>
    <t>Lal Bahadur Khadka</t>
  </si>
  <si>
    <t>Prem Subedi</t>
  </si>
  <si>
    <t>Manbir Chaudhary</t>
  </si>
  <si>
    <t>Anu Bhandari</t>
  </si>
  <si>
    <t>Kamala Devi Neupane</t>
  </si>
  <si>
    <t>Bhagwati Neupane</t>
  </si>
  <si>
    <t>Lila Raj Kafle</t>
  </si>
  <si>
    <t>Dr. Ipsa Bhandari</t>
  </si>
  <si>
    <t>Rabin Sapkota</t>
  </si>
  <si>
    <t>Sailesh Sharma</t>
  </si>
  <si>
    <t>Bed Prasad Belbase</t>
  </si>
  <si>
    <t>Muna Rawat</t>
  </si>
  <si>
    <t>Lila Devi Dangi</t>
  </si>
  <si>
    <t>Bodi Prasad Bohara</t>
  </si>
  <si>
    <t>Churamani Bohara</t>
  </si>
  <si>
    <t>Top Bahadur Budhathoki</t>
  </si>
  <si>
    <t>Lila Bhandari</t>
  </si>
  <si>
    <t>Tanka Ram Chaudhary</t>
  </si>
  <si>
    <t>Indrakali Kunwar</t>
  </si>
  <si>
    <t>Putali Chaudhary</t>
  </si>
  <si>
    <t>Dhan Bahadur Chaudhary</t>
  </si>
  <si>
    <t>Rekha Oli</t>
  </si>
  <si>
    <t>Pabitra Budha</t>
  </si>
  <si>
    <t>Contact Tracing TSMC</t>
  </si>
  <si>
    <t>Anil Basnet</t>
  </si>
  <si>
    <t>Gayatri Oli</t>
  </si>
  <si>
    <t>Dhan Kumari Dangi</t>
  </si>
  <si>
    <t>Srijana Rajguru</t>
  </si>
  <si>
    <t>Pabitra Pun</t>
  </si>
  <si>
    <t>Sudhir Chaudhary</t>
  </si>
  <si>
    <t>Thaman Bhandari</t>
  </si>
  <si>
    <t>Lalita Devkota</t>
  </si>
  <si>
    <t>Begam KC</t>
  </si>
  <si>
    <t>Prem Bahadur Oli</t>
  </si>
  <si>
    <t>Barsha Rai</t>
  </si>
  <si>
    <t>Neha Regmi</t>
  </si>
  <si>
    <t>Manisha Chaudhary</t>
  </si>
  <si>
    <t>Menaka Kawar</t>
  </si>
  <si>
    <t>Munalika Khanal</t>
  </si>
  <si>
    <t>Indra Khadka</t>
  </si>
  <si>
    <t>Madhav Prasad Shrestha</t>
  </si>
  <si>
    <t>Arati KC</t>
  </si>
  <si>
    <t>Karishma Pun</t>
  </si>
  <si>
    <t>Renu Budha Magar</t>
  </si>
  <si>
    <t>Moderna 1st Dose</t>
  </si>
  <si>
    <t xml:space="preserve">Pfizer 1st Dose </t>
  </si>
  <si>
    <t xml:space="preserve">1st Dose </t>
  </si>
  <si>
    <t>2nd Dose</t>
  </si>
  <si>
    <t>3rd Dose</t>
  </si>
  <si>
    <t>Covishield &amp; Astrazenica</t>
  </si>
  <si>
    <t>Verocell</t>
  </si>
  <si>
    <t>Shreedhar Shrestha</t>
  </si>
  <si>
    <t>Sancharkala Thapa</t>
  </si>
  <si>
    <t>Sunita KC</t>
  </si>
  <si>
    <t>Asmita Khatri</t>
  </si>
  <si>
    <t>Mohan Pathak</t>
  </si>
  <si>
    <t>Pabitra Khadka</t>
  </si>
  <si>
    <t>Provincial Ayurved Hospital</t>
  </si>
  <si>
    <t>Noki Khatri</t>
  </si>
  <si>
    <t>Subha Acharya</t>
  </si>
  <si>
    <t>Prativa DC</t>
  </si>
  <si>
    <t>Rudra Bahadur BK</t>
  </si>
  <si>
    <t>Mohan Prasad Sharma</t>
  </si>
  <si>
    <t>Bishnu Devkota</t>
  </si>
  <si>
    <t>Dilip Chand</t>
  </si>
  <si>
    <t>Ramesh Bikram Shahi</t>
  </si>
  <si>
    <t>Gobardhan Paudel</t>
  </si>
  <si>
    <t>c</t>
  </si>
  <si>
    <t>Dr. Khum Bahadur Dangi</t>
  </si>
  <si>
    <t>Khubiram Bhandari</t>
  </si>
  <si>
    <t>Yubraj Khadka</t>
  </si>
  <si>
    <t>Pim Lal Chaudhary</t>
  </si>
  <si>
    <t>Madan Mohan Gautam</t>
  </si>
  <si>
    <t>Sangita Pun</t>
  </si>
  <si>
    <t>Prabin Basnet</t>
  </si>
  <si>
    <t>Yashoda Pandey</t>
  </si>
  <si>
    <t>Mahendra Bhandari</t>
  </si>
  <si>
    <t>Upendra Khadka</t>
  </si>
  <si>
    <t>Nimraj Bhattarai</t>
  </si>
  <si>
    <t>Laxman KC</t>
  </si>
  <si>
    <t>Asha KC</t>
  </si>
  <si>
    <t>४ बजे</t>
  </si>
  <si>
    <t>Bhupendra Dangi</t>
  </si>
  <si>
    <t>Alish Khadka</t>
  </si>
  <si>
    <t>Tek Bahadur BK</t>
  </si>
  <si>
    <t>विगत २४ घण्टा को Antigent Test को विवरण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</si>
</sst>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00439]0"/>
    <numFmt numFmtId="165" formatCode="[$-10461]yyyy\-mm\-dd;@"/>
    <numFmt numFmtId="166" formatCode="[$-10461]m/d/yyyy;@"/>
    <numFmt numFmtId="167" formatCode="[$-10461]h:mm:ss;@"/>
  </numFmts>
  <fonts count="179">
    <font>
      <sz val="11"/>
      <color theme="1"/>
      <name val="Calibri"/>
      <family val="2"/>
      <scheme val="minor"/>
    </font>
    <font>
      <b/>
      <sz val="14"/>
      <color theme="1"/>
      <name val="Preeti"/>
    </font>
    <font>
      <b/>
      <sz val="16"/>
      <color theme="1"/>
      <name val="Preeti"/>
    </font>
    <font>
      <sz val="12"/>
      <color theme="1"/>
      <name val="Preeti"/>
    </font>
    <font>
      <sz val="14"/>
      <color theme="1"/>
      <name val="Preeti"/>
    </font>
    <font>
      <sz val="16"/>
      <color theme="1"/>
      <name val="Preeti"/>
    </font>
    <font>
      <sz val="12"/>
      <color theme="1"/>
      <name val="Fontasy Himali"/>
      <family val="5"/>
    </font>
    <font>
      <sz val="11"/>
      <color theme="1"/>
      <name val="Arial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Kalimati"/>
      <charset val="1"/>
    </font>
    <font>
      <sz val="14"/>
      <color theme="1"/>
      <name val="Kokila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000000"/>
      <name val="Times New Roman"/>
      <family val="1"/>
    </font>
    <font>
      <sz val="10"/>
      <color rgb="FF000000"/>
      <name val="Arial"/>
      <family val="2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9"/>
      <color rgb="FF333333"/>
      <name val="Arial"/>
      <family val="2"/>
    </font>
    <font>
      <sz val="10"/>
      <color rgb="FF002060"/>
      <name val="Arial"/>
      <family val="2"/>
    </font>
    <font>
      <sz val="11"/>
      <color rgb="FF002060"/>
      <name val="Calibri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2060"/>
      <name val="Calibri"/>
      <family val="2"/>
      <scheme val="minor"/>
    </font>
    <font>
      <sz val="10"/>
      <color rgb="FF00B0F0"/>
      <name val="Arial"/>
      <family val="2"/>
    </font>
    <font>
      <sz val="11"/>
      <color rgb="FF00B0F0"/>
      <name val="Calibri"/>
      <family val="2"/>
      <scheme val="minor"/>
    </font>
    <font>
      <sz val="11"/>
      <color rgb="FF00B0F0"/>
      <name val="Calibri"/>
      <family val="2"/>
    </font>
    <font>
      <sz val="11"/>
      <color theme="1"/>
      <name val="Preeti"/>
    </font>
    <font>
      <sz val="14.5"/>
      <color theme="1"/>
      <name val="Preeti"/>
    </font>
    <font>
      <sz val="11"/>
      <color theme="1"/>
      <name val="Fontasy Himali"/>
      <family val="5"/>
    </font>
    <font>
      <sz val="13"/>
      <color theme="1"/>
      <name val="Preeti"/>
    </font>
    <font>
      <sz val="13"/>
      <color theme="1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3F3F76"/>
      <name val="Preeti"/>
    </font>
    <font>
      <b/>
      <sz val="15"/>
      <color theme="3"/>
      <name val="Preeti"/>
    </font>
    <font>
      <b/>
      <sz val="16"/>
      <color theme="0"/>
      <name val="Preeti"/>
    </font>
    <font>
      <b/>
      <sz val="22"/>
      <color theme="0"/>
      <name val="Preeti"/>
    </font>
    <font>
      <b/>
      <sz val="16"/>
      <color rgb="FF006100"/>
      <name val="Preeti"/>
    </font>
    <font>
      <sz val="14"/>
      <color theme="1"/>
      <name val="Calibri"/>
      <family val="2"/>
      <scheme val="minor"/>
    </font>
    <font>
      <sz val="16"/>
      <color rgb="FF006100"/>
      <name val="Preeti"/>
    </font>
    <font>
      <sz val="11"/>
      <color theme="1" tint="4.9989318521683403E-2"/>
      <name val="Fontasy Himali"/>
      <family val="5"/>
    </font>
    <font>
      <b/>
      <sz val="14"/>
      <color theme="7" tint="-0.499984740745262"/>
      <name val="Preeti"/>
    </font>
    <font>
      <b/>
      <sz val="11"/>
      <color theme="7" tint="-0.499984740745262"/>
      <name val="Fontasy Himali"/>
      <family val="5"/>
    </font>
    <font>
      <sz val="14"/>
      <color theme="1" tint="4.9989318521683403E-2"/>
      <name val="Preeti"/>
    </font>
    <font>
      <b/>
      <sz val="12"/>
      <color rgb="FF3F3F76"/>
      <name val="Fontasy Himali"/>
      <family val="5"/>
    </font>
    <font>
      <b/>
      <sz val="11"/>
      <color theme="1"/>
      <name val="Calibri"/>
      <family val="2"/>
      <scheme val="minor"/>
    </font>
    <font>
      <b/>
      <sz val="10"/>
      <color theme="1"/>
      <name val="Kalimati"/>
      <charset val="1"/>
    </font>
    <font>
      <sz val="16"/>
      <color rgb="FF000000"/>
      <name val="Preeti"/>
    </font>
    <font>
      <sz val="10"/>
      <color rgb="FFFF0000"/>
      <name val="Calibri"/>
      <family val="2"/>
    </font>
    <font>
      <sz val="11"/>
      <color theme="1"/>
      <name val="Calibri"/>
      <family val="2"/>
    </font>
    <font>
      <sz val="11"/>
      <color rgb="FFFF0000"/>
      <name val="Preeti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rgb="FFFF0000"/>
      <name val="Calibri"/>
      <family val="2"/>
      <scheme val="minor"/>
    </font>
    <font>
      <sz val="18"/>
      <color theme="3"/>
      <name val="Cambria"/>
      <family val="2"/>
      <scheme val="maj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70C0"/>
      <name val="Calibri"/>
      <family val="2"/>
    </font>
    <font>
      <sz val="11"/>
      <color rgb="FF0070C0"/>
      <name val="Calibri"/>
      <family val="2"/>
      <scheme val="minor"/>
    </font>
    <font>
      <sz val="11"/>
      <color rgb="FF0070C0"/>
      <name val="Calibri"/>
      <family val="2"/>
    </font>
    <font>
      <sz val="10"/>
      <color rgb="FF0070C0"/>
      <name val="Calibri"/>
      <family val="2"/>
      <scheme val="minor"/>
    </font>
    <font>
      <sz val="10"/>
      <color rgb="FF0070C0"/>
      <name val="Arial"/>
      <family val="2"/>
    </font>
    <font>
      <sz val="12"/>
      <color theme="1"/>
      <name val="Calibri"/>
      <family val="2"/>
    </font>
    <font>
      <b/>
      <sz val="10"/>
      <color theme="7" tint="-0.499984740745262"/>
      <name val="Arial"/>
      <family val="2"/>
    </font>
    <font>
      <b/>
      <sz val="22"/>
      <name val="Preeti"/>
    </font>
    <font>
      <sz val="11"/>
      <color rgb="FF00B050"/>
      <name val="Calibri"/>
      <family val="2"/>
      <scheme val="minor"/>
    </font>
    <font>
      <sz val="11"/>
      <color rgb="FF00B050"/>
      <name val="Calibri"/>
      <family val="2"/>
    </font>
    <font>
      <sz val="10"/>
      <color rgb="FF00B050"/>
      <name val="Calibri"/>
      <family val="2"/>
      <scheme val="minor"/>
    </font>
    <font>
      <sz val="10"/>
      <color rgb="FF00B050"/>
      <name val="Arial"/>
      <family val="2"/>
    </font>
    <font>
      <b/>
      <sz val="10"/>
      <name val="Arial"/>
      <family val="2"/>
    </font>
    <font>
      <sz val="10"/>
      <color rgb="FF00B0F0"/>
      <name val="Calibri"/>
      <family val="2"/>
      <scheme val="minor"/>
    </font>
    <font>
      <sz val="12"/>
      <color rgb="FFFF0000"/>
      <name val="Calibri"/>
      <family val="2"/>
    </font>
    <font>
      <sz val="14"/>
      <color rgb="FFFF0000"/>
      <name val="Kokila"/>
      <family val="2"/>
    </font>
    <font>
      <sz val="14"/>
      <name val="Kokila"/>
      <family val="2"/>
    </font>
    <font>
      <u/>
      <sz val="11"/>
      <color theme="10"/>
      <name val="Calibri"/>
      <family val="2"/>
      <scheme val="minor"/>
    </font>
    <font>
      <sz val="12"/>
      <color rgb="FF0070C0"/>
      <name val="Calibri"/>
      <family val="2"/>
    </font>
    <font>
      <sz val="11"/>
      <color rgb="FF7030A0"/>
      <name val="Calibri"/>
      <family val="2"/>
      <scheme val="minor"/>
    </font>
    <font>
      <sz val="10"/>
      <color rgb="FF7030A0"/>
      <name val="Calibri"/>
      <family val="2"/>
    </font>
    <font>
      <sz val="10"/>
      <color rgb="FF7030A0"/>
      <name val="Calibri"/>
      <family val="2"/>
      <scheme val="minor"/>
    </font>
    <font>
      <sz val="10"/>
      <color rgb="FF7030A0"/>
      <name val="Arial"/>
      <family val="2"/>
    </font>
    <font>
      <sz val="11"/>
      <color rgb="FF7030A0"/>
      <name val="Calibri"/>
      <family val="2"/>
    </font>
    <font>
      <sz val="14"/>
      <color rgb="FF0070C0"/>
      <name val="Kokila"/>
      <family val="2"/>
    </font>
    <font>
      <b/>
      <sz val="12"/>
      <color theme="1"/>
      <name val="Fontasy Himali"/>
      <family val="5"/>
    </font>
    <font>
      <b/>
      <i/>
      <sz val="11"/>
      <color theme="1"/>
      <name val="Calibri"/>
      <family val="2"/>
      <scheme val="minor"/>
    </font>
    <font>
      <sz val="11"/>
      <color rgb="FF0070C0"/>
      <name val="Fontasy Himali"/>
      <family val="5"/>
    </font>
    <font>
      <sz val="11"/>
      <color rgb="FF00B050"/>
      <name val="Fontasy Himali"/>
      <family val="5"/>
    </font>
    <font>
      <sz val="14"/>
      <color rgb="FF7030A0"/>
      <name val="Kokila"/>
      <family val="2"/>
    </font>
    <font>
      <b/>
      <sz val="18"/>
      <color theme="1"/>
      <name val="Preeti"/>
    </font>
    <font>
      <b/>
      <sz val="10"/>
      <color theme="1"/>
      <name val="Fontasy Himali"/>
      <family val="5"/>
    </font>
    <font>
      <b/>
      <sz val="12"/>
      <color theme="1"/>
      <name val="Preeti"/>
    </font>
    <font>
      <b/>
      <sz val="28"/>
      <color theme="1"/>
      <name val="Preeti"/>
    </font>
    <font>
      <sz val="14"/>
      <color rgb="FF00B0F0"/>
      <name val="Kokila"/>
      <family val="2"/>
    </font>
    <font>
      <sz val="12"/>
      <color rgb="FF00B0F0"/>
      <name val="Calibri"/>
      <family val="2"/>
    </font>
    <font>
      <sz val="12"/>
      <name val="Calibri"/>
      <family val="2"/>
    </font>
    <font>
      <sz val="13"/>
      <color theme="1" tint="4.9989318521683403E-2"/>
      <name val="Preeti"/>
    </font>
    <font>
      <sz val="9"/>
      <color rgb="FF7030A0"/>
      <name val="Calibri"/>
      <family val="2"/>
      <scheme val="minor"/>
    </font>
    <font>
      <sz val="8"/>
      <color rgb="FF7030A0"/>
      <name val="Calibri"/>
      <family val="2"/>
      <scheme val="minor"/>
    </font>
    <font>
      <sz val="9"/>
      <color theme="1"/>
      <name val="Arial"/>
      <family val="2"/>
    </font>
    <font>
      <sz val="9"/>
      <color rgb="FF002060"/>
      <name val="Arial"/>
      <family val="2"/>
    </font>
    <font>
      <sz val="9"/>
      <color rgb="FFFF0000"/>
      <name val="Arial"/>
      <family val="2"/>
    </font>
    <font>
      <sz val="9"/>
      <name val="Arial"/>
      <family val="2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002060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rgb="FF0070C0"/>
      <name val="Calibri"/>
      <family val="2"/>
      <scheme val="minor"/>
    </font>
    <font>
      <sz val="9"/>
      <color rgb="FF0070C0"/>
      <name val="Calibri"/>
      <family val="2"/>
    </font>
    <font>
      <sz val="9"/>
      <color rgb="FFFF0000"/>
      <name val="Calibri"/>
      <family val="2"/>
    </font>
    <font>
      <sz val="9"/>
      <color rgb="FF7030A0"/>
      <name val="Calibri"/>
      <family val="2"/>
    </font>
    <font>
      <sz val="9"/>
      <color rgb="FF00B050"/>
      <name val="Calibri"/>
      <family val="2"/>
      <scheme val="minor"/>
    </font>
    <font>
      <sz val="9"/>
      <name val="Calibri"/>
      <family val="2"/>
      <scheme val="minor"/>
    </font>
    <font>
      <sz val="9"/>
      <color rgb="FF00B0F0"/>
      <name val="Arial"/>
      <family val="2"/>
    </font>
    <font>
      <sz val="9"/>
      <color rgb="FF7030A0"/>
      <name val="Arial"/>
      <family val="2"/>
    </font>
    <font>
      <sz val="9"/>
      <color rgb="FF00B050"/>
      <name val="Arial"/>
      <family val="2"/>
    </font>
    <font>
      <sz val="9"/>
      <color rgb="FF0070C0"/>
      <name val="Arial"/>
      <family val="2"/>
    </font>
    <font>
      <sz val="9"/>
      <color theme="1"/>
      <name val="Calibri"/>
      <family val="2"/>
    </font>
    <font>
      <sz val="9"/>
      <color rgb="FF00B0F0"/>
      <name val="Calibri"/>
      <family val="2"/>
    </font>
    <font>
      <sz val="9"/>
      <name val="Calibri"/>
      <family val="2"/>
    </font>
    <font>
      <b/>
      <i/>
      <sz val="14"/>
      <color theme="7" tint="-0.499984740745262"/>
      <name val="Preeti"/>
    </font>
    <font>
      <b/>
      <i/>
      <sz val="11"/>
      <color theme="7" tint="-0.499984740745262"/>
      <name val="Fontasy Himali"/>
      <family val="5"/>
    </font>
    <font>
      <b/>
      <sz val="18"/>
      <name val="Preeti"/>
    </font>
    <font>
      <b/>
      <sz val="14"/>
      <color theme="0"/>
      <name val="Preeti"/>
    </font>
    <font>
      <b/>
      <sz val="16"/>
      <name val="Preeti"/>
    </font>
    <font>
      <b/>
      <i/>
      <sz val="16"/>
      <color theme="1"/>
      <name val="Preeti"/>
    </font>
    <font>
      <i/>
      <sz val="12"/>
      <color theme="1"/>
      <name val="Fontasy Himali"/>
      <family val="5"/>
    </font>
    <font>
      <b/>
      <i/>
      <sz val="14"/>
      <color theme="1"/>
      <name val="Preeti"/>
    </font>
    <font>
      <sz val="11"/>
      <color rgb="FF0070C0"/>
      <name val="Arial"/>
      <family val="2"/>
    </font>
    <font>
      <b/>
      <sz val="14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Fontasy Himali"/>
      <family val="5"/>
    </font>
    <font>
      <b/>
      <sz val="11"/>
      <name val="Calibri"/>
      <family val="2"/>
      <scheme val="minor"/>
    </font>
    <font>
      <sz val="11"/>
      <name val="Fontasy Himali"/>
      <family val="5"/>
    </font>
    <font>
      <sz val="14"/>
      <color rgb="FF00B050"/>
      <name val="Kokila"/>
      <family val="2"/>
    </font>
    <font>
      <sz val="10"/>
      <name val="Calibri"/>
      <family val="2"/>
    </font>
    <font>
      <sz val="11"/>
      <color rgb="FF000000"/>
      <name val="Calibri"/>
      <family val="2"/>
      <scheme val="minor"/>
    </font>
    <font>
      <b/>
      <sz val="16"/>
      <color theme="1"/>
      <name val="Fontasy Himali"/>
      <family val="5"/>
    </font>
    <font>
      <b/>
      <sz val="18"/>
      <color theme="1"/>
      <name val="Fontasy Himali"/>
      <family val="5"/>
    </font>
    <font>
      <b/>
      <sz val="18"/>
      <color theme="1"/>
      <name val="Arial"/>
      <family val="2"/>
    </font>
    <font>
      <b/>
      <sz val="20"/>
      <color rgb="FF006100"/>
      <name val="Preeti"/>
    </font>
    <font>
      <sz val="18"/>
      <color theme="2" tint="-0.89999084444715716"/>
      <name val="Preeti"/>
    </font>
    <font>
      <sz val="18"/>
      <color theme="2" tint="-0.89999084444715716"/>
      <name val="Fontasy Himali"/>
      <family val="5"/>
    </font>
    <font>
      <sz val="16"/>
      <color rgb="FF9C6500"/>
      <name val="Preeti"/>
    </font>
    <font>
      <sz val="16"/>
      <color rgb="FF9C6500"/>
      <name val="Arial"/>
      <family val="2"/>
    </font>
    <font>
      <sz val="16"/>
      <color rgb="FF9C6500"/>
      <name val="Times New Roman"/>
      <family val="1"/>
    </font>
    <font>
      <b/>
      <sz val="12"/>
      <color rgb="FF006100"/>
      <name val="Fontasy Himali"/>
      <family val="5"/>
    </font>
    <font>
      <sz val="10"/>
      <name val="Kokila"/>
      <family val="2"/>
    </font>
    <font>
      <sz val="11"/>
      <color rgb="FF00B050"/>
      <name val="Arial"/>
      <family val="2"/>
    </font>
    <font>
      <sz val="10"/>
      <color rgb="FF0070C0"/>
      <name val="Kokila"/>
      <family val="2"/>
    </font>
    <font>
      <sz val="18"/>
      <color theme="1"/>
      <name val="Arial"/>
      <family val="2"/>
    </font>
    <font>
      <sz val="10"/>
      <color rgb="FF00B050"/>
      <name val="Kokila"/>
      <family val="2"/>
    </font>
    <font>
      <sz val="11"/>
      <color rgb="FF333333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Fontasy Himali"/>
      <family val="5"/>
    </font>
    <font>
      <b/>
      <i/>
      <sz val="18"/>
      <color theme="1"/>
      <name val="Arial"/>
      <family val="2"/>
    </font>
    <font>
      <b/>
      <i/>
      <sz val="18"/>
      <color theme="1"/>
      <name val="Fontasy Himali"/>
      <family val="5"/>
    </font>
    <font>
      <sz val="11"/>
      <color rgb="FF00B0F0"/>
      <name val="Fontasy Himali"/>
      <family val="5"/>
    </font>
    <font>
      <sz val="9"/>
      <color rgb="FFFF0000"/>
      <name val="Kokila"/>
      <family val="2"/>
    </font>
    <font>
      <sz val="10"/>
      <name val="Kalimati"/>
      <charset val="1"/>
    </font>
    <font>
      <sz val="13"/>
      <color theme="1"/>
      <name val="Kalimati"/>
      <charset val="1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Roboto"/>
    </font>
    <font>
      <b/>
      <sz val="22"/>
      <color theme="1"/>
      <name val="Preeti"/>
    </font>
    <font>
      <b/>
      <sz val="16"/>
      <color theme="1"/>
      <name val="Arial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27BA0"/>
        <bgColor indexed="64"/>
      </patternFill>
    </fill>
    <fill>
      <patternFill patternType="solid">
        <fgColor rgb="FFEBF0F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ck">
        <color theme="4"/>
      </top>
      <bottom style="thin">
        <color indexed="64"/>
      </bottom>
      <diagonal/>
    </border>
    <border>
      <left/>
      <right/>
      <top style="thick">
        <color theme="4"/>
      </top>
      <bottom style="thin">
        <color indexed="64"/>
      </bottom>
      <diagonal/>
    </border>
    <border>
      <left/>
      <right style="thin">
        <color indexed="64"/>
      </right>
      <top style="thick">
        <color theme="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3F3F3F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CCCCCC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4">
    <xf numFmtId="0" fontId="0" fillId="0" borderId="0"/>
    <xf numFmtId="0" fontId="37" fillId="0" borderId="9" applyNumberFormat="0" applyFill="0" applyAlignment="0" applyProtection="0"/>
    <xf numFmtId="0" fontId="38" fillId="11" borderId="0" applyNumberFormat="0" applyBorder="0" applyAlignment="0" applyProtection="0"/>
    <xf numFmtId="0" fontId="39" fillId="12" borderId="0" applyNumberFormat="0" applyBorder="0" applyAlignment="0" applyProtection="0"/>
    <xf numFmtId="0" fontId="40" fillId="13" borderId="10" applyNumberFormat="0" applyAlignment="0" applyProtection="0"/>
    <xf numFmtId="0" fontId="41" fillId="14" borderId="11" applyNumberFormat="0" applyAlignment="0" applyProtection="0"/>
    <xf numFmtId="0" fontId="42" fillId="15" borderId="0" applyNumberFormat="0" applyBorder="0" applyAlignment="0" applyProtection="0"/>
    <xf numFmtId="0" fontId="42" fillId="16" borderId="0" applyNumberFormat="0" applyBorder="0" applyAlignment="0" applyProtection="0"/>
    <xf numFmtId="0" fontId="36" fillId="17" borderId="0" applyNumberFormat="0" applyBorder="0" applyAlignment="0" applyProtection="0"/>
    <xf numFmtId="0" fontId="42" fillId="18" borderId="0" applyNumberFormat="0" applyBorder="0" applyAlignment="0" applyProtection="0"/>
    <xf numFmtId="0" fontId="36" fillId="19" borderId="0" applyNumberFormat="0" applyBorder="0" applyAlignment="0" applyProtection="0"/>
    <xf numFmtId="0" fontId="42" fillId="20" borderId="0" applyNumberFormat="0" applyBorder="0" applyAlignment="0" applyProtection="0"/>
    <xf numFmtId="0" fontId="42" fillId="21" borderId="0" applyNumberFormat="0" applyBorder="0" applyAlignment="0" applyProtection="0"/>
    <xf numFmtId="0" fontId="36" fillId="22" borderId="0" applyNumberFormat="0" applyBorder="0" applyAlignment="0" applyProtection="0"/>
    <xf numFmtId="0" fontId="42" fillId="23" borderId="0" applyNumberFormat="0" applyBorder="0" applyAlignment="0" applyProtection="0"/>
    <xf numFmtId="0" fontId="36" fillId="24" borderId="0" applyNumberFormat="0" applyBorder="0" applyAlignment="0" applyProtection="0"/>
    <xf numFmtId="0" fontId="36" fillId="25" borderId="0" applyNumberFormat="0" applyBorder="0" applyAlignment="0" applyProtection="0"/>
    <xf numFmtId="0" fontId="61" fillId="0" borderId="15" applyNumberFormat="0" applyFill="0" applyAlignment="0" applyProtection="0"/>
    <xf numFmtId="0" fontId="62" fillId="0" borderId="16" applyNumberFormat="0" applyFill="0" applyAlignment="0" applyProtection="0"/>
    <xf numFmtId="0" fontId="62" fillId="0" borderId="0" applyNumberFormat="0" applyFill="0" applyBorder="0" applyAlignment="0" applyProtection="0"/>
    <xf numFmtId="0" fontId="63" fillId="27" borderId="0" applyNumberFormat="0" applyBorder="0" applyAlignment="0" applyProtection="0"/>
    <xf numFmtId="0" fontId="64" fillId="28" borderId="17" applyNumberFormat="0" applyAlignment="0" applyProtection="0"/>
    <xf numFmtId="0" fontId="65" fillId="28" borderId="10" applyNumberFormat="0" applyAlignment="0" applyProtection="0"/>
    <xf numFmtId="0" fontId="66" fillId="0" borderId="18" applyNumberFormat="0" applyFill="0" applyAlignment="0" applyProtection="0"/>
    <xf numFmtId="0" fontId="8" fillId="0" borderId="0" applyNumberFormat="0" applyFill="0" applyBorder="0" applyAlignment="0" applyProtection="0"/>
    <xf numFmtId="0" fontId="36" fillId="29" borderId="19" applyNumberFormat="0" applyFont="0" applyAlignment="0" applyProtection="0"/>
    <xf numFmtId="0" fontId="67" fillId="0" borderId="0" applyNumberFormat="0" applyFill="0" applyBorder="0" applyAlignment="0" applyProtection="0"/>
    <xf numFmtId="0" fontId="55" fillId="0" borderId="20" applyNumberFormat="0" applyFill="0" applyAlignment="0" applyProtection="0"/>
    <xf numFmtId="0" fontId="36" fillId="30" borderId="0" applyNumberFormat="0" applyBorder="0" applyAlignment="0" applyProtection="0"/>
    <xf numFmtId="0" fontId="36" fillId="31" borderId="0" applyNumberFormat="0" applyBorder="0" applyAlignment="0" applyProtection="0"/>
    <xf numFmtId="0" fontId="42" fillId="32" borderId="0" applyNumberFormat="0" applyBorder="0" applyAlignment="0" applyProtection="0"/>
    <xf numFmtId="0" fontId="36" fillId="33" borderId="0" applyNumberFormat="0" applyBorder="0" applyAlignment="0" applyProtection="0"/>
    <xf numFmtId="0" fontId="42" fillId="34" borderId="0" applyNumberFormat="0" applyBorder="0" applyAlignment="0" applyProtection="0"/>
    <xf numFmtId="0" fontId="36" fillId="35" borderId="0" applyNumberFormat="0" applyBorder="0" applyAlignment="0" applyProtection="0"/>
    <xf numFmtId="0" fontId="42" fillId="36" borderId="0" applyNumberFormat="0" applyBorder="0" applyAlignment="0" applyProtection="0"/>
    <xf numFmtId="0" fontId="36" fillId="37" borderId="0" applyNumberFormat="0" applyBorder="0" applyAlignment="0" applyProtection="0"/>
    <xf numFmtId="0" fontId="36" fillId="38" borderId="0" applyNumberFormat="0" applyBorder="0" applyAlignment="0" applyProtection="0"/>
    <xf numFmtId="0" fontId="42" fillId="39" borderId="0" applyNumberFormat="0" applyBorder="0" applyAlignment="0" applyProtection="0"/>
    <xf numFmtId="0" fontId="36" fillId="40" borderId="0" applyNumberFormat="0" applyBorder="0" applyAlignment="0" applyProtection="0"/>
    <xf numFmtId="0" fontId="42" fillId="41" borderId="0" applyNumberFormat="0" applyBorder="0" applyAlignment="0" applyProtection="0"/>
    <xf numFmtId="0" fontId="42" fillId="42" borderId="0" applyNumberFormat="0" applyBorder="0" applyAlignment="0" applyProtection="0"/>
    <xf numFmtId="0" fontId="6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43" fontId="36" fillId="0" borderId="0" applyFont="0" applyFill="0" applyBorder="0" applyAlignment="0" applyProtection="0"/>
  </cellStyleXfs>
  <cellXfs count="1635">
    <xf numFmtId="0" fontId="0" fillId="0" borderId="0" xfId="0"/>
    <xf numFmtId="0" fontId="0" fillId="0" borderId="1" xfId="0" applyBorder="1"/>
    <xf numFmtId="0" fontId="9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9" fillId="0" borderId="1" xfId="0" applyFont="1" applyBorder="1" applyAlignment="1"/>
    <xf numFmtId="0" fontId="13" fillId="0" borderId="1" xfId="0" applyFont="1" applyFill="1" applyBorder="1" applyAlignment="1">
      <alignment horizontal="center"/>
    </xf>
    <xf numFmtId="0" fontId="9" fillId="0" borderId="1" xfId="0" applyFont="1" applyFill="1" applyBorder="1" applyAlignment="1"/>
    <xf numFmtId="0" fontId="9" fillId="3" borderId="1" xfId="0" applyFont="1" applyFill="1" applyBorder="1" applyAlignment="1"/>
    <xf numFmtId="0" fontId="13" fillId="3" borderId="1" xfId="0" applyFont="1" applyFill="1" applyBorder="1" applyAlignment="1">
      <alignment horizontal="center"/>
    </xf>
    <xf numFmtId="14" fontId="8" fillId="0" borderId="0" xfId="0" applyNumberFormat="1" applyFont="1" applyAlignment="1"/>
    <xf numFmtId="0" fontId="31" fillId="0" borderId="0" xfId="0" applyFont="1"/>
    <xf numFmtId="0" fontId="1" fillId="0" borderId="0" xfId="0" applyFont="1"/>
    <xf numFmtId="0" fontId="9" fillId="2" borderId="1" xfId="0" applyFont="1" applyFill="1" applyBorder="1" applyAlignment="1">
      <alignment vertical="center"/>
    </xf>
    <xf numFmtId="0" fontId="3" fillId="0" borderId="1" xfId="0" applyFont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left" vertical="center"/>
    </xf>
    <xf numFmtId="164" fontId="5" fillId="0" borderId="1" xfId="0" applyNumberFormat="1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/>
    <xf numFmtId="14" fontId="0" fillId="0" borderId="1" xfId="0" applyNumberForma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64" fontId="33" fillId="0" borderId="1" xfId="0" applyNumberFormat="1" applyFont="1" applyBorder="1" applyAlignment="1">
      <alignment horizontal="center" vertical="center"/>
    </xf>
    <xf numFmtId="0" fontId="0" fillId="3" borderId="0" xfId="0" applyFill="1"/>
    <xf numFmtId="0" fontId="0" fillId="0" borderId="0" xfId="0" applyProtection="1">
      <protection locked="0"/>
    </xf>
    <xf numFmtId="0" fontId="49" fillId="11" borderId="1" xfId="2" applyFont="1" applyBorder="1" applyAlignment="1" applyProtection="1">
      <alignment horizontal="center"/>
      <protection locked="0"/>
    </xf>
    <xf numFmtId="0" fontId="33" fillId="24" borderId="1" xfId="15" applyFont="1" applyBorder="1" applyAlignment="1" applyProtection="1">
      <alignment horizontal="center" vertical="center"/>
      <protection locked="0"/>
    </xf>
    <xf numFmtId="0" fontId="5" fillId="24" borderId="1" xfId="15" applyFont="1" applyBorder="1" applyAlignment="1" applyProtection="1">
      <alignment horizontal="center" vertical="center"/>
      <protection locked="0"/>
    </xf>
    <xf numFmtId="0" fontId="33" fillId="25" borderId="1" xfId="16" applyFont="1" applyBorder="1" applyAlignment="1" applyProtection="1">
      <alignment horizontal="right"/>
      <protection locked="0"/>
    </xf>
    <xf numFmtId="0" fontId="33" fillId="25" borderId="1" xfId="16" applyFont="1" applyBorder="1" applyAlignment="1" applyProtection="1">
      <alignment horizontal="center"/>
      <protection locked="0"/>
    </xf>
    <xf numFmtId="0" fontId="4" fillId="17" borderId="1" xfId="8" applyFont="1" applyBorder="1" applyAlignment="1" applyProtection="1">
      <alignment horizontal="right"/>
    </xf>
    <xf numFmtId="0" fontId="33" fillId="17" borderId="1" xfId="8" applyFont="1" applyBorder="1" applyProtection="1"/>
    <xf numFmtId="0" fontId="53" fillId="21" borderId="1" xfId="12" applyFont="1" applyBorder="1" applyAlignment="1" applyProtection="1">
      <alignment horizontal="center"/>
    </xf>
    <xf numFmtId="14" fontId="50" fillId="21" borderId="1" xfId="12" applyNumberFormat="1" applyFont="1" applyBorder="1" applyAlignment="1" applyProtection="1">
      <alignment horizontal="center"/>
    </xf>
    <xf numFmtId="0" fontId="50" fillId="21" borderId="1" xfId="12" applyFont="1" applyBorder="1" applyAlignment="1" applyProtection="1">
      <alignment horizontal="center"/>
    </xf>
    <xf numFmtId="0" fontId="53" fillId="23" borderId="5" xfId="14" applyFont="1" applyBorder="1" applyAlignment="1" applyProtection="1">
      <alignment horizontal="center" vertical="center"/>
    </xf>
    <xf numFmtId="0" fontId="48" fillId="22" borderId="4" xfId="13" applyFont="1" applyBorder="1" applyAlignment="1" applyProtection="1">
      <alignment vertical="center"/>
    </xf>
    <xf numFmtId="0" fontId="4" fillId="22" borderId="1" xfId="13" applyFont="1" applyBorder="1" applyAlignment="1" applyProtection="1">
      <alignment horizontal="center"/>
    </xf>
    <xf numFmtId="0" fontId="33" fillId="24" borderId="1" xfId="15" applyFont="1" applyBorder="1" applyAlignment="1" applyProtection="1">
      <alignment horizontal="center" vertical="center"/>
    </xf>
    <xf numFmtId="0" fontId="33" fillId="25" borderId="1" xfId="16" applyFont="1" applyBorder="1" applyAlignment="1" applyProtection="1">
      <alignment horizontal="center"/>
    </xf>
    <xf numFmtId="0" fontId="5" fillId="25" borderId="1" xfId="16" applyFont="1" applyBorder="1" applyAlignment="1" applyProtection="1">
      <alignment horizontal="right"/>
    </xf>
    <xf numFmtId="0" fontId="0" fillId="0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33" fillId="24" borderId="3" xfId="15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4" fontId="0" fillId="3" borderId="0" xfId="0" applyNumberFormat="1" applyFill="1"/>
    <xf numFmtId="0" fontId="0" fillId="0" borderId="0" xfId="0" applyFill="1"/>
    <xf numFmtId="0" fontId="0" fillId="0" borderId="1" xfId="0" applyFill="1" applyBorder="1"/>
    <xf numFmtId="14" fontId="0" fillId="0" borderId="1" xfId="0" applyNumberFormat="1" applyFill="1" applyBorder="1"/>
    <xf numFmtId="14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/>
    <xf numFmtId="0" fontId="10" fillId="2" borderId="1" xfId="0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0" fontId="9" fillId="0" borderId="1" xfId="0" applyFont="1" applyFill="1" applyBorder="1" applyAlignment="1"/>
    <xf numFmtId="0" fontId="0" fillId="0" borderId="0" xfId="0" applyAlignment="1"/>
    <xf numFmtId="0" fontId="8" fillId="0" borderId="0" xfId="0" applyFont="1" applyAlignment="1"/>
    <xf numFmtId="14" fontId="0" fillId="0" borderId="0" xfId="0" applyNumberFormat="1"/>
    <xf numFmtId="14" fontId="0" fillId="0" borderId="1" xfId="0" applyNumberFormat="1" applyBorder="1"/>
    <xf numFmtId="0" fontId="8" fillId="0" borderId="0" xfId="0" applyFont="1"/>
    <xf numFmtId="14" fontId="8" fillId="0" borderId="0" xfId="0" applyNumberFormat="1" applyFont="1"/>
    <xf numFmtId="0" fontId="0" fillId="0" borderId="3" xfId="0" applyFill="1" applyBorder="1" applyAlignment="1">
      <alignment horizontal="center"/>
    </xf>
    <xf numFmtId="0" fontId="25" fillId="0" borderId="0" xfId="0" applyFont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14" fontId="0" fillId="3" borderId="1" xfId="0" applyNumberFormat="1" applyFill="1" applyBorder="1"/>
    <xf numFmtId="164" fontId="6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/>
    </xf>
    <xf numFmtId="164" fontId="5" fillId="3" borderId="1" xfId="0" applyNumberFormat="1" applyFont="1" applyFill="1" applyBorder="1" applyAlignment="1">
      <alignment horizontal="left" vertical="center"/>
    </xf>
    <xf numFmtId="164" fontId="33" fillId="3" borderId="1" xfId="0" applyNumberFormat="1" applyFont="1" applyFill="1" applyBorder="1" applyAlignment="1">
      <alignment horizontal="center" vertical="center"/>
    </xf>
    <xf numFmtId="164" fontId="5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1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wrapText="1"/>
    </xf>
    <xf numFmtId="0" fontId="3" fillId="3" borderId="1" xfId="0" applyFont="1" applyFill="1" applyBorder="1" applyAlignment="1">
      <alignment horizontal="center" vertical="center"/>
    </xf>
    <xf numFmtId="20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wrapText="1"/>
    </xf>
    <xf numFmtId="14" fontId="25" fillId="3" borderId="1" xfId="0" applyNumberFormat="1" applyFont="1" applyFill="1" applyBorder="1" applyAlignment="1">
      <alignment horizontal="center"/>
    </xf>
    <xf numFmtId="14" fontId="0" fillId="3" borderId="1" xfId="0" applyNumberFormat="1" applyFill="1" applyBorder="1" applyAlignment="1">
      <alignment wrapText="1"/>
    </xf>
    <xf numFmtId="0" fontId="0" fillId="3" borderId="3" xfId="0" applyFill="1" applyBorder="1" applyAlignment="1">
      <alignment horizontal="center"/>
    </xf>
    <xf numFmtId="0" fontId="35" fillId="3" borderId="1" xfId="0" applyFont="1" applyFill="1" applyBorder="1" applyAlignment="1">
      <alignment horizontal="center" vertical="center"/>
    </xf>
    <xf numFmtId="0" fontId="60" fillId="0" borderId="0" xfId="0" applyFont="1"/>
    <xf numFmtId="0" fontId="57" fillId="3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Border="1" applyAlignment="1">
      <alignment horizontal="left"/>
    </xf>
    <xf numFmtId="0" fontId="14" fillId="2" borderId="0" xfId="0" applyFont="1" applyFill="1" applyAlignment="1">
      <alignment horizontal="left" wrapText="1"/>
    </xf>
    <xf numFmtId="0" fontId="68" fillId="0" borderId="0" xfId="0" applyFont="1" applyBorder="1" applyAlignment="1">
      <alignment wrapText="1"/>
    </xf>
    <xf numFmtId="0" fontId="0" fillId="0" borderId="0" xfId="0"/>
    <xf numFmtId="0" fontId="70" fillId="0" borderId="0" xfId="0" applyFont="1" applyBorder="1" applyAlignment="1">
      <alignment vertical="center" wrapText="1"/>
    </xf>
    <xf numFmtId="0" fontId="25" fillId="0" borderId="0" xfId="0" applyFont="1" applyAlignment="1">
      <alignment horizontal="left"/>
    </xf>
    <xf numFmtId="0" fontId="70" fillId="0" borderId="0" xfId="0" applyFont="1" applyFill="1" applyBorder="1" applyAlignment="1">
      <alignment horizontal="right" vertical="center" wrapText="1"/>
    </xf>
    <xf numFmtId="0" fontId="68" fillId="0" borderId="0" xfId="0" applyFont="1" applyBorder="1" applyAlignment="1">
      <alignment vertical="center" wrapText="1"/>
    </xf>
    <xf numFmtId="0" fontId="71" fillId="0" borderId="0" xfId="0" applyFont="1"/>
    <xf numFmtId="0" fontId="70" fillId="0" borderId="0" xfId="0" applyFont="1" applyAlignment="1">
      <alignment horizontal="left"/>
    </xf>
    <xf numFmtId="0" fontId="70" fillId="0" borderId="0" xfId="0" applyFont="1" applyAlignment="1">
      <alignment horizontal="left" vertical="top"/>
    </xf>
    <xf numFmtId="0" fontId="13" fillId="2" borderId="0" xfId="0" applyFont="1" applyFill="1" applyBorder="1" applyAlignment="1">
      <alignment horizontal="right"/>
    </xf>
    <xf numFmtId="0" fontId="13" fillId="0" borderId="0" xfId="0" applyFont="1" applyFill="1" applyBorder="1"/>
    <xf numFmtId="0" fontId="0" fillId="0" borderId="0" xfId="0" applyBorder="1" applyAlignment="1">
      <alignment horizontal="left"/>
    </xf>
    <xf numFmtId="0" fontId="23" fillId="0" borderId="0" xfId="0" applyFont="1" applyFill="1" applyBorder="1"/>
    <xf numFmtId="164" fontId="3" fillId="3" borderId="1" xfId="0" applyNumberFormat="1" applyFont="1" applyFill="1" applyBorder="1" applyAlignment="1">
      <alignment horizontal="left" vertical="center"/>
    </xf>
    <xf numFmtId="0" fontId="0" fillId="3" borderId="1" xfId="0" applyFill="1" applyBorder="1" applyAlignment="1">
      <alignment horizontal="right"/>
    </xf>
    <xf numFmtId="0" fontId="9" fillId="0" borderId="0" xfId="0" applyFont="1" applyBorder="1" applyAlignment="1">
      <alignment horizontal="left" wrapText="1"/>
    </xf>
    <xf numFmtId="0" fontId="0" fillId="0" borderId="21" xfId="0" applyBorder="1" applyAlignment="1">
      <alignment horizontal="left"/>
    </xf>
    <xf numFmtId="0" fontId="0" fillId="3" borderId="0" xfId="0" applyFill="1" applyAlignment="1">
      <alignment horizontal="left"/>
    </xf>
    <xf numFmtId="0" fontId="22" fillId="2" borderId="0" xfId="0" applyFont="1" applyFill="1" applyBorder="1" applyAlignment="1">
      <alignment wrapText="1"/>
    </xf>
    <xf numFmtId="0" fontId="49" fillId="11" borderId="1" xfId="2" applyFont="1" applyBorder="1" applyAlignment="1" applyProtection="1">
      <alignment horizontal="center"/>
      <protection locked="0"/>
    </xf>
    <xf numFmtId="0" fontId="49" fillId="11" borderId="3" xfId="2" applyFont="1" applyBorder="1" applyAlignment="1" applyProtection="1">
      <alignment horizontal="center"/>
      <protection locked="0"/>
    </xf>
    <xf numFmtId="0" fontId="23" fillId="0" borderId="21" xfId="0" applyFont="1" applyFill="1" applyBorder="1"/>
    <xf numFmtId="0" fontId="25" fillId="3" borderId="0" xfId="0" applyFont="1" applyFill="1"/>
    <xf numFmtId="0" fontId="9" fillId="0" borderId="1" xfId="0" applyFont="1" applyBorder="1" applyAlignment="1">
      <alignment wrapText="1"/>
    </xf>
    <xf numFmtId="0" fontId="9" fillId="0" borderId="1" xfId="0" applyFont="1" applyBorder="1" applyAlignment="1">
      <alignment horizontal="right" wrapText="1"/>
    </xf>
    <xf numFmtId="0" fontId="0" fillId="0" borderId="21" xfId="0" applyBorder="1"/>
    <xf numFmtId="0" fontId="9" fillId="3" borderId="21" xfId="0" applyFont="1" applyFill="1" applyBorder="1" applyAlignment="1">
      <alignment wrapText="1"/>
    </xf>
    <xf numFmtId="0" fontId="9" fillId="2" borderId="1" xfId="0" applyFont="1" applyFill="1" applyBorder="1" applyAlignment="1">
      <alignment horizontal="left"/>
    </xf>
    <xf numFmtId="0" fontId="34" fillId="3" borderId="1" xfId="0" applyFont="1" applyFill="1" applyBorder="1" applyAlignment="1">
      <alignment horizontal="left" vertical="center"/>
    </xf>
    <xf numFmtId="0" fontId="34" fillId="0" borderId="1" xfId="0" applyFont="1" applyBorder="1" applyAlignment="1">
      <alignment horizontal="left" vertical="center"/>
    </xf>
    <xf numFmtId="0" fontId="9" fillId="3" borderId="1" xfId="0" applyFont="1" applyFill="1" applyBorder="1" applyAlignment="1">
      <alignment horizontal="left"/>
    </xf>
    <xf numFmtId="0" fontId="70" fillId="0" borderId="1" xfId="0" applyFont="1" applyBorder="1" applyAlignment="1">
      <alignment wrapText="1"/>
    </xf>
    <xf numFmtId="0" fontId="71" fillId="3" borderId="1" xfId="0" applyFont="1" applyFill="1" applyBorder="1" applyAlignment="1">
      <alignment wrapText="1"/>
    </xf>
    <xf numFmtId="0" fontId="9" fillId="0" borderId="1" xfId="0" applyFont="1" applyFill="1" applyBorder="1" applyAlignment="1">
      <alignment wrapText="1"/>
    </xf>
    <xf numFmtId="0" fontId="33" fillId="24" borderId="3" xfId="15" applyFont="1" applyBorder="1" applyAlignment="1" applyProtection="1">
      <alignment horizontal="center" vertical="center"/>
      <protection locked="0"/>
    </xf>
    <xf numFmtId="0" fontId="33" fillId="24" borderId="1" xfId="15" applyFont="1" applyBorder="1" applyAlignment="1" applyProtection="1">
      <alignment horizontal="center" vertical="center"/>
    </xf>
    <xf numFmtId="0" fontId="33" fillId="24" borderId="1" xfId="15" applyFont="1" applyBorder="1" applyAlignment="1" applyProtection="1">
      <alignment horizontal="center" vertical="center"/>
      <protection locked="0"/>
    </xf>
    <xf numFmtId="0" fontId="49" fillId="11" borderId="3" xfId="2" applyFont="1" applyBorder="1" applyAlignment="1" applyProtection="1">
      <alignment horizontal="center"/>
      <protection locked="0"/>
    </xf>
    <xf numFmtId="0" fontId="49" fillId="11" borderId="1" xfId="2" applyFont="1" applyBorder="1" applyAlignment="1" applyProtection="1">
      <alignment horizontal="center"/>
      <protection locked="0"/>
    </xf>
    <xf numFmtId="0" fontId="68" fillId="3" borderId="1" xfId="0" applyFont="1" applyFill="1" applyBorder="1" applyAlignment="1">
      <alignment wrapText="1"/>
    </xf>
    <xf numFmtId="0" fontId="13" fillId="0" borderId="1" xfId="0" applyFont="1" applyFill="1" applyBorder="1"/>
    <xf numFmtId="0" fontId="0" fillId="0" borderId="1" xfId="0" applyBorder="1" applyAlignment="1">
      <alignment horizontal="left"/>
    </xf>
    <xf numFmtId="0" fontId="70" fillId="0" borderId="1" xfId="0" applyFont="1" applyFill="1" applyBorder="1" applyAlignment="1">
      <alignment vertical="center" wrapText="1"/>
    </xf>
    <xf numFmtId="0" fontId="70" fillId="0" borderId="1" xfId="0" applyFont="1" applyBorder="1" applyAlignment="1">
      <alignment vertical="center" wrapText="1"/>
    </xf>
    <xf numFmtId="0" fontId="68" fillId="0" borderId="1" xfId="0" applyFont="1" applyBorder="1" applyAlignment="1">
      <alignment vertical="center" wrapText="1"/>
    </xf>
    <xf numFmtId="0" fontId="14" fillId="2" borderId="1" xfId="0" applyFont="1" applyFill="1" applyBorder="1" applyAlignment="1">
      <alignment horizontal="left" wrapText="1"/>
    </xf>
    <xf numFmtId="0" fontId="13" fillId="0" borderId="1" xfId="0" applyFont="1" applyBorder="1"/>
    <xf numFmtId="0" fontId="9" fillId="4" borderId="1" xfId="0" applyFont="1" applyFill="1" applyBorder="1" applyAlignment="1">
      <alignment wrapText="1"/>
    </xf>
    <xf numFmtId="0" fontId="9" fillId="2" borderId="1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wrapText="1"/>
    </xf>
    <xf numFmtId="0" fontId="0" fillId="0" borderId="1" xfId="0" applyFill="1" applyBorder="1" applyAlignment="1">
      <alignment horizontal="left"/>
    </xf>
    <xf numFmtId="0" fontId="68" fillId="0" borderId="1" xfId="0" applyFont="1" applyFill="1" applyBorder="1" applyAlignment="1">
      <alignment vertical="center" wrapText="1"/>
    </xf>
    <xf numFmtId="0" fontId="22" fillId="2" borderId="1" xfId="0" applyFont="1" applyFill="1" applyBorder="1" applyAlignment="1">
      <alignment wrapText="1"/>
    </xf>
    <xf numFmtId="0" fontId="9" fillId="0" borderId="1" xfId="0" applyFont="1" applyBorder="1" applyAlignment="1">
      <alignment horizontal="left" wrapText="1"/>
    </xf>
    <xf numFmtId="0" fontId="33" fillId="24" borderId="1" xfId="15" applyFont="1" applyBorder="1" applyAlignment="1" applyProtection="1">
      <alignment horizontal="center" vertical="center"/>
      <protection locked="0"/>
    </xf>
    <xf numFmtId="0" fontId="49" fillId="11" borderId="1" xfId="2" applyFont="1" applyBorder="1" applyAlignment="1" applyProtection="1">
      <alignment horizontal="center"/>
      <protection locked="0"/>
    </xf>
    <xf numFmtId="0" fontId="49" fillId="0" borderId="0" xfId="2" applyFont="1" applyFill="1" applyBorder="1" applyAlignment="1" applyProtection="1">
      <protection locked="0"/>
    </xf>
    <xf numFmtId="0" fontId="49" fillId="11" borderId="1" xfId="2" applyFont="1" applyBorder="1" applyAlignment="1" applyProtection="1">
      <protection locked="0"/>
    </xf>
    <xf numFmtId="0" fontId="9" fillId="3" borderId="1" xfId="0" applyFont="1" applyFill="1" applyBorder="1" applyAlignment="1">
      <alignment wrapText="1"/>
    </xf>
    <xf numFmtId="0" fontId="22" fillId="2" borderId="0" xfId="0" applyFont="1" applyFill="1" applyBorder="1" applyAlignment="1">
      <alignment horizontal="left" wrapText="1"/>
    </xf>
    <xf numFmtId="14" fontId="86" fillId="2" borderId="0" xfId="0" applyNumberFormat="1" applyFont="1" applyFill="1" applyBorder="1" applyAlignment="1">
      <alignment wrapText="1"/>
    </xf>
    <xf numFmtId="14" fontId="22" fillId="0" borderId="0" xfId="0" applyNumberFormat="1" applyFont="1" applyBorder="1" applyAlignment="1">
      <alignment wrapText="1"/>
    </xf>
    <xf numFmtId="0" fontId="29" fillId="0" borderId="1" xfId="0" applyFont="1" applyBorder="1" applyAlignment="1">
      <alignment horizontal="left"/>
    </xf>
    <xf numFmtId="0" fontId="29" fillId="0" borderId="1" xfId="0" applyFont="1" applyBorder="1" applyAlignment="1">
      <alignment horizontal="center"/>
    </xf>
    <xf numFmtId="0" fontId="85" fillId="0" borderId="1" xfId="0" applyFont="1" applyFill="1" applyBorder="1" applyAlignment="1">
      <alignment vertical="center" wrapText="1"/>
    </xf>
    <xf numFmtId="0" fontId="85" fillId="0" borderId="1" xfId="0" applyFont="1" applyBorder="1" applyAlignment="1">
      <alignment vertical="center" wrapText="1"/>
    </xf>
    <xf numFmtId="0" fontId="8" fillId="0" borderId="0" xfId="0" applyFont="1" applyAlignment="1">
      <alignment vertical="top"/>
    </xf>
    <xf numFmtId="0" fontId="8" fillId="0" borderId="21" xfId="0" applyFont="1" applyBorder="1"/>
    <xf numFmtId="0" fontId="22" fillId="0" borderId="21" xfId="0" applyFont="1" applyBorder="1" applyAlignment="1">
      <alignment horizontal="right" wrapText="1"/>
    </xf>
    <xf numFmtId="0" fontId="22" fillId="0" borderId="21" xfId="0" applyFont="1" applyBorder="1" applyAlignment="1">
      <alignment wrapText="1"/>
    </xf>
    <xf numFmtId="14" fontId="86" fillId="2" borderId="21" xfId="0" applyNumberFormat="1" applyFont="1" applyFill="1" applyBorder="1" applyAlignment="1">
      <alignment wrapText="1"/>
    </xf>
    <xf numFmtId="0" fontId="22" fillId="0" borderId="21" xfId="0" applyFont="1" applyBorder="1" applyAlignment="1">
      <alignment horizontal="right" vertical="top" wrapText="1"/>
    </xf>
    <xf numFmtId="0" fontId="22" fillId="0" borderId="21" xfId="0" applyFont="1" applyBorder="1" applyAlignment="1">
      <alignment vertical="top" wrapText="1"/>
    </xf>
    <xf numFmtId="0" fontId="22" fillId="0" borderId="0" xfId="0" applyFont="1" applyBorder="1" applyAlignment="1">
      <alignment wrapText="1"/>
    </xf>
    <xf numFmtId="0" fontId="22" fillId="0" borderId="0" xfId="0" applyFont="1" applyBorder="1" applyAlignment="1">
      <alignment horizontal="right" wrapText="1"/>
    </xf>
    <xf numFmtId="0" fontId="22" fillId="0" borderId="1" xfId="0" applyFont="1" applyBorder="1" applyAlignment="1">
      <alignment wrapText="1"/>
    </xf>
    <xf numFmtId="0" fontId="22" fillId="0" borderId="1" xfId="0" applyFont="1" applyBorder="1" applyAlignment="1">
      <alignment horizontal="right" wrapText="1"/>
    </xf>
    <xf numFmtId="0" fontId="22" fillId="0" borderId="0" xfId="0" applyFont="1" applyBorder="1" applyAlignment="1">
      <alignment vertical="top" wrapText="1"/>
    </xf>
    <xf numFmtId="0" fontId="22" fillId="0" borderId="0" xfId="0" applyFont="1" applyBorder="1" applyAlignment="1">
      <alignment horizontal="right" vertical="top" wrapText="1"/>
    </xf>
    <xf numFmtId="0" fontId="22" fillId="0" borderId="21" xfId="0" applyFont="1" applyFill="1" applyBorder="1" applyAlignment="1">
      <alignment wrapText="1"/>
    </xf>
    <xf numFmtId="0" fontId="22" fillId="2" borderId="21" xfId="0" applyFont="1" applyFill="1" applyBorder="1" applyAlignment="1">
      <alignment wrapText="1"/>
    </xf>
    <xf numFmtId="0" fontId="8" fillId="0" borderId="21" xfId="0" applyFont="1" applyBorder="1" applyAlignment="1">
      <alignment horizontal="left"/>
    </xf>
    <xf numFmtId="0" fontId="22" fillId="0" borderId="21" xfId="0" applyFont="1" applyBorder="1" applyAlignment="1">
      <alignment horizontal="left" wrapText="1"/>
    </xf>
    <xf numFmtId="14" fontId="22" fillId="0" borderId="21" xfId="0" applyNumberFormat="1" applyFont="1" applyBorder="1" applyAlignment="1">
      <alignment horizontal="right" wrapText="1"/>
    </xf>
    <xf numFmtId="14" fontId="22" fillId="0" borderId="0" xfId="0" applyNumberFormat="1" applyFont="1" applyBorder="1" applyAlignment="1">
      <alignment horizontal="right" wrapText="1"/>
    </xf>
    <xf numFmtId="0" fontId="22" fillId="0" borderId="1" xfId="0" applyFont="1" applyFill="1" applyBorder="1" applyAlignment="1">
      <alignment wrapText="1"/>
    </xf>
    <xf numFmtId="0" fontId="22" fillId="0" borderId="0" xfId="0" applyFont="1" applyBorder="1" applyAlignment="1">
      <alignment horizontal="left" wrapText="1"/>
    </xf>
    <xf numFmtId="0" fontId="8" fillId="0" borderId="0" xfId="0" applyFont="1" applyBorder="1" applyAlignment="1"/>
    <xf numFmtId="0" fontId="33" fillId="24" borderId="1" xfId="15" applyFont="1" applyBorder="1" applyAlignment="1" applyProtection="1">
      <alignment horizontal="center" vertical="center"/>
      <protection locked="0"/>
    </xf>
    <xf numFmtId="14" fontId="22" fillId="0" borderId="21" xfId="0" applyNumberFormat="1" applyFont="1" applyBorder="1" applyAlignment="1">
      <alignment wrapText="1"/>
    </xf>
    <xf numFmtId="0" fontId="22" fillId="0" borderId="21" xfId="0" applyFont="1" applyFill="1" applyBorder="1" applyAlignment="1">
      <alignment vertical="top" wrapText="1"/>
    </xf>
    <xf numFmtId="0" fontId="22" fillId="2" borderId="21" xfId="0" applyFont="1" applyFill="1" applyBorder="1" applyAlignment="1">
      <alignment vertical="top" wrapText="1"/>
    </xf>
    <xf numFmtId="0" fontId="9" fillId="3" borderId="1" xfId="0" applyFont="1" applyFill="1" applyBorder="1" applyAlignment="1">
      <alignment horizontal="center" wrapText="1"/>
    </xf>
    <xf numFmtId="0" fontId="22" fillId="4" borderId="21" xfId="0" applyFont="1" applyFill="1" applyBorder="1" applyAlignment="1">
      <alignment horizontal="left" wrapText="1"/>
    </xf>
    <xf numFmtId="0" fontId="22" fillId="0" borderId="1" xfId="0" applyFont="1" applyBorder="1" applyAlignment="1">
      <alignment horizontal="left" wrapText="1"/>
    </xf>
    <xf numFmtId="0" fontId="70" fillId="0" borderId="21" xfId="0" applyFont="1" applyBorder="1" applyAlignment="1">
      <alignment vertical="center" wrapText="1"/>
    </xf>
    <xf numFmtId="0" fontId="73" fillId="0" borderId="1" xfId="0" applyFont="1" applyBorder="1" applyAlignment="1">
      <alignment horizontal="left"/>
    </xf>
    <xf numFmtId="0" fontId="75" fillId="0" borderId="1" xfId="0" applyFont="1" applyFill="1" applyBorder="1" applyAlignment="1">
      <alignment vertical="center" wrapText="1"/>
    </xf>
    <xf numFmtId="0" fontId="73" fillId="0" borderId="1" xfId="0" applyFont="1" applyBorder="1" applyAlignment="1"/>
    <xf numFmtId="0" fontId="73" fillId="0" borderId="1" xfId="0" applyFont="1" applyBorder="1" applyAlignment="1">
      <alignment horizontal="center"/>
    </xf>
    <xf numFmtId="14" fontId="73" fillId="0" borderId="1" xfId="0" applyNumberFormat="1" applyFont="1" applyBorder="1" applyAlignment="1">
      <alignment horizontal="left"/>
    </xf>
    <xf numFmtId="0" fontId="76" fillId="2" borderId="1" xfId="0" applyFont="1" applyFill="1" applyBorder="1" applyAlignment="1">
      <alignment wrapText="1"/>
    </xf>
    <xf numFmtId="0" fontId="9" fillId="3" borderId="1" xfId="0" applyFont="1" applyFill="1" applyBorder="1" applyAlignment="1">
      <alignment horizontal="right" wrapText="1"/>
    </xf>
    <xf numFmtId="0" fontId="49" fillId="11" borderId="1" xfId="2" applyFont="1" applyBorder="1" applyAlignment="1" applyProtection="1">
      <alignment horizontal="center"/>
      <protection locked="0"/>
    </xf>
    <xf numFmtId="0" fontId="33" fillId="24" borderId="1" xfId="15" applyFont="1" applyBorder="1" applyAlignment="1" applyProtection="1">
      <alignment horizontal="center" vertical="center"/>
      <protection locked="0"/>
    </xf>
    <xf numFmtId="0" fontId="0" fillId="0" borderId="23" xfId="0" applyBorder="1"/>
    <xf numFmtId="0" fontId="11" fillId="2" borderId="3" xfId="0" applyFont="1" applyFill="1" applyBorder="1" applyAlignment="1">
      <alignment wrapText="1"/>
    </xf>
    <xf numFmtId="0" fontId="22" fillId="0" borderId="28" xfId="0" applyFont="1" applyBorder="1" applyAlignment="1">
      <alignment wrapText="1"/>
    </xf>
    <xf numFmtId="0" fontId="22" fillId="0" borderId="28" xfId="0" applyFont="1" applyBorder="1" applyAlignment="1">
      <alignment vertical="top" wrapText="1"/>
    </xf>
    <xf numFmtId="0" fontId="22" fillId="0" borderId="6" xfId="0" applyFont="1" applyBorder="1" applyAlignment="1">
      <alignment wrapText="1"/>
    </xf>
    <xf numFmtId="0" fontId="0" fillId="0" borderId="28" xfId="0" applyBorder="1" applyAlignment="1"/>
    <xf numFmtId="0" fontId="14" fillId="2" borderId="23" xfId="0" applyFont="1" applyFill="1" applyBorder="1" applyAlignment="1">
      <alignment horizontal="left" wrapText="1"/>
    </xf>
    <xf numFmtId="0" fontId="22" fillId="0" borderId="0" xfId="0" applyFont="1" applyFill="1" applyBorder="1" applyAlignment="1">
      <alignment wrapText="1"/>
    </xf>
    <xf numFmtId="0" fontId="70" fillId="0" borderId="23" xfId="0" applyFont="1" applyBorder="1" applyAlignment="1">
      <alignment vertical="center" wrapText="1"/>
    </xf>
    <xf numFmtId="0" fontId="22" fillId="0" borderId="0" xfId="0" applyFont="1" applyFill="1" applyBorder="1" applyAlignment="1">
      <alignment vertical="top" wrapText="1"/>
    </xf>
    <xf numFmtId="0" fontId="70" fillId="0" borderId="1" xfId="0" applyFont="1" applyBorder="1" applyAlignment="1">
      <alignment horizontal="left" vertical="top"/>
    </xf>
    <xf numFmtId="0" fontId="70" fillId="0" borderId="21" xfId="0" applyFont="1" applyBorder="1" applyAlignment="1">
      <alignment horizontal="left" vertical="top"/>
    </xf>
    <xf numFmtId="0" fontId="8" fillId="0" borderId="28" xfId="0" applyFont="1" applyBorder="1" applyAlignment="1">
      <alignment horizontal="left"/>
    </xf>
    <xf numFmtId="0" fontId="71" fillId="0" borderId="6" xfId="0" applyFont="1" applyBorder="1" applyAlignment="1"/>
    <xf numFmtId="0" fontId="70" fillId="0" borderId="28" xfId="0" applyFont="1" applyBorder="1" applyAlignment="1">
      <alignment vertical="center" wrapText="1"/>
    </xf>
    <xf numFmtId="0" fontId="0" fillId="0" borderId="28" xfId="0" applyBorder="1" applyAlignment="1">
      <alignment vertical="center" wrapText="1"/>
    </xf>
    <xf numFmtId="14" fontId="86" fillId="2" borderId="21" xfId="0" applyNumberFormat="1" applyFont="1" applyFill="1" applyBorder="1" applyAlignment="1">
      <alignment vertical="top" wrapText="1"/>
    </xf>
    <xf numFmtId="14" fontId="22" fillId="0" borderId="0" xfId="0" applyNumberFormat="1" applyFont="1" applyBorder="1" applyAlignment="1">
      <alignment horizontal="right" vertical="top" wrapText="1"/>
    </xf>
    <xf numFmtId="0" fontId="22" fillId="0" borderId="24" xfId="0" applyFont="1" applyBorder="1" applyAlignment="1">
      <alignment horizontal="left" wrapText="1"/>
    </xf>
    <xf numFmtId="0" fontId="33" fillId="24" borderId="3" xfId="15" applyFont="1" applyBorder="1" applyAlignment="1" applyProtection="1">
      <alignment horizontal="center" vertical="center"/>
      <protection locked="0"/>
    </xf>
    <xf numFmtId="0" fontId="33" fillId="24" borderId="1" xfId="15" applyFont="1" applyBorder="1" applyAlignment="1" applyProtection="1">
      <alignment horizontal="center" vertical="center"/>
      <protection locked="0"/>
    </xf>
    <xf numFmtId="0" fontId="33" fillId="24" borderId="3" xfId="15" applyFont="1" applyBorder="1" applyAlignment="1" applyProtection="1">
      <alignment horizontal="center" vertical="center"/>
      <protection locked="0"/>
    </xf>
    <xf numFmtId="0" fontId="33" fillId="24" borderId="1" xfId="15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0" fontId="71" fillId="3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left" wrapText="1"/>
    </xf>
    <xf numFmtId="0" fontId="9" fillId="3" borderId="22" xfId="0" applyFont="1" applyFill="1" applyBorder="1" applyAlignment="1">
      <alignment wrapText="1"/>
    </xf>
    <xf numFmtId="0" fontId="0" fillId="0" borderId="0" xfId="0" applyFill="1" applyBorder="1"/>
    <xf numFmtId="0" fontId="33" fillId="17" borderId="1" xfId="8" applyFont="1" applyBorder="1" applyAlignment="1" applyProtection="1">
      <alignment horizontal="center"/>
    </xf>
    <xf numFmtId="0" fontId="51" fillId="45" borderId="1" xfId="5" applyFont="1" applyFill="1" applyBorder="1" applyAlignment="1" applyProtection="1">
      <alignment horizontal="right"/>
    </xf>
    <xf numFmtId="0" fontId="52" fillId="45" borderId="1" xfId="5" applyFont="1" applyFill="1" applyBorder="1" applyAlignment="1" applyProtection="1">
      <alignment horizontal="center"/>
    </xf>
    <xf numFmtId="0" fontId="0" fillId="0" borderId="1" xfId="0" applyBorder="1" applyAlignment="1"/>
    <xf numFmtId="0" fontId="71" fillId="3" borderId="1" xfId="0" applyFont="1" applyFill="1" applyBorder="1" applyAlignment="1">
      <alignment horizontal="right" wrapText="1"/>
    </xf>
    <xf numFmtId="0" fontId="70" fillId="0" borderId="1" xfId="0" applyFont="1" applyBorder="1" applyAlignment="1">
      <alignment horizontal="right" wrapText="1"/>
    </xf>
    <xf numFmtId="0" fontId="33" fillId="17" borderId="1" xfId="8" applyFont="1" applyBorder="1" applyAlignment="1" applyProtection="1">
      <alignment horizontal="center"/>
    </xf>
    <xf numFmtId="0" fontId="0" fillId="3" borderId="0" xfId="0" applyFill="1" applyAlignment="1">
      <alignment horizontal="right"/>
    </xf>
    <xf numFmtId="0" fontId="75" fillId="0" borderId="1" xfId="0" applyFont="1" applyBorder="1" applyAlignment="1">
      <alignment wrapText="1"/>
    </xf>
    <xf numFmtId="0" fontId="75" fillId="0" borderId="1" xfId="0" applyFont="1" applyBorder="1" applyAlignment="1">
      <alignment horizontal="right" wrapText="1"/>
    </xf>
    <xf numFmtId="0" fontId="76" fillId="0" borderId="1" xfId="0" applyFont="1" applyBorder="1" applyAlignment="1">
      <alignment wrapText="1"/>
    </xf>
    <xf numFmtId="14" fontId="73" fillId="0" borderId="1" xfId="0" applyNumberFormat="1" applyFont="1" applyBorder="1" applyAlignment="1"/>
    <xf numFmtId="0" fontId="75" fillId="0" borderId="1" xfId="0" applyFont="1" applyBorder="1" applyAlignment="1">
      <alignment horizontal="left" wrapText="1"/>
    </xf>
    <xf numFmtId="0" fontId="71" fillId="0" borderId="1" xfId="0" applyFont="1" applyFill="1" applyBorder="1" applyAlignment="1">
      <alignment vertical="center" wrapText="1"/>
    </xf>
    <xf numFmtId="0" fontId="71" fillId="0" borderId="1" xfId="0" applyFont="1" applyFill="1" applyBorder="1" applyAlignment="1">
      <alignment horizontal="left" vertical="center" wrapText="1"/>
    </xf>
    <xf numFmtId="1" fontId="0" fillId="0" borderId="1" xfId="0" applyNumberFormat="1" applyBorder="1" applyAlignment="1">
      <alignment horizontal="left"/>
    </xf>
    <xf numFmtId="14" fontId="9" fillId="0" borderId="1" xfId="0" applyNumberFormat="1" applyFont="1" applyBorder="1" applyAlignment="1">
      <alignment wrapText="1"/>
    </xf>
    <xf numFmtId="0" fontId="70" fillId="0" borderId="1" xfId="0" applyFont="1" applyBorder="1" applyAlignment="1">
      <alignment horizontal="left" wrapText="1"/>
    </xf>
    <xf numFmtId="0" fontId="9" fillId="3" borderId="1" xfId="0" applyFont="1" applyFill="1" applyBorder="1" applyAlignment="1">
      <alignment horizontal="left" wrapText="1"/>
    </xf>
    <xf numFmtId="0" fontId="83" fillId="0" borderId="1" xfId="0" applyFont="1" applyBorder="1" applyAlignment="1">
      <alignment wrapText="1"/>
    </xf>
    <xf numFmtId="0" fontId="80" fillId="0" borderId="1" xfId="0" applyFont="1" applyBorder="1" applyAlignment="1">
      <alignment horizontal="left"/>
    </xf>
    <xf numFmtId="0" fontId="83" fillId="0" borderId="1" xfId="0" applyFont="1" applyFill="1" applyBorder="1" applyAlignment="1">
      <alignment horizontal="left" wrapText="1"/>
    </xf>
    <xf numFmtId="0" fontId="80" fillId="0" borderId="1" xfId="0" applyFont="1" applyBorder="1" applyAlignment="1">
      <alignment horizontal="right"/>
    </xf>
    <xf numFmtId="0" fontId="83" fillId="0" borderId="1" xfId="0" applyFont="1" applyFill="1" applyBorder="1" applyAlignment="1">
      <alignment wrapText="1"/>
    </xf>
    <xf numFmtId="0" fontId="83" fillId="0" borderId="1" xfId="0" applyFont="1" applyBorder="1" applyAlignment="1">
      <alignment horizontal="left" wrapText="1"/>
    </xf>
    <xf numFmtId="0" fontId="80" fillId="0" borderId="1" xfId="0" applyFont="1" applyBorder="1" applyAlignment="1"/>
    <xf numFmtId="14" fontId="80" fillId="0" borderId="1" xfId="0" applyNumberFormat="1" applyFont="1" applyBorder="1" applyAlignment="1"/>
    <xf numFmtId="0" fontId="25" fillId="0" borderId="1" xfId="0" applyFont="1" applyBorder="1" applyAlignment="1">
      <alignment horizontal="center"/>
    </xf>
    <xf numFmtId="0" fontId="25" fillId="3" borderId="1" xfId="0" applyFont="1" applyFill="1" applyBorder="1" applyAlignment="1">
      <alignment horizontal="center"/>
    </xf>
    <xf numFmtId="0" fontId="0" fillId="3" borderId="2" xfId="0" applyFill="1" applyBorder="1"/>
    <xf numFmtId="14" fontId="0" fillId="3" borderId="2" xfId="0" applyNumberFormat="1" applyFill="1" applyBorder="1"/>
    <xf numFmtId="14" fontId="0" fillId="3" borderId="2" xfId="0" applyNumberFormat="1" applyFill="1" applyBorder="1" applyAlignment="1">
      <alignment horizontal="center"/>
    </xf>
    <xf numFmtId="0" fontId="88" fillId="3" borderId="1" xfId="0" applyFont="1" applyFill="1" applyBorder="1" applyAlignment="1">
      <alignment horizontal="center" wrapText="1"/>
    </xf>
    <xf numFmtId="0" fontId="13" fillId="0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center"/>
    </xf>
    <xf numFmtId="0" fontId="70" fillId="0" borderId="1" xfId="0" applyFont="1" applyBorder="1" applyAlignment="1">
      <alignment horizontal="center" vertical="center" wrapText="1"/>
    </xf>
    <xf numFmtId="0" fontId="0" fillId="3" borderId="1" xfId="0" applyFill="1" applyBorder="1" applyAlignment="1">
      <alignment horizontal="left"/>
    </xf>
    <xf numFmtId="0" fontId="70" fillId="3" borderId="1" xfId="0" applyFont="1" applyFill="1" applyBorder="1" applyAlignment="1">
      <alignment vertical="center" wrapText="1"/>
    </xf>
    <xf numFmtId="0" fontId="70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/>
    <xf numFmtId="14" fontId="70" fillId="3" borderId="1" xfId="0" applyNumberFormat="1" applyFont="1" applyFill="1" applyBorder="1" applyAlignment="1">
      <alignment horizontal="center" vertical="center" wrapText="1"/>
    </xf>
    <xf numFmtId="14" fontId="25" fillId="3" borderId="1" xfId="0" applyNumberFormat="1" applyFont="1" applyFill="1" applyBorder="1"/>
    <xf numFmtId="165" fontId="68" fillId="3" borderId="1" xfId="0" applyNumberFormat="1" applyFont="1" applyFill="1" applyBorder="1" applyAlignment="1">
      <alignment wrapText="1"/>
    </xf>
    <xf numFmtId="14" fontId="9" fillId="3" borderId="1" xfId="0" applyNumberFormat="1" applyFont="1" applyFill="1" applyBorder="1" applyAlignment="1">
      <alignment horizontal="center" wrapText="1"/>
    </xf>
    <xf numFmtId="14" fontId="9" fillId="3" borderId="1" xfId="0" applyNumberFormat="1" applyFont="1" applyFill="1" applyBorder="1" applyAlignment="1">
      <alignment wrapText="1"/>
    </xf>
    <xf numFmtId="0" fontId="26" fillId="3" borderId="1" xfId="0" applyFont="1" applyFill="1" applyBorder="1"/>
    <xf numFmtId="0" fontId="26" fillId="3" borderId="1" xfId="0" applyFont="1" applyFill="1" applyBorder="1" applyAlignment="1">
      <alignment horizontal="center"/>
    </xf>
    <xf numFmtId="0" fontId="25" fillId="3" borderId="1" xfId="0" applyFont="1" applyFill="1" applyBorder="1"/>
    <xf numFmtId="0" fontId="77" fillId="3" borderId="1" xfId="0" applyFont="1" applyFill="1" applyBorder="1" applyAlignment="1">
      <alignment horizontal="center" wrapText="1"/>
    </xf>
    <xf numFmtId="14" fontId="77" fillId="3" borderId="1" xfId="0" applyNumberFormat="1" applyFont="1" applyFill="1" applyBorder="1" applyAlignment="1">
      <alignment wrapText="1"/>
    </xf>
    <xf numFmtId="0" fontId="0" fillId="3" borderId="1" xfId="0" applyFont="1" applyFill="1" applyBorder="1"/>
    <xf numFmtId="14" fontId="0" fillId="3" borderId="1" xfId="0" applyNumberFormat="1" applyFont="1" applyFill="1" applyBorder="1"/>
    <xf numFmtId="14" fontId="9" fillId="3" borderId="1" xfId="0" applyNumberFormat="1" applyFont="1" applyFill="1" applyBorder="1" applyAlignment="1">
      <alignment horizontal="right" wrapText="1"/>
    </xf>
    <xf numFmtId="0" fontId="25" fillId="3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wrapText="1"/>
    </xf>
    <xf numFmtId="0" fontId="22" fillId="3" borderId="1" xfId="0" applyFont="1" applyFill="1" applyBorder="1" applyAlignment="1">
      <alignment horizontal="right" wrapText="1"/>
    </xf>
    <xf numFmtId="0" fontId="22" fillId="3" borderId="1" xfId="0" applyFont="1" applyFill="1" applyBorder="1" applyAlignment="1">
      <alignment horizontal="center" wrapText="1"/>
    </xf>
    <xf numFmtId="0" fontId="8" fillId="3" borderId="1" xfId="0" applyFont="1" applyFill="1" applyBorder="1"/>
    <xf numFmtId="14" fontId="22" fillId="3" borderId="1" xfId="0" applyNumberFormat="1" applyFont="1" applyFill="1" applyBorder="1" applyAlignment="1">
      <alignment horizontal="right" wrapText="1"/>
    </xf>
    <xf numFmtId="14" fontId="8" fillId="3" borderId="1" xfId="0" applyNumberFormat="1" applyFont="1" applyFill="1" applyBorder="1"/>
    <xf numFmtId="14" fontId="0" fillId="3" borderId="1" xfId="0" applyNumberFormat="1" applyFill="1" applyBorder="1" applyAlignment="1"/>
    <xf numFmtId="11" fontId="9" fillId="3" borderId="1" xfId="0" applyNumberFormat="1" applyFont="1" applyFill="1" applyBorder="1" applyAlignment="1">
      <alignment horizontal="left" wrapText="1"/>
    </xf>
    <xf numFmtId="0" fontId="26" fillId="3" borderId="1" xfId="0" applyFont="1" applyFill="1" applyBorder="1" applyAlignment="1">
      <alignment horizontal="right"/>
    </xf>
    <xf numFmtId="0" fontId="22" fillId="3" borderId="1" xfId="0" applyFont="1" applyFill="1" applyBorder="1" applyAlignment="1">
      <alignment horizontal="left" wrapText="1"/>
    </xf>
    <xf numFmtId="14" fontId="25" fillId="3" borderId="1" xfId="0" applyNumberFormat="1" applyFont="1" applyFill="1" applyBorder="1" applyAlignment="1"/>
    <xf numFmtId="14" fontId="0" fillId="3" borderId="1" xfId="0" applyNumberFormat="1" applyFill="1" applyBorder="1" applyAlignment="1">
      <alignment horizontal="right"/>
    </xf>
    <xf numFmtId="0" fontId="25" fillId="3" borderId="1" xfId="0" applyFont="1" applyFill="1" applyBorder="1" applyAlignment="1"/>
    <xf numFmtId="0" fontId="0" fillId="3" borderId="1" xfId="0" applyFill="1" applyBorder="1" applyAlignment="1"/>
    <xf numFmtId="0" fontId="71" fillId="0" borderId="1" xfId="0" applyFont="1" applyBorder="1" applyAlignment="1">
      <alignment vertical="center" wrapText="1"/>
    </xf>
    <xf numFmtId="0" fontId="71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left" wrapText="1"/>
    </xf>
    <xf numFmtId="14" fontId="9" fillId="3" borderId="21" xfId="0" applyNumberFormat="1" applyFont="1" applyFill="1" applyBorder="1" applyAlignment="1">
      <alignment horizontal="left" wrapText="1"/>
    </xf>
    <xf numFmtId="14" fontId="9" fillId="3" borderId="0" xfId="0" applyNumberFormat="1" applyFont="1" applyFill="1" applyBorder="1" applyAlignment="1">
      <alignment horizontal="right" wrapText="1"/>
    </xf>
    <xf numFmtId="0" fontId="0" fillId="3" borderId="8" xfId="0" applyFill="1" applyBorder="1" applyAlignment="1"/>
    <xf numFmtId="14" fontId="0" fillId="3" borderId="0" xfId="0" applyNumberFormat="1" applyFill="1" applyAlignment="1">
      <alignment horizontal="right"/>
    </xf>
    <xf numFmtId="0" fontId="6" fillId="22" borderId="3" xfId="13" applyFont="1" applyBorder="1" applyAlignment="1" applyProtection="1">
      <protection locked="0"/>
    </xf>
    <xf numFmtId="0" fontId="1" fillId="22" borderId="1" xfId="13" applyFont="1" applyBorder="1" applyAlignment="1" applyProtection="1">
      <protection locked="0"/>
    </xf>
    <xf numFmtId="0" fontId="97" fillId="22" borderId="1" xfId="13" applyFont="1" applyBorder="1" applyAlignment="1" applyProtection="1">
      <alignment vertical="center"/>
      <protection locked="0"/>
    </xf>
    <xf numFmtId="0" fontId="97" fillId="22" borderId="3" xfId="13" applyFont="1" applyBorder="1" applyAlignment="1" applyProtection="1">
      <protection locked="0"/>
    </xf>
    <xf numFmtId="0" fontId="2" fillId="22" borderId="3" xfId="13" applyFont="1" applyBorder="1" applyAlignment="1" applyProtection="1">
      <alignment vertical="center"/>
      <protection locked="0"/>
    </xf>
    <xf numFmtId="0" fontId="6" fillId="22" borderId="1" xfId="13" applyFont="1" applyBorder="1" applyAlignment="1" applyProtection="1">
      <alignment vertical="center"/>
      <protection locked="0"/>
    </xf>
    <xf numFmtId="0" fontId="6" fillId="22" borderId="1" xfId="13" applyFont="1" applyBorder="1" applyAlignment="1" applyProtection="1">
      <protection locked="0"/>
    </xf>
    <xf numFmtId="0" fontId="53" fillId="23" borderId="1" xfId="14" applyFont="1" applyBorder="1" applyAlignment="1" applyProtection="1">
      <alignment vertical="center"/>
    </xf>
    <xf numFmtId="0" fontId="4" fillId="25" borderId="1" xfId="16" applyFont="1" applyBorder="1" applyAlignment="1" applyProtection="1">
      <alignment horizontal="right"/>
      <protection locked="0"/>
    </xf>
    <xf numFmtId="0" fontId="0" fillId="0" borderId="0" xfId="0" applyAlignment="1">
      <alignment horizontal="center" vertical="center"/>
    </xf>
    <xf numFmtId="0" fontId="33" fillId="48" borderId="1" xfId="0" applyFont="1" applyFill="1" applyBorder="1" applyAlignment="1">
      <alignment horizontal="center" vertical="center"/>
    </xf>
    <xf numFmtId="0" fontId="4" fillId="25" borderId="1" xfId="16" applyFont="1" applyBorder="1" applyAlignment="1" applyProtection="1">
      <alignment horizontal="left"/>
      <protection locked="0"/>
    </xf>
    <xf numFmtId="0" fontId="4" fillId="25" borderId="1" xfId="16" applyFont="1" applyBorder="1" applyAlignment="1" applyProtection="1">
      <alignment horizontal="right" vertical="center"/>
      <protection locked="0"/>
    </xf>
    <xf numFmtId="0" fontId="53" fillId="23" borderId="1" xfId="14" applyFont="1" applyBorder="1" applyAlignment="1" applyProtection="1">
      <alignment horizontal="center" vertical="center"/>
    </xf>
    <xf numFmtId="14" fontId="103" fillId="0" borderId="0" xfId="0" applyNumberFormat="1" applyFont="1" applyAlignment="1">
      <alignment horizontal="left"/>
    </xf>
    <xf numFmtId="0" fontId="9" fillId="2" borderId="1" xfId="0" applyFont="1" applyFill="1" applyBorder="1" applyAlignment="1">
      <alignment vertical="top"/>
    </xf>
    <xf numFmtId="0" fontId="9" fillId="0" borderId="1" xfId="0" applyFont="1" applyBorder="1" applyAlignment="1">
      <alignment vertical="top"/>
    </xf>
    <xf numFmtId="0" fontId="0" fillId="0" borderId="0" xfId="0" applyAlignment="1">
      <alignment vertical="top"/>
    </xf>
    <xf numFmtId="0" fontId="9" fillId="3" borderId="1" xfId="0" applyFont="1" applyFill="1" applyBorder="1" applyAlignment="1">
      <alignment vertical="top"/>
    </xf>
    <xf numFmtId="0" fontId="20" fillId="0" borderId="1" xfId="0" applyFont="1" applyBorder="1" applyAlignment="1">
      <alignment vertical="top"/>
    </xf>
    <xf numFmtId="0" fontId="22" fillId="0" borderId="1" xfId="0" applyFont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Alignment="1">
      <alignment horizontal="left" vertical="top"/>
    </xf>
    <xf numFmtId="0" fontId="25" fillId="6" borderId="0" xfId="0" applyFont="1" applyFill="1" applyAlignment="1">
      <alignment vertical="top"/>
    </xf>
    <xf numFmtId="0" fontId="8" fillId="7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7" borderId="0" xfId="0" applyFill="1" applyAlignment="1">
      <alignment vertical="top"/>
    </xf>
    <xf numFmtId="14" fontId="0" fillId="0" borderId="0" xfId="0" applyNumberFormat="1" applyAlignment="1">
      <alignment vertical="top"/>
    </xf>
    <xf numFmtId="0" fontId="8" fillId="6" borderId="0" xfId="0" applyFont="1" applyFill="1" applyAlignment="1">
      <alignment vertical="top"/>
    </xf>
    <xf numFmtId="0" fontId="27" fillId="0" borderId="0" xfId="0" applyFont="1" applyAlignment="1">
      <alignment vertical="top"/>
    </xf>
    <xf numFmtId="0" fontId="8" fillId="3" borderId="0" xfId="0" applyFont="1" applyFill="1" applyAlignment="1">
      <alignment vertical="top"/>
    </xf>
    <xf numFmtId="0" fontId="0" fillId="8" borderId="0" xfId="0" applyFill="1" applyAlignment="1">
      <alignment vertical="top"/>
    </xf>
    <xf numFmtId="0" fontId="0" fillId="9" borderId="0" xfId="0" applyFill="1" applyAlignment="1">
      <alignment vertical="top"/>
    </xf>
    <xf numFmtId="0" fontId="29" fillId="0" borderId="0" xfId="0" applyFont="1" applyAlignment="1">
      <alignment vertical="top"/>
    </xf>
    <xf numFmtId="0" fontId="29" fillId="0" borderId="0" xfId="0" applyFont="1" applyAlignment="1">
      <alignment horizontal="left" vertical="top"/>
    </xf>
    <xf numFmtId="0" fontId="0" fillId="10" borderId="0" xfId="0" applyFill="1" applyAlignment="1">
      <alignment vertical="top"/>
    </xf>
    <xf numFmtId="0" fontId="70" fillId="0" borderId="0" xfId="0" applyFont="1" applyBorder="1" applyAlignment="1">
      <alignment vertical="top" wrapText="1"/>
    </xf>
    <xf numFmtId="0" fontId="0" fillId="0" borderId="0" xfId="0" applyBorder="1" applyAlignment="1">
      <alignment vertical="top" wrapText="1"/>
    </xf>
    <xf numFmtId="22" fontId="70" fillId="0" borderId="0" xfId="0" applyNumberFormat="1" applyFont="1" applyBorder="1" applyAlignment="1">
      <alignment vertical="top" wrapText="1"/>
    </xf>
    <xf numFmtId="0" fontId="73" fillId="0" borderId="0" xfId="0" applyFont="1" applyAlignment="1">
      <alignment vertical="top"/>
    </xf>
    <xf numFmtId="0" fontId="75" fillId="0" borderId="0" xfId="0" applyFont="1" applyBorder="1" applyAlignment="1">
      <alignment vertical="top" wrapText="1"/>
    </xf>
    <xf numFmtId="0" fontId="73" fillId="0" borderId="0" xfId="0" applyFont="1" applyBorder="1" applyAlignment="1">
      <alignment vertical="top" wrapText="1"/>
    </xf>
    <xf numFmtId="22" fontId="75" fillId="0" borderId="0" xfId="0" applyNumberFormat="1" applyFont="1" applyBorder="1" applyAlignment="1">
      <alignment vertical="top" wrapText="1"/>
    </xf>
    <xf numFmtId="0" fontId="14" fillId="2" borderId="0" xfId="0" applyFont="1" applyFill="1" applyAlignment="1">
      <alignment vertical="top" wrapText="1"/>
    </xf>
    <xf numFmtId="0" fontId="72" fillId="2" borderId="0" xfId="0" applyFont="1" applyFill="1" applyAlignment="1">
      <alignment vertical="top" wrapText="1"/>
    </xf>
    <xf numFmtId="0" fontId="68" fillId="0" borderId="0" xfId="0" applyFont="1" applyBorder="1" applyAlignment="1">
      <alignment vertical="top" wrapText="1"/>
    </xf>
    <xf numFmtId="22" fontId="68" fillId="0" borderId="0" xfId="0" applyNumberFormat="1" applyFont="1" applyBorder="1" applyAlignment="1">
      <alignment vertical="top" wrapText="1"/>
    </xf>
    <xf numFmtId="0" fontId="91" fillId="0" borderId="0" xfId="0" applyFont="1" applyAlignment="1">
      <alignment vertical="top"/>
    </xf>
    <xf numFmtId="0" fontId="93" fillId="0" borderId="0" xfId="0" applyFont="1" applyBorder="1" applyAlignment="1">
      <alignment vertical="top" wrapText="1"/>
    </xf>
    <xf numFmtId="0" fontId="0" fillId="3" borderId="0" xfId="0" applyFill="1" applyBorder="1" applyAlignment="1">
      <alignment vertical="top"/>
    </xf>
    <xf numFmtId="0" fontId="68" fillId="3" borderId="0" xfId="0" applyFont="1" applyFill="1" applyBorder="1" applyAlignment="1">
      <alignment vertical="top" wrapText="1"/>
    </xf>
    <xf numFmtId="0" fontId="73" fillId="3" borderId="0" xfId="0" applyFont="1" applyFill="1" applyAlignment="1">
      <alignment vertical="top"/>
    </xf>
    <xf numFmtId="0" fontId="80" fillId="0" borderId="0" xfId="0" applyFont="1" applyAlignment="1">
      <alignment vertical="top"/>
    </xf>
    <xf numFmtId="0" fontId="29" fillId="3" borderId="0" xfId="0" applyFont="1" applyFill="1" applyAlignment="1">
      <alignment vertical="top"/>
    </xf>
    <xf numFmtId="165" fontId="68" fillId="3" borderId="0" xfId="0" applyNumberFormat="1" applyFont="1" applyFill="1" applyBorder="1" applyAlignment="1">
      <alignment vertical="top" wrapText="1"/>
    </xf>
    <xf numFmtId="165" fontId="68" fillId="0" borderId="0" xfId="0" applyNumberFormat="1" applyFont="1" applyBorder="1" applyAlignment="1">
      <alignment vertical="top" wrapText="1"/>
    </xf>
    <xf numFmtId="0" fontId="0" fillId="0" borderId="0" xfId="0" applyBorder="1" applyAlignment="1">
      <alignment vertical="top"/>
    </xf>
    <xf numFmtId="0" fontId="0" fillId="0" borderId="0" xfId="0" applyFill="1" applyAlignment="1">
      <alignment vertical="top"/>
    </xf>
    <xf numFmtId="0" fontId="9" fillId="2" borderId="2" xfId="0" applyFont="1" applyFill="1" applyBorder="1" applyAlignment="1">
      <alignment horizontal="center" vertical="top"/>
    </xf>
    <xf numFmtId="0" fontId="9" fillId="2" borderId="2" xfId="0" applyFont="1" applyFill="1" applyBorder="1" applyAlignment="1">
      <alignment vertical="top"/>
    </xf>
    <xf numFmtId="0" fontId="9" fillId="0" borderId="2" xfId="0" applyFont="1" applyBorder="1" applyAlignment="1">
      <alignment vertical="top"/>
    </xf>
    <xf numFmtId="0" fontId="20" fillId="0" borderId="2" xfId="0" applyFont="1" applyBorder="1" applyAlignment="1">
      <alignment vertical="top"/>
    </xf>
    <xf numFmtId="0" fontId="22" fillId="0" borderId="2" xfId="0" applyFont="1" applyBorder="1" applyAlignment="1">
      <alignment vertical="top"/>
    </xf>
    <xf numFmtId="0" fontId="9" fillId="3" borderId="2" xfId="0" applyFont="1" applyFill="1" applyBorder="1" applyAlignment="1">
      <alignment vertical="top"/>
    </xf>
    <xf numFmtId="0" fontId="24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0" fontId="24" fillId="2" borderId="1" xfId="0" applyFont="1" applyFill="1" applyBorder="1" applyAlignment="1">
      <alignment horizontal="right" vertical="center"/>
    </xf>
    <xf numFmtId="0" fontId="1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vertical="center"/>
    </xf>
    <xf numFmtId="14" fontId="14" fillId="2" borderId="1" xfId="0" applyNumberFormat="1" applyFont="1" applyFill="1" applyBorder="1" applyAlignment="1">
      <alignment vertical="center"/>
    </xf>
    <xf numFmtId="14" fontId="14" fillId="2" borderId="1" xfId="0" applyNumberFormat="1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9" fillId="0" borderId="1" xfId="0" applyFont="1" applyBorder="1" applyAlignment="1">
      <alignment horizontal="left" vertical="center"/>
    </xf>
    <xf numFmtId="0" fontId="7" fillId="2" borderId="1" xfId="0" applyFont="1" applyFill="1" applyBorder="1" applyAlignment="1">
      <alignment vertical="center"/>
    </xf>
    <xf numFmtId="14" fontId="9" fillId="2" borderId="1" xfId="0" applyNumberFormat="1" applyFont="1" applyFill="1" applyBorder="1" applyAlignment="1">
      <alignment vertical="center"/>
    </xf>
    <xf numFmtId="0" fontId="15" fillId="2" borderId="1" xfId="0" applyFont="1" applyFill="1" applyBorder="1" applyAlignment="1">
      <alignment vertical="center"/>
    </xf>
    <xf numFmtId="0" fontId="15" fillId="2" borderId="1" xfId="0" applyFont="1" applyFill="1" applyBorder="1" applyAlignment="1">
      <alignment horizontal="left" vertical="center"/>
    </xf>
    <xf numFmtId="0" fontId="15" fillId="4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left" vertical="center"/>
    </xf>
    <xf numFmtId="0" fontId="17" fillId="3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Border="1" applyAlignment="1">
      <alignment horizontal="left" vertical="center"/>
    </xf>
    <xf numFmtId="14" fontId="9" fillId="2" borderId="1" xfId="0" applyNumberFormat="1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left" vertical="center"/>
    </xf>
    <xf numFmtId="0" fontId="19" fillId="5" borderId="1" xfId="0" applyFont="1" applyFill="1" applyBorder="1" applyAlignment="1">
      <alignment vertical="center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14" fontId="9" fillId="0" borderId="1" xfId="0" applyNumberFormat="1" applyFont="1" applyBorder="1" applyAlignment="1">
      <alignment horizontal="center" vertical="center"/>
    </xf>
    <xf numFmtId="14" fontId="9" fillId="0" borderId="1" xfId="0" applyNumberFormat="1" applyFont="1" applyBorder="1" applyAlignment="1">
      <alignment vertical="center"/>
    </xf>
    <xf numFmtId="0" fontId="20" fillId="2" borderId="1" xfId="0" applyFont="1" applyFill="1" applyBorder="1" applyAlignment="1">
      <alignment vertical="center"/>
    </xf>
    <xf numFmtId="0" fontId="20" fillId="0" borderId="1" xfId="0" applyFont="1" applyBorder="1" applyAlignment="1">
      <alignment vertical="center"/>
    </xf>
    <xf numFmtId="0" fontId="2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left" vertical="center"/>
    </xf>
    <xf numFmtId="0" fontId="20" fillId="2" borderId="1" xfId="0" applyFont="1" applyFill="1" applyBorder="1" applyAlignment="1">
      <alignment horizontal="left" vertical="center"/>
    </xf>
    <xf numFmtId="0" fontId="20" fillId="0" borderId="1" xfId="0" applyFont="1" applyFill="1" applyBorder="1" applyAlignment="1">
      <alignment vertical="center"/>
    </xf>
    <xf numFmtId="0" fontId="22" fillId="2" borderId="1" xfId="0" applyFont="1" applyFill="1" applyBorder="1" applyAlignment="1">
      <alignment vertical="center"/>
    </xf>
    <xf numFmtId="0" fontId="22" fillId="0" borderId="1" xfId="0" applyFont="1" applyBorder="1" applyAlignment="1">
      <alignment vertical="center"/>
    </xf>
    <xf numFmtId="0" fontId="22" fillId="0" borderId="1" xfId="0" applyFont="1" applyBorder="1" applyAlignment="1">
      <alignment horizontal="left" vertical="center"/>
    </xf>
    <xf numFmtId="0" fontId="23" fillId="0" borderId="1" xfId="0" applyFont="1" applyBorder="1" applyAlignment="1">
      <alignment horizontal="left" vertical="center"/>
    </xf>
    <xf numFmtId="0" fontId="22" fillId="2" borderId="1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vertical="center"/>
    </xf>
    <xf numFmtId="0" fontId="24" fillId="3" borderId="1" xfId="0" applyFont="1" applyFill="1" applyBorder="1" applyAlignment="1">
      <alignment horizontal="right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left" vertical="center"/>
    </xf>
    <xf numFmtId="0" fontId="24" fillId="6" borderId="1" xfId="0" applyFont="1" applyFill="1" applyBorder="1" applyAlignment="1">
      <alignment horizontal="right" vertical="center"/>
    </xf>
    <xf numFmtId="0" fontId="24" fillId="6" borderId="1" xfId="0" applyFont="1" applyFill="1" applyBorder="1" applyAlignment="1">
      <alignment vertical="center"/>
    </xf>
    <xf numFmtId="0" fontId="24" fillId="6" borderId="1" xfId="0" applyFont="1" applyFill="1" applyBorder="1" applyAlignment="1">
      <alignment horizontal="left" vertical="center"/>
    </xf>
    <xf numFmtId="0" fontId="25" fillId="6" borderId="1" xfId="0" applyFont="1" applyFill="1" applyBorder="1" applyAlignment="1">
      <alignment vertical="center"/>
    </xf>
    <xf numFmtId="0" fontId="26" fillId="6" borderId="1" xfId="0" applyFont="1" applyFill="1" applyBorder="1" applyAlignment="1">
      <alignment horizontal="left" vertical="center"/>
    </xf>
    <xf numFmtId="0" fontId="25" fillId="6" borderId="1" xfId="0" applyFont="1" applyFill="1" applyBorder="1" applyAlignment="1">
      <alignment horizontal="left" vertical="center"/>
    </xf>
    <xf numFmtId="14" fontId="25" fillId="6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13" fillId="0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2" fillId="0" borderId="1" xfId="0" applyFont="1" applyFill="1" applyBorder="1" applyAlignment="1">
      <alignment horizontal="left" vertical="center"/>
    </xf>
    <xf numFmtId="0" fontId="8" fillId="0" borderId="1" xfId="0" applyFont="1" applyBorder="1" applyAlignment="1">
      <alignment vertical="center"/>
    </xf>
    <xf numFmtId="0" fontId="23" fillId="0" borderId="1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24" fillId="7" borderId="1" xfId="0" applyFont="1" applyFill="1" applyBorder="1" applyAlignment="1">
      <alignment horizontal="right" vertical="center"/>
    </xf>
    <xf numFmtId="0" fontId="22" fillId="7" borderId="1" xfId="0" applyFont="1" applyFill="1" applyBorder="1" applyAlignment="1">
      <alignment vertical="center"/>
    </xf>
    <xf numFmtId="0" fontId="22" fillId="7" borderId="1" xfId="0" applyFont="1" applyFill="1" applyBorder="1" applyAlignment="1">
      <alignment horizontal="left" vertical="center"/>
    </xf>
    <xf numFmtId="0" fontId="8" fillId="7" borderId="1" xfId="0" applyFont="1" applyFill="1" applyBorder="1" applyAlignment="1">
      <alignment vertical="center"/>
    </xf>
    <xf numFmtId="0" fontId="23" fillId="7" borderId="1" xfId="0" applyFont="1" applyFill="1" applyBorder="1" applyAlignment="1">
      <alignment horizontal="left" vertical="center"/>
    </xf>
    <xf numFmtId="0" fontId="8" fillId="7" borderId="1" xfId="0" applyFont="1" applyFill="1" applyBorder="1" applyAlignment="1">
      <alignment horizontal="left" vertical="center"/>
    </xf>
    <xf numFmtId="0" fontId="22" fillId="3" borderId="1" xfId="0" applyFont="1" applyFill="1" applyBorder="1" applyAlignment="1">
      <alignment vertical="center"/>
    </xf>
    <xf numFmtId="0" fontId="9" fillId="6" borderId="1" xfId="0" applyFont="1" applyFill="1" applyBorder="1" applyAlignment="1">
      <alignment vertical="center"/>
    </xf>
    <xf numFmtId="0" fontId="9" fillId="6" borderId="1" xfId="0" applyFont="1" applyFill="1" applyBorder="1" applyAlignment="1">
      <alignment horizontal="left" vertical="center"/>
    </xf>
    <xf numFmtId="0" fontId="0" fillId="6" borderId="1" xfId="0" applyFill="1" applyBorder="1" applyAlignment="1">
      <alignment vertical="center"/>
    </xf>
    <xf numFmtId="0" fontId="13" fillId="6" borderId="1" xfId="0" applyFon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9" fillId="7" borderId="1" xfId="0" applyFont="1" applyFill="1" applyBorder="1" applyAlignment="1">
      <alignment vertical="center"/>
    </xf>
    <xf numFmtId="0" fontId="9" fillId="7" borderId="1" xfId="0" applyFont="1" applyFill="1" applyBorder="1" applyAlignment="1">
      <alignment horizontal="left" vertical="center"/>
    </xf>
    <xf numFmtId="0" fontId="0" fillId="7" borderId="1" xfId="0" applyFill="1" applyBorder="1" applyAlignment="1">
      <alignment vertical="center"/>
    </xf>
    <xf numFmtId="0" fontId="13" fillId="7" borderId="1" xfId="0" applyFon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7" borderId="1" xfId="0" applyNumberFormat="1" applyFill="1" applyBorder="1" applyAlignment="1">
      <alignment vertical="center"/>
    </xf>
    <xf numFmtId="14" fontId="8" fillId="7" borderId="1" xfId="0" applyNumberFormat="1" applyFont="1" applyFill="1" applyBorder="1" applyAlignment="1">
      <alignment vertical="center"/>
    </xf>
    <xf numFmtId="0" fontId="22" fillId="6" borderId="1" xfId="0" applyFont="1" applyFill="1" applyBorder="1" applyAlignment="1">
      <alignment vertical="center"/>
    </xf>
    <xf numFmtId="14" fontId="0" fillId="0" borderId="1" xfId="0" applyNumberFormat="1" applyBorder="1" applyAlignment="1">
      <alignment vertical="center"/>
    </xf>
    <xf numFmtId="0" fontId="22" fillId="6" borderId="1" xfId="0" applyFont="1" applyFill="1" applyBorder="1" applyAlignment="1">
      <alignment horizontal="left" vertical="center"/>
    </xf>
    <xf numFmtId="0" fontId="8" fillId="6" borderId="1" xfId="0" applyFont="1" applyFill="1" applyBorder="1" applyAlignment="1">
      <alignment vertical="center"/>
    </xf>
    <xf numFmtId="0" fontId="23" fillId="6" borderId="1" xfId="0" applyFont="1" applyFill="1" applyBorder="1" applyAlignment="1">
      <alignment horizontal="left" vertical="center"/>
    </xf>
    <xf numFmtId="0" fontId="8" fillId="6" borderId="1" xfId="0" applyFont="1" applyFill="1" applyBorder="1" applyAlignment="1">
      <alignment horizontal="left" vertical="center"/>
    </xf>
    <xf numFmtId="14" fontId="8" fillId="6" borderId="1" xfId="0" applyNumberFormat="1" applyFont="1" applyFill="1" applyBorder="1" applyAlignment="1">
      <alignment vertical="center"/>
    </xf>
    <xf numFmtId="14" fontId="8" fillId="0" borderId="1" xfId="0" applyNumberFormat="1" applyFont="1" applyBorder="1" applyAlignment="1">
      <alignment vertical="center"/>
    </xf>
    <xf numFmtId="0" fontId="20" fillId="0" borderId="1" xfId="0" applyFont="1" applyFill="1" applyBorder="1" applyAlignment="1">
      <alignment horizontal="left" vertical="center"/>
    </xf>
    <xf numFmtId="0" fontId="27" fillId="0" borderId="1" xfId="0" applyFont="1" applyBorder="1" applyAlignment="1">
      <alignment vertical="center"/>
    </xf>
    <xf numFmtId="0" fontId="21" fillId="0" borderId="1" xfId="0" applyFont="1" applyFill="1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3" fillId="3" borderId="1" xfId="0" applyFont="1" applyFill="1" applyBorder="1" applyAlignment="1">
      <alignment horizontal="left" vertical="center"/>
    </xf>
    <xf numFmtId="14" fontId="0" fillId="6" borderId="1" xfId="0" applyNumberFormat="1" applyFill="1" applyBorder="1" applyAlignment="1">
      <alignment vertical="center"/>
    </xf>
    <xf numFmtId="0" fontId="8" fillId="3" borderId="1" xfId="0" applyFont="1" applyFill="1" applyBorder="1" applyAlignment="1">
      <alignment vertical="center"/>
    </xf>
    <xf numFmtId="0" fontId="22" fillId="3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14" fontId="8" fillId="3" borderId="1" xfId="0" applyNumberFormat="1" applyFont="1" applyFill="1" applyBorder="1" applyAlignment="1">
      <alignment vertical="center"/>
    </xf>
    <xf numFmtId="14" fontId="0" fillId="3" borderId="1" xfId="0" applyNumberFormat="1" applyFill="1" applyBorder="1" applyAlignment="1">
      <alignment vertical="center"/>
    </xf>
    <xf numFmtId="0" fontId="24" fillId="8" borderId="1" xfId="0" applyFont="1" applyFill="1" applyBorder="1" applyAlignment="1">
      <alignment horizontal="right" vertical="center"/>
    </xf>
    <xf numFmtId="0" fontId="0" fillId="8" borderId="1" xfId="0" applyFill="1" applyBorder="1" applyAlignment="1">
      <alignment vertical="center"/>
    </xf>
    <xf numFmtId="0" fontId="9" fillId="8" borderId="1" xfId="0" applyFont="1" applyFill="1" applyBorder="1" applyAlignment="1">
      <alignment vertical="center"/>
    </xf>
    <xf numFmtId="0" fontId="9" fillId="8" borderId="1" xfId="0" applyFont="1" applyFill="1" applyBorder="1" applyAlignment="1">
      <alignment horizontal="left" vertical="center"/>
    </xf>
    <xf numFmtId="0" fontId="13" fillId="8" borderId="1" xfId="0" applyFont="1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14" fontId="0" fillId="0" borderId="1" xfId="0" applyNumberFormat="1" applyBorder="1" applyAlignment="1">
      <alignment horizontal="right" vertical="center"/>
    </xf>
    <xf numFmtId="0" fontId="24" fillId="9" borderId="1" xfId="0" applyFont="1" applyFill="1" applyBorder="1" applyAlignment="1">
      <alignment horizontal="right" vertical="center"/>
    </xf>
    <xf numFmtId="0" fontId="9" fillId="9" borderId="1" xfId="0" applyFont="1" applyFill="1" applyBorder="1" applyAlignment="1">
      <alignment vertical="center"/>
    </xf>
    <xf numFmtId="0" fontId="0" fillId="9" borderId="1" xfId="0" applyFill="1" applyBorder="1" applyAlignment="1">
      <alignment horizontal="left" vertical="center"/>
    </xf>
    <xf numFmtId="0" fontId="0" fillId="9" borderId="1" xfId="0" applyFill="1" applyBorder="1" applyAlignment="1">
      <alignment vertical="center"/>
    </xf>
    <xf numFmtId="14" fontId="0" fillId="9" borderId="1" xfId="0" applyNumberFormat="1" applyFill="1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25" fillId="0" borderId="1" xfId="0" applyFont="1" applyBorder="1" applyAlignment="1">
      <alignment horizontal="left" vertical="center"/>
    </xf>
    <xf numFmtId="0" fontId="29" fillId="0" borderId="1" xfId="0" applyFont="1" applyBorder="1" applyAlignment="1">
      <alignment vertical="center"/>
    </xf>
    <xf numFmtId="0" fontId="28" fillId="0" borderId="1" xfId="0" applyFont="1" applyFill="1" applyBorder="1" applyAlignment="1">
      <alignment vertical="center"/>
    </xf>
    <xf numFmtId="0" fontId="29" fillId="0" borderId="1" xfId="0" applyFont="1" applyBorder="1" applyAlignment="1">
      <alignment horizontal="left" vertical="center"/>
    </xf>
    <xf numFmtId="0" fontId="30" fillId="0" borderId="1" xfId="0" applyFont="1" applyFill="1" applyBorder="1" applyAlignment="1">
      <alignment horizontal="left" vertical="center"/>
    </xf>
    <xf numFmtId="0" fontId="28" fillId="0" borderId="1" xfId="0" applyFont="1" applyBorder="1" applyAlignment="1">
      <alignment horizontal="left" vertical="center"/>
    </xf>
    <xf numFmtId="14" fontId="29" fillId="0" borderId="1" xfId="0" applyNumberFormat="1" applyFont="1" applyBorder="1" applyAlignment="1">
      <alignment vertical="center"/>
    </xf>
    <xf numFmtId="0" fontId="0" fillId="10" borderId="1" xfId="0" applyFill="1" applyBorder="1" applyAlignment="1">
      <alignment vertical="center"/>
    </xf>
    <xf numFmtId="0" fontId="9" fillId="10" borderId="1" xfId="0" applyFont="1" applyFill="1" applyBorder="1" applyAlignment="1">
      <alignment vertical="center"/>
    </xf>
    <xf numFmtId="0" fontId="0" fillId="10" borderId="1" xfId="0" applyFill="1" applyBorder="1" applyAlignment="1">
      <alignment horizontal="left" vertical="center"/>
    </xf>
    <xf numFmtId="0" fontId="13" fillId="10" borderId="1" xfId="0" applyFont="1" applyFill="1" applyBorder="1" applyAlignment="1">
      <alignment horizontal="left" vertical="center"/>
    </xf>
    <xf numFmtId="0" fontId="9" fillId="10" borderId="1" xfId="0" applyFont="1" applyFill="1" applyBorder="1" applyAlignment="1">
      <alignment horizontal="left" vertical="center"/>
    </xf>
    <xf numFmtId="0" fontId="25" fillId="10" borderId="1" xfId="0" applyFont="1" applyFill="1" applyBorder="1" applyAlignment="1">
      <alignment horizontal="left" vertical="center"/>
    </xf>
    <xf numFmtId="14" fontId="0" fillId="10" borderId="1" xfId="0" applyNumberFormat="1" applyFill="1" applyBorder="1" applyAlignment="1">
      <alignment vertical="center"/>
    </xf>
    <xf numFmtId="14" fontId="0" fillId="10" borderId="1" xfId="0" applyNumberFormat="1" applyFill="1" applyBorder="1" applyAlignment="1">
      <alignment horizontal="right" vertical="center"/>
    </xf>
    <xf numFmtId="0" fontId="26" fillId="3" borderId="1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0" fontId="25" fillId="3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right" vertical="center"/>
    </xf>
    <xf numFmtId="0" fontId="25" fillId="0" borderId="1" xfId="0" applyFont="1" applyBorder="1" applyAlignment="1">
      <alignment vertical="center"/>
    </xf>
    <xf numFmtId="0" fontId="59" fillId="0" borderId="1" xfId="0" applyFont="1" applyBorder="1" applyAlignment="1">
      <alignment horizontal="right" vertical="center"/>
    </xf>
    <xf numFmtId="14" fontId="25" fillId="0" borderId="1" xfId="0" applyNumberFormat="1" applyFont="1" applyBorder="1" applyAlignment="1">
      <alignment vertical="center"/>
    </xf>
    <xf numFmtId="0" fontId="73" fillId="0" borderId="1" xfId="0" applyFont="1" applyBorder="1" applyAlignment="1">
      <alignment vertical="center"/>
    </xf>
    <xf numFmtId="0" fontId="73" fillId="0" borderId="1" xfId="0" applyFont="1" applyBorder="1" applyAlignment="1">
      <alignment horizontal="left" vertical="center"/>
    </xf>
    <xf numFmtId="14" fontId="73" fillId="0" borderId="1" xfId="0" applyNumberFormat="1" applyFont="1" applyBorder="1" applyAlignment="1">
      <alignment vertical="center"/>
    </xf>
    <xf numFmtId="0" fontId="14" fillId="2" borderId="1" xfId="0" applyFont="1" applyFill="1" applyBorder="1" applyAlignment="1">
      <alignment horizontal="left" vertical="center" wrapText="1"/>
    </xf>
    <xf numFmtId="14" fontId="13" fillId="2" borderId="1" xfId="0" applyNumberFormat="1" applyFont="1" applyFill="1" applyBorder="1" applyAlignment="1">
      <alignment vertical="center" wrapText="1"/>
    </xf>
    <xf numFmtId="14" fontId="14" fillId="2" borderId="1" xfId="0" applyNumberFormat="1" applyFont="1" applyFill="1" applyBorder="1" applyAlignment="1">
      <alignment vertical="center" wrapText="1"/>
    </xf>
    <xf numFmtId="0" fontId="14" fillId="2" borderId="1" xfId="0" applyFont="1" applyFill="1" applyBorder="1" applyAlignment="1">
      <alignment vertical="center" wrapText="1"/>
    </xf>
    <xf numFmtId="0" fontId="72" fillId="2" borderId="1" xfId="0" applyFont="1" applyFill="1" applyBorder="1" applyAlignment="1">
      <alignment horizontal="left" vertical="center" wrapText="1"/>
    </xf>
    <xf numFmtId="0" fontId="72" fillId="2" borderId="1" xfId="0" applyFont="1" applyFill="1" applyBorder="1" applyAlignment="1">
      <alignment vertical="center" wrapText="1"/>
    </xf>
    <xf numFmtId="14" fontId="74" fillId="2" borderId="1" xfId="0" applyNumberFormat="1" applyFont="1" applyFill="1" applyBorder="1" applyAlignment="1">
      <alignment vertical="center" wrapText="1"/>
    </xf>
    <xf numFmtId="0" fontId="73" fillId="0" borderId="1" xfId="0" applyFont="1" applyBorder="1" applyAlignment="1">
      <alignment horizontal="right" vertical="center"/>
    </xf>
    <xf numFmtId="0" fontId="75" fillId="0" borderId="1" xfId="0" applyFont="1" applyBorder="1" applyAlignment="1">
      <alignment horizontal="left" vertical="center" wrapText="1"/>
    </xf>
    <xf numFmtId="14" fontId="75" fillId="0" borderId="1" xfId="0" applyNumberFormat="1" applyFont="1" applyBorder="1" applyAlignment="1">
      <alignment vertical="center" wrapText="1"/>
    </xf>
    <xf numFmtId="0" fontId="68" fillId="0" borderId="1" xfId="0" applyFont="1" applyBorder="1" applyAlignment="1">
      <alignment horizontal="left" vertical="center" wrapText="1"/>
    </xf>
    <xf numFmtId="14" fontId="68" fillId="0" borderId="1" xfId="0" applyNumberFormat="1" applyFont="1" applyBorder="1" applyAlignment="1">
      <alignment vertical="center" wrapText="1"/>
    </xf>
    <xf numFmtId="0" fontId="25" fillId="3" borderId="1" xfId="0" applyFont="1" applyFill="1" applyBorder="1" applyAlignment="1">
      <alignment vertical="center"/>
    </xf>
    <xf numFmtId="0" fontId="58" fillId="3" borderId="1" xfId="0" applyFont="1" applyFill="1" applyBorder="1" applyAlignment="1">
      <alignment horizontal="left" vertical="center" wrapText="1"/>
    </xf>
    <xf numFmtId="14" fontId="23" fillId="3" borderId="1" xfId="0" applyNumberFormat="1" applyFont="1" applyFill="1" applyBorder="1" applyAlignment="1">
      <alignment vertical="center" wrapText="1"/>
    </xf>
    <xf numFmtId="0" fontId="75" fillId="0" borderId="1" xfId="0" applyFont="1" applyBorder="1" applyAlignment="1">
      <alignment vertical="center" wrapText="1"/>
    </xf>
    <xf numFmtId="0" fontId="91" fillId="0" borderId="1" xfId="0" applyFont="1" applyBorder="1" applyAlignment="1">
      <alignment horizontal="left" vertical="center"/>
    </xf>
    <xf numFmtId="0" fontId="92" fillId="2" borderId="1" xfId="0" applyFont="1" applyFill="1" applyBorder="1" applyAlignment="1">
      <alignment horizontal="left" vertical="center" wrapText="1"/>
    </xf>
    <xf numFmtId="0" fontId="91" fillId="0" borderId="1" xfId="0" applyFont="1" applyBorder="1" applyAlignment="1">
      <alignment vertical="center"/>
    </xf>
    <xf numFmtId="0" fontId="91" fillId="0" borderId="1" xfId="0" applyFont="1" applyBorder="1" applyAlignment="1">
      <alignment horizontal="right" vertical="center"/>
    </xf>
    <xf numFmtId="0" fontId="93" fillId="0" borderId="1" xfId="0" applyFont="1" applyBorder="1" applyAlignment="1">
      <alignment horizontal="left" vertical="center" wrapText="1"/>
    </xf>
    <xf numFmtId="14" fontId="93" fillId="0" borderId="1" xfId="0" applyNumberFormat="1" applyFont="1" applyBorder="1" applyAlignment="1">
      <alignment vertical="center" wrapText="1"/>
    </xf>
    <xf numFmtId="14" fontId="91" fillId="0" borderId="1" xfId="0" applyNumberFormat="1" applyFont="1" applyBorder="1" applyAlignment="1">
      <alignment horizontal="right" vertical="center" wrapText="1"/>
    </xf>
    <xf numFmtId="0" fontId="93" fillId="0" borderId="1" xfId="0" applyFont="1" applyBorder="1" applyAlignment="1">
      <alignment vertical="center" wrapText="1"/>
    </xf>
    <xf numFmtId="0" fontId="91" fillId="0" borderId="1" xfId="0" applyFont="1" applyBorder="1" applyAlignment="1">
      <alignment horizontal="left" vertical="center" wrapText="1"/>
    </xf>
    <xf numFmtId="14" fontId="93" fillId="0" borderId="1" xfId="0" applyNumberFormat="1" applyFont="1" applyFill="1" applyBorder="1" applyAlignment="1">
      <alignment vertical="center" wrapText="1"/>
    </xf>
    <xf numFmtId="14" fontId="91" fillId="0" borderId="1" xfId="0" applyNumberFormat="1" applyFont="1" applyBorder="1" applyAlignment="1">
      <alignment vertical="center"/>
    </xf>
    <xf numFmtId="0" fontId="74" fillId="0" borderId="1" xfId="0" applyFont="1" applyFill="1" applyBorder="1" applyAlignment="1">
      <alignment vertical="center"/>
    </xf>
    <xf numFmtId="0" fontId="74" fillId="0" borderId="1" xfId="0" applyFont="1" applyFill="1" applyBorder="1" applyAlignment="1">
      <alignment horizontal="left" vertical="center"/>
    </xf>
    <xf numFmtId="0" fontId="76" fillId="2" borderId="1" xfId="0" applyFont="1" applyFill="1" applyBorder="1" applyAlignment="1">
      <alignment horizontal="left" vertical="center" wrapText="1"/>
    </xf>
    <xf numFmtId="14" fontId="75" fillId="0" borderId="1" xfId="0" applyNumberFormat="1" applyFont="1" applyFill="1" applyBorder="1" applyAlignment="1">
      <alignment vertical="center" wrapText="1"/>
    </xf>
    <xf numFmtId="0" fontId="68" fillId="3" borderId="1" xfId="0" applyFont="1" applyFill="1" applyBorder="1" applyAlignment="1">
      <alignment vertical="center" wrapText="1"/>
    </xf>
    <xf numFmtId="0" fontId="68" fillId="3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76" fillId="0" borderId="1" xfId="0" applyFont="1" applyBorder="1" applyAlignment="1">
      <alignment horizontal="left" vertical="center" wrapText="1"/>
    </xf>
    <xf numFmtId="0" fontId="58" fillId="2" borderId="1" xfId="0" applyFont="1" applyFill="1" applyBorder="1" applyAlignment="1">
      <alignment horizontal="left" vertical="center" wrapText="1"/>
    </xf>
    <xf numFmtId="0" fontId="75" fillId="0" borderId="1" xfId="0" applyFont="1" applyFill="1" applyBorder="1" applyAlignment="1">
      <alignment horizontal="left" vertical="center" wrapText="1"/>
    </xf>
    <xf numFmtId="0" fontId="74" fillId="2" borderId="1" xfId="0" applyFont="1" applyFill="1" applyBorder="1" applyAlignment="1">
      <alignment horizontal="left" vertical="center"/>
    </xf>
    <xf numFmtId="0" fontId="74" fillId="2" borderId="1" xfId="0" applyFont="1" applyFill="1" applyBorder="1" applyAlignment="1">
      <alignment vertical="center"/>
    </xf>
    <xf numFmtId="0" fontId="93" fillId="0" borderId="1" xfId="0" applyFont="1" applyFill="1" applyBorder="1" applyAlignment="1">
      <alignment vertical="center" wrapText="1"/>
    </xf>
    <xf numFmtId="0" fontId="93" fillId="0" borderId="1" xfId="0" applyFont="1" applyFill="1" applyBorder="1" applyAlignment="1">
      <alignment horizontal="left" vertical="center" wrapText="1"/>
    </xf>
    <xf numFmtId="0" fontId="73" fillId="0" borderId="1" xfId="0" applyFont="1" applyBorder="1" applyAlignment="1">
      <alignment horizontal="left" vertical="center" wrapText="1"/>
    </xf>
    <xf numFmtId="0" fontId="13" fillId="3" borderId="1" xfId="0" applyFont="1" applyFill="1" applyBorder="1" applyAlignment="1">
      <alignment vertical="center"/>
    </xf>
    <xf numFmtId="14" fontId="70" fillId="3" borderId="1" xfId="0" applyNumberFormat="1" applyFont="1" applyFill="1" applyBorder="1" applyAlignment="1">
      <alignment vertical="center" wrapText="1"/>
    </xf>
    <xf numFmtId="14" fontId="25" fillId="3" borderId="1" xfId="0" applyNumberFormat="1" applyFont="1" applyFill="1" applyBorder="1" applyAlignment="1">
      <alignment vertical="center"/>
    </xf>
    <xf numFmtId="0" fontId="94" fillId="2" borderId="1" xfId="0" applyFont="1" applyFill="1" applyBorder="1" applyAlignment="1">
      <alignment horizontal="left" vertical="center" wrapText="1"/>
    </xf>
    <xf numFmtId="0" fontId="74" fillId="0" borderId="1" xfId="0" applyFont="1" applyBorder="1" applyAlignment="1">
      <alignment vertical="center"/>
    </xf>
    <xf numFmtId="0" fontId="74" fillId="0" borderId="1" xfId="0" applyFont="1" applyBorder="1" applyAlignment="1">
      <alignment horizontal="left" vertical="center"/>
    </xf>
    <xf numFmtId="14" fontId="74" fillId="0" borderId="1" xfId="0" applyNumberFormat="1" applyFont="1" applyBorder="1" applyAlignment="1">
      <alignment vertical="center"/>
    </xf>
    <xf numFmtId="0" fontId="95" fillId="0" borderId="1" xfId="0" applyFont="1" applyFill="1" applyBorder="1" applyAlignment="1">
      <alignment vertical="center"/>
    </xf>
    <xf numFmtId="0" fontId="95" fillId="0" borderId="1" xfId="0" applyFont="1" applyBorder="1" applyAlignment="1">
      <alignment horizontal="left" vertical="center"/>
    </xf>
    <xf numFmtId="0" fontId="95" fillId="0" borderId="1" xfId="0" applyFont="1" applyBorder="1" applyAlignment="1">
      <alignment vertical="center"/>
    </xf>
    <xf numFmtId="14" fontId="95" fillId="0" borderId="1" xfId="0" applyNumberFormat="1" applyFont="1" applyBorder="1" applyAlignment="1">
      <alignment vertical="center"/>
    </xf>
    <xf numFmtId="0" fontId="23" fillId="0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horizontal="left" vertical="center"/>
    </xf>
    <xf numFmtId="0" fontId="70" fillId="0" borderId="1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horizontal="left" vertical="center" wrapText="1"/>
    </xf>
    <xf numFmtId="14" fontId="9" fillId="0" borderId="1" xfId="0" applyNumberFormat="1" applyFont="1" applyBorder="1" applyAlignment="1">
      <alignment vertical="center" wrapText="1"/>
    </xf>
    <xf numFmtId="0" fontId="73" fillId="0" borderId="1" xfId="0" applyFont="1" applyFill="1" applyBorder="1" applyAlignment="1">
      <alignment horizontal="left" vertical="center"/>
    </xf>
    <xf numFmtId="0" fontId="23" fillId="3" borderId="1" xfId="0" applyFont="1" applyFill="1" applyBorder="1" applyAlignment="1">
      <alignment vertical="center"/>
    </xf>
    <xf numFmtId="0" fontId="94" fillId="0" borderId="1" xfId="0" applyFont="1" applyBorder="1" applyAlignment="1">
      <alignment horizontal="left" vertical="center" wrapText="1"/>
    </xf>
    <xf numFmtId="0" fontId="91" fillId="0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80" fillId="0" borderId="1" xfId="0" applyFont="1" applyBorder="1" applyAlignment="1">
      <alignment vertical="center"/>
    </xf>
    <xf numFmtId="0" fontId="80" fillId="0" borderId="1" xfId="0" applyFont="1" applyBorder="1" applyAlignment="1">
      <alignment horizontal="left" vertical="center"/>
    </xf>
    <xf numFmtId="0" fontId="81" fillId="0" borderId="1" xfId="0" applyFont="1" applyFill="1" applyBorder="1" applyAlignment="1">
      <alignment vertical="center"/>
    </xf>
    <xf numFmtId="0" fontId="81" fillId="0" borderId="1" xfId="0" applyFont="1" applyFill="1" applyBorder="1" applyAlignment="1">
      <alignment horizontal="left" vertical="center"/>
    </xf>
    <xf numFmtId="14" fontId="80" fillId="0" borderId="1" xfId="0" applyNumberFormat="1" applyFont="1" applyBorder="1" applyAlignment="1">
      <alignment vertical="center"/>
    </xf>
    <xf numFmtId="0" fontId="83" fillId="0" borderId="1" xfId="0" applyFont="1" applyBorder="1" applyAlignment="1">
      <alignment horizontal="left" vertical="center" wrapText="1"/>
    </xf>
    <xf numFmtId="0" fontId="82" fillId="0" borderId="1" xfId="0" applyFont="1" applyFill="1" applyBorder="1" applyAlignment="1">
      <alignment vertical="center" wrapText="1"/>
    </xf>
    <xf numFmtId="0" fontId="82" fillId="0" borderId="1" xfId="0" applyFont="1" applyFill="1" applyBorder="1" applyAlignment="1">
      <alignment horizontal="left" vertical="center" wrapText="1"/>
    </xf>
    <xf numFmtId="0" fontId="83" fillId="2" borderId="1" xfId="0" applyFont="1" applyFill="1" applyBorder="1" applyAlignment="1">
      <alignment horizontal="left" vertical="center" wrapText="1"/>
    </xf>
    <xf numFmtId="0" fontId="30" fillId="0" borderId="1" xfId="0" applyFont="1" applyFill="1" applyBorder="1" applyAlignment="1">
      <alignment vertical="center"/>
    </xf>
    <xf numFmtId="0" fontId="28" fillId="2" borderId="1" xfId="0" applyFont="1" applyFill="1" applyBorder="1" applyAlignment="1">
      <alignment horizontal="left" vertical="center" wrapText="1"/>
    </xf>
    <xf numFmtId="0" fontId="85" fillId="0" borderId="1" xfId="0" applyFont="1" applyFill="1" applyBorder="1" applyAlignment="1">
      <alignment horizontal="left" vertical="center" wrapText="1"/>
    </xf>
    <xf numFmtId="0" fontId="28" fillId="0" borderId="1" xfId="0" applyFont="1" applyBorder="1" applyAlignment="1">
      <alignment horizontal="left" vertical="center" wrapText="1"/>
    </xf>
    <xf numFmtId="0" fontId="68" fillId="0" borderId="1" xfId="0" applyFont="1" applyFill="1" applyBorder="1" applyAlignment="1">
      <alignment horizontal="left" vertical="center" wrapText="1"/>
    </xf>
    <xf numFmtId="0" fontId="22" fillId="2" borderId="1" xfId="0" applyFont="1" applyFill="1" applyBorder="1" applyAlignment="1">
      <alignment horizontal="left" vertical="center" wrapText="1"/>
    </xf>
    <xf numFmtId="14" fontId="86" fillId="2" borderId="1" xfId="0" applyNumberFormat="1" applyFont="1" applyFill="1" applyBorder="1" applyAlignment="1">
      <alignment vertical="center" wrapText="1"/>
    </xf>
    <xf numFmtId="0" fontId="85" fillId="0" borderId="1" xfId="0" applyFont="1" applyBorder="1" applyAlignment="1">
      <alignment horizontal="left" vertical="center" wrapText="1"/>
    </xf>
    <xf numFmtId="0" fontId="70" fillId="3" borderId="1" xfId="0" applyFont="1" applyFill="1" applyBorder="1" applyAlignment="1">
      <alignment horizontal="left" vertical="center" wrapText="1"/>
    </xf>
    <xf numFmtId="14" fontId="28" fillId="0" borderId="1" xfId="0" applyNumberFormat="1" applyFont="1" applyBorder="1" applyAlignment="1">
      <alignment vertical="center" wrapText="1"/>
    </xf>
    <xf numFmtId="0" fontId="9" fillId="3" borderId="1" xfId="0" applyFont="1" applyFill="1" applyBorder="1" applyAlignment="1">
      <alignment horizontal="left" vertical="center" wrapText="1"/>
    </xf>
    <xf numFmtId="14" fontId="90" fillId="2" borderId="1" xfId="0" applyNumberFormat="1" applyFont="1" applyFill="1" applyBorder="1" applyAlignment="1">
      <alignment vertical="center" wrapText="1"/>
    </xf>
    <xf numFmtId="14" fontId="23" fillId="0" borderId="1" xfId="0" applyNumberFormat="1" applyFont="1" applyBorder="1" applyAlignment="1">
      <alignment vertical="center" wrapText="1"/>
    </xf>
    <xf numFmtId="14" fontId="94" fillId="0" borderId="1" xfId="0" applyNumberFormat="1" applyFont="1" applyBorder="1" applyAlignment="1">
      <alignment vertical="center" wrapText="1"/>
    </xf>
    <xf numFmtId="0" fontId="95" fillId="0" borderId="1" xfId="0" applyFont="1" applyFill="1" applyBorder="1" applyAlignment="1">
      <alignment horizontal="left" vertical="center"/>
    </xf>
    <xf numFmtId="14" fontId="68" fillId="3" borderId="1" xfId="0" applyNumberFormat="1" applyFont="1" applyFill="1" applyBorder="1" applyAlignment="1">
      <alignment vertical="center" wrapText="1"/>
    </xf>
    <xf numFmtId="0" fontId="8" fillId="3" borderId="1" xfId="0" applyFont="1" applyFill="1" applyBorder="1" applyAlignment="1">
      <alignment vertical="center" wrapText="1"/>
    </xf>
    <xf numFmtId="0" fontId="82" fillId="0" borderId="1" xfId="0" applyFont="1" applyBorder="1" applyAlignment="1">
      <alignment horizontal="left" vertical="center" wrapText="1"/>
    </xf>
    <xf numFmtId="14" fontId="83" fillId="0" borderId="1" xfId="0" applyNumberFormat="1" applyFont="1" applyBorder="1" applyAlignment="1">
      <alignment vertical="center" wrapText="1"/>
    </xf>
    <xf numFmtId="0" fontId="81" fillId="0" borderId="1" xfId="0" applyFont="1" applyBorder="1" applyAlignment="1">
      <alignment horizontal="left" vertical="center"/>
    </xf>
    <xf numFmtId="0" fontId="26" fillId="0" borderId="1" xfId="0" applyFont="1" applyFill="1" applyBorder="1" applyAlignment="1">
      <alignment vertical="center"/>
    </xf>
    <xf numFmtId="0" fontId="26" fillId="0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left" vertical="center" wrapText="1"/>
    </xf>
    <xf numFmtId="14" fontId="22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horizontal="left" vertical="center"/>
    </xf>
    <xf numFmtId="0" fontId="59" fillId="0" borderId="1" xfId="0" applyFont="1" applyFill="1" applyBorder="1" applyAlignment="1">
      <alignment vertical="center"/>
    </xf>
    <xf numFmtId="0" fontId="59" fillId="0" borderId="1" xfId="0" applyFont="1" applyFill="1" applyBorder="1" applyAlignment="1">
      <alignment horizontal="left" vertical="center"/>
    </xf>
    <xf numFmtId="0" fontId="70" fillId="0" borderId="1" xfId="0" applyFont="1" applyBorder="1" applyAlignment="1">
      <alignment horizontal="left" vertical="center" wrapText="1"/>
    </xf>
    <xf numFmtId="14" fontId="0" fillId="0" borderId="1" xfId="0" applyNumberFormat="1" applyFont="1" applyBorder="1" applyAlignment="1">
      <alignment vertical="center"/>
    </xf>
    <xf numFmtId="0" fontId="26" fillId="3" borderId="1" xfId="0" applyFont="1" applyFill="1" applyBorder="1" applyAlignment="1">
      <alignment vertical="center"/>
    </xf>
    <xf numFmtId="0" fontId="71" fillId="3" borderId="1" xfId="0" applyFont="1" applyFill="1" applyBorder="1" applyAlignment="1">
      <alignment horizontal="left" vertical="center" wrapText="1"/>
    </xf>
    <xf numFmtId="0" fontId="22" fillId="3" borderId="1" xfId="0" applyFont="1" applyFill="1" applyBorder="1" applyAlignment="1">
      <alignment horizontal="left" vertical="center" wrapText="1"/>
    </xf>
    <xf numFmtId="0" fontId="96" fillId="2" borderId="1" xfId="0" applyFont="1" applyFill="1" applyBorder="1" applyAlignment="1">
      <alignment horizontal="center" vertical="center" wrapText="1"/>
    </xf>
    <xf numFmtId="0" fontId="71" fillId="3" borderId="1" xfId="0" applyFont="1" applyFill="1" applyBorder="1" applyAlignment="1">
      <alignment vertical="center" wrapText="1"/>
    </xf>
    <xf numFmtId="0" fontId="71" fillId="3" borderId="1" xfId="0" applyFont="1" applyFill="1" applyBorder="1" applyAlignment="1">
      <alignment horizontal="right" vertical="center" wrapText="1"/>
    </xf>
    <xf numFmtId="0" fontId="94" fillId="4" borderId="1" xfId="0" applyFont="1" applyFill="1" applyBorder="1" applyAlignment="1">
      <alignment vertical="center" wrapText="1"/>
    </xf>
    <xf numFmtId="0" fontId="94" fillId="0" borderId="1" xfId="0" applyFont="1" applyBorder="1" applyAlignment="1">
      <alignment horizontal="right" vertical="center" wrapText="1"/>
    </xf>
    <xf numFmtId="0" fontId="94" fillId="0" borderId="1" xfId="0" applyFont="1" applyBorder="1" applyAlignment="1">
      <alignment vertical="center" wrapText="1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94" fillId="2" borderId="1" xfId="0" applyFont="1" applyFill="1" applyBorder="1" applyAlignment="1">
      <alignment vertical="center" wrapText="1"/>
    </xf>
    <xf numFmtId="0" fontId="9" fillId="3" borderId="1" xfId="0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right" vertical="center" wrapText="1"/>
    </xf>
    <xf numFmtId="14" fontId="9" fillId="3" borderId="1" xfId="0" applyNumberFormat="1" applyFont="1" applyFill="1" applyBorder="1" applyAlignment="1">
      <alignment vertical="center" wrapText="1"/>
    </xf>
    <xf numFmtId="0" fontId="23" fillId="0" borderId="1" xfId="0" applyFont="1" applyBorder="1" applyAlignment="1">
      <alignment vertical="center"/>
    </xf>
    <xf numFmtId="0" fontId="22" fillId="0" borderId="1" xfId="0" applyFont="1" applyBorder="1" applyAlignment="1">
      <alignment horizontal="right" vertical="center" wrapText="1"/>
    </xf>
    <xf numFmtId="0" fontId="22" fillId="0" borderId="1" xfId="0" applyFont="1" applyBorder="1" applyAlignment="1">
      <alignment horizontal="left" vertical="center" wrapText="1"/>
    </xf>
    <xf numFmtId="0" fontId="95" fillId="46" borderId="1" xfId="0" applyFont="1" applyFill="1" applyBorder="1" applyAlignment="1">
      <alignment vertical="center"/>
    </xf>
    <xf numFmtId="0" fontId="81" fillId="0" borderId="1" xfId="0" applyFont="1" applyBorder="1" applyAlignment="1">
      <alignment vertical="center"/>
    </xf>
    <xf numFmtId="0" fontId="83" fillId="0" borderId="1" xfId="0" applyFont="1" applyBorder="1" applyAlignment="1">
      <alignment vertical="center" wrapText="1"/>
    </xf>
    <xf numFmtId="0" fontId="83" fillId="4" borderId="1" xfId="0" applyFont="1" applyFill="1" applyBorder="1" applyAlignment="1">
      <alignment vertical="center" wrapText="1"/>
    </xf>
    <xf numFmtId="0" fontId="22" fillId="0" borderId="1" xfId="0" applyFont="1" applyBorder="1" applyAlignment="1">
      <alignment vertical="center" wrapText="1"/>
    </xf>
    <xf numFmtId="0" fontId="83" fillId="0" borderId="1" xfId="0" applyFont="1" applyFill="1" applyBorder="1" applyAlignment="1">
      <alignment horizontal="left" vertical="center" wrapText="1"/>
    </xf>
    <xf numFmtId="0" fontId="22" fillId="0" borderId="1" xfId="0" applyFont="1" applyFill="1" applyBorder="1" applyAlignment="1">
      <alignment horizontal="left" vertical="center" wrapText="1"/>
    </xf>
    <xf numFmtId="14" fontId="0" fillId="0" borderId="1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vertical="center" wrapText="1"/>
    </xf>
    <xf numFmtId="0" fontId="9" fillId="0" borderId="1" xfId="0" applyFont="1" applyFill="1" applyBorder="1" applyAlignment="1">
      <alignment horizontal="left" vertical="center" wrapText="1"/>
    </xf>
    <xf numFmtId="14" fontId="77" fillId="2" borderId="1" xfId="0" applyNumberFormat="1" applyFont="1" applyFill="1" applyBorder="1" applyAlignment="1">
      <alignment vertical="center" wrapText="1"/>
    </xf>
    <xf numFmtId="0" fontId="59" fillId="2" borderId="1" xfId="0" applyFont="1" applyFill="1" applyBorder="1" applyAlignment="1">
      <alignment vertical="center"/>
    </xf>
    <xf numFmtId="0" fontId="59" fillId="2" borderId="1" xfId="0" applyFont="1" applyFill="1" applyBorder="1" applyAlignment="1">
      <alignment horizontal="left" vertical="center"/>
    </xf>
    <xf numFmtId="0" fontId="16" fillId="0" borderId="1" xfId="0" applyFont="1" applyBorder="1" applyAlignment="1">
      <alignment horizontal="left" vertical="center" wrapText="1"/>
    </xf>
    <xf numFmtId="0" fontId="9" fillId="4" borderId="1" xfId="0" applyFont="1" applyFill="1" applyBorder="1" applyAlignment="1">
      <alignment vertical="center" wrapText="1"/>
    </xf>
    <xf numFmtId="0" fontId="22" fillId="4" borderId="1" xfId="0" applyFont="1" applyFill="1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0" fontId="94" fillId="0" borderId="1" xfId="0" applyFont="1" applyFill="1" applyBorder="1" applyAlignment="1">
      <alignment horizontal="left" vertical="center" wrapText="1"/>
    </xf>
    <xf numFmtId="0" fontId="101" fillId="2" borderId="1" xfId="0" applyFont="1" applyFill="1" applyBorder="1" applyAlignment="1">
      <alignment horizontal="center" vertical="center" wrapText="1"/>
    </xf>
    <xf numFmtId="14" fontId="95" fillId="0" borderId="1" xfId="0" applyNumberFormat="1" applyFont="1" applyBorder="1" applyAlignment="1">
      <alignment vertical="center" wrapText="1"/>
    </xf>
    <xf numFmtId="0" fontId="101" fillId="26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/>
    </xf>
    <xf numFmtId="0" fontId="12" fillId="2" borderId="1" xfId="0" applyFont="1" applyFill="1" applyBorder="1" applyAlignment="1">
      <alignment horizontal="center" vertical="center" wrapText="1"/>
    </xf>
    <xf numFmtId="0" fontId="87" fillId="3" borderId="1" xfId="0" applyFont="1" applyFill="1" applyBorder="1" applyAlignment="1">
      <alignment horizontal="center" vertical="center" wrapText="1"/>
    </xf>
    <xf numFmtId="0" fontId="22" fillId="3" borderId="1" xfId="0" applyFont="1" applyFill="1" applyBorder="1" applyAlignment="1">
      <alignment vertical="center" wrapText="1"/>
    </xf>
    <xf numFmtId="0" fontId="22" fillId="3" borderId="1" xfId="0" applyFont="1" applyFill="1" applyBorder="1" applyAlignment="1">
      <alignment horizontal="right" vertical="center" wrapText="1"/>
    </xf>
    <xf numFmtId="0" fontId="86" fillId="3" borderId="1" xfId="0" applyFont="1" applyFill="1" applyBorder="1" applyAlignment="1">
      <alignment horizontal="left" vertical="center" wrapText="1"/>
    </xf>
    <xf numFmtId="14" fontId="86" fillId="3" borderId="1" xfId="0" applyNumberFormat="1" applyFont="1" applyFill="1" applyBorder="1" applyAlignment="1">
      <alignment vertical="center" wrapText="1"/>
    </xf>
    <xf numFmtId="0" fontId="12" fillId="0" borderId="1" xfId="0" applyFont="1" applyFill="1" applyBorder="1" applyAlignment="1">
      <alignment horizontal="center" vertical="center" wrapText="1"/>
    </xf>
    <xf numFmtId="0" fontId="87" fillId="0" borderId="1" xfId="0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vertical="center" wrapText="1"/>
    </xf>
    <xf numFmtId="0" fontId="87" fillId="2" borderId="1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vertical="center" wrapText="1"/>
    </xf>
    <xf numFmtId="14" fontId="25" fillId="47" borderId="1" xfId="0" applyNumberFormat="1" applyFont="1" applyFill="1" applyBorder="1" applyAlignment="1">
      <alignment vertical="center"/>
    </xf>
    <xf numFmtId="14" fontId="9" fillId="0" borderId="1" xfId="0" applyNumberFormat="1" applyFont="1" applyFill="1" applyBorder="1" applyAlignment="1">
      <alignment vertical="center" wrapText="1"/>
    </xf>
    <xf numFmtId="0" fontId="22" fillId="0" borderId="1" xfId="0" applyFont="1" applyFill="1" applyBorder="1" applyAlignment="1">
      <alignment vertical="center" wrapText="1"/>
    </xf>
    <xf numFmtId="14" fontId="22" fillId="0" borderId="1" xfId="0" applyNumberFormat="1" applyFont="1" applyFill="1" applyBorder="1" applyAlignment="1">
      <alignment vertical="center" wrapText="1"/>
    </xf>
    <xf numFmtId="11" fontId="9" fillId="3" borderId="1" xfId="0" applyNumberFormat="1" applyFont="1" applyFill="1" applyBorder="1" applyAlignment="1">
      <alignment horizontal="left" vertical="center" wrapText="1"/>
    </xf>
    <xf numFmtId="0" fontId="22" fillId="4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left" vertical="center" wrapText="1"/>
    </xf>
    <xf numFmtId="14" fontId="22" fillId="3" borderId="1" xfId="0" applyNumberFormat="1" applyFont="1" applyFill="1" applyBorder="1" applyAlignment="1">
      <alignment vertical="center" wrapText="1"/>
    </xf>
    <xf numFmtId="0" fontId="25" fillId="0" borderId="1" xfId="0" applyFont="1" applyFill="1" applyBorder="1" applyAlignment="1">
      <alignment vertical="center"/>
    </xf>
    <xf numFmtId="14" fontId="9" fillId="0" borderId="1" xfId="0" applyNumberFormat="1" applyFont="1" applyBorder="1" applyAlignment="1">
      <alignment horizontal="right" vertical="center" wrapText="1"/>
    </xf>
    <xf numFmtId="14" fontId="9" fillId="3" borderId="1" xfId="0" applyNumberFormat="1" applyFont="1" applyFill="1" applyBorder="1" applyAlignment="1">
      <alignment horizontal="right" vertical="center" wrapText="1"/>
    </xf>
    <xf numFmtId="14" fontId="13" fillId="0" borderId="1" xfId="0" applyNumberFormat="1" applyFont="1" applyBorder="1" applyAlignment="1">
      <alignment horizontal="left" vertical="center" wrapText="1"/>
    </xf>
    <xf numFmtId="14" fontId="9" fillId="0" borderId="1" xfId="0" applyNumberFormat="1" applyFont="1" applyBorder="1" applyAlignment="1">
      <alignment horizontal="left" vertical="center" wrapText="1"/>
    </xf>
    <xf numFmtId="14" fontId="9" fillId="3" borderId="1" xfId="0" applyNumberFormat="1" applyFont="1" applyFill="1" applyBorder="1" applyAlignment="1">
      <alignment horizontal="left" vertical="center" wrapText="1"/>
    </xf>
    <xf numFmtId="14" fontId="77" fillId="2" borderId="1" xfId="0" applyNumberFormat="1" applyFont="1" applyFill="1" applyBorder="1" applyAlignment="1">
      <alignment horizontal="left" vertical="center" wrapText="1"/>
    </xf>
    <xf numFmtId="14" fontId="0" fillId="3" borderId="1" xfId="0" applyNumberFormat="1" applyFill="1" applyBorder="1" applyAlignment="1">
      <alignment horizontal="right" vertical="center"/>
    </xf>
    <xf numFmtId="0" fontId="14" fillId="0" borderId="1" xfId="0" applyFont="1" applyBorder="1" applyAlignment="1">
      <alignment horizontal="left" vertical="center" wrapText="1"/>
    </xf>
    <xf numFmtId="0" fontId="14" fillId="4" borderId="1" xfId="0" applyFont="1" applyFill="1" applyBorder="1" applyAlignment="1">
      <alignment horizontal="left" vertical="center" wrapText="1"/>
    </xf>
    <xf numFmtId="0" fontId="58" fillId="0" borderId="1" xfId="0" applyFont="1" applyBorder="1" applyAlignment="1">
      <alignment horizontal="left" vertical="center" wrapText="1"/>
    </xf>
    <xf numFmtId="14" fontId="22" fillId="0" borderId="1" xfId="0" applyNumberFormat="1" applyFont="1" applyBorder="1" applyAlignment="1">
      <alignment horizontal="right" vertical="center" wrapText="1"/>
    </xf>
    <xf numFmtId="14" fontId="86" fillId="2" borderId="1" xfId="0" applyNumberFormat="1" applyFont="1" applyFill="1" applyBorder="1" applyAlignment="1">
      <alignment horizontal="right" vertical="center" wrapText="1"/>
    </xf>
    <xf numFmtId="0" fontId="106" fillId="2" borderId="1" xfId="0" applyFont="1" applyFill="1" applyBorder="1" applyAlignment="1">
      <alignment horizontal="center" vertical="center" wrapText="1"/>
    </xf>
    <xf numFmtId="0" fontId="28" fillId="0" borderId="1" xfId="0" applyFont="1" applyBorder="1" applyAlignment="1">
      <alignment vertical="center" wrapText="1"/>
    </xf>
    <xf numFmtId="0" fontId="28" fillId="0" borderId="1" xfId="0" applyFont="1" applyFill="1" applyBorder="1" applyAlignment="1">
      <alignment horizontal="left" vertical="center" wrapText="1"/>
    </xf>
    <xf numFmtId="0" fontId="28" fillId="2" borderId="1" xfId="0" applyFont="1" applyFill="1" applyBorder="1" applyAlignment="1">
      <alignment vertical="center" wrapText="1"/>
    </xf>
    <xf numFmtId="14" fontId="107" fillId="2" borderId="1" xfId="0" applyNumberFormat="1" applyFont="1" applyFill="1" applyBorder="1" applyAlignment="1">
      <alignment vertical="center" wrapText="1"/>
    </xf>
    <xf numFmtId="14" fontId="0" fillId="3" borderId="1" xfId="0" applyNumberFormat="1" applyFill="1" applyBorder="1" applyAlignment="1">
      <alignment horizontal="left" vertical="center"/>
    </xf>
    <xf numFmtId="0" fontId="24" fillId="3" borderId="1" xfId="0" applyFont="1" applyFill="1" applyBorder="1" applyAlignment="1">
      <alignment vertical="center" wrapText="1"/>
    </xf>
    <xf numFmtId="0" fontId="24" fillId="3" borderId="1" xfId="0" applyFont="1" applyFill="1" applyBorder="1" applyAlignment="1">
      <alignment horizontal="left" vertical="center" wrapText="1"/>
    </xf>
    <xf numFmtId="0" fontId="24" fillId="3" borderId="1" xfId="0" applyFont="1" applyFill="1" applyBorder="1" applyAlignment="1">
      <alignment horizontal="right" vertical="center" wrapText="1"/>
    </xf>
    <xf numFmtId="14" fontId="108" fillId="3" borderId="1" xfId="0" applyNumberFormat="1" applyFont="1" applyFill="1" applyBorder="1" applyAlignment="1">
      <alignment vertical="center" wrapText="1"/>
    </xf>
    <xf numFmtId="0" fontId="14" fillId="3" borderId="1" xfId="0" applyFont="1" applyFill="1" applyBorder="1" applyAlignment="1">
      <alignment horizontal="left" vertical="center" wrapText="1"/>
    </xf>
    <xf numFmtId="0" fontId="14" fillId="4" borderId="1" xfId="0" applyFont="1" applyFill="1" applyBorder="1" applyAlignment="1">
      <alignment wrapText="1"/>
    </xf>
    <xf numFmtId="0" fontId="14" fillId="0" borderId="1" xfId="0" applyFont="1" applyBorder="1" applyAlignment="1">
      <alignment wrapText="1"/>
    </xf>
    <xf numFmtId="0" fontId="14" fillId="0" borderId="1" xfId="0" applyFont="1" applyBorder="1" applyAlignment="1">
      <alignment horizontal="left" wrapText="1"/>
    </xf>
    <xf numFmtId="0" fontId="14" fillId="0" borderId="1" xfId="0" applyFont="1" applyBorder="1" applyAlignment="1">
      <alignment horizontal="right" wrapText="1"/>
    </xf>
    <xf numFmtId="0" fontId="0" fillId="0" borderId="1" xfId="0" applyFill="1" applyBorder="1" applyAlignment="1"/>
    <xf numFmtId="0" fontId="109" fillId="21" borderId="1" xfId="12" applyFont="1" applyBorder="1" applyAlignment="1" applyProtection="1">
      <alignment horizontal="center"/>
    </xf>
    <xf numFmtId="0" fontId="9" fillId="0" borderId="5" xfId="0" applyFont="1" applyBorder="1" applyAlignment="1">
      <alignment horizontal="left" wrapText="1"/>
    </xf>
    <xf numFmtId="14" fontId="9" fillId="0" borderId="1" xfId="0" applyNumberFormat="1" applyFont="1" applyBorder="1" applyAlignment="1">
      <alignment horizontal="right" wrapText="1"/>
    </xf>
    <xf numFmtId="14" fontId="110" fillId="0" borderId="1" xfId="0" applyNumberFormat="1" applyFont="1" applyBorder="1" applyAlignment="1">
      <alignment vertical="center"/>
    </xf>
    <xf numFmtId="14" fontId="111" fillId="0" borderId="1" xfId="0" applyNumberFormat="1" applyFont="1" applyBorder="1" applyAlignment="1">
      <alignment vertical="center"/>
    </xf>
    <xf numFmtId="0" fontId="111" fillId="0" borderId="1" xfId="0" applyFont="1" applyBorder="1" applyAlignment="1">
      <alignment vertical="center"/>
    </xf>
    <xf numFmtId="0" fontId="112" fillId="0" borderId="1" xfId="0" applyFont="1" applyFill="1" applyBorder="1" applyAlignment="1">
      <alignment vertical="center"/>
    </xf>
    <xf numFmtId="14" fontId="18" fillId="0" borderId="1" xfId="0" applyNumberFormat="1" applyFont="1" applyFill="1" applyBorder="1" applyAlignment="1">
      <alignment vertical="center"/>
    </xf>
    <xf numFmtId="0" fontId="18" fillId="0" borderId="1" xfId="0" applyFont="1" applyFill="1" applyBorder="1" applyAlignment="1">
      <alignment vertical="center"/>
    </xf>
    <xf numFmtId="14" fontId="112" fillId="0" borderId="1" xfId="0" applyNumberFormat="1" applyFont="1" applyFill="1" applyBorder="1" applyAlignment="1">
      <alignment vertical="center"/>
    </xf>
    <xf numFmtId="15" fontId="112" fillId="0" borderId="1" xfId="0" applyNumberFormat="1" applyFont="1" applyFill="1" applyBorder="1" applyAlignment="1">
      <alignment vertical="center"/>
    </xf>
    <xf numFmtId="0" fontId="113" fillId="0" borderId="1" xfId="0" applyFont="1" applyFill="1" applyBorder="1" applyAlignment="1">
      <alignment vertical="center"/>
    </xf>
    <xf numFmtId="0" fontId="114" fillId="0" borderId="1" xfId="0" applyFont="1" applyFill="1" applyBorder="1" applyAlignment="1">
      <alignment vertical="center"/>
    </xf>
    <xf numFmtId="0" fontId="115" fillId="0" borderId="1" xfId="0" applyFont="1" applyFill="1" applyBorder="1" applyAlignment="1">
      <alignment vertical="center"/>
    </xf>
    <xf numFmtId="14" fontId="116" fillId="0" borderId="1" xfId="0" applyNumberFormat="1" applyFont="1" applyFill="1" applyBorder="1" applyAlignment="1">
      <alignment vertical="center"/>
    </xf>
    <xf numFmtId="14" fontId="117" fillId="0" borderId="1" xfId="0" applyNumberFormat="1" applyFont="1" applyFill="1" applyBorder="1" applyAlignment="1">
      <alignment vertical="center"/>
    </xf>
    <xf numFmtId="14" fontId="118" fillId="0" borderId="1" xfId="0" applyNumberFormat="1" applyFont="1" applyFill="1" applyBorder="1" applyAlignment="1">
      <alignment vertical="center"/>
    </xf>
    <xf numFmtId="14" fontId="116" fillId="6" borderId="1" xfId="0" applyNumberFormat="1" applyFont="1" applyFill="1" applyBorder="1" applyAlignment="1">
      <alignment vertical="center"/>
    </xf>
    <xf numFmtId="14" fontId="116" fillId="3" borderId="1" xfId="0" applyNumberFormat="1" applyFont="1" applyFill="1" applyBorder="1" applyAlignment="1">
      <alignment vertical="center"/>
    </xf>
    <xf numFmtId="14" fontId="119" fillId="0" borderId="1" xfId="0" applyNumberFormat="1" applyFont="1" applyFill="1" applyBorder="1" applyAlignment="1">
      <alignment vertical="center"/>
    </xf>
    <xf numFmtId="14" fontId="116" fillId="10" borderId="1" xfId="0" applyNumberFormat="1" applyFont="1" applyFill="1" applyBorder="1" applyAlignment="1">
      <alignment vertical="center"/>
    </xf>
    <xf numFmtId="14" fontId="117" fillId="3" borderId="1" xfId="0" applyNumberFormat="1" applyFont="1" applyFill="1" applyBorder="1" applyAlignment="1">
      <alignment vertical="center"/>
    </xf>
    <xf numFmtId="14" fontId="116" fillId="0" borderId="1" xfId="0" applyNumberFormat="1" applyFont="1" applyBorder="1" applyAlignment="1">
      <alignment vertical="center"/>
    </xf>
    <xf numFmtId="14" fontId="117" fillId="0" borderId="1" xfId="0" applyNumberFormat="1" applyFont="1" applyBorder="1" applyAlignment="1">
      <alignment vertical="center"/>
    </xf>
    <xf numFmtId="14" fontId="120" fillId="0" borderId="1" xfId="0" applyNumberFormat="1" applyFont="1" applyBorder="1" applyAlignment="1">
      <alignment vertical="center"/>
    </xf>
    <xf numFmtId="0" fontId="116" fillId="0" borderId="1" xfId="0" applyFont="1" applyBorder="1" applyAlignment="1">
      <alignment vertical="center"/>
    </xf>
    <xf numFmtId="14" fontId="18" fillId="2" borderId="1" xfId="0" applyNumberFormat="1" applyFont="1" applyFill="1" applyBorder="1" applyAlignment="1">
      <alignment vertical="center" wrapText="1"/>
    </xf>
    <xf numFmtId="14" fontId="121" fillId="2" borderId="1" xfId="0" applyNumberFormat="1" applyFont="1" applyFill="1" applyBorder="1" applyAlignment="1">
      <alignment vertical="center" wrapText="1"/>
    </xf>
    <xf numFmtId="14" fontId="120" fillId="0" borderId="1" xfId="0" applyNumberFormat="1" applyFont="1" applyBorder="1" applyAlignment="1">
      <alignment vertical="center" wrapText="1"/>
    </xf>
    <xf numFmtId="14" fontId="117" fillId="0" borderId="1" xfId="0" applyNumberFormat="1" applyFont="1" applyBorder="1" applyAlignment="1">
      <alignment vertical="center" wrapText="1"/>
    </xf>
    <xf numFmtId="14" fontId="122" fillId="3" borderId="1" xfId="0" applyNumberFormat="1" applyFont="1" applyFill="1" applyBorder="1" applyAlignment="1">
      <alignment vertical="center" wrapText="1"/>
    </xf>
    <xf numFmtId="14" fontId="110" fillId="0" borderId="1" xfId="0" applyNumberFormat="1" applyFont="1" applyBorder="1" applyAlignment="1">
      <alignment vertical="center" wrapText="1"/>
    </xf>
    <xf numFmtId="14" fontId="110" fillId="0" borderId="1" xfId="0" applyNumberFormat="1" applyFont="1" applyFill="1" applyBorder="1" applyAlignment="1">
      <alignment vertical="center" wrapText="1"/>
    </xf>
    <xf numFmtId="14" fontId="120" fillId="0" borderId="1" xfId="0" applyNumberFormat="1" applyFont="1" applyFill="1" applyBorder="1" applyAlignment="1">
      <alignment vertical="center" wrapText="1"/>
    </xf>
    <xf numFmtId="14" fontId="116" fillId="3" borderId="1" xfId="0" applyNumberFormat="1" applyFont="1" applyFill="1" applyBorder="1" applyAlignment="1">
      <alignment vertical="center" wrapText="1"/>
    </xf>
    <xf numFmtId="14" fontId="121" fillId="0" borderId="1" xfId="0" applyNumberFormat="1" applyFont="1" applyBorder="1" applyAlignment="1">
      <alignment vertical="center"/>
    </xf>
    <xf numFmtId="14" fontId="123" fillId="0" borderId="1" xfId="0" applyNumberFormat="1" applyFont="1" applyBorder="1" applyAlignment="1">
      <alignment vertical="center"/>
    </xf>
    <xf numFmtId="14" fontId="112" fillId="0" borderId="1" xfId="0" applyNumberFormat="1" applyFont="1" applyBorder="1" applyAlignment="1">
      <alignment vertical="center" wrapText="1"/>
    </xf>
    <xf numFmtId="14" fontId="124" fillId="0" borderId="1" xfId="0" applyNumberFormat="1" applyFont="1" applyBorder="1" applyAlignment="1">
      <alignment vertical="center"/>
    </xf>
    <xf numFmtId="14" fontId="119" fillId="0" borderId="1" xfId="0" applyNumberFormat="1" applyFont="1" applyBorder="1" applyAlignment="1">
      <alignment vertical="center"/>
    </xf>
    <xf numFmtId="14" fontId="122" fillId="2" borderId="1" xfId="0" applyNumberFormat="1" applyFont="1" applyFill="1" applyBorder="1" applyAlignment="1">
      <alignment vertical="center" wrapText="1"/>
    </xf>
    <xf numFmtId="14" fontId="125" fillId="0" borderId="1" xfId="0" applyNumberFormat="1" applyFont="1" applyBorder="1" applyAlignment="1">
      <alignment vertical="center"/>
    </xf>
    <xf numFmtId="14" fontId="126" fillId="0" borderId="1" xfId="0" applyNumberFormat="1" applyFont="1" applyBorder="1" applyAlignment="1">
      <alignment vertical="center" wrapText="1"/>
    </xf>
    <xf numFmtId="14" fontId="122" fillId="0" borderId="1" xfId="0" applyNumberFormat="1" applyFont="1" applyBorder="1" applyAlignment="1">
      <alignment vertical="center" wrapText="1"/>
    </xf>
    <xf numFmtId="14" fontId="127" fillId="0" borderId="1" xfId="0" applyNumberFormat="1" applyFont="1" applyBorder="1" applyAlignment="1">
      <alignment vertical="center" wrapText="1"/>
    </xf>
    <xf numFmtId="14" fontId="128" fillId="0" borderId="1" xfId="0" applyNumberFormat="1" applyFont="1" applyBorder="1" applyAlignment="1">
      <alignment vertical="center" wrapText="1"/>
    </xf>
    <xf numFmtId="14" fontId="114" fillId="0" borderId="1" xfId="0" applyNumberFormat="1" applyFont="1" applyBorder="1" applyAlignment="1">
      <alignment vertical="center" wrapText="1"/>
    </xf>
    <xf numFmtId="14" fontId="125" fillId="3" borderId="1" xfId="0" applyNumberFormat="1" applyFont="1" applyFill="1" applyBorder="1" applyAlignment="1">
      <alignment vertical="center"/>
    </xf>
    <xf numFmtId="14" fontId="129" fillId="0" borderId="1" xfId="0" applyNumberFormat="1" applyFont="1" applyBorder="1" applyAlignment="1">
      <alignment vertical="center" wrapText="1"/>
    </xf>
    <xf numFmtId="14" fontId="115" fillId="0" borderId="1" xfId="0" applyNumberFormat="1" applyFont="1" applyBorder="1" applyAlignment="1">
      <alignment vertical="center" wrapText="1"/>
    </xf>
    <xf numFmtId="14" fontId="112" fillId="3" borderId="1" xfId="0" applyNumberFormat="1" applyFont="1" applyFill="1" applyBorder="1" applyAlignment="1">
      <alignment vertical="center" wrapText="1"/>
    </xf>
    <xf numFmtId="14" fontId="130" fillId="2" borderId="1" xfId="0" applyNumberFormat="1" applyFont="1" applyFill="1" applyBorder="1" applyAlignment="1">
      <alignment vertical="center" wrapText="1"/>
    </xf>
    <xf numFmtId="14" fontId="123" fillId="0" borderId="1" xfId="0" applyNumberFormat="1" applyFont="1" applyBorder="1" applyAlignment="1">
      <alignment vertical="center" wrapText="1"/>
    </xf>
    <xf numFmtId="14" fontId="131" fillId="2" borderId="1" xfId="0" applyNumberFormat="1" applyFont="1" applyFill="1" applyBorder="1" applyAlignment="1">
      <alignment vertical="center" wrapText="1"/>
    </xf>
    <xf numFmtId="14" fontId="132" fillId="3" borderId="1" xfId="0" applyNumberFormat="1" applyFont="1" applyFill="1" applyBorder="1" applyAlignment="1">
      <alignment vertical="center" wrapText="1"/>
    </xf>
    <xf numFmtId="14" fontId="125" fillId="47" borderId="1" xfId="0" applyNumberFormat="1" applyFont="1" applyFill="1" applyBorder="1" applyAlignment="1">
      <alignment vertical="center"/>
    </xf>
    <xf numFmtId="14" fontId="114" fillId="3" borderId="1" xfId="0" applyNumberFormat="1" applyFont="1" applyFill="1" applyBorder="1" applyAlignment="1">
      <alignment vertical="center" wrapText="1"/>
    </xf>
    <xf numFmtId="14" fontId="112" fillId="0" borderId="1" xfId="0" applyNumberFormat="1" applyFont="1" applyFill="1" applyBorder="1" applyAlignment="1">
      <alignment vertical="center" wrapText="1"/>
    </xf>
    <xf numFmtId="14" fontId="114" fillId="0" borderId="1" xfId="0" applyNumberFormat="1" applyFont="1" applyFill="1" applyBorder="1" applyAlignment="1">
      <alignment vertical="center" wrapText="1"/>
    </xf>
    <xf numFmtId="14" fontId="112" fillId="0" borderId="1" xfId="0" applyNumberFormat="1" applyFont="1" applyBorder="1" applyAlignment="1">
      <alignment horizontal="right" vertical="center" wrapText="1"/>
    </xf>
    <xf numFmtId="14" fontId="112" fillId="3" borderId="1" xfId="0" applyNumberFormat="1" applyFont="1" applyFill="1" applyBorder="1" applyAlignment="1">
      <alignment horizontal="right" vertical="center" wrapText="1"/>
    </xf>
    <xf numFmtId="14" fontId="116" fillId="3" borderId="1" xfId="0" applyNumberFormat="1" applyFont="1" applyFill="1" applyBorder="1" applyAlignment="1">
      <alignment horizontal="right" vertical="center"/>
    </xf>
    <xf numFmtId="14" fontId="116" fillId="3" borderId="1" xfId="0" applyNumberFormat="1" applyFont="1" applyFill="1" applyBorder="1" applyAlignment="1">
      <alignment horizontal="left" vertical="center"/>
    </xf>
    <xf numFmtId="14" fontId="114" fillId="0" borderId="1" xfId="0" applyNumberFormat="1" applyFont="1" applyBorder="1" applyAlignment="1">
      <alignment horizontal="right" vertical="center" wrapText="1"/>
    </xf>
    <xf numFmtId="14" fontId="112" fillId="0" borderId="1" xfId="0" applyNumberFormat="1" applyFont="1" applyBorder="1" applyAlignment="1">
      <alignment horizontal="right" wrapText="1"/>
    </xf>
    <xf numFmtId="0" fontId="91" fillId="0" borderId="1" xfId="0" applyFont="1" applyFill="1" applyBorder="1" applyAlignment="1">
      <alignment vertical="center"/>
    </xf>
    <xf numFmtId="0" fontId="94" fillId="0" borderId="1" xfId="0" applyFont="1" applyFill="1" applyBorder="1" applyAlignment="1">
      <alignment vertical="center" wrapText="1"/>
    </xf>
    <xf numFmtId="14" fontId="112" fillId="3" borderId="1" xfId="0" applyNumberFormat="1" applyFont="1" applyFill="1" applyBorder="1" applyAlignment="1">
      <alignment horizontal="right" wrapText="1"/>
    </xf>
    <xf numFmtId="0" fontId="25" fillId="3" borderId="5" xfId="0" applyFont="1" applyFill="1" applyBorder="1" applyAlignment="1"/>
    <xf numFmtId="0" fontId="88" fillId="3" borderId="5" xfId="0" applyFont="1" applyFill="1" applyBorder="1" applyAlignment="1">
      <alignment horizontal="center" wrapText="1"/>
    </xf>
    <xf numFmtId="0" fontId="0" fillId="3" borderId="5" xfId="0" applyFill="1" applyBorder="1" applyAlignment="1">
      <alignment horizontal="center"/>
    </xf>
    <xf numFmtId="0" fontId="9" fillId="3" borderId="5" xfId="0" applyFont="1" applyFill="1" applyBorder="1" applyAlignment="1">
      <alignment horizontal="left" vertical="center" wrapText="1"/>
    </xf>
    <xf numFmtId="0" fontId="14" fillId="3" borderId="5" xfId="0" applyFont="1" applyFill="1" applyBorder="1" applyAlignment="1">
      <alignment horizontal="left" vertical="center" wrapText="1"/>
    </xf>
    <xf numFmtId="0" fontId="0" fillId="3" borderId="5" xfId="0" applyFill="1" applyBorder="1" applyAlignment="1">
      <alignment vertical="center"/>
    </xf>
    <xf numFmtId="0" fontId="9" fillId="3" borderId="5" xfId="0" applyFont="1" applyFill="1" applyBorder="1" applyAlignment="1">
      <alignment horizontal="right" vertical="center" wrapText="1"/>
    </xf>
    <xf numFmtId="14" fontId="9" fillId="3" borderId="5" xfId="0" applyNumberFormat="1" applyFont="1" applyFill="1" applyBorder="1" applyAlignment="1">
      <alignment horizontal="right" vertical="center" wrapText="1"/>
    </xf>
    <xf numFmtId="14" fontId="0" fillId="0" borderId="5" xfId="0" applyNumberFormat="1" applyFill="1" applyBorder="1" applyAlignment="1">
      <alignment vertical="center"/>
    </xf>
    <xf numFmtId="14" fontId="0" fillId="3" borderId="5" xfId="0" applyNumberFormat="1" applyFill="1" applyBorder="1" applyAlignment="1">
      <alignment vertical="center"/>
    </xf>
    <xf numFmtId="14" fontId="9" fillId="0" borderId="1" xfId="0" applyNumberFormat="1" applyFont="1" applyFill="1" applyBorder="1" applyAlignment="1">
      <alignment horizontal="right" wrapText="1"/>
    </xf>
    <xf numFmtId="0" fontId="14" fillId="0" borderId="1" xfId="0" applyFont="1" applyFill="1" applyBorder="1" applyAlignment="1">
      <alignment wrapText="1"/>
    </xf>
    <xf numFmtId="0" fontId="14" fillId="0" borderId="1" xfId="0" applyFont="1" applyFill="1" applyBorder="1" applyAlignment="1">
      <alignment horizontal="left" wrapText="1"/>
    </xf>
    <xf numFmtId="0" fontId="22" fillId="0" borderId="1" xfId="0" applyFont="1" applyFill="1" applyBorder="1" applyAlignment="1">
      <alignment horizontal="left" wrapText="1"/>
    </xf>
    <xf numFmtId="0" fontId="133" fillId="45" borderId="1" xfId="5" applyFont="1" applyFill="1" applyBorder="1" applyAlignment="1" applyProtection="1">
      <alignment horizontal="right"/>
    </xf>
    <xf numFmtId="0" fontId="134" fillId="45" borderId="1" xfId="5" applyFont="1" applyFill="1" applyBorder="1" applyAlignment="1" applyProtection="1">
      <alignment horizontal="right"/>
    </xf>
    <xf numFmtId="0" fontId="51" fillId="49" borderId="1" xfId="5" applyFont="1" applyFill="1" applyBorder="1" applyAlignment="1" applyProtection="1">
      <alignment horizontal="right"/>
    </xf>
    <xf numFmtId="0" fontId="52" fillId="49" borderId="1" xfId="5" applyFont="1" applyFill="1" applyBorder="1" applyAlignment="1" applyProtection="1">
      <alignment horizontal="right"/>
    </xf>
    <xf numFmtId="11" fontId="22" fillId="3" borderId="1" xfId="0" applyNumberFormat="1" applyFont="1" applyFill="1" applyBorder="1" applyAlignment="1">
      <alignment horizontal="left" vertical="center" wrapText="1"/>
    </xf>
    <xf numFmtId="0" fontId="28" fillId="0" borderId="1" xfId="0" applyFont="1" applyFill="1" applyBorder="1" applyAlignment="1">
      <alignment vertical="center" wrapText="1"/>
    </xf>
    <xf numFmtId="14" fontId="119" fillId="47" borderId="1" xfId="0" applyNumberFormat="1" applyFont="1" applyFill="1" applyBorder="1" applyAlignment="1">
      <alignment vertical="center"/>
    </xf>
    <xf numFmtId="14" fontId="29" fillId="47" borderId="1" xfId="0" applyNumberFormat="1" applyFont="1" applyFill="1" applyBorder="1" applyAlignment="1">
      <alignment vertical="center"/>
    </xf>
    <xf numFmtId="0" fontId="28" fillId="4" borderId="1" xfId="0" applyFont="1" applyFill="1" applyBorder="1" applyAlignment="1">
      <alignment vertical="center" wrapText="1"/>
    </xf>
    <xf numFmtId="0" fontId="88" fillId="2" borderId="1" xfId="0" applyFont="1" applyFill="1" applyBorder="1" applyAlignment="1">
      <alignment horizontal="center" vertical="center" wrapText="1"/>
    </xf>
    <xf numFmtId="0" fontId="24" fillId="0" borderId="1" xfId="0" applyFont="1" applyFill="1" applyBorder="1" applyAlignment="1">
      <alignment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112" fillId="0" borderId="1" xfId="0" applyFont="1" applyFill="1" applyBorder="1" applyAlignment="1">
      <alignment wrapText="1"/>
    </xf>
    <xf numFmtId="0" fontId="112" fillId="0" borderId="1" xfId="0" applyFont="1" applyBorder="1" applyAlignment="1">
      <alignment wrapText="1"/>
    </xf>
    <xf numFmtId="0" fontId="112" fillId="2" borderId="1" xfId="0" applyFont="1" applyFill="1" applyBorder="1" applyAlignment="1">
      <alignment wrapText="1"/>
    </xf>
    <xf numFmtId="14" fontId="130" fillId="2" borderId="1" xfId="0" applyNumberFormat="1" applyFont="1" applyFill="1" applyBorder="1" applyAlignment="1">
      <alignment horizontal="right" wrapText="1"/>
    </xf>
    <xf numFmtId="0" fontId="112" fillId="0" borderId="1" xfId="0" applyFont="1" applyBorder="1" applyAlignment="1">
      <alignment horizontal="left" wrapText="1"/>
    </xf>
    <xf numFmtId="0" fontId="114" fillId="0" borderId="1" xfId="0" applyFont="1" applyBorder="1" applyAlignment="1">
      <alignment horizontal="left" wrapText="1"/>
    </xf>
    <xf numFmtId="14" fontId="110" fillId="47" borderId="1" xfId="0" applyNumberFormat="1" applyFont="1" applyFill="1" applyBorder="1" applyAlignment="1">
      <alignment vertical="center"/>
    </xf>
    <xf numFmtId="14" fontId="91" fillId="47" borderId="1" xfId="0" applyNumberFormat="1" applyFont="1" applyFill="1" applyBorder="1" applyAlignment="1">
      <alignment vertical="center"/>
    </xf>
    <xf numFmtId="0" fontId="6" fillId="0" borderId="0" xfId="13" applyFont="1" applyFill="1" applyBorder="1" applyAlignment="1" applyProtection="1">
      <protection locked="0"/>
    </xf>
    <xf numFmtId="0" fontId="1" fillId="0" borderId="0" xfId="13" applyFont="1" applyFill="1" applyBorder="1" applyAlignment="1" applyProtection="1">
      <protection locked="0"/>
    </xf>
    <xf numFmtId="0" fontId="6" fillId="0" borderId="0" xfId="13" applyFont="1" applyFill="1" applyBorder="1" applyAlignment="1" applyProtection="1">
      <alignment vertical="center"/>
      <protection locked="0"/>
    </xf>
    <xf numFmtId="0" fontId="97" fillId="0" borderId="0" xfId="13" applyFont="1" applyFill="1" applyBorder="1" applyAlignment="1" applyProtection="1">
      <alignment vertical="center"/>
      <protection locked="0"/>
    </xf>
    <xf numFmtId="0" fontId="97" fillId="0" borderId="0" xfId="13" applyFont="1" applyFill="1" applyBorder="1" applyAlignment="1" applyProtection="1">
      <protection locked="0"/>
    </xf>
    <xf numFmtId="0" fontId="102" fillId="0" borderId="0" xfId="0" applyFont="1" applyFill="1" applyBorder="1" applyAlignment="1"/>
    <xf numFmtId="0" fontId="2" fillId="0" borderId="0" xfId="13" applyFont="1" applyFill="1" applyBorder="1" applyAlignment="1" applyProtection="1">
      <alignment vertical="center"/>
      <protection locked="0"/>
    </xf>
    <xf numFmtId="14" fontId="24" fillId="0" borderId="1" xfId="0" applyNumberFormat="1" applyFont="1" applyBorder="1" applyAlignment="1">
      <alignment vertical="center" wrapText="1"/>
    </xf>
    <xf numFmtId="11" fontId="28" fillId="0" borderId="1" xfId="0" applyNumberFormat="1" applyFont="1" applyFill="1" applyBorder="1" applyAlignment="1">
      <alignment horizontal="left" vertical="center" wrapText="1"/>
    </xf>
    <xf numFmtId="14" fontId="126" fillId="0" borderId="1" xfId="0" applyNumberFormat="1" applyFont="1" applyFill="1" applyBorder="1" applyAlignment="1">
      <alignment vertical="center" wrapText="1"/>
    </xf>
    <xf numFmtId="14" fontId="28" fillId="0" borderId="1" xfId="0" applyNumberFormat="1" applyFont="1" applyFill="1" applyBorder="1" applyAlignment="1">
      <alignment vertical="center" wrapText="1"/>
    </xf>
    <xf numFmtId="0" fontId="30" fillId="0" borderId="1" xfId="0" applyFont="1" applyFill="1" applyBorder="1" applyAlignment="1">
      <alignment vertical="center" wrapText="1"/>
    </xf>
    <xf numFmtId="0" fontId="112" fillId="0" borderId="5" xfId="0" applyFont="1" applyFill="1" applyBorder="1" applyAlignment="1">
      <alignment wrapText="1"/>
    </xf>
    <xf numFmtId="0" fontId="112" fillId="0" borderId="5" xfId="0" applyFont="1" applyBorder="1" applyAlignment="1">
      <alignment wrapText="1"/>
    </xf>
    <xf numFmtId="0" fontId="112" fillId="2" borderId="5" xfId="0" applyFont="1" applyFill="1" applyBorder="1" applyAlignment="1">
      <alignment wrapText="1"/>
    </xf>
    <xf numFmtId="14" fontId="112" fillId="3" borderId="5" xfId="0" applyNumberFormat="1" applyFont="1" applyFill="1" applyBorder="1" applyAlignment="1">
      <alignment horizontal="right" vertical="center" wrapText="1"/>
    </xf>
    <xf numFmtId="0" fontId="0" fillId="0" borderId="2" xfId="0" applyBorder="1" applyAlignment="1">
      <alignment vertical="center"/>
    </xf>
    <xf numFmtId="0" fontId="12" fillId="2" borderId="5" xfId="0" applyFont="1" applyFill="1" applyBorder="1" applyAlignment="1">
      <alignment horizontal="center" vertical="center" wrapText="1"/>
    </xf>
    <xf numFmtId="0" fontId="9" fillId="0" borderId="5" xfId="0" applyFont="1" applyBorder="1" applyAlignment="1">
      <alignment vertical="center" wrapText="1"/>
    </xf>
    <xf numFmtId="14" fontId="112" fillId="0" borderId="5" xfId="0" applyNumberFormat="1" applyFont="1" applyBorder="1" applyAlignment="1">
      <alignment horizontal="right" wrapText="1"/>
    </xf>
    <xf numFmtId="0" fontId="0" fillId="0" borderId="2" xfId="0" applyBorder="1" applyAlignment="1">
      <alignment horizontal="left"/>
    </xf>
    <xf numFmtId="0" fontId="114" fillId="0" borderId="1" xfId="0" applyFont="1" applyFill="1" applyBorder="1" applyAlignment="1">
      <alignment horizontal="left" wrapText="1"/>
    </xf>
    <xf numFmtId="0" fontId="114" fillId="2" borderId="1" xfId="0" applyFont="1" applyFill="1" applyBorder="1" applyAlignment="1">
      <alignment horizontal="left" wrapText="1"/>
    </xf>
    <xf numFmtId="0" fontId="9" fillId="2" borderId="5" xfId="0" applyFont="1" applyFill="1" applyBorder="1" applyAlignment="1">
      <alignment horizontal="left" wrapText="1"/>
    </xf>
    <xf numFmtId="14" fontId="114" fillId="0" borderId="1" xfId="0" applyNumberFormat="1" applyFont="1" applyBorder="1" applyAlignment="1">
      <alignment horizontal="right" wrapText="1"/>
    </xf>
    <xf numFmtId="0" fontId="13" fillId="0" borderId="2" xfId="0" applyFont="1" applyBorder="1"/>
    <xf numFmtId="0" fontId="25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/>
    </xf>
    <xf numFmtId="0" fontId="25" fillId="0" borderId="1" xfId="0" applyFont="1" applyFill="1" applyBorder="1" applyAlignment="1">
      <alignment horizontal="left" vertical="center"/>
    </xf>
    <xf numFmtId="0" fontId="25" fillId="0" borderId="2" xfId="0" applyFont="1" applyFill="1" applyBorder="1" applyAlignment="1">
      <alignment vertical="center"/>
    </xf>
    <xf numFmtId="0" fontId="25" fillId="0" borderId="23" xfId="0" applyFont="1" applyFill="1" applyBorder="1" applyAlignment="1">
      <alignment horizontal="left" vertical="center"/>
    </xf>
    <xf numFmtId="0" fontId="13" fillId="0" borderId="23" xfId="0" applyFont="1" applyBorder="1" applyAlignment="1">
      <alignment horizontal="left"/>
    </xf>
    <xf numFmtId="0" fontId="8" fillId="0" borderId="1" xfId="0" applyFont="1" applyBorder="1" applyAlignment="1"/>
    <xf numFmtId="0" fontId="55" fillId="0" borderId="1" xfId="0" applyFont="1" applyBorder="1" applyAlignment="1">
      <alignment vertical="center" wrapText="1"/>
    </xf>
    <xf numFmtId="0" fontId="98" fillId="0" borderId="1" xfId="0" applyFont="1" applyBorder="1" applyAlignment="1">
      <alignment vertical="center" wrapText="1"/>
    </xf>
    <xf numFmtId="166" fontId="0" fillId="3" borderId="1" xfId="0" applyNumberFormat="1" applyFill="1" applyBorder="1" applyAlignment="1"/>
    <xf numFmtId="167" fontId="0" fillId="3" borderId="1" xfId="0" applyNumberFormat="1" applyFill="1" applyBorder="1" applyAlignment="1"/>
    <xf numFmtId="20" fontId="0" fillId="3" borderId="1" xfId="0" applyNumberFormat="1" applyFill="1" applyBorder="1" applyAlignment="1"/>
    <xf numFmtId="166" fontId="80" fillId="0" borderId="1" xfId="0" applyNumberFormat="1" applyFont="1" applyBorder="1" applyAlignment="1"/>
    <xf numFmtId="167" fontId="80" fillId="0" borderId="1" xfId="0" applyNumberFormat="1" applyFont="1" applyBorder="1" applyAlignment="1"/>
    <xf numFmtId="0" fontId="80" fillId="0" borderId="1" xfId="0" applyFont="1" applyFill="1" applyBorder="1" applyAlignment="1"/>
    <xf numFmtId="0" fontId="80" fillId="0" borderId="1" xfId="0" applyFont="1" applyBorder="1" applyAlignment="1">
      <alignment wrapText="1"/>
    </xf>
    <xf numFmtId="0" fontId="82" fillId="0" borderId="1" xfId="0" applyFont="1" applyBorder="1" applyAlignment="1">
      <alignment wrapText="1"/>
    </xf>
    <xf numFmtId="0" fontId="82" fillId="0" borderId="1" xfId="0" applyFont="1" applyFill="1" applyBorder="1" applyAlignment="1">
      <alignment wrapText="1"/>
    </xf>
    <xf numFmtId="166" fontId="73" fillId="0" borderId="1" xfId="0" applyNumberFormat="1" applyFont="1" applyBorder="1" applyAlignment="1"/>
    <xf numFmtId="167" fontId="73" fillId="0" borderId="1" xfId="0" applyNumberFormat="1" applyFont="1" applyBorder="1" applyAlignment="1"/>
    <xf numFmtId="0" fontId="73" fillId="0" borderId="1" xfId="0" applyFont="1" applyBorder="1" applyAlignment="1">
      <alignment wrapText="1"/>
    </xf>
    <xf numFmtId="0" fontId="73" fillId="0" borderId="1" xfId="0" applyFont="1" applyFill="1" applyBorder="1" applyAlignment="1"/>
    <xf numFmtId="20" fontId="73" fillId="0" borderId="1" xfId="0" applyNumberFormat="1" applyFont="1" applyBorder="1" applyAlignment="1"/>
    <xf numFmtId="0" fontId="24" fillId="4" borderId="1" xfId="0" applyFont="1" applyFill="1" applyBorder="1" applyAlignment="1">
      <alignment vertical="center" wrapText="1"/>
    </xf>
    <xf numFmtId="0" fontId="88" fillId="3" borderId="1" xfId="0" applyFont="1" applyFill="1" applyBorder="1" applyAlignment="1">
      <alignment horizontal="center" vertical="center" wrapText="1"/>
    </xf>
    <xf numFmtId="14" fontId="115" fillId="3" borderId="1" xfId="0" applyNumberFormat="1" applyFont="1" applyFill="1" applyBorder="1" applyAlignment="1">
      <alignment vertical="center" wrapText="1"/>
    </xf>
    <xf numFmtId="14" fontId="24" fillId="3" borderId="1" xfId="0" applyNumberFormat="1" applyFont="1" applyFill="1" applyBorder="1" applyAlignment="1">
      <alignment vertical="center" wrapText="1"/>
    </xf>
    <xf numFmtId="0" fontId="25" fillId="3" borderId="0" xfId="0" applyFont="1" applyFill="1" applyAlignment="1">
      <alignment vertical="top"/>
    </xf>
    <xf numFmtId="0" fontId="0" fillId="3" borderId="6" xfId="0" applyFill="1" applyBorder="1"/>
    <xf numFmtId="0" fontId="94" fillId="4" borderId="1" xfId="0" applyFont="1" applyFill="1" applyBorder="1" applyAlignment="1">
      <alignment horizontal="left" vertical="center" wrapText="1"/>
    </xf>
    <xf numFmtId="0" fontId="9" fillId="0" borderId="23" xfId="0" applyFont="1" applyBorder="1" applyAlignment="1">
      <alignment horizontal="left" wrapText="1"/>
    </xf>
    <xf numFmtId="14" fontId="25" fillId="0" borderId="1" xfId="0" applyNumberFormat="1" applyFont="1" applyFill="1" applyBorder="1" applyAlignment="1">
      <alignment horizontal="right" vertical="center"/>
    </xf>
    <xf numFmtId="0" fontId="13" fillId="0" borderId="1" xfId="0" applyFont="1" applyBorder="1" applyAlignment="1">
      <alignment horizontal="right"/>
    </xf>
    <xf numFmtId="0" fontId="25" fillId="0" borderId="1" xfId="0" applyFont="1" applyFill="1" applyBorder="1" applyAlignment="1">
      <alignment horizontal="right" vertical="center"/>
    </xf>
    <xf numFmtId="0" fontId="25" fillId="0" borderId="23" xfId="0" applyFont="1" applyFill="1" applyBorder="1" applyAlignment="1">
      <alignment horizontal="right" vertical="center"/>
    </xf>
    <xf numFmtId="0" fontId="13" fillId="0" borderId="23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0" fillId="0" borderId="0" xfId="0" applyFont="1" applyAlignment="1">
      <alignment horizontal="center"/>
    </xf>
    <xf numFmtId="166" fontId="0" fillId="3" borderId="1" xfId="0" applyNumberFormat="1" applyFill="1" applyBorder="1" applyAlignment="1">
      <alignment horizontal="right"/>
    </xf>
    <xf numFmtId="166" fontId="80" fillId="0" borderId="1" xfId="0" applyNumberFormat="1" applyFont="1" applyBorder="1" applyAlignment="1">
      <alignment horizontal="right"/>
    </xf>
    <xf numFmtId="14" fontId="80" fillId="0" borderId="1" xfId="0" applyNumberFormat="1" applyFont="1" applyBorder="1" applyAlignment="1">
      <alignment horizontal="right"/>
    </xf>
    <xf numFmtId="166" fontId="73" fillId="0" borderId="1" xfId="0" applyNumberFormat="1" applyFont="1" applyBorder="1" applyAlignment="1">
      <alignment horizontal="right"/>
    </xf>
    <xf numFmtId="0" fontId="73" fillId="0" borderId="1" xfId="0" applyFont="1" applyBorder="1" applyAlignment="1">
      <alignment horizontal="right"/>
    </xf>
    <xf numFmtId="14" fontId="73" fillId="0" borderId="1" xfId="0" applyNumberFormat="1" applyFont="1" applyBorder="1" applyAlignment="1">
      <alignment horizontal="right"/>
    </xf>
    <xf numFmtId="0" fontId="0" fillId="0" borderId="0" xfId="0" applyAlignment="1">
      <alignment horizontal="right"/>
    </xf>
    <xf numFmtId="14" fontId="22" fillId="0" borderId="1" xfId="0" applyNumberFormat="1" applyFont="1" applyFill="1" applyBorder="1" applyAlignment="1">
      <alignment horizontal="right" wrapText="1"/>
    </xf>
    <xf numFmtId="0" fontId="28" fillId="4" borderId="1" xfId="0" applyFont="1" applyFill="1" applyBorder="1" applyAlignment="1">
      <alignment horizontal="left" vertical="center" wrapText="1"/>
    </xf>
    <xf numFmtId="0" fontId="28" fillId="0" borderId="1" xfId="0" applyFont="1" applyBorder="1" applyAlignment="1">
      <alignment wrapText="1"/>
    </xf>
    <xf numFmtId="0" fontId="28" fillId="2" borderId="1" xfId="0" applyFont="1" applyFill="1" applyBorder="1" applyAlignment="1">
      <alignment wrapText="1"/>
    </xf>
    <xf numFmtId="14" fontId="126" fillId="0" borderId="1" xfId="0" applyNumberFormat="1" applyFont="1" applyBorder="1" applyAlignment="1">
      <alignment horizontal="right" wrapText="1"/>
    </xf>
    <xf numFmtId="14" fontId="28" fillId="0" borderId="1" xfId="0" applyNumberFormat="1" applyFont="1" applyBorder="1" applyAlignment="1">
      <alignment horizontal="right" wrapText="1"/>
    </xf>
    <xf numFmtId="0" fontId="26" fillId="0" borderId="1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4" fillId="2" borderId="1" xfId="0" applyFont="1" applyFill="1" applyBorder="1" applyAlignment="1">
      <alignment vertical="center" wrapText="1"/>
    </xf>
    <xf numFmtId="0" fontId="25" fillId="0" borderId="0" xfId="0" applyFont="1" applyAlignment="1">
      <alignment vertical="top"/>
    </xf>
    <xf numFmtId="14" fontId="25" fillId="0" borderId="1" xfId="0" applyNumberFormat="1" applyFont="1" applyBorder="1" applyAlignment="1">
      <alignment horizontal="left" vertical="center"/>
    </xf>
    <xf numFmtId="0" fontId="0" fillId="0" borderId="5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1" xfId="0" applyBorder="1" applyAlignment="1">
      <alignment vertical="top"/>
    </xf>
    <xf numFmtId="0" fontId="0" fillId="0" borderId="4" xfId="0" applyBorder="1"/>
    <xf numFmtId="0" fontId="12" fillId="2" borderId="1" xfId="0" applyFont="1" applyFill="1" applyBorder="1" applyAlignment="1">
      <alignment horizontal="center" wrapText="1"/>
    </xf>
    <xf numFmtId="14" fontId="93" fillId="0" borderId="1" xfId="0" applyNumberFormat="1" applyFont="1" applyBorder="1" applyAlignment="1">
      <alignment vertical="center"/>
    </xf>
    <xf numFmtId="0" fontId="93" fillId="0" borderId="1" xfId="0" applyFont="1" applyBorder="1" applyAlignment="1">
      <alignment vertical="center"/>
    </xf>
    <xf numFmtId="14" fontId="68" fillId="3" borderId="1" xfId="0" applyNumberFormat="1" applyFont="1" applyFill="1" applyBorder="1" applyAlignment="1">
      <alignment vertical="center"/>
    </xf>
    <xf numFmtId="0" fontId="68" fillId="3" borderId="1" xfId="0" applyFont="1" applyFill="1" applyBorder="1" applyAlignment="1">
      <alignment vertical="center"/>
    </xf>
    <xf numFmtId="0" fontId="70" fillId="3" borderId="1" xfId="0" applyFont="1" applyFill="1" applyBorder="1" applyAlignment="1">
      <alignment vertical="center"/>
    </xf>
    <xf numFmtId="14" fontId="70" fillId="3" borderId="1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wrapText="1"/>
    </xf>
    <xf numFmtId="0" fontId="9" fillId="3" borderId="23" xfId="0" applyFont="1" applyFill="1" applyBorder="1" applyAlignment="1">
      <alignment horizontal="left" wrapText="1"/>
    </xf>
    <xf numFmtId="0" fontId="9" fillId="3" borderId="23" xfId="0" applyFont="1" applyFill="1" applyBorder="1" applyAlignment="1">
      <alignment horizontal="right" wrapText="1"/>
    </xf>
    <xf numFmtId="0" fontId="80" fillId="0" borderId="1" xfId="0" applyFont="1" applyBorder="1" applyAlignment="1">
      <alignment horizontal="center"/>
    </xf>
    <xf numFmtId="0" fontId="80" fillId="0" borderId="1" xfId="0" applyFont="1" applyFill="1" applyBorder="1" applyAlignment="1">
      <alignment horizontal="right"/>
    </xf>
    <xf numFmtId="0" fontId="75" fillId="0" borderId="1" xfId="0" applyFont="1" applyFill="1" applyBorder="1" applyAlignment="1">
      <alignment wrapText="1"/>
    </xf>
    <xf numFmtId="0" fontId="73" fillId="0" borderId="0" xfId="0" applyFont="1" applyAlignment="1">
      <alignment horizontal="center"/>
    </xf>
    <xf numFmtId="0" fontId="73" fillId="0" borderId="1" xfId="0" applyFont="1" applyFill="1" applyBorder="1" applyAlignment="1">
      <alignment horizontal="right"/>
    </xf>
    <xf numFmtId="0" fontId="9" fillId="0" borderId="23" xfId="0" applyFont="1" applyFill="1" applyBorder="1" applyAlignment="1">
      <alignment horizontal="left" wrapText="1"/>
    </xf>
    <xf numFmtId="0" fontId="33" fillId="52" borderId="1" xfId="0" applyFont="1" applyFill="1" applyBorder="1" applyAlignment="1" applyProtection="1">
      <alignment horizontal="center"/>
      <protection locked="0"/>
    </xf>
    <xf numFmtId="0" fontId="143" fillId="52" borderId="1" xfId="0" applyFont="1" applyFill="1" applyBorder="1" applyProtection="1">
      <protection locked="0"/>
    </xf>
    <xf numFmtId="0" fontId="0" fillId="52" borderId="1" xfId="0" applyFill="1" applyBorder="1" applyProtection="1">
      <protection locked="0"/>
    </xf>
    <xf numFmtId="0" fontId="55" fillId="52" borderId="1" xfId="0" applyFont="1" applyFill="1" applyBorder="1" applyProtection="1">
      <protection locked="0"/>
    </xf>
    <xf numFmtId="0" fontId="144" fillId="52" borderId="1" xfId="0" applyFont="1" applyFill="1" applyBorder="1" applyAlignment="1" applyProtection="1">
      <alignment horizontal="center" vertical="center"/>
      <protection locked="0"/>
    </xf>
    <xf numFmtId="0" fontId="55" fillId="52" borderId="1" xfId="0" applyFont="1" applyFill="1" applyBorder="1" applyAlignment="1" applyProtection="1">
      <alignment horizontal="center" vertical="center"/>
      <protection locked="0"/>
    </xf>
    <xf numFmtId="0" fontId="51" fillId="0" borderId="0" xfId="5" applyFont="1" applyFill="1" applyBorder="1" applyAlignment="1" applyProtection="1">
      <alignment horizontal="right"/>
    </xf>
    <xf numFmtId="0" fontId="52" fillId="0" borderId="0" xfId="5" applyFont="1" applyFill="1" applyBorder="1" applyAlignment="1" applyProtection="1">
      <alignment horizontal="center"/>
    </xf>
    <xf numFmtId="0" fontId="78" fillId="0" borderId="0" xfId="5" applyFont="1" applyFill="1" applyBorder="1" applyAlignment="1" applyProtection="1">
      <alignment horizontal="right"/>
    </xf>
    <xf numFmtId="0" fontId="4" fillId="0" borderId="0" xfId="8" applyFont="1" applyFill="1" applyBorder="1" applyAlignment="1" applyProtection="1">
      <alignment horizontal="right"/>
    </xf>
    <xf numFmtId="0" fontId="33" fillId="0" borderId="0" xfId="8" applyFont="1" applyFill="1" applyBorder="1" applyProtection="1"/>
    <xf numFmtId="0" fontId="52" fillId="0" borderId="0" xfId="5" applyFont="1" applyFill="1" applyBorder="1" applyAlignment="1" applyProtection="1"/>
    <xf numFmtId="0" fontId="79" fillId="0" borderId="0" xfId="7" applyFont="1" applyFill="1" applyBorder="1" applyAlignment="1" applyProtection="1">
      <alignment vertical="center"/>
    </xf>
    <xf numFmtId="0" fontId="33" fillId="0" borderId="0" xfId="8" applyFont="1" applyFill="1" applyBorder="1" applyAlignment="1" applyProtection="1"/>
    <xf numFmtId="0" fontId="45" fillId="0" borderId="0" xfId="11" applyFont="1" applyFill="1" applyBorder="1" applyAlignment="1" applyProtection="1"/>
    <xf numFmtId="0" fontId="146" fillId="0" borderId="1" xfId="0" applyFont="1" applyBorder="1" applyAlignment="1"/>
    <xf numFmtId="0" fontId="22" fillId="0" borderId="23" xfId="0" applyFont="1" applyFill="1" applyBorder="1" applyAlignment="1">
      <alignment horizontal="left" wrapText="1"/>
    </xf>
    <xf numFmtId="0" fontId="73" fillId="0" borderId="5" xfId="0" applyFont="1" applyBorder="1" applyAlignment="1"/>
    <xf numFmtId="0" fontId="128" fillId="0" borderId="1" xfId="0" applyFont="1" applyFill="1" applyBorder="1" applyAlignment="1">
      <alignment wrapText="1"/>
    </xf>
    <xf numFmtId="0" fontId="112" fillId="0" borderId="5" xfId="0" applyFont="1" applyBorder="1" applyAlignment="1">
      <alignment horizontal="left" wrapText="1"/>
    </xf>
    <xf numFmtId="0" fontId="9" fillId="0" borderId="5" xfId="0" applyFont="1" applyBorder="1" applyAlignment="1">
      <alignment wrapText="1"/>
    </xf>
    <xf numFmtId="0" fontId="9" fillId="2" borderId="5" xfId="0" applyFont="1" applyFill="1" applyBorder="1" applyAlignment="1">
      <alignment wrapText="1"/>
    </xf>
    <xf numFmtId="14" fontId="9" fillId="0" borderId="5" xfId="0" applyNumberFormat="1" applyFont="1" applyBorder="1" applyAlignment="1">
      <alignment horizontal="right" wrapText="1"/>
    </xf>
    <xf numFmtId="14" fontId="122" fillId="3" borderId="1" xfId="0" applyNumberFormat="1" applyFont="1" applyFill="1" applyBorder="1" applyAlignment="1">
      <alignment horizontal="right" wrapText="1"/>
    </xf>
    <xf numFmtId="14" fontId="23" fillId="3" borderId="1" xfId="0" applyNumberFormat="1" applyFont="1" applyFill="1" applyBorder="1" applyAlignment="1">
      <alignment horizontal="right" wrapText="1"/>
    </xf>
    <xf numFmtId="0" fontId="25" fillId="0" borderId="5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wrapText="1"/>
    </xf>
    <xf numFmtId="0" fontId="0" fillId="0" borderId="5" xfId="0" applyBorder="1"/>
    <xf numFmtId="0" fontId="9" fillId="0" borderId="4" xfId="0" applyFont="1" applyBorder="1" applyAlignment="1">
      <alignment wrapText="1"/>
    </xf>
    <xf numFmtId="0" fontId="0" fillId="0" borderId="4" xfId="0" applyBorder="1" applyAlignment="1">
      <alignment horizontal="left" vertical="center"/>
    </xf>
    <xf numFmtId="0" fontId="88" fillId="2" borderId="1" xfId="0" applyFont="1" applyFill="1" applyBorder="1" applyAlignment="1">
      <alignment horizontal="center" wrapText="1"/>
    </xf>
    <xf numFmtId="0" fontId="24" fillId="0" borderId="1" xfId="0" applyFont="1" applyBorder="1" applyAlignment="1">
      <alignment wrapText="1"/>
    </xf>
    <xf numFmtId="0" fontId="24" fillId="2" borderId="1" xfId="0" applyFont="1" applyFill="1" applyBorder="1" applyAlignment="1">
      <alignment wrapText="1"/>
    </xf>
    <xf numFmtId="14" fontId="108" fillId="2" borderId="1" xfId="0" applyNumberFormat="1" applyFont="1" applyFill="1" applyBorder="1" applyAlignment="1">
      <alignment horizontal="right" wrapText="1"/>
    </xf>
    <xf numFmtId="0" fontId="19" fillId="5" borderId="1" xfId="0" applyFont="1" applyFill="1" applyBorder="1" applyAlignment="1">
      <alignment horizontal="left" vertical="center"/>
    </xf>
    <xf numFmtId="0" fontId="19" fillId="2" borderId="1" xfId="0" applyFont="1" applyFill="1" applyBorder="1" applyAlignment="1">
      <alignment horizontal="left" vertical="center"/>
    </xf>
    <xf numFmtId="164" fontId="9" fillId="0" borderId="1" xfId="0" applyNumberFormat="1" applyFont="1" applyBorder="1" applyAlignment="1">
      <alignment horizontal="left" vertical="center"/>
    </xf>
    <xf numFmtId="0" fontId="59" fillId="0" borderId="1" xfId="0" applyFont="1" applyBorder="1" applyAlignment="1">
      <alignment horizontal="left" vertical="center"/>
    </xf>
    <xf numFmtId="0" fontId="23" fillId="2" borderId="1" xfId="0" applyFont="1" applyFill="1" applyBorder="1" applyAlignment="1">
      <alignment horizontal="left" vertical="center"/>
    </xf>
    <xf numFmtId="0" fontId="95" fillId="2" borderId="1" xfId="0" applyFont="1" applyFill="1" applyBorder="1" applyAlignment="1">
      <alignment horizontal="left" vertical="center"/>
    </xf>
    <xf numFmtId="0" fontId="28" fillId="0" borderId="1" xfId="0" applyFont="1" applyBorder="1" applyAlignment="1">
      <alignment horizontal="left" wrapText="1"/>
    </xf>
    <xf numFmtId="0" fontId="55" fillId="0" borderId="1" xfId="0" applyFont="1" applyBorder="1" applyAlignment="1">
      <alignment horizontal="left" vertical="center" wrapText="1"/>
    </xf>
    <xf numFmtId="0" fontId="99" fillId="0" borderId="1" xfId="0" applyFont="1" applyBorder="1" applyAlignment="1">
      <alignment horizontal="left"/>
    </xf>
    <xf numFmtId="0" fontId="100" fillId="0" borderId="1" xfId="0" applyFont="1" applyBorder="1" applyAlignment="1">
      <alignment horizontal="left"/>
    </xf>
    <xf numFmtId="0" fontId="33" fillId="3" borderId="1" xfId="0" applyFont="1" applyFill="1" applyBorder="1" applyAlignment="1">
      <alignment horizontal="left"/>
    </xf>
    <xf numFmtId="0" fontId="99" fillId="0" borderId="1" xfId="0" applyFont="1" applyFill="1" applyBorder="1" applyAlignment="1">
      <alignment horizontal="left"/>
    </xf>
    <xf numFmtId="0" fontId="100" fillId="0" borderId="1" xfId="0" applyFont="1" applyFill="1" applyBorder="1" applyAlignment="1">
      <alignment horizontal="left"/>
    </xf>
    <xf numFmtId="0" fontId="99" fillId="0" borderId="1" xfId="0" applyFont="1" applyBorder="1" applyAlignment="1">
      <alignment horizontal="center"/>
    </xf>
    <xf numFmtId="0" fontId="100" fillId="0" borderId="1" xfId="0" applyFont="1" applyBorder="1" applyAlignment="1">
      <alignment horizontal="center"/>
    </xf>
    <xf numFmtId="0" fontId="100" fillId="0" borderId="1" xfId="0" applyFont="1" applyBorder="1" applyAlignment="1">
      <alignment horizontal="center" wrapText="1"/>
    </xf>
    <xf numFmtId="0" fontId="33" fillId="3" borderId="1" xfId="0" applyFont="1" applyFill="1" applyBorder="1" applyAlignment="1">
      <alignment horizontal="center"/>
    </xf>
    <xf numFmtId="0" fontId="100" fillId="0" borderId="1" xfId="0" applyFont="1" applyFill="1" applyBorder="1" applyAlignment="1">
      <alignment horizontal="center"/>
    </xf>
    <xf numFmtId="0" fontId="82" fillId="0" borderId="1" xfId="0" applyFont="1" applyBorder="1" applyAlignment="1">
      <alignment horizontal="center" wrapText="1"/>
    </xf>
    <xf numFmtId="0" fontId="75" fillId="0" borderId="1" xfId="0" applyFont="1" applyBorder="1" applyAlignment="1">
      <alignment horizontal="center" wrapText="1"/>
    </xf>
    <xf numFmtId="0" fontId="73" fillId="0" borderId="1" xfId="0" applyFont="1" applyFill="1" applyBorder="1" applyAlignment="1">
      <alignment horizontal="left"/>
    </xf>
    <xf numFmtId="0" fontId="82" fillId="0" borderId="1" xfId="0" applyFont="1" applyBorder="1" applyAlignment="1">
      <alignment horizontal="left" wrapText="1"/>
    </xf>
    <xf numFmtId="0" fontId="82" fillId="0" borderId="1" xfId="0" applyFont="1" applyFill="1" applyBorder="1" applyAlignment="1">
      <alignment horizontal="left" wrapText="1"/>
    </xf>
    <xf numFmtId="0" fontId="75" fillId="0" borderId="1" xfId="0" applyFont="1" applyFill="1" applyBorder="1" applyAlignment="1">
      <alignment horizontal="left" wrapText="1"/>
    </xf>
    <xf numFmtId="0" fontId="80" fillId="0" borderId="1" xfId="0" applyFont="1" applyFill="1" applyBorder="1" applyAlignment="1">
      <alignment horizontal="left"/>
    </xf>
    <xf numFmtId="0" fontId="144" fillId="0" borderId="6" xfId="0" applyFont="1" applyFill="1" applyBorder="1" applyAlignment="1" applyProtection="1">
      <alignment horizontal="center" vertical="center" wrapText="1"/>
      <protection locked="0"/>
    </xf>
    <xf numFmtId="0" fontId="144" fillId="0" borderId="0" xfId="0" applyFont="1" applyFill="1" applyBorder="1" applyAlignment="1" applyProtection="1">
      <alignment horizontal="center" vertical="center" wrapText="1"/>
      <protection locked="0"/>
    </xf>
    <xf numFmtId="0" fontId="144" fillId="0" borderId="0" xfId="0" applyFont="1" applyFill="1" applyBorder="1" applyAlignment="1" applyProtection="1">
      <alignment horizontal="center" vertical="center"/>
      <protection locked="0"/>
    </xf>
    <xf numFmtId="0" fontId="144" fillId="0" borderId="0" xfId="0" applyFont="1" applyFill="1" applyBorder="1" applyAlignment="1" applyProtection="1">
      <alignment vertical="center"/>
      <protection locked="0"/>
    </xf>
    <xf numFmtId="0" fontId="83" fillId="2" borderId="1" xfId="0" applyFont="1" applyFill="1" applyBorder="1" applyAlignment="1">
      <alignment wrapText="1"/>
    </xf>
    <xf numFmtId="14" fontId="83" fillId="0" borderId="1" xfId="0" applyNumberFormat="1" applyFont="1" applyBorder="1" applyAlignment="1">
      <alignment horizontal="right" wrapText="1"/>
    </xf>
    <xf numFmtId="0" fontId="147" fillId="2" borderId="1" xfId="0" applyFont="1" applyFill="1" applyBorder="1" applyAlignment="1">
      <alignment horizontal="center" wrapText="1"/>
    </xf>
    <xf numFmtId="14" fontId="22" fillId="0" borderId="1" xfId="0" applyNumberFormat="1" applyFont="1" applyBorder="1" applyAlignment="1">
      <alignment horizontal="right" wrapText="1"/>
    </xf>
    <xf numFmtId="0" fontId="24" fillId="26" borderId="1" xfId="0" applyFont="1" applyFill="1" applyBorder="1" applyAlignment="1">
      <alignment wrapText="1"/>
    </xf>
    <xf numFmtId="0" fontId="25" fillId="26" borderId="1" xfId="0" applyFont="1" applyFill="1" applyBorder="1"/>
    <xf numFmtId="0" fontId="25" fillId="26" borderId="0" xfId="0" applyFont="1" applyFill="1" applyAlignment="1">
      <alignment vertical="top"/>
    </xf>
    <xf numFmtId="0" fontId="88" fillId="26" borderId="1" xfId="0" applyFont="1" applyFill="1" applyBorder="1" applyAlignment="1">
      <alignment horizontal="center" wrapText="1"/>
    </xf>
    <xf numFmtId="0" fontId="25" fillId="26" borderId="1" xfId="0" applyFont="1" applyFill="1" applyBorder="1" applyAlignment="1">
      <alignment vertical="top"/>
    </xf>
    <xf numFmtId="0" fontId="11" fillId="2" borderId="1" xfId="0" applyFont="1" applyFill="1" applyBorder="1" applyAlignment="1"/>
    <xf numFmtId="0" fontId="9" fillId="26" borderId="1" xfId="0" applyFont="1" applyFill="1" applyBorder="1" applyAlignment="1">
      <alignment horizontal="left" wrapText="1"/>
    </xf>
    <xf numFmtId="0" fontId="9" fillId="26" borderId="1" xfId="0" applyFont="1" applyFill="1" applyBorder="1" applyAlignment="1">
      <alignment wrapText="1"/>
    </xf>
    <xf numFmtId="14" fontId="9" fillId="26" borderId="1" xfId="0" applyNumberFormat="1" applyFont="1" applyFill="1" applyBorder="1" applyAlignment="1">
      <alignment horizontal="right" wrapText="1"/>
    </xf>
    <xf numFmtId="0" fontId="25" fillId="0" borderId="0" xfId="0" applyFont="1" applyFill="1" applyAlignment="1">
      <alignment vertical="top"/>
    </xf>
    <xf numFmtId="0" fontId="0" fillId="0" borderId="1" xfId="0" applyFill="1" applyBorder="1" applyAlignment="1">
      <alignment vertical="center"/>
    </xf>
    <xf numFmtId="0" fontId="24" fillId="0" borderId="3" xfId="0" applyFont="1" applyBorder="1" applyAlignment="1">
      <alignment wrapText="1"/>
    </xf>
    <xf numFmtId="0" fontId="9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vertical="top"/>
    </xf>
    <xf numFmtId="0" fontId="9" fillId="0" borderId="5" xfId="0" applyFont="1" applyBorder="1" applyAlignment="1">
      <alignment horizontal="left" vertical="center" wrapText="1"/>
    </xf>
    <xf numFmtId="0" fontId="13" fillId="0" borderId="5" xfId="0" applyFont="1" applyBorder="1"/>
    <xf numFmtId="0" fontId="24" fillId="0" borderId="33" xfId="0" applyFont="1" applyBorder="1" applyAlignment="1">
      <alignment wrapText="1"/>
    </xf>
    <xf numFmtId="0" fontId="14" fillId="0" borderId="5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/>
    </xf>
    <xf numFmtId="0" fontId="9" fillId="0" borderId="32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wrapText="1"/>
    </xf>
    <xf numFmtId="0" fontId="9" fillId="0" borderId="32" xfId="0" applyFont="1" applyBorder="1" applyAlignment="1">
      <alignment horizontal="left" wrapText="1"/>
    </xf>
    <xf numFmtId="0" fontId="24" fillId="0" borderId="33" xfId="0" applyFont="1" applyBorder="1" applyAlignment="1">
      <alignment horizontal="left" wrapText="1"/>
    </xf>
    <xf numFmtId="0" fontId="13" fillId="0" borderId="5" xfId="0" applyFont="1" applyBorder="1" applyAlignment="1">
      <alignment horizontal="right"/>
    </xf>
    <xf numFmtId="0" fontId="25" fillId="0" borderId="33" xfId="0" applyFont="1" applyBorder="1" applyAlignment="1">
      <alignment vertical="center"/>
    </xf>
    <xf numFmtId="0" fontId="9" fillId="0" borderId="5" xfId="0" applyFont="1" applyBorder="1" applyAlignment="1">
      <alignment horizontal="right" wrapText="1"/>
    </xf>
    <xf numFmtId="0" fontId="24" fillId="0" borderId="0" xfId="0" applyFont="1" applyBorder="1" applyAlignment="1">
      <alignment wrapText="1"/>
    </xf>
    <xf numFmtId="0" fontId="9" fillId="2" borderId="5" xfId="0" applyFont="1" applyFill="1" applyBorder="1" applyAlignment="1">
      <alignment horizontal="left" vertical="center" wrapText="1"/>
    </xf>
    <xf numFmtId="0" fontId="9" fillId="2" borderId="4" xfId="0" applyFont="1" applyFill="1" applyBorder="1" applyAlignment="1">
      <alignment wrapText="1"/>
    </xf>
    <xf numFmtId="0" fontId="24" fillId="2" borderId="33" xfId="0" applyFont="1" applyFill="1" applyBorder="1" applyAlignment="1">
      <alignment wrapText="1"/>
    </xf>
    <xf numFmtId="14" fontId="112" fillId="0" borderId="5" xfId="0" applyNumberFormat="1" applyFont="1" applyBorder="1" applyAlignment="1">
      <alignment horizontal="right" vertical="center" wrapText="1"/>
    </xf>
    <xf numFmtId="14" fontId="112" fillId="0" borderId="4" xfId="0" applyNumberFormat="1" applyFont="1" applyBorder="1" applyAlignment="1">
      <alignment horizontal="right" wrapText="1"/>
    </xf>
    <xf numFmtId="14" fontId="25" fillId="0" borderId="5" xfId="0" applyNumberFormat="1" applyFont="1" applyFill="1" applyBorder="1" applyAlignment="1">
      <alignment horizontal="right" vertical="center"/>
    </xf>
    <xf numFmtId="14" fontId="108" fillId="2" borderId="33" xfId="0" applyNumberFormat="1" applyFont="1" applyFill="1" applyBorder="1" applyAlignment="1">
      <alignment horizontal="right" wrapText="1"/>
    </xf>
    <xf numFmtId="14" fontId="9" fillId="0" borderId="5" xfId="0" applyNumberFormat="1" applyFont="1" applyBorder="1" applyAlignment="1">
      <alignment horizontal="right" vertical="center" wrapText="1"/>
    </xf>
    <xf numFmtId="0" fontId="9" fillId="0" borderId="2" xfId="0" applyFont="1" applyFill="1" applyBorder="1" applyAlignment="1">
      <alignment wrapText="1"/>
    </xf>
    <xf numFmtId="0" fontId="9" fillId="4" borderId="32" xfId="0" applyFont="1" applyFill="1" applyBorder="1" applyAlignment="1">
      <alignment vertical="center" wrapText="1"/>
    </xf>
    <xf numFmtId="0" fontId="22" fillId="0" borderId="2" xfId="0" applyFont="1" applyFill="1" applyBorder="1" applyAlignment="1">
      <alignment wrapText="1"/>
    </xf>
    <xf numFmtId="0" fontId="0" fillId="0" borderId="23" xfId="0" applyBorder="1" applyAlignment="1">
      <alignment vertical="center"/>
    </xf>
    <xf numFmtId="0" fontId="8" fillId="0" borderId="23" xfId="0" applyFont="1" applyBorder="1" applyAlignment="1">
      <alignment vertical="center"/>
    </xf>
    <xf numFmtId="14" fontId="8" fillId="0" borderId="2" xfId="0" applyNumberFormat="1" applyFont="1" applyBorder="1" applyAlignment="1">
      <alignment vertical="center"/>
    </xf>
    <xf numFmtId="0" fontId="10" fillId="2" borderId="1" xfId="0" applyFont="1" applyFill="1" applyBorder="1" applyAlignment="1">
      <alignment horizontal="center" vertical="center" wrapText="1"/>
    </xf>
    <xf numFmtId="0" fontId="56" fillId="0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56" fillId="2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wrapText="1"/>
    </xf>
    <xf numFmtId="0" fontId="24" fillId="3" borderId="1" xfId="0" applyFont="1" applyFill="1" applyBorder="1" applyAlignment="1">
      <alignment wrapText="1"/>
    </xf>
    <xf numFmtId="0" fontId="24" fillId="3" borderId="1" xfId="0" applyFont="1" applyFill="1" applyBorder="1" applyAlignment="1">
      <alignment horizontal="left" wrapText="1"/>
    </xf>
    <xf numFmtId="0" fontId="24" fillId="3" borderId="1" xfId="0" applyFont="1" applyFill="1" applyBorder="1" applyAlignment="1">
      <alignment horizontal="right" wrapText="1"/>
    </xf>
    <xf numFmtId="14" fontId="24" fillId="3" borderId="1" xfId="0" applyNumberFormat="1" applyFont="1" applyFill="1" applyBorder="1" applyAlignment="1">
      <alignment horizontal="right" wrapText="1"/>
    </xf>
    <xf numFmtId="0" fontId="91" fillId="0" borderId="1" xfId="0" applyFont="1" applyBorder="1" applyAlignment="1">
      <alignment horizontal="center"/>
    </xf>
    <xf numFmtId="0" fontId="91" fillId="0" borderId="0" xfId="0" applyFont="1" applyAlignment="1">
      <alignment horizontal="center"/>
    </xf>
    <xf numFmtId="0" fontId="25" fillId="7" borderId="1" xfId="0" applyFont="1" applyFill="1" applyBorder="1" applyAlignment="1">
      <alignment vertical="center"/>
    </xf>
    <xf numFmtId="0" fontId="25" fillId="0" borderId="1" xfId="0" applyFont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right" vertical="center"/>
    </xf>
    <xf numFmtId="0" fontId="25" fillId="7" borderId="1" xfId="0" applyFont="1" applyFill="1" applyBorder="1" applyAlignment="1">
      <alignment horizontal="left" vertical="center"/>
    </xf>
    <xf numFmtId="14" fontId="25" fillId="0" borderId="1" xfId="0" applyNumberFormat="1" applyFont="1" applyBorder="1" applyAlignment="1">
      <alignment horizontal="right" vertical="center"/>
    </xf>
    <xf numFmtId="0" fontId="24" fillId="26" borderId="3" xfId="0" applyFont="1" applyFill="1" applyBorder="1" applyAlignment="1">
      <alignment wrapText="1"/>
    </xf>
    <xf numFmtId="0" fontId="13" fillId="2" borderId="1" xfId="0" applyFont="1" applyFill="1" applyBorder="1"/>
    <xf numFmtId="0" fontId="13" fillId="2" borderId="1" xfId="0" applyFont="1" applyFill="1" applyBorder="1" applyAlignment="1">
      <alignment horizontal="left"/>
    </xf>
    <xf numFmtId="0" fontId="0" fillId="26" borderId="1" xfId="0" applyFill="1" applyBorder="1" applyAlignment="1">
      <alignment vertical="center"/>
    </xf>
    <xf numFmtId="14" fontId="73" fillId="0" borderId="5" xfId="0" applyNumberFormat="1" applyFont="1" applyBorder="1" applyAlignment="1"/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0" fillId="3" borderId="5" xfId="0" applyFill="1" applyBorder="1" applyAlignment="1">
      <alignment horizontal="left"/>
    </xf>
    <xf numFmtId="0" fontId="115" fillId="3" borderId="1" xfId="0" applyFont="1" applyFill="1" applyBorder="1" applyAlignment="1">
      <alignment wrapText="1"/>
    </xf>
    <xf numFmtId="0" fontId="115" fillId="3" borderId="1" xfId="0" applyFont="1" applyFill="1" applyBorder="1" applyAlignment="1">
      <alignment horizontal="left" wrapText="1"/>
    </xf>
    <xf numFmtId="14" fontId="115" fillId="3" borderId="1" xfId="0" applyNumberFormat="1" applyFont="1" applyFill="1" applyBorder="1" applyAlignment="1">
      <alignment horizontal="right" wrapText="1"/>
    </xf>
    <xf numFmtId="14" fontId="0" fillId="3" borderId="5" xfId="0" applyNumberFormat="1" applyFill="1" applyBorder="1" applyAlignment="1">
      <alignment horizontal="right"/>
    </xf>
    <xf numFmtId="14" fontId="0" fillId="3" borderId="2" xfId="0" applyNumberFormat="1" applyFill="1" applyBorder="1" applyAlignment="1">
      <alignment vertical="center"/>
    </xf>
    <xf numFmtId="0" fontId="112" fillId="3" borderId="1" xfId="0" applyFont="1" applyFill="1" applyBorder="1" applyAlignment="1">
      <alignment wrapText="1"/>
    </xf>
    <xf numFmtId="0" fontId="112" fillId="3" borderId="1" xfId="0" applyFont="1" applyFill="1" applyBorder="1" applyAlignment="1">
      <alignment horizontal="left" wrapText="1"/>
    </xf>
    <xf numFmtId="0" fontId="112" fillId="3" borderId="1" xfId="0" applyFont="1" applyFill="1" applyBorder="1" applyAlignment="1">
      <alignment horizontal="right" wrapText="1"/>
    </xf>
    <xf numFmtId="14" fontId="18" fillId="3" borderId="1" xfId="0" applyNumberFormat="1" applyFont="1" applyFill="1" applyBorder="1" applyAlignment="1">
      <alignment horizontal="right" wrapText="1"/>
    </xf>
    <xf numFmtId="14" fontId="108" fillId="3" borderId="1" xfId="0" applyNumberFormat="1" applyFont="1" applyFill="1" applyBorder="1" applyAlignment="1">
      <alignment horizontal="left" vertical="center" wrapText="1"/>
    </xf>
    <xf numFmtId="14" fontId="115" fillId="3" borderId="1" xfId="0" applyNumberFormat="1" applyFont="1" applyFill="1" applyBorder="1" applyAlignment="1">
      <alignment horizontal="right" vertical="center" wrapText="1"/>
    </xf>
    <xf numFmtId="14" fontId="24" fillId="3" borderId="1" xfId="0" applyNumberFormat="1" applyFont="1" applyFill="1" applyBorder="1" applyAlignment="1">
      <alignment horizontal="right" vertical="center" wrapText="1"/>
    </xf>
    <xf numFmtId="0" fontId="0" fillId="3" borderId="0" xfId="0" applyFill="1" applyBorder="1"/>
    <xf numFmtId="14" fontId="80" fillId="0" borderId="1" xfId="0" applyNumberFormat="1" applyFont="1" applyBorder="1" applyAlignment="1">
      <alignment horizontal="left"/>
    </xf>
    <xf numFmtId="0" fontId="25" fillId="7" borderId="23" xfId="0" applyFont="1" applyFill="1" applyBorder="1" applyAlignment="1">
      <alignment horizontal="left" vertical="center"/>
    </xf>
    <xf numFmtId="0" fontId="13" fillId="2" borderId="23" xfId="0" applyFont="1" applyFill="1" applyBorder="1" applyAlignment="1">
      <alignment horizontal="left"/>
    </xf>
    <xf numFmtId="0" fontId="9" fillId="0" borderId="21" xfId="0" applyFont="1" applyBorder="1" applyAlignment="1">
      <alignment wrapText="1"/>
    </xf>
    <xf numFmtId="0" fontId="9" fillId="2" borderId="21" xfId="0" applyFont="1" applyFill="1" applyBorder="1" applyAlignment="1">
      <alignment wrapText="1"/>
    </xf>
    <xf numFmtId="0" fontId="9" fillId="0" borderId="21" xfId="0" applyFont="1" applyBorder="1" applyAlignment="1">
      <alignment horizontal="left" wrapText="1"/>
    </xf>
    <xf numFmtId="0" fontId="73" fillId="0" borderId="1" xfId="0" applyFont="1" applyBorder="1" applyAlignment="1">
      <alignment vertical="top"/>
    </xf>
    <xf numFmtId="0" fontId="9" fillId="2" borderId="1" xfId="0" applyFont="1" applyFill="1" applyBorder="1" applyAlignment="1">
      <alignment vertical="top" wrapText="1"/>
    </xf>
    <xf numFmtId="14" fontId="80" fillId="0" borderId="1" xfId="0" applyNumberFormat="1" applyFont="1" applyBorder="1" applyAlignment="1">
      <alignment vertical="top"/>
    </xf>
    <xf numFmtId="0" fontId="80" fillId="0" borderId="1" xfId="0" applyFont="1" applyBorder="1" applyAlignment="1">
      <alignment vertical="top"/>
    </xf>
    <xf numFmtId="0" fontId="83" fillId="0" borderId="32" xfId="0" applyFont="1" applyBorder="1" applyAlignment="1">
      <alignment horizontal="left" wrapText="1"/>
    </xf>
    <xf numFmtId="0" fontId="25" fillId="7" borderId="5" xfId="0" applyFont="1" applyFill="1" applyBorder="1" applyAlignment="1">
      <alignment horizontal="left" vertical="center"/>
    </xf>
    <xf numFmtId="0" fontId="13" fillId="2" borderId="5" xfId="0" applyFont="1" applyFill="1" applyBorder="1" applyAlignment="1">
      <alignment horizontal="left"/>
    </xf>
    <xf numFmtId="0" fontId="0" fillId="0" borderId="5" xfId="0" applyBorder="1" applyAlignment="1">
      <alignment horizontal="left"/>
    </xf>
    <xf numFmtId="14" fontId="25" fillId="0" borderId="5" xfId="0" applyNumberFormat="1" applyFont="1" applyBorder="1" applyAlignment="1">
      <alignment horizontal="right" vertical="center"/>
    </xf>
    <xf numFmtId="14" fontId="25" fillId="0" borderId="1" xfId="0" applyNumberFormat="1" applyFont="1" applyFill="1" applyBorder="1" applyAlignment="1">
      <alignment horizontal="center" vertical="center"/>
    </xf>
    <xf numFmtId="0" fontId="87" fillId="2" borderId="1" xfId="0" applyFont="1" applyFill="1" applyBorder="1" applyAlignment="1">
      <alignment horizontal="center" wrapText="1"/>
    </xf>
    <xf numFmtId="0" fontId="22" fillId="0" borderId="3" xfId="0" applyFont="1" applyBorder="1" applyAlignment="1">
      <alignment wrapText="1"/>
    </xf>
    <xf numFmtId="14" fontId="9" fillId="0" borderId="21" xfId="0" applyNumberFormat="1" applyFont="1" applyBorder="1" applyAlignment="1">
      <alignment horizontal="right" wrapText="1"/>
    </xf>
    <xf numFmtId="0" fontId="25" fillId="7" borderId="5" xfId="0" applyFont="1" applyFill="1" applyBorder="1" applyAlignment="1">
      <alignment vertical="center"/>
    </xf>
    <xf numFmtId="0" fontId="25" fillId="7" borderId="5" xfId="0" applyFont="1" applyFill="1" applyBorder="1" applyAlignment="1">
      <alignment horizontal="center" vertical="center"/>
    </xf>
    <xf numFmtId="14" fontId="25" fillId="0" borderId="5" xfId="0" applyNumberFormat="1" applyFont="1" applyFill="1" applyBorder="1" applyAlignment="1">
      <alignment horizontal="center" vertical="center"/>
    </xf>
    <xf numFmtId="0" fontId="24" fillId="3" borderId="3" xfId="0" applyFont="1" applyFill="1" applyBorder="1" applyAlignment="1">
      <alignment wrapText="1"/>
    </xf>
    <xf numFmtId="0" fontId="13" fillId="3" borderId="1" xfId="0" applyFont="1" applyFill="1" applyBorder="1" applyAlignment="1">
      <alignment horizontal="left"/>
    </xf>
    <xf numFmtId="0" fontId="13" fillId="3" borderId="1" xfId="0" applyFont="1" applyFill="1" applyBorder="1" applyAlignment="1">
      <alignment horizontal="right"/>
    </xf>
    <xf numFmtId="14" fontId="25" fillId="3" borderId="1" xfId="0" applyNumberFormat="1" applyFont="1" applyFill="1" applyBorder="1" applyAlignment="1">
      <alignment horizontal="right" vertical="center"/>
    </xf>
    <xf numFmtId="0" fontId="96" fillId="2" borderId="1" xfId="0" applyFont="1" applyFill="1" applyBorder="1" applyAlignment="1">
      <alignment wrapText="1"/>
    </xf>
    <xf numFmtId="0" fontId="129" fillId="0" borderId="1" xfId="0" applyFont="1" applyFill="1" applyBorder="1" applyAlignment="1">
      <alignment wrapText="1"/>
    </xf>
    <xf numFmtId="0" fontId="129" fillId="0" borderId="1" xfId="0" applyFont="1" applyBorder="1" applyAlignment="1">
      <alignment horizontal="left" wrapText="1"/>
    </xf>
    <xf numFmtId="0" fontId="129" fillId="0" borderId="1" xfId="0" applyFont="1" applyBorder="1" applyAlignment="1">
      <alignment wrapText="1"/>
    </xf>
    <xf numFmtId="0" fontId="129" fillId="2" borderId="1" xfId="0" applyFont="1" applyFill="1" applyBorder="1" applyAlignment="1">
      <alignment wrapText="1"/>
    </xf>
    <xf numFmtId="14" fontId="129" fillId="0" borderId="1" xfId="0" applyNumberFormat="1" applyFont="1" applyBorder="1" applyAlignment="1">
      <alignment wrapText="1"/>
    </xf>
    <xf numFmtId="0" fontId="9" fillId="0" borderId="23" xfId="0" applyFont="1" applyBorder="1" applyAlignment="1">
      <alignment wrapText="1"/>
    </xf>
    <xf numFmtId="0" fontId="149" fillId="0" borderId="23" xfId="0" applyFont="1" applyBorder="1"/>
    <xf numFmtId="0" fontId="149" fillId="0" borderId="23" xfId="0" applyFont="1" applyBorder="1" applyAlignment="1">
      <alignment horizontal="left"/>
    </xf>
    <xf numFmtId="14" fontId="29" fillId="0" borderId="2" xfId="0" applyNumberFormat="1" applyFont="1" applyBorder="1" applyAlignment="1">
      <alignment vertical="center"/>
    </xf>
    <xf numFmtId="0" fontId="148" fillId="3" borderId="1" xfId="0" applyFont="1" applyFill="1" applyBorder="1" applyAlignment="1">
      <alignment horizontal="left" vertical="center" wrapText="1"/>
    </xf>
    <xf numFmtId="0" fontId="24" fillId="3" borderId="32" xfId="0" applyFont="1" applyFill="1" applyBorder="1"/>
    <xf numFmtId="14" fontId="108" fillId="3" borderId="1" xfId="0" applyNumberFormat="1" applyFont="1" applyFill="1" applyBorder="1" applyAlignment="1">
      <alignment horizontal="right" vertical="center" wrapText="1"/>
    </xf>
    <xf numFmtId="0" fontId="149" fillId="0" borderId="1" xfId="0" applyFont="1" applyBorder="1"/>
    <xf numFmtId="0" fontId="149" fillId="0" borderId="1" xfId="0" applyFont="1" applyBorder="1" applyAlignment="1">
      <alignment horizontal="left"/>
    </xf>
    <xf numFmtId="0" fontId="154" fillId="18" borderId="1" xfId="9" applyFont="1" applyBorder="1" applyAlignment="1" applyProtection="1">
      <alignment horizontal="center" vertical="center" wrapText="1"/>
      <protection locked="0"/>
    </xf>
    <xf numFmtId="0" fontId="154" fillId="18" borderId="1" xfId="9" applyFont="1" applyBorder="1" applyAlignment="1" applyProtection="1">
      <alignment horizontal="center" vertical="center"/>
      <protection locked="0"/>
    </xf>
    <xf numFmtId="0" fontId="155" fillId="18" borderId="1" xfId="9" applyFont="1" applyBorder="1" applyAlignment="1" applyProtection="1">
      <alignment horizontal="center" wrapText="1"/>
      <protection locked="0"/>
    </xf>
    <xf numFmtId="0" fontId="156" fillId="12" borderId="1" xfId="3" applyFont="1" applyBorder="1" applyAlignment="1" applyProtection="1">
      <alignment horizontal="center" vertical="center" wrapText="1"/>
      <protection locked="0"/>
    </xf>
    <xf numFmtId="0" fontId="159" fillId="11" borderId="1" xfId="2" applyFont="1" applyBorder="1" applyAlignment="1" applyProtection="1">
      <alignment horizontal="center"/>
      <protection locked="0"/>
    </xf>
    <xf numFmtId="0" fontId="4" fillId="25" borderId="1" xfId="16" applyFont="1" applyBorder="1" applyAlignment="1" applyProtection="1">
      <alignment horizontal="left" wrapText="1"/>
      <protection locked="0"/>
    </xf>
    <xf numFmtId="0" fontId="99" fillId="0" borderId="1" xfId="0" applyFont="1" applyFill="1" applyBorder="1" applyAlignment="1">
      <alignment horizontal="center"/>
    </xf>
    <xf numFmtId="0" fontId="0" fillId="0" borderId="5" xfId="0" applyBorder="1" applyAlignment="1">
      <alignment horizontal="left" vertical="center"/>
    </xf>
    <xf numFmtId="14" fontId="76" fillId="0" borderId="1" xfId="0" applyNumberFormat="1" applyFont="1" applyBorder="1" applyAlignment="1">
      <alignment wrapText="1"/>
    </xf>
    <xf numFmtId="0" fontId="83" fillId="0" borderId="1" xfId="0" applyFont="1" applyFill="1" applyBorder="1"/>
    <xf numFmtId="0" fontId="83" fillId="0" borderId="1" xfId="0" applyFont="1" applyFill="1" applyBorder="1" applyAlignment="1">
      <alignment vertical="center" wrapText="1"/>
    </xf>
    <xf numFmtId="0" fontId="83" fillId="0" borderId="1" xfId="0" applyFont="1" applyFill="1" applyBorder="1" applyAlignment="1">
      <alignment horizontal="left"/>
    </xf>
    <xf numFmtId="0" fontId="80" fillId="0" borderId="1" xfId="0" applyFont="1" applyFill="1" applyBorder="1"/>
    <xf numFmtId="14" fontId="128" fillId="0" borderId="1" xfId="0" applyNumberFormat="1" applyFont="1" applyFill="1" applyBorder="1" applyAlignment="1">
      <alignment horizontal="right" vertical="center" wrapText="1"/>
    </xf>
    <xf numFmtId="14" fontId="83" fillId="0" borderId="1" xfId="0" applyNumberFormat="1" applyFont="1" applyFill="1" applyBorder="1" applyAlignment="1">
      <alignment horizontal="right" vertical="center" wrapText="1"/>
    </xf>
    <xf numFmtId="0" fontId="80" fillId="0" borderId="1" xfId="0" applyFont="1" applyFill="1" applyBorder="1" applyAlignment="1">
      <alignment vertical="top"/>
    </xf>
    <xf numFmtId="14" fontId="83" fillId="0" borderId="1" xfId="0" applyNumberFormat="1" applyFont="1" applyFill="1" applyBorder="1" applyAlignment="1">
      <alignment horizontal="right" wrapText="1"/>
    </xf>
    <xf numFmtId="0" fontId="80" fillId="0" borderId="1" xfId="0" applyFont="1" applyFill="1" applyBorder="1" applyAlignment="1">
      <alignment vertical="center"/>
    </xf>
    <xf numFmtId="0" fontId="80" fillId="0" borderId="1" xfId="0" applyFont="1" applyFill="1" applyBorder="1" applyAlignment="1">
      <alignment horizontal="left" vertical="center"/>
    </xf>
    <xf numFmtId="0" fontId="80" fillId="0" borderId="1" xfId="0" applyFont="1" applyFill="1" applyBorder="1" applyAlignment="1">
      <alignment horizontal="right" vertical="center"/>
    </xf>
    <xf numFmtId="0" fontId="80" fillId="0" borderId="1" xfId="0" applyFont="1" applyFill="1" applyBorder="1" applyAlignment="1">
      <alignment horizontal="center" vertical="center"/>
    </xf>
    <xf numFmtId="14" fontId="80" fillId="0" borderId="1" xfId="0" applyNumberFormat="1" applyFont="1" applyFill="1" applyBorder="1" applyAlignment="1">
      <alignment horizontal="right" vertical="center"/>
    </xf>
    <xf numFmtId="14" fontId="128" fillId="0" borderId="1" xfId="0" applyNumberFormat="1" applyFont="1" applyFill="1" applyBorder="1" applyAlignment="1">
      <alignment vertical="center" wrapText="1"/>
    </xf>
    <xf numFmtId="14" fontId="83" fillId="0" borderId="1" xfId="0" applyNumberFormat="1" applyFont="1" applyFill="1" applyBorder="1" applyAlignment="1">
      <alignment vertical="center" wrapText="1"/>
    </xf>
    <xf numFmtId="14" fontId="128" fillId="0" borderId="1" xfId="0" applyNumberFormat="1" applyFont="1" applyFill="1" applyBorder="1" applyAlignment="1">
      <alignment horizontal="right" wrapText="1"/>
    </xf>
    <xf numFmtId="0" fontId="11" fillId="2" borderId="1" xfId="0" applyFont="1" applyFill="1" applyBorder="1" applyAlignment="1">
      <alignment horizontal="left"/>
    </xf>
    <xf numFmtId="0" fontId="147" fillId="0" borderId="1" xfId="0" applyFont="1" applyFill="1" applyBorder="1" applyAlignment="1">
      <alignment horizontal="center" vertical="center" wrapText="1"/>
    </xf>
    <xf numFmtId="14" fontId="80" fillId="0" borderId="1" xfId="0" applyNumberFormat="1" applyFont="1" applyFill="1" applyBorder="1" applyAlignment="1">
      <alignment vertical="center"/>
    </xf>
    <xf numFmtId="0" fontId="83" fillId="0" borderId="5" xfId="0" applyFont="1" applyFill="1" applyBorder="1" applyAlignment="1">
      <alignment horizontal="left" vertical="center" wrapText="1"/>
    </xf>
    <xf numFmtId="0" fontId="80" fillId="0" borderId="0" xfId="0" applyFont="1" applyFill="1" applyAlignment="1">
      <alignment vertical="top"/>
    </xf>
    <xf numFmtId="0" fontId="147" fillId="0" borderId="1" xfId="0" applyFont="1" applyFill="1" applyBorder="1" applyAlignment="1">
      <alignment horizontal="center" wrapText="1"/>
    </xf>
    <xf numFmtId="0" fontId="80" fillId="0" borderId="4" xfId="0" applyFont="1" applyFill="1" applyBorder="1"/>
    <xf numFmtId="14" fontId="80" fillId="0" borderId="4" xfId="0" applyNumberFormat="1" applyFont="1" applyFill="1" applyBorder="1"/>
    <xf numFmtId="0" fontId="82" fillId="0" borderId="1" xfId="0" applyFont="1" applyFill="1" applyBorder="1" applyAlignment="1">
      <alignment vertical="center"/>
    </xf>
    <xf numFmtId="14" fontId="82" fillId="0" borderId="1" xfId="0" applyNumberFormat="1" applyFont="1" applyFill="1" applyBorder="1" applyAlignment="1">
      <alignment vertical="center"/>
    </xf>
    <xf numFmtId="0" fontId="83" fillId="0" borderId="32" xfId="0" applyFont="1" applyFill="1" applyBorder="1" applyAlignment="1">
      <alignment horizontal="left"/>
    </xf>
    <xf numFmtId="14" fontId="80" fillId="0" borderId="1" xfId="0" applyNumberFormat="1" applyFont="1" applyFill="1" applyBorder="1" applyAlignment="1">
      <alignment vertical="top"/>
    </xf>
    <xf numFmtId="0" fontId="3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14" fontId="91" fillId="0" borderId="1" xfId="0" applyNumberFormat="1" applyFont="1" applyBorder="1"/>
    <xf numFmtId="0" fontId="91" fillId="0" borderId="1" xfId="0" applyFont="1" applyBorder="1"/>
    <xf numFmtId="14" fontId="77" fillId="2" borderId="1" xfId="0" applyNumberFormat="1" applyFont="1" applyFill="1" applyBorder="1" applyAlignment="1">
      <alignment horizontal="right" wrapText="1"/>
    </xf>
    <xf numFmtId="14" fontId="13" fillId="0" borderId="1" xfId="0" applyNumberFormat="1" applyFont="1" applyBorder="1" applyAlignment="1">
      <alignment horizontal="right" wrapText="1"/>
    </xf>
    <xf numFmtId="0" fontId="10" fillId="0" borderId="1" xfId="0" applyFont="1" applyFill="1" applyBorder="1" applyAlignment="1">
      <alignment horizontal="left" vertical="center" wrapText="1"/>
    </xf>
    <xf numFmtId="0" fontId="10" fillId="2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88" fillId="2" borderId="5" xfId="0" applyFont="1" applyFill="1" applyBorder="1" applyAlignment="1">
      <alignment horizontal="center" wrapText="1"/>
    </xf>
    <xf numFmtId="0" fontId="24" fillId="0" borderId="5" xfId="0" applyFont="1" applyBorder="1" applyAlignment="1">
      <alignment wrapText="1"/>
    </xf>
    <xf numFmtId="0" fontId="9" fillId="0" borderId="5" xfId="0" applyFont="1" applyFill="1" applyBorder="1" applyAlignment="1">
      <alignment wrapText="1"/>
    </xf>
    <xf numFmtId="0" fontId="80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73" fillId="0" borderId="1" xfId="0" applyNumberFormat="1" applyFont="1" applyFill="1" applyBorder="1" applyAlignment="1">
      <alignment vertical="top"/>
    </xf>
    <xf numFmtId="0" fontId="25" fillId="0" borderId="1" xfId="0" applyFont="1" applyBorder="1" applyAlignment="1">
      <alignment vertical="top"/>
    </xf>
    <xf numFmtId="0" fontId="25" fillId="0" borderId="1" xfId="0" applyFont="1" applyBorder="1" applyAlignment="1">
      <alignment horizontal="center" vertical="top"/>
    </xf>
    <xf numFmtId="0" fontId="25" fillId="0" borderId="1" xfId="0" applyFont="1" applyBorder="1" applyAlignment="1">
      <alignment horizontal="left" vertical="top"/>
    </xf>
    <xf numFmtId="14" fontId="25" fillId="0" borderId="1" xfId="0" applyNumberFormat="1" applyFont="1" applyBorder="1" applyAlignment="1">
      <alignment horizontal="right" vertical="top"/>
    </xf>
    <xf numFmtId="0" fontId="70" fillId="0" borderId="21" xfId="0" applyFont="1" applyBorder="1" applyAlignment="1">
      <alignment wrapText="1"/>
    </xf>
    <xf numFmtId="0" fontId="70" fillId="0" borderId="21" xfId="0" applyFont="1" applyBorder="1" applyAlignment="1">
      <alignment horizontal="left" wrapText="1"/>
    </xf>
    <xf numFmtId="14" fontId="0" fillId="0" borderId="21" xfId="0" applyNumberFormat="1" applyBorder="1"/>
    <xf numFmtId="0" fontId="70" fillId="0" borderId="5" xfId="0" applyFont="1" applyBorder="1" applyAlignment="1">
      <alignment wrapText="1"/>
    </xf>
    <xf numFmtId="0" fontId="149" fillId="0" borderId="21" xfId="0" applyFont="1" applyBorder="1"/>
    <xf numFmtId="0" fontId="8" fillId="7" borderId="5" xfId="0" applyFont="1" applyFill="1" applyBorder="1" applyAlignment="1">
      <alignment vertical="center"/>
    </xf>
    <xf numFmtId="0" fontId="25" fillId="7" borderId="24" xfId="0" applyFont="1" applyFill="1" applyBorder="1" applyAlignment="1">
      <alignment horizontal="left" vertical="center"/>
    </xf>
    <xf numFmtId="0" fontId="8" fillId="0" borderId="5" xfId="0" applyFont="1" applyBorder="1" applyAlignment="1">
      <alignment vertical="center"/>
    </xf>
    <xf numFmtId="0" fontId="70" fillId="0" borderId="5" xfId="0" applyFont="1" applyBorder="1" applyAlignment="1">
      <alignment horizontal="left" wrapText="1"/>
    </xf>
    <xf numFmtId="0" fontId="149" fillId="0" borderId="21" xfId="0" applyFont="1" applyBorder="1" applyAlignment="1">
      <alignment horizontal="left"/>
    </xf>
    <xf numFmtId="0" fontId="8" fillId="7" borderId="5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70" fillId="0" borderId="0" xfId="0" applyFont="1" applyBorder="1" applyAlignment="1">
      <alignment wrapText="1"/>
    </xf>
    <xf numFmtId="0" fontId="0" fillId="0" borderId="5" xfId="0" applyBorder="1" applyAlignment="1">
      <alignment vertical="top"/>
    </xf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2" fillId="2" borderId="33" xfId="0" applyFont="1" applyFill="1" applyBorder="1" applyAlignment="1">
      <alignment wrapText="1"/>
    </xf>
    <xf numFmtId="14" fontId="0" fillId="0" borderId="5" xfId="0" applyNumberFormat="1" applyBorder="1"/>
    <xf numFmtId="14" fontId="8" fillId="0" borderId="5" xfId="0" applyNumberFormat="1" applyFont="1" applyBorder="1" applyAlignment="1">
      <alignment horizontal="right" vertical="center"/>
    </xf>
    <xf numFmtId="0" fontId="13" fillId="2" borderId="1" xfId="0" applyFont="1" applyFill="1" applyBorder="1" applyAlignment="1"/>
    <xf numFmtId="0" fontId="80" fillId="0" borderId="2" xfId="0" applyFont="1" applyBorder="1" applyAlignment="1">
      <alignment horizontal="right" vertical="center"/>
    </xf>
    <xf numFmtId="0" fontId="100" fillId="0" borderId="1" xfId="0" applyFont="1" applyBorder="1" applyAlignment="1"/>
    <xf numFmtId="0" fontId="24" fillId="0" borderId="27" xfId="0" applyFont="1" applyBorder="1" applyAlignment="1">
      <alignment wrapText="1"/>
    </xf>
    <xf numFmtId="14" fontId="25" fillId="0" borderId="5" xfId="0" applyNumberFormat="1" applyFont="1" applyBorder="1" applyAlignment="1">
      <alignment horizontal="left" vertical="center"/>
    </xf>
    <xf numFmtId="0" fontId="73" fillId="0" borderId="2" xfId="0" applyFont="1" applyBorder="1" applyAlignment="1">
      <alignment horizontal="right" vertical="center"/>
    </xf>
    <xf numFmtId="0" fontId="83" fillId="0" borderId="3" xfId="0" applyFont="1" applyBorder="1" applyAlignment="1">
      <alignment wrapText="1"/>
    </xf>
    <xf numFmtId="0" fontId="91" fillId="0" borderId="2" xfId="0" applyFont="1" applyBorder="1" applyAlignment="1">
      <alignment horizontal="right" vertical="center"/>
    </xf>
    <xf numFmtId="166" fontId="73" fillId="0" borderId="5" xfId="0" applyNumberFormat="1" applyFont="1" applyBorder="1" applyAlignment="1"/>
    <xf numFmtId="0" fontId="25" fillId="0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vertical="center"/>
    </xf>
    <xf numFmtId="14" fontId="25" fillId="0" borderId="1" xfId="0" applyNumberFormat="1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left" vertical="center"/>
    </xf>
    <xf numFmtId="14" fontId="25" fillId="0" borderId="1" xfId="0" applyNumberFormat="1" applyFont="1" applyFill="1" applyBorder="1" applyAlignment="1">
      <alignment vertical="center"/>
    </xf>
    <xf numFmtId="14" fontId="25" fillId="0" borderId="1" xfId="0" applyNumberFormat="1" applyFont="1" applyFill="1" applyBorder="1" applyAlignment="1">
      <alignment horizontal="left" vertical="center"/>
    </xf>
    <xf numFmtId="0" fontId="101" fillId="0" borderId="1" xfId="0" applyFont="1" applyFill="1" applyBorder="1" applyAlignment="1">
      <alignment horizontal="center" vertical="center" wrapText="1"/>
    </xf>
    <xf numFmtId="0" fontId="94" fillId="0" borderId="1" xfId="0" applyFont="1" applyFill="1" applyBorder="1" applyAlignment="1">
      <alignment wrapText="1"/>
    </xf>
    <xf numFmtId="0" fontId="94" fillId="0" borderId="1" xfId="0" applyFont="1" applyFill="1" applyBorder="1" applyAlignment="1">
      <alignment horizontal="left"/>
    </xf>
    <xf numFmtId="14" fontId="127" fillId="0" borderId="1" xfId="0" applyNumberFormat="1" applyFont="1" applyFill="1" applyBorder="1" applyAlignment="1">
      <alignment horizontal="right" wrapText="1"/>
    </xf>
    <xf numFmtId="14" fontId="94" fillId="0" borderId="1" xfId="0" applyNumberFormat="1" applyFont="1" applyFill="1" applyBorder="1" applyAlignment="1">
      <alignment horizontal="right" wrapText="1"/>
    </xf>
    <xf numFmtId="14" fontId="91" fillId="0" borderId="1" xfId="0" applyNumberFormat="1" applyFont="1" applyFill="1" applyBorder="1" applyAlignment="1">
      <alignment vertical="center"/>
    </xf>
    <xf numFmtId="0" fontId="101" fillId="0" borderId="1" xfId="0" applyFont="1" applyFill="1" applyBorder="1" applyAlignment="1">
      <alignment horizontal="center" wrapText="1"/>
    </xf>
    <xf numFmtId="0" fontId="94" fillId="0" borderId="1" xfId="0" applyFont="1" applyFill="1" applyBorder="1" applyAlignment="1">
      <alignment horizontal="left" wrapText="1"/>
    </xf>
    <xf numFmtId="0" fontId="26" fillId="3" borderId="1" xfId="0" applyFont="1" applyFill="1" applyBorder="1" applyAlignment="1">
      <alignment horizontal="left"/>
    </xf>
    <xf numFmtId="0" fontId="24" fillId="3" borderId="1" xfId="0" applyFont="1" applyFill="1" applyBorder="1" applyAlignment="1">
      <alignment horizontal="center" vertical="center" wrapText="1"/>
    </xf>
    <xf numFmtId="14" fontId="115" fillId="0" borderId="1" xfId="0" applyNumberFormat="1" applyFont="1" applyFill="1" applyBorder="1" applyAlignment="1">
      <alignment horizontal="left" vertical="center" wrapText="1"/>
    </xf>
    <xf numFmtId="14" fontId="24" fillId="0" borderId="1" xfId="0" applyNumberFormat="1" applyFont="1" applyFill="1" applyBorder="1" applyAlignment="1">
      <alignment horizontal="left" vertical="center" wrapText="1"/>
    </xf>
    <xf numFmtId="0" fontId="24" fillId="0" borderId="1" xfId="0" applyFont="1" applyFill="1" applyBorder="1" applyAlignment="1">
      <alignment horizontal="left"/>
    </xf>
    <xf numFmtId="0" fontId="115" fillId="0" borderId="1" xfId="0" applyFont="1" applyFill="1" applyBorder="1" applyAlignment="1">
      <alignment horizontal="left" wrapText="1"/>
    </xf>
    <xf numFmtId="14" fontId="115" fillId="0" borderId="1" xfId="0" applyNumberFormat="1" applyFont="1" applyFill="1" applyBorder="1" applyAlignment="1">
      <alignment horizontal="left" wrapText="1"/>
    </xf>
    <xf numFmtId="0" fontId="73" fillId="0" borderId="1" xfId="0" applyFont="1" applyFill="1" applyBorder="1" applyAlignment="1">
      <alignment vertical="center"/>
    </xf>
    <xf numFmtId="0" fontId="88" fillId="0" borderId="1" xfId="0" applyFont="1" applyFill="1" applyBorder="1" applyAlignment="1">
      <alignment horizontal="center" vertical="center" wrapText="1"/>
    </xf>
    <xf numFmtId="0" fontId="24" fillId="0" borderId="32" xfId="0" applyFont="1" applyFill="1" applyBorder="1"/>
    <xf numFmtId="0" fontId="115" fillId="0" borderId="1" xfId="0" applyFont="1" applyFill="1" applyBorder="1" applyAlignment="1">
      <alignment wrapText="1"/>
    </xf>
    <xf numFmtId="0" fontId="24" fillId="0" borderId="32" xfId="0" applyFont="1" applyFill="1" applyBorder="1" applyAlignment="1">
      <alignment horizontal="left"/>
    </xf>
    <xf numFmtId="14" fontId="115" fillId="0" borderId="1" xfId="0" applyNumberFormat="1" applyFont="1" applyFill="1" applyBorder="1" applyAlignment="1">
      <alignment horizontal="right" wrapText="1"/>
    </xf>
    <xf numFmtId="14" fontId="0" fillId="0" borderId="1" xfId="0" applyNumberForma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160" fillId="2" borderId="5" xfId="0" applyFont="1" applyFill="1" applyBorder="1" applyAlignment="1">
      <alignment horizontal="center" wrapText="1"/>
    </xf>
    <xf numFmtId="0" fontId="24" fillId="0" borderId="5" xfId="0" applyFont="1" applyBorder="1" applyAlignment="1">
      <alignment vertical="top" wrapText="1"/>
    </xf>
    <xf numFmtId="0" fontId="24" fillId="0" borderId="27" xfId="0" applyFont="1" applyBorder="1" applyAlignment="1">
      <alignment vertical="top" wrapText="1"/>
    </xf>
    <xf numFmtId="0" fontId="160" fillId="2" borderId="5" xfId="0" applyFont="1" applyFill="1" applyBorder="1" applyAlignment="1">
      <alignment horizontal="center" vertical="top" wrapText="1"/>
    </xf>
    <xf numFmtId="0" fontId="70" fillId="0" borderId="0" xfId="0" applyFont="1" applyAlignment="1">
      <alignment vertical="top"/>
    </xf>
    <xf numFmtId="0" fontId="88" fillId="2" borderId="5" xfId="0" applyFont="1" applyFill="1" applyBorder="1" applyAlignment="1">
      <alignment horizontal="center" vertical="center" wrapText="1"/>
    </xf>
    <xf numFmtId="0" fontId="24" fillId="0" borderId="5" xfId="0" applyFont="1" applyBorder="1" applyAlignment="1">
      <alignment vertical="center" wrapText="1"/>
    </xf>
    <xf numFmtId="0" fontId="24" fillId="0" borderId="27" xfId="0" applyFont="1" applyBorder="1" applyAlignment="1">
      <alignment vertical="center" wrapText="1"/>
    </xf>
    <xf numFmtId="0" fontId="9" fillId="0" borderId="5" xfId="0" applyFont="1" applyFill="1" applyBorder="1" applyAlignment="1">
      <alignment horizontal="left" wrapText="1"/>
    </xf>
    <xf numFmtId="0" fontId="80" fillId="0" borderId="5" xfId="0" applyFont="1" applyBorder="1" applyAlignment="1">
      <alignment horizontal="left"/>
    </xf>
    <xf numFmtId="0" fontId="80" fillId="0" borderId="5" xfId="0" applyFont="1" applyBorder="1" applyAlignment="1"/>
    <xf numFmtId="0" fontId="80" fillId="0" borderId="5" xfId="0" applyFont="1" applyBorder="1" applyAlignment="1">
      <alignment horizontal="right"/>
    </xf>
    <xf numFmtId="166" fontId="73" fillId="0" borderId="5" xfId="0" applyNumberFormat="1" applyFont="1" applyBorder="1" applyAlignment="1">
      <alignment horizontal="right"/>
    </xf>
    <xf numFmtId="14" fontId="80" fillId="0" borderId="5" xfId="0" applyNumberFormat="1" applyFont="1" applyBorder="1" applyAlignment="1">
      <alignment horizontal="left"/>
    </xf>
    <xf numFmtId="166" fontId="55" fillId="0" borderId="1" xfId="0" applyNumberFormat="1" applyFont="1" applyBorder="1" applyAlignment="1">
      <alignment vertical="center" wrapText="1"/>
    </xf>
    <xf numFmtId="166" fontId="80" fillId="0" borderId="1" xfId="0" applyNumberFormat="1" applyFont="1" applyBorder="1" applyAlignment="1">
      <alignment horizontal="center"/>
    </xf>
    <xf numFmtId="166" fontId="80" fillId="0" borderId="1" xfId="0" applyNumberFormat="1" applyFont="1" applyBorder="1" applyAlignment="1">
      <alignment horizontal="left"/>
    </xf>
    <xf numFmtId="166" fontId="80" fillId="0" borderId="5" xfId="0" applyNumberFormat="1" applyFont="1" applyBorder="1" applyAlignment="1">
      <alignment horizontal="center"/>
    </xf>
    <xf numFmtId="166" fontId="73" fillId="0" borderId="1" xfId="0" applyNumberFormat="1" applyFont="1" applyBorder="1" applyAlignment="1">
      <alignment horizontal="center"/>
    </xf>
    <xf numFmtId="166" fontId="0" fillId="0" borderId="0" xfId="0" applyNumberFormat="1" applyAlignment="1">
      <alignment horizontal="center"/>
    </xf>
    <xf numFmtId="166" fontId="80" fillId="0" borderId="5" xfId="0" applyNumberFormat="1" applyFont="1" applyBorder="1" applyAlignment="1">
      <alignment horizontal="right"/>
    </xf>
    <xf numFmtId="166" fontId="0" fillId="0" borderId="0" xfId="0" applyNumberFormat="1" applyAlignment="1">
      <alignment horizontal="right"/>
    </xf>
    <xf numFmtId="0" fontId="161" fillId="50" borderId="1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/>
    </xf>
    <xf numFmtId="0" fontId="91" fillId="0" borderId="2" xfId="0" applyFont="1" applyBorder="1" applyAlignment="1">
      <alignment vertical="center"/>
    </xf>
    <xf numFmtId="0" fontId="88" fillId="0" borderId="1" xfId="0" applyFont="1" applyFill="1" applyBorder="1" applyAlignment="1">
      <alignment horizontal="center" wrapText="1"/>
    </xf>
    <xf numFmtId="0" fontId="24" fillId="0" borderId="1" xfId="0" applyFont="1" applyFill="1" applyBorder="1" applyAlignment="1">
      <alignment wrapText="1"/>
    </xf>
    <xf numFmtId="0" fontId="25" fillId="0" borderId="1" xfId="0" applyFont="1" applyFill="1" applyBorder="1" applyAlignment="1">
      <alignment vertical="top"/>
    </xf>
    <xf numFmtId="14" fontId="24" fillId="0" borderId="1" xfId="0" applyNumberFormat="1" applyFont="1" applyFill="1" applyBorder="1" applyAlignment="1">
      <alignment horizontal="right" wrapText="1"/>
    </xf>
    <xf numFmtId="0" fontId="25" fillId="0" borderId="1" xfId="0" applyFont="1" applyFill="1" applyBorder="1"/>
    <xf numFmtId="14" fontId="25" fillId="0" borderId="1" xfId="0" applyNumberFormat="1" applyFont="1" applyFill="1" applyBorder="1"/>
    <xf numFmtId="0" fontId="24" fillId="0" borderId="3" xfId="0" applyFont="1" applyFill="1" applyBorder="1" applyAlignment="1">
      <alignment wrapText="1"/>
    </xf>
    <xf numFmtId="14" fontId="73" fillId="0" borderId="1" xfId="0" applyNumberFormat="1" applyFont="1" applyFill="1" applyBorder="1" applyAlignment="1">
      <alignment vertical="center"/>
    </xf>
    <xf numFmtId="0" fontId="24" fillId="0" borderId="1" xfId="0" applyFont="1" applyFill="1" applyBorder="1" applyAlignment="1">
      <alignment horizontal="left" wrapText="1"/>
    </xf>
    <xf numFmtId="14" fontId="24" fillId="0" borderId="1" xfId="0" applyNumberFormat="1" applyFont="1" applyFill="1" applyBorder="1" applyAlignment="1">
      <alignment horizontal="left" wrapText="1"/>
    </xf>
    <xf numFmtId="0" fontId="24" fillId="3" borderId="5" xfId="0" applyFont="1" applyFill="1" applyBorder="1" applyAlignment="1">
      <alignment wrapText="1"/>
    </xf>
    <xf numFmtId="0" fontId="9" fillId="3" borderId="21" xfId="0" applyFont="1" applyFill="1" applyBorder="1" applyAlignment="1">
      <alignment horizontal="left" wrapText="1"/>
    </xf>
    <xf numFmtId="14" fontId="77" fillId="3" borderId="1" xfId="0" applyNumberFormat="1" applyFont="1" applyFill="1" applyBorder="1" applyAlignment="1">
      <alignment horizontal="right" wrapText="1"/>
    </xf>
    <xf numFmtId="0" fontId="70" fillId="0" borderId="1" xfId="0" applyFont="1" applyBorder="1" applyAlignment="1">
      <alignment horizontal="left" vertical="top" wrapText="1"/>
    </xf>
    <xf numFmtId="14" fontId="0" fillId="0" borderId="1" xfId="0" applyNumberFormat="1" applyBorder="1" applyAlignment="1">
      <alignment vertical="top"/>
    </xf>
    <xf numFmtId="0" fontId="73" fillId="0" borderId="5" xfId="0" applyFont="1" applyFill="1" applyBorder="1" applyAlignment="1">
      <alignment horizontal="left"/>
    </xf>
    <xf numFmtId="0" fontId="99" fillId="0" borderId="5" xfId="0" applyFont="1" applyFill="1" applyBorder="1" applyAlignment="1">
      <alignment horizontal="left"/>
    </xf>
    <xf numFmtId="0" fontId="73" fillId="0" borderId="5" xfId="0" applyFont="1" applyBorder="1" applyAlignment="1">
      <alignment horizontal="center"/>
    </xf>
    <xf numFmtId="14" fontId="76" fillId="0" borderId="2" xfId="0" applyNumberFormat="1" applyFont="1" applyBorder="1" applyAlignment="1">
      <alignment horizontal="right" wrapText="1"/>
    </xf>
    <xf numFmtId="14" fontId="70" fillId="0" borderId="1" xfId="0" applyNumberFormat="1" applyFont="1" applyBorder="1" applyAlignment="1">
      <alignment horizontal="right" wrapText="1"/>
    </xf>
    <xf numFmtId="14" fontId="25" fillId="0" borderId="1" xfId="0" applyNumberFormat="1" applyFont="1" applyBorder="1" applyAlignment="1">
      <alignment horizontal="left" vertical="top"/>
    </xf>
    <xf numFmtId="0" fontId="73" fillId="0" borderId="5" xfId="0" applyFont="1" applyBorder="1" applyAlignment="1">
      <alignment horizontal="left"/>
    </xf>
    <xf numFmtId="0" fontId="75" fillId="0" borderId="5" xfId="0" applyFont="1" applyBorder="1" applyAlignment="1">
      <alignment wrapText="1"/>
    </xf>
    <xf numFmtId="0" fontId="75" fillId="0" borderId="5" xfId="0" applyFont="1" applyBorder="1" applyAlignment="1">
      <alignment horizontal="center" wrapText="1"/>
    </xf>
    <xf numFmtId="0" fontId="75" fillId="0" borderId="5" xfId="0" applyFont="1" applyBorder="1" applyAlignment="1">
      <alignment horizontal="left" wrapText="1"/>
    </xf>
    <xf numFmtId="0" fontId="0" fillId="0" borderId="5" xfId="0" applyBorder="1" applyAlignment="1">
      <alignment horizontal="center"/>
    </xf>
    <xf numFmtId="0" fontId="25" fillId="0" borderId="5" xfId="0" applyFont="1" applyFill="1" applyBorder="1" applyAlignment="1">
      <alignment vertical="center"/>
    </xf>
    <xf numFmtId="0" fontId="25" fillId="0" borderId="5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82" fillId="0" borderId="5" xfId="0" applyFont="1" applyBorder="1" applyAlignment="1">
      <alignment wrapText="1"/>
    </xf>
    <xf numFmtId="0" fontId="100" fillId="0" borderId="5" xfId="0" applyFont="1" applyFill="1" applyBorder="1" applyAlignment="1">
      <alignment horizontal="left"/>
    </xf>
    <xf numFmtId="0" fontId="82" fillId="0" borderId="5" xfId="0" applyFont="1" applyBorder="1" applyAlignment="1">
      <alignment horizontal="center" wrapText="1"/>
    </xf>
    <xf numFmtId="0" fontId="82" fillId="0" borderId="5" xfId="0" applyFont="1" applyBorder="1" applyAlignment="1">
      <alignment horizontal="left" wrapText="1"/>
    </xf>
    <xf numFmtId="166" fontId="80" fillId="0" borderId="5" xfId="0" applyNumberFormat="1" applyFont="1" applyBorder="1" applyAlignment="1"/>
    <xf numFmtId="14" fontId="80" fillId="0" borderId="5" xfId="0" applyNumberFormat="1" applyFont="1" applyBorder="1" applyAlignment="1"/>
    <xf numFmtId="0" fontId="25" fillId="0" borderId="1" xfId="0" applyFont="1" applyBorder="1" applyAlignment="1">
      <alignment horizontal="right"/>
    </xf>
    <xf numFmtId="0" fontId="141" fillId="2" borderId="1" xfId="0" applyFont="1" applyFill="1" applyBorder="1" applyAlignment="1">
      <alignment horizontal="left" vertical="top" wrapText="1"/>
    </xf>
    <xf numFmtId="0" fontId="161" fillId="50" borderId="1" xfId="0" applyFont="1" applyFill="1" applyBorder="1" applyAlignment="1">
      <alignment horizontal="left" vertical="top" wrapText="1"/>
    </xf>
    <xf numFmtId="0" fontId="141" fillId="50" borderId="1" xfId="0" applyFont="1" applyFill="1" applyBorder="1" applyAlignment="1">
      <alignment horizontal="left" vertical="top" wrapText="1"/>
    </xf>
    <xf numFmtId="0" fontId="99" fillId="0" borderId="5" xfId="0" applyFont="1" applyBorder="1" applyAlignment="1">
      <alignment horizontal="left"/>
    </xf>
    <xf numFmtId="0" fontId="100" fillId="0" borderId="5" xfId="0" applyFont="1" applyBorder="1" applyAlignment="1">
      <alignment horizontal="left"/>
    </xf>
    <xf numFmtId="0" fontId="99" fillId="0" borderId="5" xfId="0" applyFont="1" applyBorder="1" applyAlignment="1">
      <alignment horizontal="center"/>
    </xf>
    <xf numFmtId="14" fontId="73" fillId="0" borderId="5" xfId="0" applyNumberFormat="1" applyFont="1" applyBorder="1" applyAlignment="1">
      <alignment horizontal="right"/>
    </xf>
    <xf numFmtId="167" fontId="73" fillId="0" borderId="5" xfId="0" applyNumberFormat="1" applyFont="1" applyBorder="1" applyAlignment="1"/>
    <xf numFmtId="0" fontId="100" fillId="0" borderId="5" xfId="0" applyFont="1" applyBorder="1" applyAlignment="1"/>
    <xf numFmtId="14" fontId="25" fillId="0" borderId="5" xfId="0" applyNumberFormat="1" applyFont="1" applyBorder="1" applyAlignment="1">
      <alignment horizontal="left" vertical="top"/>
    </xf>
    <xf numFmtId="14" fontId="0" fillId="0" borderId="2" xfId="0" applyNumberFormat="1" applyBorder="1" applyAlignment="1">
      <alignment vertical="center"/>
    </xf>
    <xf numFmtId="0" fontId="0" fillId="0" borderId="1" xfId="0" applyBorder="1" applyAlignment="1">
      <alignment horizontal="left" vertical="top"/>
    </xf>
    <xf numFmtId="0" fontId="70" fillId="0" borderId="0" xfId="0" applyFont="1" applyAlignment="1">
      <alignment horizontal="left" wrapText="1"/>
    </xf>
    <xf numFmtId="0" fontId="162" fillId="2" borderId="5" xfId="0" applyFont="1" applyFill="1" applyBorder="1" applyAlignment="1">
      <alignment horizontal="center" wrapText="1"/>
    </xf>
    <xf numFmtId="14" fontId="73" fillId="0" borderId="1" xfId="0" applyNumberFormat="1" applyFont="1" applyBorder="1" applyAlignment="1">
      <alignment vertical="top"/>
    </xf>
    <xf numFmtId="14" fontId="0" fillId="0" borderId="2" xfId="0" applyNumberFormat="1" applyBorder="1" applyAlignment="1">
      <alignment vertical="top"/>
    </xf>
    <xf numFmtId="0" fontId="25" fillId="0" borderId="5" xfId="0" applyFont="1" applyBorder="1" applyAlignment="1">
      <alignment horizontal="left" vertical="top"/>
    </xf>
    <xf numFmtId="14" fontId="25" fillId="0" borderId="5" xfId="0" applyNumberFormat="1" applyFont="1" applyBorder="1" applyAlignment="1">
      <alignment horizontal="right" vertical="top"/>
    </xf>
    <xf numFmtId="14" fontId="73" fillId="0" borderId="2" xfId="0" applyNumberFormat="1" applyFont="1" applyBorder="1" applyAlignment="1">
      <alignment vertical="center"/>
    </xf>
    <xf numFmtId="0" fontId="0" fillId="26" borderId="0" xfId="0" applyFill="1" applyAlignment="1">
      <alignment vertical="top"/>
    </xf>
    <xf numFmtId="0" fontId="71" fillId="0" borderId="1" xfId="0" applyFont="1" applyBorder="1" applyAlignment="1">
      <alignment vertical="top"/>
    </xf>
    <xf numFmtId="0" fontId="9" fillId="4" borderId="5" xfId="0" applyFont="1" applyFill="1" applyBorder="1" applyAlignment="1">
      <alignment wrapText="1"/>
    </xf>
    <xf numFmtId="0" fontId="25" fillId="0" borderId="8" xfId="0" applyFont="1" applyBorder="1" applyAlignment="1">
      <alignment vertical="top"/>
    </xf>
    <xf numFmtId="0" fontId="71" fillId="0" borderId="1" xfId="0" applyFont="1" applyBorder="1" applyAlignment="1">
      <alignment horizontal="left" vertical="top"/>
    </xf>
    <xf numFmtId="0" fontId="25" fillId="0" borderId="8" xfId="0" applyFont="1" applyBorder="1" applyAlignment="1">
      <alignment horizontal="left" vertical="top"/>
    </xf>
    <xf numFmtId="0" fontId="71" fillId="0" borderId="1" xfId="0" applyFont="1" applyBorder="1" applyAlignment="1">
      <alignment horizontal="center" vertical="top"/>
    </xf>
    <xf numFmtId="0" fontId="25" fillId="0" borderId="8" xfId="0" applyFont="1" applyBorder="1" applyAlignment="1">
      <alignment horizontal="center" vertical="top"/>
    </xf>
    <xf numFmtId="0" fontId="71" fillId="7" borderId="1" xfId="0" applyFont="1" applyFill="1" applyBorder="1" applyAlignment="1">
      <alignment horizontal="center" vertical="top"/>
    </xf>
    <xf numFmtId="0" fontId="25" fillId="0" borderId="5" xfId="0" applyFont="1" applyBorder="1" applyAlignment="1">
      <alignment horizontal="center" vertical="center"/>
    </xf>
    <xf numFmtId="14" fontId="71" fillId="0" borderId="1" xfId="0" applyNumberFormat="1" applyFont="1" applyBorder="1" applyAlignment="1">
      <alignment horizontal="left" vertical="top"/>
    </xf>
    <xf numFmtId="14" fontId="25" fillId="0" borderId="5" xfId="0" applyNumberFormat="1" applyFont="1" applyFill="1" applyBorder="1" applyAlignment="1">
      <alignment horizontal="left" vertical="center"/>
    </xf>
    <xf numFmtId="14" fontId="25" fillId="0" borderId="8" xfId="0" applyNumberFormat="1" applyFont="1" applyBorder="1" applyAlignment="1">
      <alignment horizontal="left" vertical="top"/>
    </xf>
    <xf numFmtId="0" fontId="9" fillId="2" borderId="8" xfId="0" applyFont="1" applyFill="1" applyBorder="1" applyAlignment="1">
      <alignment vertical="top" wrapText="1"/>
    </xf>
    <xf numFmtId="14" fontId="71" fillId="0" borderId="1" xfId="0" applyNumberFormat="1" applyFont="1" applyBorder="1" applyAlignment="1">
      <alignment horizontal="right" vertical="top"/>
    </xf>
    <xf numFmtId="14" fontId="25" fillId="0" borderId="5" xfId="0" applyNumberFormat="1" applyFont="1" applyFill="1" applyBorder="1" applyAlignment="1">
      <alignment vertical="center"/>
    </xf>
    <xf numFmtId="14" fontId="91" fillId="0" borderId="2" xfId="0" applyNumberFormat="1" applyFont="1" applyBorder="1" applyAlignment="1">
      <alignment vertical="center"/>
    </xf>
    <xf numFmtId="14" fontId="70" fillId="0" borderId="1" xfId="0" applyNumberFormat="1" applyFont="1" applyBorder="1" applyAlignment="1">
      <alignment wrapText="1"/>
    </xf>
    <xf numFmtId="14" fontId="77" fillId="0" borderId="1" xfId="0" applyNumberFormat="1" applyFont="1" applyFill="1" applyBorder="1" applyAlignment="1">
      <alignment horizontal="right" wrapText="1"/>
    </xf>
    <xf numFmtId="0" fontId="88" fillId="0" borderId="5" xfId="0" applyFont="1" applyFill="1" applyBorder="1" applyAlignment="1">
      <alignment horizontal="center" wrapText="1"/>
    </xf>
    <xf numFmtId="0" fontId="24" fillId="0" borderId="5" xfId="0" applyFont="1" applyFill="1" applyBorder="1" applyAlignment="1">
      <alignment wrapText="1"/>
    </xf>
    <xf numFmtId="14" fontId="77" fillId="0" borderId="1" xfId="0" applyNumberFormat="1" applyFont="1" applyFill="1" applyBorder="1" applyAlignment="1">
      <alignment wrapText="1"/>
    </xf>
    <xf numFmtId="0" fontId="70" fillId="0" borderId="0" xfId="0" applyFont="1" applyAlignment="1">
      <alignment wrapText="1"/>
    </xf>
    <xf numFmtId="14" fontId="82" fillId="0" borderId="2" xfId="0" applyNumberFormat="1" applyFont="1" applyBorder="1" applyAlignment="1">
      <alignment vertical="top"/>
    </xf>
    <xf numFmtId="0" fontId="82" fillId="0" borderId="1" xfId="0" applyFont="1" applyBorder="1" applyAlignment="1">
      <alignment vertical="top"/>
    </xf>
    <xf numFmtId="0" fontId="25" fillId="0" borderId="5" xfId="0" applyFont="1" applyBorder="1" applyAlignment="1">
      <alignment vertical="center"/>
    </xf>
    <xf numFmtId="0" fontId="73" fillId="3" borderId="1" xfId="0" applyFont="1" applyFill="1" applyBorder="1" applyAlignment="1">
      <alignment vertical="center"/>
    </xf>
    <xf numFmtId="14" fontId="108" fillId="3" borderId="1" xfId="0" applyNumberFormat="1" applyFont="1" applyFill="1" applyBorder="1" applyAlignment="1">
      <alignment horizontal="right" wrapText="1"/>
    </xf>
    <xf numFmtId="0" fontId="70" fillId="0" borderId="1" xfId="0" applyFont="1" applyFill="1" applyBorder="1" applyAlignment="1">
      <alignment horizontal="left" wrapText="1"/>
    </xf>
    <xf numFmtId="14" fontId="70" fillId="0" borderId="5" xfId="0" applyNumberFormat="1" applyFont="1" applyBorder="1" applyAlignment="1">
      <alignment wrapText="1"/>
    </xf>
    <xf numFmtId="14" fontId="91" fillId="0" borderId="4" xfId="0" applyNumberFormat="1" applyFont="1" applyBorder="1" applyAlignment="1">
      <alignment vertical="center"/>
    </xf>
    <xf numFmtId="0" fontId="29" fillId="0" borderId="2" xfId="0" applyFont="1" applyBorder="1" applyAlignment="1">
      <alignment vertical="center"/>
    </xf>
    <xf numFmtId="14" fontId="107" fillId="0" borderId="1" xfId="0" applyNumberFormat="1" applyFont="1" applyFill="1" applyBorder="1" applyAlignment="1">
      <alignment horizontal="right" wrapText="1"/>
    </xf>
    <xf numFmtId="0" fontId="29" fillId="0" borderId="2" xfId="0" applyFont="1" applyFill="1" applyBorder="1" applyAlignment="1">
      <alignment vertical="center"/>
    </xf>
    <xf numFmtId="0" fontId="160" fillId="0" borderId="5" xfId="0" applyFont="1" applyFill="1" applyBorder="1" applyAlignment="1">
      <alignment horizontal="center" wrapText="1"/>
    </xf>
    <xf numFmtId="0" fontId="24" fillId="0" borderId="27" xfId="0" applyFont="1" applyFill="1" applyBorder="1" applyAlignment="1">
      <alignment wrapText="1"/>
    </xf>
    <xf numFmtId="0" fontId="0" fillId="0" borderId="1" xfId="0" applyFill="1" applyBorder="1" applyAlignment="1">
      <alignment horizontal="right" vertical="center"/>
    </xf>
    <xf numFmtId="14" fontId="29" fillId="0" borderId="1" xfId="0" applyNumberFormat="1" applyFont="1" applyFill="1" applyBorder="1" applyAlignment="1">
      <alignment vertical="center"/>
    </xf>
    <xf numFmtId="0" fontId="80" fillId="0" borderId="0" xfId="0" applyFont="1" applyBorder="1" applyAlignment="1">
      <alignment horizontal="center"/>
    </xf>
    <xf numFmtId="0" fontId="160" fillId="2" borderId="1" xfId="0" applyFont="1" applyFill="1" applyBorder="1" applyAlignment="1">
      <alignment horizontal="center" wrapText="1"/>
    </xf>
    <xf numFmtId="14" fontId="91" fillId="0" borderId="2" xfId="0" applyNumberFormat="1" applyFont="1" applyFill="1" applyBorder="1" applyAlignment="1">
      <alignment vertical="center"/>
    </xf>
    <xf numFmtId="14" fontId="116" fillId="0" borderId="1" xfId="0" applyNumberFormat="1" applyFont="1" applyBorder="1" applyAlignment="1">
      <alignment horizontal="left" vertical="center"/>
    </xf>
    <xf numFmtId="14" fontId="9" fillId="0" borderId="1" xfId="0" applyNumberFormat="1" applyFont="1" applyFill="1" applyBorder="1" applyAlignment="1">
      <alignment horizontal="left" wrapText="1"/>
    </xf>
    <xf numFmtId="0" fontId="164" fillId="0" borderId="5" xfId="0" applyFont="1" applyFill="1" applyBorder="1" applyAlignment="1">
      <alignment horizontal="center" wrapText="1"/>
    </xf>
    <xf numFmtId="14" fontId="82" fillId="0" borderId="1" xfId="0" applyNumberFormat="1" applyFont="1" applyFill="1" applyBorder="1" applyAlignment="1">
      <alignment wrapText="1"/>
    </xf>
    <xf numFmtId="0" fontId="104" fillId="0" borderId="0" xfId="0" applyFont="1" applyAlignment="1">
      <alignment vertical="center"/>
    </xf>
    <xf numFmtId="0" fontId="70" fillId="0" borderId="1" xfId="0" applyFont="1" applyFill="1" applyBorder="1" applyAlignment="1">
      <alignment wrapText="1"/>
    </xf>
    <xf numFmtId="14" fontId="25" fillId="0" borderId="1" xfId="0" applyNumberFormat="1" applyFont="1" applyFill="1" applyBorder="1" applyAlignment="1">
      <alignment horizontal="left" vertical="top"/>
    </xf>
    <xf numFmtId="0" fontId="51" fillId="45" borderId="1" xfId="5" applyFont="1" applyFill="1" applyBorder="1" applyAlignment="1" applyProtection="1">
      <alignment horizontal="center"/>
    </xf>
    <xf numFmtId="0" fontId="43" fillId="43" borderId="1" xfId="4" applyFont="1" applyFill="1" applyBorder="1" applyAlignment="1" applyProtection="1">
      <alignment horizontal="right"/>
    </xf>
    <xf numFmtId="0" fontId="43" fillId="43" borderId="1" xfId="4" applyFont="1" applyFill="1" applyBorder="1" applyAlignment="1" applyProtection="1">
      <alignment horizontal="center"/>
    </xf>
    <xf numFmtId="0" fontId="51" fillId="45" borderId="4" xfId="5" applyFont="1" applyFill="1" applyBorder="1" applyAlignment="1" applyProtection="1">
      <alignment horizontal="right"/>
    </xf>
    <xf numFmtId="0" fontId="52" fillId="45" borderId="4" xfId="5" applyFont="1" applyFill="1" applyBorder="1" applyAlignment="1" applyProtection="1">
      <alignment horizontal="center"/>
    </xf>
    <xf numFmtId="0" fontId="51" fillId="45" borderId="4" xfId="5" applyFont="1" applyFill="1" applyBorder="1" applyAlignment="1" applyProtection="1">
      <alignment horizontal="center"/>
    </xf>
    <xf numFmtId="0" fontId="52" fillId="54" borderId="1" xfId="5" applyFont="1" applyFill="1" applyBorder="1" applyAlignment="1" applyProtection="1">
      <alignment horizontal="center"/>
    </xf>
    <xf numFmtId="0" fontId="52" fillId="54" borderId="4" xfId="5" applyFont="1" applyFill="1" applyBorder="1" applyAlignment="1" applyProtection="1">
      <alignment horizontal="center"/>
    </xf>
    <xf numFmtId="0" fontId="51" fillId="54" borderId="31" xfId="5" applyFont="1" applyFill="1" applyBorder="1" applyAlignment="1" applyProtection="1">
      <alignment horizontal="center"/>
    </xf>
    <xf numFmtId="14" fontId="54" fillId="43" borderId="1" xfId="4" applyNumberFormat="1" applyFont="1" applyFill="1" applyBorder="1" applyAlignment="1" applyProtection="1"/>
    <xf numFmtId="0" fontId="43" fillId="43" borderId="1" xfId="4" applyFont="1" applyFill="1" applyBorder="1" applyAlignment="1" applyProtection="1"/>
    <xf numFmtId="0" fontId="9" fillId="0" borderId="1" xfId="0" applyFont="1" applyFill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164" fontId="6" fillId="0" borderId="1" xfId="0" applyNumberFormat="1" applyFont="1" applyFill="1" applyBorder="1" applyAlignment="1">
      <alignment horizontal="center" vertical="center"/>
    </xf>
    <xf numFmtId="164" fontId="5" fillId="0" borderId="1" xfId="0" applyNumberFormat="1" applyFont="1" applyFill="1" applyBorder="1" applyAlignment="1">
      <alignment horizontal="left" vertical="center"/>
    </xf>
    <xf numFmtId="164" fontId="33" fillId="0" borderId="1" xfId="0" applyNumberFormat="1" applyFont="1" applyFill="1" applyBorder="1" applyAlignment="1">
      <alignment horizontal="center" vertical="center"/>
    </xf>
    <xf numFmtId="164" fontId="5" fillId="0" borderId="1" xfId="0" applyNumberFormat="1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left" vertical="center"/>
    </xf>
    <xf numFmtId="14" fontId="0" fillId="0" borderId="1" xfId="0" applyNumberFormat="1" applyFill="1" applyBorder="1" applyAlignment="1">
      <alignment horizontal="left" vertical="center"/>
    </xf>
    <xf numFmtId="20" fontId="0" fillId="0" borderId="1" xfId="0" applyNumberFormat="1" applyFill="1" applyBorder="1" applyAlignment="1">
      <alignment horizontal="center"/>
    </xf>
    <xf numFmtId="14" fontId="25" fillId="0" borderId="1" xfId="0" applyNumberFormat="1" applyFont="1" applyFill="1" applyBorder="1" applyAlignment="1">
      <alignment horizontal="left"/>
    </xf>
    <xf numFmtId="0" fontId="57" fillId="0" borderId="1" xfId="0" applyFont="1" applyFill="1" applyBorder="1" applyAlignment="1">
      <alignment horizontal="center"/>
    </xf>
    <xf numFmtId="164" fontId="3" fillId="0" borderId="1" xfId="0" applyNumberFormat="1" applyFont="1" applyFill="1" applyBorder="1" applyAlignment="1">
      <alignment horizontal="left" vertical="center"/>
    </xf>
    <xf numFmtId="14" fontId="70" fillId="0" borderId="1" xfId="0" applyNumberFormat="1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center" wrapText="1"/>
    </xf>
    <xf numFmtId="14" fontId="9" fillId="0" borderId="1" xfId="0" applyNumberFormat="1" applyFont="1" applyFill="1" applyBorder="1" applyAlignment="1">
      <alignment wrapText="1"/>
    </xf>
    <xf numFmtId="0" fontId="26" fillId="0" borderId="1" xfId="0" applyFont="1" applyFill="1" applyBorder="1"/>
    <xf numFmtId="0" fontId="71" fillId="0" borderId="1" xfId="0" applyFont="1" applyFill="1" applyBorder="1" applyAlignment="1">
      <alignment wrapText="1"/>
    </xf>
    <xf numFmtId="14" fontId="77" fillId="0" borderId="1" xfId="0" applyNumberFormat="1" applyFont="1" applyFill="1" applyBorder="1" applyAlignment="1">
      <alignment horizontal="left" wrapText="1"/>
    </xf>
    <xf numFmtId="0" fontId="0" fillId="0" borderId="1" xfId="0" applyFont="1" applyFill="1" applyBorder="1"/>
    <xf numFmtId="14" fontId="0" fillId="0" borderId="1" xfId="0" applyNumberFormat="1" applyFont="1" applyFill="1" applyBorder="1"/>
    <xf numFmtId="0" fontId="25" fillId="0" borderId="1" xfId="0" applyFont="1" applyFill="1" applyBorder="1" applyAlignment="1">
      <alignment horizontal="left"/>
    </xf>
    <xf numFmtId="14" fontId="22" fillId="0" borderId="1" xfId="0" applyNumberFormat="1" applyFont="1" applyFill="1" applyBorder="1" applyAlignment="1">
      <alignment horizontal="left" wrapText="1"/>
    </xf>
    <xf numFmtId="14" fontId="8" fillId="0" borderId="1" xfId="0" applyNumberFormat="1" applyFont="1" applyFill="1" applyBorder="1"/>
    <xf numFmtId="14" fontId="0" fillId="0" borderId="1" xfId="0" applyNumberFormat="1" applyFill="1" applyBorder="1" applyAlignment="1"/>
    <xf numFmtId="14" fontId="9" fillId="0" borderId="1" xfId="0" applyNumberFormat="1" applyFont="1" applyFill="1" applyBorder="1" applyAlignment="1">
      <alignment horizontal="left" vertical="center" wrapText="1"/>
    </xf>
    <xf numFmtId="14" fontId="22" fillId="0" borderId="1" xfId="0" applyNumberFormat="1" applyFont="1" applyFill="1" applyBorder="1" applyAlignment="1">
      <alignment horizontal="left" vertical="center" wrapText="1"/>
    </xf>
    <xf numFmtId="14" fontId="108" fillId="0" borderId="1" xfId="0" applyNumberFormat="1" applyFont="1" applyFill="1" applyBorder="1" applyAlignment="1">
      <alignment horizontal="left" vertical="center" wrapText="1"/>
    </xf>
    <xf numFmtId="14" fontId="112" fillId="0" borderId="1" xfId="0" applyNumberFormat="1" applyFont="1" applyFill="1" applyBorder="1" applyAlignment="1">
      <alignment horizontal="left" wrapText="1"/>
    </xf>
    <xf numFmtId="14" fontId="116" fillId="0" borderId="1" xfId="0" applyNumberFormat="1" applyFont="1" applyFill="1" applyBorder="1" applyAlignment="1">
      <alignment horizontal="left" vertical="center"/>
    </xf>
    <xf numFmtId="14" fontId="114" fillId="0" borderId="1" xfId="0" applyNumberFormat="1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vertical="center"/>
    </xf>
    <xf numFmtId="14" fontId="125" fillId="0" borderId="1" xfId="0" applyNumberFormat="1" applyFont="1" applyFill="1" applyBorder="1" applyAlignment="1">
      <alignment horizontal="left" vertical="center"/>
    </xf>
    <xf numFmtId="14" fontId="112" fillId="0" borderId="1" xfId="0" applyNumberFormat="1" applyFont="1" applyFill="1" applyBorder="1" applyAlignment="1">
      <alignment horizontal="left" vertical="center" wrapText="1"/>
    </xf>
    <xf numFmtId="14" fontId="122" fillId="0" borderId="1" xfId="0" applyNumberFormat="1" applyFont="1" applyFill="1" applyBorder="1" applyAlignment="1">
      <alignment horizontal="left" wrapText="1"/>
    </xf>
    <xf numFmtId="14" fontId="23" fillId="0" borderId="1" xfId="0" applyNumberFormat="1" applyFont="1" applyFill="1" applyBorder="1" applyAlignment="1">
      <alignment horizontal="left" wrapText="1"/>
    </xf>
    <xf numFmtId="14" fontId="18" fillId="0" borderId="1" xfId="0" applyNumberFormat="1" applyFont="1" applyFill="1" applyBorder="1" applyAlignment="1">
      <alignment horizontal="left" wrapText="1"/>
    </xf>
    <xf numFmtId="14" fontId="108" fillId="0" borderId="1" xfId="0" applyNumberFormat="1" applyFont="1" applyFill="1" applyBorder="1" applyAlignment="1">
      <alignment horizontal="left" wrapText="1"/>
    </xf>
    <xf numFmtId="0" fontId="0" fillId="0" borderId="1" xfId="0" applyFill="1" applyBorder="1" applyAlignment="1">
      <alignment horizontal="left" vertical="center" wrapText="1"/>
    </xf>
    <xf numFmtId="0" fontId="104" fillId="0" borderId="1" xfId="0" applyFont="1" applyFill="1" applyBorder="1" applyAlignment="1">
      <alignment horizontal="center" vertical="center" wrapText="1"/>
    </xf>
    <xf numFmtId="0" fontId="55" fillId="0" borderId="0" xfId="0" applyFont="1"/>
    <xf numFmtId="0" fontId="35" fillId="0" borderId="1" xfId="0" applyFont="1" applyFill="1" applyBorder="1" applyAlignment="1">
      <alignment horizontal="left" vertical="center"/>
    </xf>
    <xf numFmtId="0" fontId="112" fillId="0" borderId="1" xfId="0" applyFont="1" applyFill="1" applyBorder="1" applyAlignment="1">
      <alignment horizontal="left" wrapText="1"/>
    </xf>
    <xf numFmtId="14" fontId="116" fillId="0" borderId="5" xfId="0" applyNumberFormat="1" applyFont="1" applyBorder="1" applyAlignment="1">
      <alignment vertical="center"/>
    </xf>
    <xf numFmtId="0" fontId="84" fillId="0" borderId="1" xfId="0" applyFont="1" applyFill="1" applyBorder="1" applyAlignment="1">
      <alignment horizontal="center" vertical="center" wrapText="1"/>
    </xf>
    <xf numFmtId="0" fontId="166" fillId="48" borderId="1" xfId="0" applyFont="1" applyFill="1" applyBorder="1" applyAlignment="1" applyProtection="1">
      <alignment horizontal="center" vertical="center" wrapText="1"/>
      <protection locked="0"/>
    </xf>
    <xf numFmtId="0" fontId="167" fillId="48" borderId="1" xfId="0" applyFont="1" applyFill="1" applyBorder="1" applyAlignment="1" applyProtection="1">
      <alignment horizontal="center" vertical="center" wrapText="1"/>
      <protection locked="0"/>
    </xf>
    <xf numFmtId="0" fontId="73" fillId="0" borderId="5" xfId="0" applyFont="1" applyFill="1" applyBorder="1" applyAlignment="1">
      <alignment vertical="center"/>
    </xf>
    <xf numFmtId="14" fontId="70" fillId="0" borderId="1" xfId="0" applyNumberFormat="1" applyFont="1" applyBorder="1" applyAlignment="1">
      <alignment horizontal="right" vertical="top" wrapText="1"/>
    </xf>
    <xf numFmtId="0" fontId="161" fillId="50" borderId="1" xfId="0" applyFont="1" applyFill="1" applyBorder="1" applyAlignment="1">
      <alignment vertical="top" wrapText="1"/>
    </xf>
    <xf numFmtId="0" fontId="161" fillId="0" borderId="1" xfId="0" applyFont="1" applyBorder="1" applyAlignment="1">
      <alignment horizontal="center"/>
    </xf>
    <xf numFmtId="14" fontId="0" fillId="0" borderId="1" xfId="0" applyNumberFormat="1" applyBorder="1" applyAlignment="1">
      <alignment wrapText="1"/>
    </xf>
    <xf numFmtId="0" fontId="70" fillId="0" borderId="5" xfId="0" applyFont="1" applyBorder="1" applyAlignment="1">
      <alignment horizontal="right" wrapText="1"/>
    </xf>
    <xf numFmtId="14" fontId="70" fillId="0" borderId="5" xfId="0" applyNumberFormat="1" applyFont="1" applyBorder="1" applyAlignment="1">
      <alignment horizontal="right" wrapText="1"/>
    </xf>
    <xf numFmtId="0" fontId="165" fillId="50" borderId="5" xfId="0" applyFont="1" applyFill="1" applyBorder="1" applyAlignment="1">
      <alignment vertical="top" wrapText="1"/>
    </xf>
    <xf numFmtId="0" fontId="165" fillId="2" borderId="5" xfId="0" applyFont="1" applyFill="1" applyBorder="1" applyAlignment="1">
      <alignment vertical="top" wrapText="1"/>
    </xf>
    <xf numFmtId="0" fontId="160" fillId="0" borderId="1" xfId="0" applyFont="1" applyFill="1" applyBorder="1" applyAlignment="1">
      <alignment horizontal="center" wrapText="1"/>
    </xf>
    <xf numFmtId="14" fontId="70" fillId="0" borderId="1" xfId="0" applyNumberFormat="1" applyFont="1" applyFill="1" applyBorder="1" applyAlignment="1">
      <alignment wrapText="1"/>
    </xf>
    <xf numFmtId="0" fontId="70" fillId="0" borderId="1" xfId="0" applyFont="1" applyBorder="1" applyAlignment="1"/>
    <xf numFmtId="0" fontId="161" fillId="2" borderId="1" xfId="0" applyFont="1" applyFill="1" applyBorder="1" applyAlignment="1">
      <alignment vertical="top" wrapText="1"/>
    </xf>
    <xf numFmtId="0" fontId="80" fillId="0" borderId="0" xfId="0" applyFont="1" applyAlignment="1"/>
    <xf numFmtId="14" fontId="71" fillId="0" borderId="1" xfId="0" applyNumberFormat="1" applyFont="1" applyFill="1" applyBorder="1" applyAlignment="1">
      <alignment horizontal="right" wrapText="1"/>
    </xf>
    <xf numFmtId="14" fontId="29" fillId="0" borderId="1" xfId="0" applyNumberFormat="1" applyFont="1" applyBorder="1" applyAlignment="1">
      <alignment vertical="top"/>
    </xf>
    <xf numFmtId="0" fontId="29" fillId="0" borderId="1" xfId="0" applyFont="1" applyBorder="1" applyAlignment="1">
      <alignment vertical="top"/>
    </xf>
    <xf numFmtId="14" fontId="70" fillId="0" borderId="1" xfId="0" applyNumberFormat="1" applyFont="1" applyFill="1" applyBorder="1" applyAlignment="1">
      <alignment horizontal="right" wrapText="1"/>
    </xf>
    <xf numFmtId="0" fontId="170" fillId="0" borderId="1" xfId="0" applyFont="1" applyBorder="1" applyAlignment="1"/>
    <xf numFmtId="0" fontId="29" fillId="0" borderId="1" xfId="0" applyFont="1" applyBorder="1" applyAlignment="1"/>
    <xf numFmtId="0" fontId="29" fillId="0" borderId="1" xfId="0" applyFont="1" applyBorder="1" applyAlignment="1">
      <alignment horizontal="right"/>
    </xf>
    <xf numFmtId="166" fontId="29" fillId="0" borderId="1" xfId="0" applyNumberFormat="1" applyFont="1" applyBorder="1" applyAlignment="1">
      <alignment horizontal="center"/>
    </xf>
    <xf numFmtId="166" fontId="29" fillId="0" borderId="1" xfId="0" applyNumberFormat="1" applyFont="1" applyBorder="1" applyAlignment="1">
      <alignment horizontal="right"/>
    </xf>
    <xf numFmtId="14" fontId="29" fillId="0" borderId="1" xfId="0" applyNumberFormat="1" applyFont="1" applyBorder="1" applyAlignment="1"/>
    <xf numFmtId="0" fontId="29" fillId="0" borderId="0" xfId="0" applyFont="1" applyAlignment="1">
      <alignment horizontal="center"/>
    </xf>
    <xf numFmtId="0" fontId="70" fillId="0" borderId="5" xfId="0" applyFont="1" applyFill="1" applyBorder="1" applyAlignment="1">
      <alignment wrapText="1"/>
    </xf>
    <xf numFmtId="0" fontId="70" fillId="0" borderId="5" xfId="0" applyFont="1" applyFill="1" applyBorder="1" applyAlignment="1">
      <alignment horizontal="left" wrapText="1"/>
    </xf>
    <xf numFmtId="14" fontId="70" fillId="0" borderId="5" xfId="0" applyNumberFormat="1" applyFont="1" applyFill="1" applyBorder="1" applyAlignment="1">
      <alignment wrapText="1"/>
    </xf>
    <xf numFmtId="0" fontId="70" fillId="0" borderId="1" xfId="0" applyFont="1" applyFill="1" applyBorder="1" applyAlignment="1">
      <alignment horizontal="right" wrapText="1"/>
    </xf>
    <xf numFmtId="14" fontId="0" fillId="0" borderId="1" xfId="0" applyNumberFormat="1" applyFill="1" applyBorder="1" applyAlignment="1">
      <alignment vertical="top"/>
    </xf>
    <xf numFmtId="0" fontId="117" fillId="0" borderId="0" xfId="0" applyFont="1" applyAlignment="1">
      <alignment horizontal="left"/>
    </xf>
    <xf numFmtId="0" fontId="116" fillId="0" borderId="0" xfId="0" applyFont="1" applyAlignment="1">
      <alignment horizontal="left"/>
    </xf>
    <xf numFmtId="0" fontId="112" fillId="2" borderId="1" xfId="0" applyFont="1" applyFill="1" applyBorder="1" applyAlignment="1">
      <alignment horizontal="left"/>
    </xf>
    <xf numFmtId="0" fontId="171" fillId="2" borderId="0" xfId="0" applyFont="1" applyFill="1" applyBorder="1" applyAlignment="1">
      <alignment horizontal="left" vertical="top" wrapText="1"/>
    </xf>
    <xf numFmtId="0" fontId="171" fillId="0" borderId="0" xfId="0" applyFont="1" applyFill="1" applyBorder="1" applyAlignment="1">
      <alignment horizontal="left" wrapText="1"/>
    </xf>
    <xf numFmtId="0" fontId="171" fillId="2" borderId="0" xfId="0" applyFont="1" applyFill="1" applyBorder="1" applyAlignment="1">
      <alignment horizontal="left" wrapText="1"/>
    </xf>
    <xf numFmtId="0" fontId="171" fillId="2" borderId="21" xfId="0" applyFont="1" applyFill="1" applyBorder="1" applyAlignment="1">
      <alignment horizontal="left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wrapText="1"/>
    </xf>
    <xf numFmtId="0" fontId="73" fillId="3" borderId="5" xfId="0" applyFont="1" applyFill="1" applyBorder="1" applyAlignment="1">
      <alignment vertical="center"/>
    </xf>
    <xf numFmtId="0" fontId="160" fillId="3" borderId="5" xfId="0" applyFont="1" applyFill="1" applyBorder="1" applyAlignment="1">
      <alignment horizontal="center" wrapText="1"/>
    </xf>
    <xf numFmtId="0" fontId="70" fillId="3" borderId="1" xfId="0" applyFont="1" applyFill="1" applyBorder="1" applyAlignment="1">
      <alignment wrapText="1"/>
    </xf>
    <xf numFmtId="0" fontId="70" fillId="3" borderId="1" xfId="0" applyFont="1" applyFill="1" applyBorder="1" applyAlignment="1">
      <alignment horizontal="left" wrapText="1"/>
    </xf>
    <xf numFmtId="14" fontId="25" fillId="3" borderId="1" xfId="0" applyNumberFormat="1" applyFont="1" applyFill="1" applyBorder="1" applyAlignment="1">
      <alignment horizontal="left" vertical="top"/>
    </xf>
    <xf numFmtId="14" fontId="70" fillId="3" borderId="1" xfId="0" applyNumberFormat="1" applyFont="1" applyFill="1" applyBorder="1" applyAlignment="1">
      <alignment wrapText="1"/>
    </xf>
    <xf numFmtId="14" fontId="80" fillId="0" borderId="1" xfId="0" applyNumberFormat="1" applyFont="1" applyFill="1" applyBorder="1" applyAlignment="1">
      <alignment horizontal="right" vertical="top"/>
    </xf>
    <xf numFmtId="14" fontId="80" fillId="0" borderId="1" xfId="0" applyNumberFormat="1" applyFont="1" applyFill="1" applyBorder="1" applyAlignment="1">
      <alignment horizontal="left" vertical="top"/>
    </xf>
    <xf numFmtId="0" fontId="70" fillId="26" borderId="1" xfId="0" applyFont="1" applyFill="1" applyBorder="1" applyAlignment="1">
      <alignment wrapText="1"/>
    </xf>
    <xf numFmtId="0" fontId="70" fillId="26" borderId="1" xfId="0" applyFont="1" applyFill="1" applyBorder="1" applyAlignment="1">
      <alignment horizontal="left" wrapText="1"/>
    </xf>
    <xf numFmtId="0" fontId="154" fillId="18" borderId="2" xfId="9" applyFont="1" applyBorder="1" applyAlignment="1" applyProtection="1">
      <alignment horizontal="center" vertical="center" wrapText="1"/>
      <protection locked="0"/>
    </xf>
    <xf numFmtId="0" fontId="155" fillId="18" borderId="3" xfId="9" applyFont="1" applyBorder="1" applyAlignment="1" applyProtection="1">
      <alignment horizontal="center" wrapText="1"/>
      <protection locked="0"/>
    </xf>
    <xf numFmtId="0" fontId="155" fillId="18" borderId="2" xfId="9" applyFont="1" applyBorder="1" applyAlignment="1" applyProtection="1">
      <alignment horizontal="center" wrapText="1"/>
      <protection locked="0"/>
    </xf>
    <xf numFmtId="14" fontId="0" fillId="0" borderId="1" xfId="0" applyNumberFormat="1" applyBorder="1" applyAlignment="1">
      <alignment horizontal="right"/>
    </xf>
    <xf numFmtId="14" fontId="70" fillId="26" borderId="1" xfId="0" applyNumberFormat="1" applyFont="1" applyFill="1" applyBorder="1" applyAlignment="1">
      <alignment wrapText="1"/>
    </xf>
    <xf numFmtId="0" fontId="154" fillId="18" borderId="3" xfId="9" applyFont="1" applyBorder="1" applyAlignment="1" applyProtection="1">
      <alignment horizontal="left" vertical="center" wrapText="1"/>
      <protection locked="0"/>
    </xf>
    <xf numFmtId="0" fontId="0" fillId="26" borderId="1" xfId="0" applyFill="1" applyBorder="1" applyAlignment="1">
      <alignment horizontal="left" vertical="center"/>
    </xf>
    <xf numFmtId="0" fontId="0" fillId="26" borderId="1" xfId="0" applyFill="1" applyBorder="1"/>
    <xf numFmtId="0" fontId="165" fillId="0" borderId="0" xfId="0" applyFont="1" applyAlignment="1">
      <alignment horizontal="left"/>
    </xf>
    <xf numFmtId="43" fontId="0" fillId="0" borderId="0" xfId="43" applyFont="1"/>
    <xf numFmtId="0" fontId="31" fillId="0" borderId="0" xfId="0" applyFont="1" applyAlignment="1">
      <alignment horizontal="left"/>
    </xf>
    <xf numFmtId="0" fontId="71" fillId="3" borderId="1" xfId="0" applyFont="1" applyFill="1" applyBorder="1" applyAlignment="1">
      <alignment horizontal="left" wrapText="1"/>
    </xf>
    <xf numFmtId="0" fontId="24" fillId="3" borderId="32" xfId="0" applyFont="1" applyFill="1" applyBorder="1" applyAlignment="1">
      <alignment horizontal="left"/>
    </xf>
    <xf numFmtId="14" fontId="70" fillId="0" borderId="1" xfId="0" applyNumberFormat="1" applyFont="1" applyFill="1" applyBorder="1" applyAlignment="1">
      <alignment vertical="center" wrapText="1"/>
    </xf>
    <xf numFmtId="14" fontId="0" fillId="0" borderId="0" xfId="0" applyNumberFormat="1" applyFill="1" applyAlignment="1">
      <alignment vertical="center"/>
    </xf>
    <xf numFmtId="0" fontId="0" fillId="3" borderId="1" xfId="0" applyFill="1" applyBorder="1" applyAlignment="1">
      <alignment vertical="top"/>
    </xf>
    <xf numFmtId="14" fontId="0" fillId="3" borderId="0" xfId="0" applyNumberFormat="1" applyFill="1" applyAlignment="1">
      <alignment vertical="top"/>
    </xf>
    <xf numFmtId="14" fontId="116" fillId="0" borderId="1" xfId="0" applyNumberFormat="1" applyFont="1" applyBorder="1" applyAlignment="1">
      <alignment horizontal="right" vertical="center"/>
    </xf>
    <xf numFmtId="0" fontId="70" fillId="0" borderId="1" xfId="0" applyFont="1" applyBorder="1" applyAlignment="1">
      <alignment horizontal="left"/>
    </xf>
    <xf numFmtId="0" fontId="70" fillId="0" borderId="1" xfId="0" applyFont="1" applyFill="1" applyBorder="1" applyAlignment="1"/>
    <xf numFmtId="0" fontId="70" fillId="0" borderId="1" xfId="0" applyFont="1" applyFill="1" applyBorder="1" applyAlignment="1">
      <alignment horizontal="center" wrapText="1"/>
    </xf>
    <xf numFmtId="0" fontId="70" fillId="0" borderId="1" xfId="0" applyFont="1" applyFill="1" applyBorder="1" applyAlignment="1">
      <alignment horizontal="center" vertical="center" wrapText="1"/>
    </xf>
    <xf numFmtId="0" fontId="172" fillId="0" borderId="1" xfId="0" applyFont="1" applyFill="1" applyBorder="1" applyAlignment="1">
      <alignment horizontal="left" wrapText="1"/>
    </xf>
    <xf numFmtId="0" fontId="173" fillId="0" borderId="1" xfId="0" applyFont="1" applyFill="1" applyBorder="1" applyAlignment="1">
      <alignment horizontal="left" vertical="center"/>
    </xf>
    <xf numFmtId="0" fontId="166" fillId="48" borderId="1" xfId="0" applyFont="1" applyFill="1" applyBorder="1" applyAlignment="1" applyProtection="1">
      <alignment horizontal="center" vertical="center" wrapText="1"/>
      <protection locked="0"/>
    </xf>
    <xf numFmtId="0" fontId="17" fillId="2" borderId="1" xfId="0" applyFont="1" applyFill="1" applyBorder="1" applyAlignment="1">
      <alignment horizontal="left" vertical="center"/>
    </xf>
    <xf numFmtId="0" fontId="9" fillId="9" borderId="1" xfId="0" applyFont="1" applyFill="1" applyBorder="1" applyAlignment="1">
      <alignment horizontal="left" vertical="center"/>
    </xf>
    <xf numFmtId="0" fontId="28" fillId="0" borderId="1" xfId="0" applyFont="1" applyFill="1" applyBorder="1" applyAlignment="1">
      <alignment horizontal="left" vertical="center"/>
    </xf>
    <xf numFmtId="0" fontId="128" fillId="0" borderId="1" xfId="0" applyFont="1" applyFill="1" applyBorder="1" applyAlignment="1">
      <alignment horizontal="left" wrapText="1"/>
    </xf>
    <xf numFmtId="0" fontId="0" fillId="0" borderId="0" xfId="0" applyAlignment="1">
      <alignment horizontal="left" vertical="top"/>
    </xf>
    <xf numFmtId="0" fontId="167" fillId="0" borderId="1" xfId="0" applyFont="1" applyBorder="1" applyAlignment="1" applyProtection="1">
      <alignment horizontal="center" vertical="center"/>
      <protection locked="0"/>
    </xf>
    <xf numFmtId="0" fontId="164" fillId="2" borderId="5" xfId="0" applyFont="1" applyFill="1" applyBorder="1" applyAlignment="1">
      <alignment horizontal="center" wrapText="1"/>
    </xf>
    <xf numFmtId="0" fontId="83" fillId="0" borderId="5" xfId="0" applyFont="1" applyBorder="1" applyAlignment="1">
      <alignment wrapText="1"/>
    </xf>
    <xf numFmtId="0" fontId="59" fillId="2" borderId="1" xfId="0" applyFont="1" applyFill="1" applyBorder="1" applyAlignment="1">
      <alignment wrapText="1"/>
    </xf>
    <xf numFmtId="0" fontId="175" fillId="0" borderId="1" xfId="0" applyFont="1" applyBorder="1" applyAlignment="1">
      <alignment wrapText="1"/>
    </xf>
    <xf numFmtId="0" fontId="176" fillId="2" borderId="1" xfId="0" applyFont="1" applyFill="1" applyBorder="1" applyAlignment="1">
      <alignment wrapText="1"/>
    </xf>
    <xf numFmtId="0" fontId="175" fillId="0" borderId="1" xfId="0" applyFont="1" applyBorder="1" applyAlignment="1">
      <alignment horizontal="left" wrapText="1"/>
    </xf>
    <xf numFmtId="14" fontId="116" fillId="0" borderId="4" xfId="0" applyNumberFormat="1" applyFont="1" applyBorder="1" applyAlignment="1">
      <alignment vertical="center"/>
    </xf>
    <xf numFmtId="0" fontId="160" fillId="3" borderId="1" xfId="0" applyFont="1" applyFill="1" applyBorder="1" applyAlignment="1">
      <alignment horizontal="center" wrapText="1"/>
    </xf>
    <xf numFmtId="14" fontId="116" fillId="3" borderId="4" xfId="0" applyNumberFormat="1" applyFont="1" applyFill="1" applyBorder="1" applyAlignment="1">
      <alignment vertical="center"/>
    </xf>
    <xf numFmtId="0" fontId="177" fillId="22" borderId="0" xfId="13" applyFont="1" applyBorder="1" applyAlignment="1" applyProtection="1">
      <alignment vertical="center"/>
      <protection locked="0"/>
    </xf>
    <xf numFmtId="0" fontId="112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top"/>
    </xf>
    <xf numFmtId="0" fontId="0" fillId="0" borderId="0" xfId="0" applyAlignment="1">
      <alignment horizontal="center" vertical="top"/>
    </xf>
    <xf numFmtId="14" fontId="33" fillId="0" borderId="1" xfId="0" applyNumberFormat="1" applyFont="1" applyBorder="1"/>
    <xf numFmtId="0" fontId="31" fillId="0" borderId="1" xfId="0" applyFont="1" applyBorder="1"/>
    <xf numFmtId="0" fontId="1" fillId="0" borderId="1" xfId="0" applyFont="1" applyBorder="1" applyAlignment="1">
      <alignment horizontal="center"/>
    </xf>
    <xf numFmtId="0" fontId="89" fillId="0" borderId="1" xfId="42" applyBorder="1" applyAlignment="1">
      <alignment horizontal="center"/>
    </xf>
    <xf numFmtId="0" fontId="32" fillId="0" borderId="1" xfId="0" applyFont="1" applyBorder="1"/>
    <xf numFmtId="0" fontId="174" fillId="0" borderId="1" xfId="0" applyFont="1" applyBorder="1" applyAlignment="1" applyProtection="1">
      <alignment horizontal="center" vertical="center" wrapText="1"/>
      <protection locked="0"/>
    </xf>
    <xf numFmtId="0" fontId="70" fillId="3" borderId="1" xfId="0" applyFont="1" applyFill="1" applyBorder="1" applyAlignment="1"/>
    <xf numFmtId="0" fontId="153" fillId="11" borderId="6" xfId="2" applyFont="1" applyBorder="1" applyAlignment="1" applyProtection="1">
      <alignment horizontal="center"/>
      <protection locked="0"/>
    </xf>
    <xf numFmtId="0" fontId="153" fillId="11" borderId="0" xfId="2" applyFont="1" applyBorder="1" applyAlignment="1" applyProtection="1">
      <alignment horizontal="center"/>
      <protection locked="0"/>
    </xf>
    <xf numFmtId="0" fontId="174" fillId="0" borderId="3" xfId="0" applyFont="1" applyBorder="1" applyAlignment="1" applyProtection="1">
      <alignment horizontal="center" vertical="center" wrapText="1"/>
      <protection locked="0"/>
    </xf>
    <xf numFmtId="0" fontId="174" fillId="0" borderId="7" xfId="0" applyFont="1" applyBorder="1" applyAlignment="1" applyProtection="1">
      <alignment horizontal="center" vertical="center" wrapText="1"/>
      <protection locked="0"/>
    </xf>
    <xf numFmtId="0" fontId="174" fillId="0" borderId="2" xfId="0" applyFont="1" applyBorder="1" applyAlignment="1" applyProtection="1">
      <alignment horizontal="center" vertical="center" wrapText="1"/>
      <protection locked="0"/>
    </xf>
    <xf numFmtId="0" fontId="174" fillId="0" borderId="27" xfId="0" applyFont="1" applyBorder="1" applyAlignment="1" applyProtection="1">
      <alignment horizontal="center" vertical="center" wrapText="1"/>
      <protection locked="0"/>
    </xf>
    <xf numFmtId="0" fontId="174" fillId="0" borderId="30" xfId="0" applyFont="1" applyBorder="1" applyAlignment="1" applyProtection="1">
      <alignment horizontal="center" vertical="center" wrapText="1"/>
      <protection locked="0"/>
    </xf>
    <xf numFmtId="0" fontId="174" fillId="0" borderId="31" xfId="0" applyFont="1" applyBorder="1" applyAlignment="1" applyProtection="1">
      <alignment horizontal="center" vertical="center" wrapText="1"/>
      <protection locked="0"/>
    </xf>
    <xf numFmtId="0" fontId="174" fillId="0" borderId="23" xfId="0" applyFont="1" applyBorder="1" applyAlignment="1" applyProtection="1">
      <alignment horizontal="center" vertical="center" wrapText="1"/>
      <protection locked="0"/>
    </xf>
    <xf numFmtId="0" fontId="167" fillId="0" borderId="3" xfId="0" applyFont="1" applyBorder="1" applyAlignment="1" applyProtection="1">
      <alignment horizontal="center" vertical="center"/>
      <protection locked="0"/>
    </xf>
    <xf numFmtId="0" fontId="167" fillId="0" borderId="2" xfId="0" applyFont="1" applyBorder="1" applyAlignment="1" applyProtection="1">
      <alignment horizontal="center" vertical="center"/>
      <protection locked="0"/>
    </xf>
    <xf numFmtId="0" fontId="152" fillId="48" borderId="27" xfId="0" applyFont="1" applyFill="1" applyBorder="1" applyAlignment="1" applyProtection="1">
      <alignment horizontal="center" vertical="center" wrapText="1"/>
      <protection locked="0"/>
    </xf>
    <xf numFmtId="0" fontId="152" fillId="48" borderId="26" xfId="0" applyFont="1" applyFill="1" applyBorder="1" applyAlignment="1" applyProtection="1">
      <alignment horizontal="center" vertical="center" wrapText="1"/>
      <protection locked="0"/>
    </xf>
    <xf numFmtId="0" fontId="152" fillId="48" borderId="30" xfId="0" applyFont="1" applyFill="1" applyBorder="1" applyAlignment="1" applyProtection="1">
      <alignment horizontal="center" vertical="center" wrapText="1"/>
      <protection locked="0"/>
    </xf>
    <xf numFmtId="0" fontId="152" fillId="48" borderId="31" xfId="0" applyFont="1" applyFill="1" applyBorder="1" applyAlignment="1" applyProtection="1">
      <alignment horizontal="center" vertical="center" wrapText="1"/>
      <protection locked="0"/>
    </xf>
    <xf numFmtId="0" fontId="152" fillId="48" borderId="29" xfId="0" applyFont="1" applyFill="1" applyBorder="1" applyAlignment="1" applyProtection="1">
      <alignment horizontal="center" vertical="center" wrapText="1"/>
      <protection locked="0"/>
    </xf>
    <xf numFmtId="0" fontId="152" fillId="48" borderId="23" xfId="0" applyFont="1" applyFill="1" applyBorder="1" applyAlignment="1" applyProtection="1">
      <alignment horizontal="center" vertical="center" wrapText="1"/>
      <protection locked="0"/>
    </xf>
    <xf numFmtId="0" fontId="33" fillId="24" borderId="1" xfId="15" applyFont="1" applyBorder="1" applyAlignment="1" applyProtection="1">
      <alignment horizontal="center" vertical="center"/>
    </xf>
    <xf numFmtId="0" fontId="33" fillId="24" borderId="5" xfId="15" applyFont="1" applyBorder="1" applyAlignment="1" applyProtection="1">
      <alignment horizontal="center" vertical="center"/>
    </xf>
    <xf numFmtId="0" fontId="53" fillId="23" borderId="12" xfId="14" applyFont="1" applyBorder="1" applyAlignment="1" applyProtection="1">
      <alignment horizontal="center" vertical="center"/>
    </xf>
    <xf numFmtId="0" fontId="53" fillId="23" borderId="13" xfId="14" applyFont="1" applyBorder="1" applyAlignment="1" applyProtection="1">
      <alignment horizontal="center" vertical="center"/>
    </xf>
    <xf numFmtId="0" fontId="53" fillId="23" borderId="14" xfId="14" applyFont="1" applyBorder="1" applyAlignment="1" applyProtection="1">
      <alignment horizontal="center" vertical="center"/>
    </xf>
    <xf numFmtId="0" fontId="50" fillId="21" borderId="1" xfId="12" applyFont="1" applyBorder="1" applyAlignment="1" applyProtection="1">
      <alignment horizontal="center"/>
    </xf>
    <xf numFmtId="0" fontId="0" fillId="0" borderId="7" xfId="0" applyBorder="1" applyAlignment="1" applyProtection="1">
      <alignment horizontal="center"/>
      <protection locked="0"/>
    </xf>
    <xf numFmtId="0" fontId="152" fillId="6" borderId="27" xfId="0" applyFont="1" applyFill="1" applyBorder="1" applyAlignment="1" applyProtection="1">
      <alignment horizontal="center" vertical="center" wrapText="1"/>
      <protection locked="0"/>
    </xf>
    <xf numFmtId="0" fontId="152" fillId="6" borderId="26" xfId="0" applyFont="1" applyFill="1" applyBorder="1" applyAlignment="1" applyProtection="1">
      <alignment horizontal="center" vertical="center" wrapText="1"/>
      <protection locked="0"/>
    </xf>
    <xf numFmtId="0" fontId="152" fillId="6" borderId="30" xfId="0" applyFont="1" applyFill="1" applyBorder="1" applyAlignment="1" applyProtection="1">
      <alignment horizontal="center" vertical="center" wrapText="1"/>
      <protection locked="0"/>
    </xf>
    <xf numFmtId="0" fontId="152" fillId="6" borderId="31" xfId="0" applyFont="1" applyFill="1" applyBorder="1" applyAlignment="1" applyProtection="1">
      <alignment horizontal="center" vertical="center" wrapText="1"/>
      <protection locked="0"/>
    </xf>
    <xf numFmtId="0" fontId="152" fillId="6" borderId="29" xfId="0" applyFont="1" applyFill="1" applyBorder="1" applyAlignment="1" applyProtection="1">
      <alignment horizontal="center" vertical="center" wrapText="1"/>
      <protection locked="0"/>
    </xf>
    <xf numFmtId="0" fontId="152" fillId="6" borderId="23" xfId="0" applyFont="1" applyFill="1" applyBorder="1" applyAlignment="1" applyProtection="1">
      <alignment horizontal="center" vertical="center" wrapText="1"/>
      <protection locked="0"/>
    </xf>
    <xf numFmtId="0" fontId="53" fillId="21" borderId="1" xfId="12" applyFont="1" applyBorder="1" applyAlignment="1" applyProtection="1">
      <alignment horizontal="center"/>
    </xf>
    <xf numFmtId="0" fontId="150" fillId="53" borderId="5" xfId="0" applyFont="1" applyFill="1" applyBorder="1" applyAlignment="1" applyProtection="1">
      <alignment horizontal="center" vertical="center" wrapText="1"/>
      <protection locked="0"/>
    </xf>
    <xf numFmtId="0" fontId="150" fillId="53" borderId="4" xfId="0" applyFont="1" applyFill="1" applyBorder="1" applyAlignment="1" applyProtection="1">
      <alignment horizontal="center" vertical="center" wrapText="1"/>
      <protection locked="0"/>
    </xf>
    <xf numFmtId="0" fontId="152" fillId="48" borderId="1" xfId="0" applyFont="1" applyFill="1" applyBorder="1" applyAlignment="1" applyProtection="1">
      <alignment horizontal="center" vertical="center"/>
      <protection locked="0"/>
    </xf>
    <xf numFmtId="0" fontId="150" fillId="53" borderId="27" xfId="0" applyFont="1" applyFill="1" applyBorder="1" applyAlignment="1" applyProtection="1">
      <alignment horizontal="center" vertical="center" wrapText="1"/>
      <protection locked="0"/>
    </xf>
    <xf numFmtId="0" fontId="150" fillId="53" borderId="30" xfId="0" applyFont="1" applyFill="1" applyBorder="1" applyAlignment="1" applyProtection="1">
      <alignment horizontal="center" vertical="center" wrapText="1"/>
      <protection locked="0"/>
    </xf>
    <xf numFmtId="0" fontId="150" fillId="53" borderId="31" xfId="0" applyFont="1" applyFill="1" applyBorder="1" applyAlignment="1" applyProtection="1">
      <alignment horizontal="center" vertical="center" wrapText="1"/>
      <protection locked="0"/>
    </xf>
    <xf numFmtId="0" fontId="150" fillId="53" borderId="23" xfId="0" applyFont="1" applyFill="1" applyBorder="1" applyAlignment="1" applyProtection="1">
      <alignment horizontal="center" vertical="center" wrapText="1"/>
      <protection locked="0"/>
    </xf>
    <xf numFmtId="0" fontId="168" fillId="54" borderId="1" xfId="0" applyFont="1" applyFill="1" applyBorder="1" applyAlignment="1" applyProtection="1">
      <alignment horizontal="center" vertical="center" wrapText="1"/>
      <protection locked="0"/>
    </xf>
    <xf numFmtId="0" fontId="169" fillId="54" borderId="1" xfId="0" applyFont="1" applyFill="1" applyBorder="1" applyAlignment="1" applyProtection="1">
      <alignment horizontal="center" vertical="center" wrapText="1"/>
      <protection locked="0"/>
    </xf>
    <xf numFmtId="0" fontId="167" fillId="53" borderId="1" xfId="0" applyFont="1" applyFill="1" applyBorder="1" applyAlignment="1" applyProtection="1">
      <alignment horizontal="center" vertical="center" wrapText="1"/>
      <protection locked="0"/>
    </xf>
    <xf numFmtId="0" fontId="33" fillId="24" borderId="1" xfId="15" applyFont="1" applyBorder="1" applyAlignment="1" applyProtection="1">
      <alignment horizontal="center" vertical="center"/>
      <protection locked="0"/>
    </xf>
    <xf numFmtId="0" fontId="53" fillId="21" borderId="1" xfId="12" applyFont="1" applyBorder="1" applyAlignment="1" applyProtection="1">
      <alignment horizontal="left"/>
    </xf>
    <xf numFmtId="0" fontId="159" fillId="11" borderId="3" xfId="2" applyFont="1" applyBorder="1" applyAlignment="1" applyProtection="1">
      <alignment horizontal="center"/>
      <protection locked="0"/>
    </xf>
    <xf numFmtId="0" fontId="159" fillId="11" borderId="2" xfId="2" applyFont="1" applyBorder="1" applyAlignment="1" applyProtection="1">
      <alignment horizontal="center"/>
      <protection locked="0"/>
    </xf>
    <xf numFmtId="0" fontId="159" fillId="11" borderId="1" xfId="2" applyFont="1" applyBorder="1" applyAlignment="1" applyProtection="1">
      <alignment horizontal="center"/>
      <protection locked="0"/>
    </xf>
    <xf numFmtId="0" fontId="156" fillId="12" borderId="3" xfId="3" applyFont="1" applyBorder="1" applyAlignment="1" applyProtection="1">
      <alignment horizontal="center" vertical="center" wrapText="1"/>
      <protection locked="0"/>
    </xf>
    <xf numFmtId="0" fontId="156" fillId="12" borderId="2" xfId="3" applyFont="1" applyBorder="1" applyAlignment="1" applyProtection="1">
      <alignment horizontal="center" vertical="center" wrapText="1"/>
      <protection locked="0"/>
    </xf>
    <xf numFmtId="0" fontId="156" fillId="12" borderId="1" xfId="3" applyFont="1" applyBorder="1" applyAlignment="1" applyProtection="1">
      <alignment horizontal="center" vertical="center" wrapText="1"/>
      <protection locked="0"/>
    </xf>
    <xf numFmtId="0" fontId="155" fillId="18" borderId="3" xfId="9" applyFont="1" applyBorder="1" applyAlignment="1" applyProtection="1">
      <alignment horizontal="center" wrapText="1"/>
      <protection locked="0"/>
    </xf>
    <xf numFmtId="0" fontId="155" fillId="18" borderId="7" xfId="9" applyFont="1" applyBorder="1" applyAlignment="1" applyProtection="1">
      <alignment horizontal="center" wrapText="1"/>
      <protection locked="0"/>
    </xf>
    <xf numFmtId="0" fontId="155" fillId="18" borderId="2" xfId="9" applyFont="1" applyBorder="1" applyAlignment="1" applyProtection="1">
      <alignment horizontal="center" wrapText="1"/>
      <protection locked="0"/>
    </xf>
    <xf numFmtId="0" fontId="154" fillId="18" borderId="1" xfId="9" applyFont="1" applyBorder="1" applyAlignment="1" applyProtection="1">
      <alignment horizontal="center" vertical="center" wrapText="1"/>
      <protection locked="0"/>
    </xf>
    <xf numFmtId="0" fontId="154" fillId="18" borderId="3" xfId="9" applyFont="1" applyBorder="1" applyAlignment="1" applyProtection="1">
      <alignment horizontal="center" vertical="center" wrapText="1"/>
      <protection locked="0"/>
    </xf>
    <xf numFmtId="0" fontId="154" fillId="18" borderId="7" xfId="9" applyFont="1" applyBorder="1" applyAlignment="1" applyProtection="1">
      <alignment horizontal="center" vertical="center" wrapText="1"/>
      <protection locked="0"/>
    </xf>
    <xf numFmtId="0" fontId="154" fillId="18" borderId="2" xfId="9" applyFont="1" applyBorder="1" applyAlignment="1" applyProtection="1">
      <alignment horizontal="center" vertical="center" wrapText="1"/>
      <protection locked="0"/>
    </xf>
    <xf numFmtId="0" fontId="155" fillId="18" borderId="1" xfId="9" applyFont="1" applyBorder="1" applyAlignment="1" applyProtection="1">
      <alignment horizontal="center" wrapText="1"/>
      <protection locked="0"/>
    </xf>
    <xf numFmtId="0" fontId="33" fillId="24" borderId="3" xfId="15" applyFont="1" applyBorder="1" applyAlignment="1" applyProtection="1">
      <alignment horizontal="center" vertical="center"/>
      <protection locked="0"/>
    </xf>
    <xf numFmtId="0" fontId="33" fillId="24" borderId="7" xfId="15" applyFont="1" applyBorder="1" applyAlignment="1" applyProtection="1">
      <alignment horizontal="center" vertical="center"/>
      <protection locked="0"/>
    </xf>
    <xf numFmtId="0" fontId="33" fillId="24" borderId="2" xfId="15" applyFont="1" applyBorder="1" applyAlignment="1" applyProtection="1">
      <alignment horizontal="center" vertical="center"/>
      <protection locked="0"/>
    </xf>
    <xf numFmtId="0" fontId="33" fillId="24" borderId="3" xfId="15" applyFont="1" applyBorder="1" applyAlignment="1" applyProtection="1">
      <alignment horizontal="center" vertical="center"/>
    </xf>
    <xf numFmtId="0" fontId="33" fillId="24" borderId="2" xfId="15" applyFont="1" applyBorder="1" applyAlignment="1" applyProtection="1">
      <alignment horizontal="center" vertical="center"/>
    </xf>
    <xf numFmtId="0" fontId="44" fillId="0" borderId="26" xfId="1" applyFont="1" applyBorder="1" applyAlignment="1" applyProtection="1">
      <alignment horizontal="center"/>
    </xf>
    <xf numFmtId="0" fontId="152" fillId="0" borderId="7" xfId="0" applyFont="1" applyFill="1" applyBorder="1" applyAlignment="1" applyProtection="1">
      <alignment horizontal="center" vertical="center" wrapText="1"/>
      <protection locked="0"/>
    </xf>
    <xf numFmtId="14" fontId="53" fillId="21" borderId="1" xfId="12" applyNumberFormat="1" applyFont="1" applyBorder="1" applyAlignment="1" applyProtection="1">
      <alignment horizontal="center"/>
    </xf>
    <xf numFmtId="0" fontId="166" fillId="48" borderId="1" xfId="0" applyFont="1" applyFill="1" applyBorder="1" applyAlignment="1" applyProtection="1">
      <alignment horizontal="center" vertical="center" wrapText="1"/>
      <protection locked="0"/>
    </xf>
    <xf numFmtId="0" fontId="166" fillId="48" borderId="1" xfId="0" applyFont="1" applyFill="1" applyBorder="1" applyAlignment="1" applyProtection="1">
      <alignment horizontal="center" vertical="center"/>
      <protection locked="0"/>
    </xf>
    <xf numFmtId="0" fontId="152" fillId="54" borderId="1" xfId="0" applyFont="1" applyFill="1" applyBorder="1" applyAlignment="1" applyProtection="1">
      <alignment horizontal="center" vertical="center" wrapText="1"/>
      <protection locked="0"/>
    </xf>
    <xf numFmtId="0" fontId="151" fillId="54" borderId="1" xfId="0" applyFont="1" applyFill="1" applyBorder="1" applyAlignment="1" applyProtection="1">
      <alignment horizontal="center" vertical="center" wrapText="1"/>
      <protection locked="0"/>
    </xf>
    <xf numFmtId="0" fontId="49" fillId="11" borderId="1" xfId="2" applyFont="1" applyBorder="1" applyAlignment="1" applyProtection="1">
      <alignment horizontal="center"/>
      <protection locked="0"/>
    </xf>
    <xf numFmtId="0" fontId="46" fillId="15" borderId="25" xfId="6" applyFont="1" applyBorder="1" applyAlignment="1" applyProtection="1">
      <alignment horizontal="center"/>
    </xf>
    <xf numFmtId="0" fontId="46" fillId="15" borderId="0" xfId="6" applyFont="1" applyBorder="1" applyAlignment="1" applyProtection="1">
      <alignment horizontal="center"/>
    </xf>
    <xf numFmtId="0" fontId="47" fillId="11" borderId="1" xfId="2" applyFont="1" applyBorder="1" applyAlignment="1" applyProtection="1">
      <alignment horizontal="center" vertical="center"/>
      <protection locked="0"/>
    </xf>
    <xf numFmtId="0" fontId="47" fillId="11" borderId="1" xfId="2" applyFont="1" applyBorder="1" applyAlignment="1" applyProtection="1">
      <alignment horizontal="center"/>
      <protection locked="0"/>
    </xf>
    <xf numFmtId="0" fontId="49" fillId="11" borderId="3" xfId="2" applyFont="1" applyBorder="1" applyAlignment="1" applyProtection="1">
      <alignment horizontal="center"/>
      <protection locked="0"/>
    </xf>
    <xf numFmtId="0" fontId="49" fillId="11" borderId="7" xfId="2" applyFont="1" applyBorder="1" applyAlignment="1" applyProtection="1">
      <alignment horizontal="center"/>
      <protection locked="0"/>
    </xf>
    <xf numFmtId="0" fontId="49" fillId="11" borderId="2" xfId="2" applyFont="1" applyBorder="1" applyAlignment="1" applyProtection="1">
      <alignment horizontal="center"/>
      <protection locked="0"/>
    </xf>
    <xf numFmtId="0" fontId="33" fillId="17" borderId="1" xfId="8" applyFont="1" applyBorder="1" applyAlignment="1" applyProtection="1">
      <alignment horizontal="center"/>
    </xf>
    <xf numFmtId="0" fontId="45" fillId="20" borderId="6" xfId="11" applyFont="1" applyBorder="1" applyAlignment="1" applyProtection="1">
      <alignment horizontal="center"/>
    </xf>
    <xf numFmtId="0" fontId="45" fillId="20" borderId="0" xfId="11" applyFont="1" applyBorder="1" applyAlignment="1" applyProtection="1">
      <alignment horizontal="center"/>
    </xf>
    <xf numFmtId="0" fontId="33" fillId="17" borderId="3" xfId="8" applyFont="1" applyBorder="1" applyAlignment="1" applyProtection="1">
      <alignment horizontal="center"/>
    </xf>
    <xf numFmtId="0" fontId="33" fillId="17" borderId="7" xfId="8" applyFont="1" applyBorder="1" applyAlignment="1" applyProtection="1">
      <alignment horizontal="center"/>
    </xf>
    <xf numFmtId="0" fontId="33" fillId="17" borderId="2" xfId="8" applyFont="1" applyBorder="1" applyAlignment="1" applyProtection="1">
      <alignment horizontal="center"/>
    </xf>
    <xf numFmtId="0" fontId="51" fillId="54" borderId="31" xfId="5" applyFont="1" applyFill="1" applyBorder="1" applyAlignment="1" applyProtection="1">
      <alignment horizontal="center"/>
    </xf>
    <xf numFmtId="0" fontId="51" fillId="54" borderId="29" xfId="5" applyFont="1" applyFill="1" applyBorder="1" applyAlignment="1" applyProtection="1">
      <alignment horizontal="center"/>
    </xf>
    <xf numFmtId="0" fontId="135" fillId="55" borderId="3" xfId="7" applyFont="1" applyFill="1" applyBorder="1" applyAlignment="1" applyProtection="1">
      <alignment horizontal="center" vertical="center"/>
    </xf>
    <xf numFmtId="0" fontId="135" fillId="55" borderId="7" xfId="7" applyFont="1" applyFill="1" applyBorder="1" applyAlignment="1" applyProtection="1">
      <alignment horizontal="center" vertical="center"/>
    </xf>
    <xf numFmtId="0" fontId="135" fillId="55" borderId="2" xfId="7" applyFont="1" applyFill="1" applyBorder="1" applyAlignment="1" applyProtection="1">
      <alignment horizontal="center" vertical="center"/>
    </xf>
    <xf numFmtId="14" fontId="54" fillId="43" borderId="1" xfId="4" applyNumberFormat="1" applyFont="1" applyFill="1" applyBorder="1" applyAlignment="1" applyProtection="1">
      <alignment horizontal="center"/>
    </xf>
    <xf numFmtId="0" fontId="140" fillId="44" borderId="1" xfId="13" applyFont="1" applyFill="1" applyBorder="1" applyAlignment="1" applyProtection="1">
      <alignment horizontal="center"/>
      <protection locked="0"/>
    </xf>
    <xf numFmtId="0" fontId="139" fillId="44" borderId="3" xfId="13" applyFont="1" applyFill="1" applyBorder="1" applyAlignment="1" applyProtection="1">
      <alignment horizontal="center" vertical="center"/>
      <protection locked="0"/>
    </xf>
    <xf numFmtId="0" fontId="139" fillId="44" borderId="7" xfId="13" applyFont="1" applyFill="1" applyBorder="1" applyAlignment="1" applyProtection="1">
      <alignment horizontal="center" vertical="center"/>
      <protection locked="0"/>
    </xf>
    <xf numFmtId="0" fontId="138" fillId="44" borderId="1" xfId="13" applyFont="1" applyFill="1" applyBorder="1" applyAlignment="1" applyProtection="1">
      <alignment horizontal="center" vertical="center"/>
      <protection locked="0"/>
    </xf>
    <xf numFmtId="0" fontId="139" fillId="44" borderId="3" xfId="13" applyFont="1" applyFill="1" applyBorder="1" applyAlignment="1" applyProtection="1">
      <alignment horizontal="center"/>
      <protection locked="0"/>
    </xf>
    <xf numFmtId="0" fontId="139" fillId="44" borderId="2" xfId="13" applyFont="1" applyFill="1" applyBorder="1" applyAlignment="1" applyProtection="1">
      <alignment horizontal="center"/>
      <protection locked="0"/>
    </xf>
    <xf numFmtId="0" fontId="2" fillId="22" borderId="3" xfId="13" applyFont="1" applyBorder="1" applyAlignment="1" applyProtection="1">
      <alignment horizontal="center"/>
      <protection locked="0"/>
    </xf>
    <xf numFmtId="0" fontId="2" fillId="22" borderId="7" xfId="13" applyFont="1" applyBorder="1" applyAlignment="1" applyProtection="1">
      <alignment horizontal="center"/>
      <protection locked="0"/>
    </xf>
    <xf numFmtId="0" fontId="2" fillId="22" borderId="2" xfId="13" applyFont="1" applyBorder="1" applyAlignment="1" applyProtection="1">
      <alignment horizontal="center"/>
      <protection locked="0"/>
    </xf>
    <xf numFmtId="0" fontId="139" fillId="44" borderId="2" xfId="13" applyFont="1" applyFill="1" applyBorder="1" applyAlignment="1" applyProtection="1">
      <alignment horizontal="center" vertical="center"/>
      <protection locked="0"/>
    </xf>
    <xf numFmtId="0" fontId="167" fillId="56" borderId="26" xfId="0" applyFont="1" applyFill="1" applyBorder="1" applyAlignment="1" applyProtection="1">
      <alignment horizontal="center" vertical="center"/>
      <protection locked="0"/>
    </xf>
    <xf numFmtId="0" fontId="178" fillId="49" borderId="27" xfId="0" applyFont="1" applyFill="1" applyBorder="1" applyAlignment="1" applyProtection="1">
      <alignment horizontal="center" vertical="center" wrapText="1"/>
      <protection locked="0"/>
    </xf>
    <xf numFmtId="0" fontId="178" fillId="49" borderId="26" xfId="0" applyFont="1" applyFill="1" applyBorder="1" applyAlignment="1" applyProtection="1">
      <alignment horizontal="center" vertical="center" wrapText="1"/>
      <protection locked="0"/>
    </xf>
    <xf numFmtId="0" fontId="178" fillId="49" borderId="30" xfId="0" applyFont="1" applyFill="1" applyBorder="1" applyAlignment="1" applyProtection="1">
      <alignment horizontal="center" vertical="center" wrapText="1"/>
      <protection locked="0"/>
    </xf>
    <xf numFmtId="0" fontId="177" fillId="22" borderId="1" xfId="13" applyFont="1" applyBorder="1" applyAlignment="1" applyProtection="1">
      <alignment horizontal="center" vertical="center"/>
      <protection locked="0"/>
    </xf>
    <xf numFmtId="0" fontId="150" fillId="22" borderId="1" xfId="13" applyFont="1" applyBorder="1" applyAlignment="1" applyProtection="1">
      <alignment horizontal="center" vertical="center"/>
      <protection locked="0"/>
    </xf>
    <xf numFmtId="0" fontId="33" fillId="52" borderId="1" xfId="0" applyFont="1" applyFill="1" applyBorder="1" applyAlignment="1" applyProtection="1">
      <alignment horizontal="center" vertical="center"/>
      <protection locked="0"/>
    </xf>
    <xf numFmtId="0" fontId="144" fillId="52" borderId="3" xfId="0" applyFont="1" applyFill="1" applyBorder="1" applyAlignment="1" applyProtection="1">
      <alignment horizontal="center" vertical="center"/>
      <protection locked="0"/>
    </xf>
    <xf numFmtId="0" fontId="144" fillId="52" borderId="2" xfId="0" applyFont="1" applyFill="1" applyBorder="1" applyAlignment="1" applyProtection="1">
      <alignment horizontal="center" vertical="center"/>
      <protection locked="0"/>
    </xf>
    <xf numFmtId="0" fontId="142" fillId="51" borderId="1" xfId="0" applyFont="1" applyFill="1" applyBorder="1" applyAlignment="1" applyProtection="1">
      <alignment horizontal="center"/>
      <protection locked="0"/>
    </xf>
    <xf numFmtId="0" fontId="55" fillId="52" borderId="1" xfId="0" applyFont="1" applyFill="1" applyBorder="1" applyAlignment="1" applyProtection="1">
      <alignment horizontal="center" vertical="center"/>
      <protection locked="0"/>
    </xf>
    <xf numFmtId="0" fontId="55" fillId="52" borderId="1" xfId="0" applyFont="1" applyFill="1" applyBorder="1" applyAlignment="1" applyProtection="1">
      <alignment horizontal="center" vertical="center" wrapText="1"/>
      <protection locked="0"/>
    </xf>
    <xf numFmtId="0" fontId="55" fillId="52" borderId="5" xfId="0" applyFont="1" applyFill="1" applyBorder="1" applyAlignment="1" applyProtection="1">
      <alignment horizontal="center" vertical="center" wrapText="1"/>
      <protection locked="0"/>
    </xf>
    <xf numFmtId="0" fontId="55" fillId="52" borderId="4" xfId="0" applyFont="1" applyFill="1" applyBorder="1" applyAlignment="1" applyProtection="1">
      <alignment horizontal="center" vertical="center" wrapText="1"/>
      <protection locked="0"/>
    </xf>
    <xf numFmtId="0" fontId="136" fillId="20" borderId="3" xfId="11" applyFont="1" applyBorder="1" applyAlignment="1" applyProtection="1">
      <alignment horizontal="center"/>
    </xf>
    <xf numFmtId="0" fontId="136" fillId="20" borderId="7" xfId="11" applyFont="1" applyBorder="1" applyAlignment="1" applyProtection="1">
      <alignment horizontal="center"/>
    </xf>
    <xf numFmtId="0" fontId="136" fillId="20" borderId="2" xfId="11" applyFont="1" applyBorder="1" applyAlignment="1" applyProtection="1">
      <alignment horizontal="center"/>
    </xf>
    <xf numFmtId="0" fontId="137" fillId="43" borderId="1" xfId="7" applyFont="1" applyFill="1" applyBorder="1" applyAlignment="1" applyProtection="1">
      <alignment horizontal="center" vertical="center" wrapText="1"/>
    </xf>
    <xf numFmtId="0" fontId="135" fillId="8" borderId="1" xfId="7" applyFont="1" applyFill="1" applyBorder="1" applyAlignment="1" applyProtection="1">
      <alignment horizontal="center" vertical="center"/>
    </xf>
    <xf numFmtId="0" fontId="7" fillId="2" borderId="0" xfId="0" applyFont="1" applyFill="1" applyAlignment="1">
      <alignment vertical="top" wrapText="1"/>
    </xf>
    <xf numFmtId="0" fontId="0" fillId="0" borderId="1" xfId="0" applyBorder="1" applyAlignment="1">
      <alignment horizontal="center"/>
    </xf>
    <xf numFmtId="0" fontId="145" fillId="0" borderId="1" xfId="0" applyFont="1" applyBorder="1" applyAlignment="1">
      <alignment vertical="center" wrapText="1"/>
    </xf>
    <xf numFmtId="0" fontId="55" fillId="0" borderId="1" xfId="0" applyFont="1" applyBorder="1" applyAlignment="1">
      <alignment vertical="center" wrapText="1"/>
    </xf>
    <xf numFmtId="0" fontId="55" fillId="0" borderId="1" xfId="0" applyFont="1" applyBorder="1" applyAlignment="1">
      <alignment horizontal="left" vertical="center" wrapText="1"/>
    </xf>
    <xf numFmtId="0" fontId="55" fillId="0" borderId="5" xfId="0" applyFont="1" applyBorder="1" applyAlignment="1">
      <alignment horizontal="left" vertical="center" wrapText="1"/>
    </xf>
    <xf numFmtId="0" fontId="55" fillId="0" borderId="4" xfId="0" applyFont="1" applyBorder="1" applyAlignment="1">
      <alignment horizontal="left" vertical="center" wrapText="1"/>
    </xf>
    <xf numFmtId="0" fontId="55" fillId="0" borderId="1" xfId="0" applyFont="1" applyBorder="1" applyAlignment="1">
      <alignment horizontal="right" vertical="center" wrapText="1"/>
    </xf>
    <xf numFmtId="166" fontId="55" fillId="0" borderId="1" xfId="0" applyNumberFormat="1" applyFont="1" applyBorder="1" applyAlignment="1">
      <alignment horizontal="right" vertical="center" wrapText="1"/>
    </xf>
    <xf numFmtId="0" fontId="55" fillId="0" borderId="1" xfId="0" applyFont="1" applyBorder="1" applyAlignment="1">
      <alignment horizontal="center" vertical="center" wrapText="1"/>
    </xf>
    <xf numFmtId="0" fontId="55" fillId="0" borderId="3" xfId="0" applyFont="1" applyBorder="1" applyAlignment="1">
      <alignment vertical="center" wrapText="1"/>
    </xf>
    <xf numFmtId="0" fontId="55" fillId="0" borderId="2" xfId="0" applyFont="1" applyBorder="1" applyAlignment="1">
      <alignment vertical="center" wrapText="1"/>
    </xf>
    <xf numFmtId="0" fontId="4" fillId="48" borderId="1" xfId="0" applyFont="1" applyFill="1" applyBorder="1" applyAlignment="1">
      <alignment horizontal="center" vertical="center"/>
    </xf>
    <xf numFmtId="0" fontId="48" fillId="48" borderId="1" xfId="0" applyFont="1" applyFill="1" applyBorder="1" applyAlignment="1">
      <alignment horizontal="center" vertical="center"/>
    </xf>
    <xf numFmtId="0" fontId="102" fillId="44" borderId="29" xfId="0" applyFont="1" applyFill="1" applyBorder="1" applyAlignment="1">
      <alignment horizontal="center"/>
    </xf>
    <xf numFmtId="0" fontId="105" fillId="10" borderId="0" xfId="0" applyFont="1" applyFill="1" applyAlignment="1">
      <alignment horizontal="center" wrapText="1"/>
    </xf>
    <xf numFmtId="0" fontId="55" fillId="0" borderId="9" xfId="0" applyFont="1" applyBorder="1" applyAlignment="1">
      <alignment horizontal="center"/>
    </xf>
    <xf numFmtId="0" fontId="53" fillId="23" borderId="1" xfId="14" applyFont="1" applyBorder="1" applyAlignment="1" applyProtection="1">
      <alignment horizontal="center" vertical="center"/>
    </xf>
  </cellXfs>
  <cellStyles count="44">
    <cellStyle name="20% - Accent1" xfId="28" builtinId="30" customBuiltin="1"/>
    <cellStyle name="20% - Accent2" xfId="31" builtinId="34" customBuiltin="1"/>
    <cellStyle name="20% - Accent3" xfId="33" builtinId="38" customBuiltin="1"/>
    <cellStyle name="20% - Accent4" xfId="35" builtinId="42" customBuiltin="1"/>
    <cellStyle name="20% - Accent5" xfId="38" builtinId="46" customBuiltin="1"/>
    <cellStyle name="20% - Accent6" xfId="15" builtinId="50" customBuiltin="1"/>
    <cellStyle name="40% - Accent1" xfId="29" builtinId="31" customBuiltin="1"/>
    <cellStyle name="40% - Accent2" xfId="8" builtinId="35" customBuiltin="1"/>
    <cellStyle name="40% - Accent3" xfId="10" builtinId="39" customBuiltin="1"/>
    <cellStyle name="40% - Accent4" xfId="36" builtinId="43" customBuiltin="1"/>
    <cellStyle name="40% - Accent5" xfId="13" builtinId="47" customBuiltin="1"/>
    <cellStyle name="40% - Accent6" xfId="16" builtinId="51" customBuiltin="1"/>
    <cellStyle name="60% - Accent1" xfId="30" builtinId="32" customBuiltin="1"/>
    <cellStyle name="60% - Accent2" xfId="9" builtinId="36" customBuiltin="1"/>
    <cellStyle name="60% - Accent3" xfId="34" builtinId="40" customBuiltin="1"/>
    <cellStyle name="60% - Accent4" xfId="37" builtinId="44" customBuiltin="1"/>
    <cellStyle name="60% - Accent5" xfId="14" builtinId="48" customBuiltin="1"/>
    <cellStyle name="60% - Accent6" xfId="40" builtinId="52" customBuiltin="1"/>
    <cellStyle name="Accent1" xfId="6" builtinId="29" customBuiltin="1"/>
    <cellStyle name="Accent2" xfId="7" builtinId="33" customBuiltin="1"/>
    <cellStyle name="Accent3" xfId="32" builtinId="37" customBuiltin="1"/>
    <cellStyle name="Accent4" xfId="11" builtinId="41" customBuiltin="1"/>
    <cellStyle name="Accent5" xfId="12" builtinId="45" customBuiltin="1"/>
    <cellStyle name="Accent6" xfId="39" builtinId="49" customBuiltin="1"/>
    <cellStyle name="Bad" xfId="20" builtinId="27" customBuiltin="1"/>
    <cellStyle name="Calculation" xfId="22" builtinId="22" customBuiltin="1"/>
    <cellStyle name="Check Cell" xfId="5" builtinId="23" customBuiltin="1"/>
    <cellStyle name="Comma" xfId="43" builtinId="3"/>
    <cellStyle name="Explanatory Text" xfId="26" builtinId="53" customBuiltin="1"/>
    <cellStyle name="Good" xfId="2" builtinId="26" customBuiltin="1"/>
    <cellStyle name="Heading 1" xfId="1" builtinId="16" customBuiltin="1"/>
    <cellStyle name="Heading 2" xfId="17" builtinId="17" customBuiltin="1"/>
    <cellStyle name="Heading 3" xfId="18" builtinId="18" customBuiltin="1"/>
    <cellStyle name="Heading 4" xfId="19" builtinId="19" customBuiltin="1"/>
    <cellStyle name="Hyperlink" xfId="42" builtinId="8"/>
    <cellStyle name="Input" xfId="4" builtinId="20" customBuiltin="1"/>
    <cellStyle name="Linked Cell" xfId="23" builtinId="24" customBuiltin="1"/>
    <cellStyle name="Neutral" xfId="3" builtinId="28" customBuiltin="1"/>
    <cellStyle name="Normal" xfId="0" builtinId="0"/>
    <cellStyle name="Note" xfId="25" builtinId="10" customBuiltin="1"/>
    <cellStyle name="Output" xfId="21" builtinId="21" customBuiltin="1"/>
    <cellStyle name="Title 2" xfId="41"/>
    <cellStyle name="Total" xfId="27" builtinId="25" customBuiltin="1"/>
    <cellStyle name="Warning Text" xfId="24" builtinId="11" customBuiltin="1"/>
  </cellStyles>
  <dxfs count="3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44</xdr:row>
          <xdr:rowOff>123825</xdr:rowOff>
        </xdr:from>
        <xdr:to>
          <xdr:col>17</xdr:col>
          <xdr:colOff>466725</xdr:colOff>
          <xdr:row>46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0</xdr:row>
          <xdr:rowOff>38100</xdr:rowOff>
        </xdr:from>
        <xdr:to>
          <xdr:col>11</xdr:col>
          <xdr:colOff>2171700</xdr:colOff>
          <xdr:row>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314325</xdr:colOff>
          <xdr:row>0</xdr:row>
          <xdr:rowOff>85725</xdr:rowOff>
        </xdr:from>
        <xdr:to>
          <xdr:col>12</xdr:col>
          <xdr:colOff>1781175</xdr:colOff>
          <xdr:row>1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</xdr:colOff>
          <xdr:row>846</xdr:row>
          <xdr:rowOff>0</xdr:rowOff>
        </xdr:from>
        <xdr:to>
          <xdr:col>20</xdr:col>
          <xdr:colOff>238125</xdr:colOff>
          <xdr:row>849</xdr:row>
          <xdr:rowOff>47625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0</xdr:row>
          <xdr:rowOff>171450</xdr:rowOff>
        </xdr:from>
        <xdr:to>
          <xdr:col>23</xdr:col>
          <xdr:colOff>47625</xdr:colOff>
          <xdr:row>1</xdr:row>
          <xdr:rowOff>371475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wise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95250</xdr:colOff>
          <xdr:row>1</xdr:row>
          <xdr:rowOff>38100</xdr:rowOff>
        </xdr:from>
        <xdr:to>
          <xdr:col>24</xdr:col>
          <xdr:colOff>38100</xdr:colOff>
          <xdr:row>2</xdr:row>
          <xdr:rowOff>28575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Outcome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76211</xdr:rowOff>
    </xdr:from>
    <xdr:to>
      <xdr:col>1</xdr:col>
      <xdr:colOff>140746</xdr:colOff>
      <xdr:row>0</xdr:row>
      <xdr:rowOff>624851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11"/>
          <a:ext cx="655096" cy="548640"/>
        </a:xfrm>
        <a:prstGeom prst="rect">
          <a:avLst/>
        </a:prstGeom>
      </xdr:spPr>
    </xdr:pic>
    <xdr:clientData/>
  </xdr:twoCellAnchor>
  <xdr:twoCellAnchor editAs="oneCell">
    <xdr:from>
      <xdr:col>16</xdr:col>
      <xdr:colOff>1</xdr:colOff>
      <xdr:row>0</xdr:row>
      <xdr:rowOff>66695</xdr:rowOff>
    </xdr:from>
    <xdr:to>
      <xdr:col>17</xdr:col>
      <xdr:colOff>1274</xdr:colOff>
      <xdr:row>0</xdr:row>
      <xdr:rowOff>647700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1" y="66695"/>
          <a:ext cx="604523" cy="5810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ERSONAL"/>
    </sheetNames>
    <definedNames>
      <definedName name="calculation"/>
      <definedName name="metrosort1"/>
      <definedName name="metrosort2"/>
      <definedName name="namelistsort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!@%20&#2348;&#2332;&#2375;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86"/>
  <sheetViews>
    <sheetView tabSelected="1" view="pageBreakPreview" zoomScale="85" zoomScaleNormal="80" zoomScaleSheetLayoutView="85" workbookViewId="0">
      <selection activeCell="A15" sqref="A15"/>
    </sheetView>
  </sheetViews>
  <sheetFormatPr defaultRowHeight="15"/>
  <cols>
    <col min="1" max="1" width="22.85546875" style="28" customWidth="1"/>
    <col min="2" max="2" width="16.5703125" style="28" customWidth="1"/>
    <col min="3" max="3" width="11" style="28" customWidth="1"/>
    <col min="4" max="4" width="7.85546875" style="28" customWidth="1"/>
    <col min="5" max="5" width="14.28515625" style="28" bestFit="1" customWidth="1"/>
    <col min="6" max="6" width="13.28515625" style="28" customWidth="1"/>
    <col min="7" max="7" width="10.140625" style="28" customWidth="1"/>
    <col min="8" max="8" width="7.5703125" style="28" customWidth="1"/>
    <col min="9" max="9" width="8.28515625" style="28" customWidth="1"/>
    <col min="10" max="10" width="7.28515625" style="28" customWidth="1"/>
    <col min="11" max="11" width="11.42578125" style="28" customWidth="1"/>
    <col min="12" max="12" width="7.42578125" style="28" bestFit="1" customWidth="1"/>
    <col min="13" max="13" width="8.7109375" style="28" bestFit="1" customWidth="1"/>
    <col min="14" max="16384" width="9.140625" style="28"/>
  </cols>
  <sheetData>
    <row r="1" spans="1:13" ht="27">
      <c r="A1" s="1569" t="s">
        <v>4913</v>
      </c>
      <c r="B1" s="1570"/>
      <c r="C1" s="1570"/>
      <c r="D1" s="1570"/>
      <c r="E1" s="1570"/>
      <c r="F1" s="1570"/>
      <c r="G1" s="1570"/>
      <c r="H1" s="1570"/>
      <c r="I1" s="1570"/>
      <c r="J1" s="1570"/>
      <c r="K1" s="1570"/>
      <c r="L1" s="1570"/>
      <c r="M1" s="1570"/>
    </row>
    <row r="2" spans="1:13" ht="22.5">
      <c r="A2" s="1342" t="s">
        <v>1</v>
      </c>
      <c r="B2" s="1350">
        <v>65275</v>
      </c>
      <c r="C2" s="1343" t="s">
        <v>2496</v>
      </c>
      <c r="D2" s="1587">
        <f>'death list'!B1</f>
        <v>65327</v>
      </c>
      <c r="E2" s="1587"/>
      <c r="F2" s="1351" t="s">
        <v>4912</v>
      </c>
      <c r="G2" s="1584" t="s">
        <v>4914</v>
      </c>
      <c r="H2" s="1585"/>
      <c r="I2" s="1585"/>
      <c r="J2" s="1585"/>
      <c r="K2" s="1585"/>
      <c r="L2" s="1585"/>
      <c r="M2" s="1586"/>
    </row>
    <row r="3" spans="1:13" ht="19.5">
      <c r="A3" s="1344" t="s">
        <v>2</v>
      </c>
      <c r="B3" s="1345">
        <f>D3+F3</f>
        <v>835</v>
      </c>
      <c r="C3" s="1346" t="s">
        <v>3</v>
      </c>
      <c r="D3" s="1345">
        <f>B64</f>
        <v>465</v>
      </c>
      <c r="E3" s="1346" t="s">
        <v>17</v>
      </c>
      <c r="F3" s="1345">
        <f>C64</f>
        <v>370</v>
      </c>
      <c r="G3" s="1582" t="s">
        <v>2</v>
      </c>
      <c r="H3" s="1583"/>
      <c r="I3" s="1348">
        <f>K3+M3</f>
        <v>5412</v>
      </c>
      <c r="J3" s="1349" t="s">
        <v>3</v>
      </c>
      <c r="K3" s="1348">
        <f>B64+2661</f>
        <v>3126</v>
      </c>
      <c r="L3" s="1349" t="s">
        <v>17</v>
      </c>
      <c r="M3" s="1347">
        <f>C64+1916</f>
        <v>2286</v>
      </c>
    </row>
    <row r="4" spans="1:13" ht="19.5">
      <c r="A4" s="231" t="s">
        <v>14</v>
      </c>
      <c r="B4" s="232">
        <f>D4+F4</f>
        <v>827</v>
      </c>
      <c r="C4" s="1341" t="s">
        <v>3</v>
      </c>
      <c r="D4" s="232">
        <f>E64</f>
        <v>460</v>
      </c>
      <c r="E4" s="1341" t="s">
        <v>17</v>
      </c>
      <c r="F4" s="232">
        <f>F64</f>
        <v>367</v>
      </c>
      <c r="G4" s="1582" t="s">
        <v>14</v>
      </c>
      <c r="H4" s="1583"/>
      <c r="I4" s="1348">
        <f>K4+M4</f>
        <v>5309</v>
      </c>
      <c r="J4" s="1349" t="s">
        <v>3</v>
      </c>
      <c r="K4" s="1348">
        <f>E64+2597</f>
        <v>3057</v>
      </c>
      <c r="L4" s="1349" t="s">
        <v>17</v>
      </c>
      <c r="M4" s="1347">
        <f>F64+1885</f>
        <v>2252</v>
      </c>
    </row>
    <row r="5" spans="1:13" ht="19.5">
      <c r="A5" s="231" t="s">
        <v>15</v>
      </c>
      <c r="B5" s="232">
        <f>D5+F5</f>
        <v>7</v>
      </c>
      <c r="C5" s="1341" t="s">
        <v>3</v>
      </c>
      <c r="D5" s="232">
        <f>K64</f>
        <v>5</v>
      </c>
      <c r="E5" s="1341" t="s">
        <v>17</v>
      </c>
      <c r="F5" s="232">
        <f>L64</f>
        <v>2</v>
      </c>
      <c r="G5" s="1582" t="s">
        <v>15</v>
      </c>
      <c r="H5" s="1583"/>
      <c r="I5" s="1348">
        <f>K5+M5</f>
        <v>7</v>
      </c>
      <c r="J5" s="1349" t="s">
        <v>3</v>
      </c>
      <c r="K5" s="1348">
        <f>K64</f>
        <v>5</v>
      </c>
      <c r="L5" s="1349" t="s">
        <v>17</v>
      </c>
      <c r="M5" s="1347">
        <f>L64</f>
        <v>2</v>
      </c>
    </row>
    <row r="6" spans="1:13" ht="21" customHeight="1">
      <c r="A6" s="231" t="s">
        <v>801</v>
      </c>
      <c r="B6" s="232">
        <f>D6+F6</f>
        <v>1</v>
      </c>
      <c r="C6" s="1341" t="s">
        <v>3</v>
      </c>
      <c r="D6" s="232">
        <f>H64</f>
        <v>0</v>
      </c>
      <c r="E6" s="1341" t="s">
        <v>17</v>
      </c>
      <c r="F6" s="232">
        <f>I64</f>
        <v>1</v>
      </c>
      <c r="G6" s="1582" t="s">
        <v>801</v>
      </c>
      <c r="H6" s="1583"/>
      <c r="I6" s="1348">
        <f>K6+M6</f>
        <v>110</v>
      </c>
      <c r="J6" s="1349" t="s">
        <v>3</v>
      </c>
      <c r="K6" s="1348">
        <f>H64+73</f>
        <v>73</v>
      </c>
      <c r="L6" s="1349" t="s">
        <v>17</v>
      </c>
      <c r="M6" s="1347">
        <f>I64+36</f>
        <v>37</v>
      </c>
    </row>
    <row r="7" spans="1:13" ht="21" customHeight="1">
      <c r="A7" s="1594" t="s">
        <v>5110</v>
      </c>
      <c r="B7" s="1595"/>
      <c r="C7" s="1595"/>
      <c r="D7" s="1595"/>
      <c r="E7" s="1595"/>
      <c r="F7" s="1595"/>
      <c r="G7" s="1595"/>
      <c r="H7" s="1595"/>
      <c r="I7" s="1595"/>
      <c r="J7" s="1595"/>
      <c r="K7" s="1595"/>
      <c r="L7" s="1595"/>
      <c r="M7" s="1596"/>
    </row>
    <row r="8" spans="1:13" ht="21" customHeight="1">
      <c r="A8" s="1591" t="s">
        <v>774</v>
      </c>
      <c r="B8" s="1591"/>
      <c r="C8" s="1592">
        <f>G8+K8</f>
        <v>7</v>
      </c>
      <c r="D8" s="1593"/>
      <c r="E8" s="1588" t="s">
        <v>3</v>
      </c>
      <c r="F8" s="1588"/>
      <c r="G8" s="1589">
        <f>D5</f>
        <v>5</v>
      </c>
      <c r="H8" s="1597"/>
      <c r="I8" s="1588" t="s">
        <v>17</v>
      </c>
      <c r="J8" s="1588"/>
      <c r="K8" s="1589">
        <f>F5</f>
        <v>2</v>
      </c>
      <c r="L8" s="1590"/>
      <c r="M8" s="1590"/>
    </row>
    <row r="9" spans="1:13" ht="21" customHeight="1">
      <c r="A9" s="1591" t="s">
        <v>813</v>
      </c>
      <c r="B9" s="1591"/>
      <c r="C9" s="1592">
        <f>C8-C10-C11-C12</f>
        <v>7</v>
      </c>
      <c r="D9" s="1593"/>
      <c r="E9" s="1588" t="s">
        <v>3</v>
      </c>
      <c r="F9" s="1588"/>
      <c r="G9" s="1589">
        <f>G8-G10-G11-G12</f>
        <v>5</v>
      </c>
      <c r="H9" s="1597"/>
      <c r="I9" s="1588" t="s">
        <v>17</v>
      </c>
      <c r="J9" s="1588"/>
      <c r="K9" s="1589">
        <f>K8-K10-K11-K12</f>
        <v>2</v>
      </c>
      <c r="L9" s="1590"/>
      <c r="M9" s="1590"/>
    </row>
    <row r="10" spans="1:13" ht="21" customHeight="1">
      <c r="A10" s="1591" t="s">
        <v>5108</v>
      </c>
      <c r="B10" s="1591"/>
      <c r="C10" s="1592">
        <f>G10+K10</f>
        <v>0</v>
      </c>
      <c r="D10" s="1593"/>
      <c r="E10" s="1588" t="s">
        <v>3</v>
      </c>
      <c r="F10" s="1588"/>
      <c r="G10" s="1589">
        <f>'metro report'!O5</f>
        <v>0</v>
      </c>
      <c r="H10" s="1597"/>
      <c r="I10" s="1588" t="s">
        <v>17</v>
      </c>
      <c r="J10" s="1588"/>
      <c r="K10" s="1589">
        <f>'metro report'!P5</f>
        <v>0</v>
      </c>
      <c r="L10" s="1590"/>
      <c r="M10" s="1590"/>
    </row>
    <row r="11" spans="1:13" ht="21" customHeight="1">
      <c r="A11" s="1591" t="s">
        <v>5368</v>
      </c>
      <c r="B11" s="1591"/>
      <c r="C11" s="1592">
        <f>G11+K11</f>
        <v>0</v>
      </c>
      <c r="D11" s="1593"/>
      <c r="E11" s="1588" t="s">
        <v>3</v>
      </c>
      <c r="F11" s="1588"/>
      <c r="G11" s="1589">
        <v>0</v>
      </c>
      <c r="H11" s="1597"/>
      <c r="I11" s="1588" t="s">
        <v>17</v>
      </c>
      <c r="J11" s="1588"/>
      <c r="K11" s="1589">
        <v>0</v>
      </c>
      <c r="L11" s="1590"/>
      <c r="M11" s="1590"/>
    </row>
    <row r="12" spans="1:13" ht="21" customHeight="1">
      <c r="A12" s="1591" t="s">
        <v>5109</v>
      </c>
      <c r="B12" s="1591"/>
      <c r="C12" s="1592">
        <f>G12+K12</f>
        <v>0</v>
      </c>
      <c r="D12" s="1593"/>
      <c r="E12" s="1588" t="s">
        <v>3</v>
      </c>
      <c r="F12" s="1588"/>
      <c r="G12" s="1589">
        <v>0</v>
      </c>
      <c r="H12" s="1597"/>
      <c r="I12" s="1588" t="s">
        <v>17</v>
      </c>
      <c r="J12" s="1588"/>
      <c r="K12" s="1589">
        <v>0</v>
      </c>
      <c r="L12" s="1590"/>
      <c r="M12" s="1590"/>
    </row>
    <row r="13" spans="1:13" ht="21" customHeight="1">
      <c r="A13" s="1594"/>
      <c r="B13" s="1595"/>
      <c r="C13" s="1595"/>
      <c r="D13" s="1595"/>
      <c r="E13" s="1595"/>
      <c r="F13" s="1595"/>
      <c r="G13" s="1595"/>
      <c r="H13" s="1595"/>
      <c r="I13" s="1595"/>
      <c r="J13" s="1595"/>
      <c r="K13" s="1595"/>
      <c r="L13" s="1595"/>
      <c r="M13" s="1596"/>
    </row>
    <row r="14" spans="1:13" ht="19.5">
      <c r="A14" s="1577" t="s">
        <v>1411</v>
      </c>
      <c r="B14" s="1578"/>
      <c r="C14" s="1578"/>
      <c r="D14" s="1578"/>
      <c r="E14" s="1578"/>
      <c r="F14" s="1578"/>
      <c r="G14" s="1578"/>
      <c r="H14" s="1578"/>
      <c r="I14" s="1578"/>
      <c r="J14" s="1578"/>
      <c r="K14" s="1578"/>
      <c r="L14" s="1578"/>
      <c r="M14" s="1578"/>
    </row>
    <row r="15" spans="1:13" ht="19.5">
      <c r="A15" s="34" t="s">
        <v>16</v>
      </c>
      <c r="B15" s="1579">
        <f>SUM(F15+K15)</f>
        <v>3</v>
      </c>
      <c r="C15" s="1580"/>
      <c r="D15" s="1581"/>
      <c r="E15" s="34" t="s">
        <v>3</v>
      </c>
      <c r="F15" s="1579">
        <f>B39</f>
        <v>2</v>
      </c>
      <c r="G15" s="1580"/>
      <c r="H15" s="1580"/>
      <c r="I15" s="1581"/>
      <c r="J15" s="34" t="s">
        <v>17</v>
      </c>
      <c r="K15" s="1576">
        <f>E39</f>
        <v>1</v>
      </c>
      <c r="L15" s="1576"/>
      <c r="M15" s="1576"/>
    </row>
    <row r="16" spans="1:13" ht="19.5">
      <c r="A16" s="34" t="s">
        <v>18</v>
      </c>
      <c r="B16" s="1579">
        <f>SUM(F16+K16)</f>
        <v>4</v>
      </c>
      <c r="C16" s="1580"/>
      <c r="D16" s="1581"/>
      <c r="E16" s="34" t="s">
        <v>3</v>
      </c>
      <c r="F16" s="1579">
        <f>G39</f>
        <v>2</v>
      </c>
      <c r="G16" s="1580"/>
      <c r="H16" s="1580"/>
      <c r="I16" s="1581"/>
      <c r="J16" s="34" t="s">
        <v>17</v>
      </c>
      <c r="K16" s="1576">
        <f>H39</f>
        <v>2</v>
      </c>
      <c r="L16" s="1576"/>
      <c r="M16" s="1576"/>
    </row>
    <row r="17" spans="1:14" ht="19.5">
      <c r="A17" s="34" t="s">
        <v>800</v>
      </c>
      <c r="B17" s="1579">
        <f>SUM(F17+K17)</f>
        <v>0</v>
      </c>
      <c r="C17" s="1580"/>
      <c r="D17" s="1581"/>
      <c r="E17" s="34" t="s">
        <v>3</v>
      </c>
      <c r="F17" s="1579">
        <f>K39</f>
        <v>0</v>
      </c>
      <c r="G17" s="1580"/>
      <c r="H17" s="1580"/>
      <c r="I17" s="1581"/>
      <c r="J17" s="34" t="s">
        <v>17</v>
      </c>
      <c r="K17" s="1576">
        <f>L39</f>
        <v>0</v>
      </c>
      <c r="L17" s="1576"/>
      <c r="M17" s="1576"/>
    </row>
    <row r="18" spans="1:14" ht="19.5">
      <c r="A18" s="1571" t="s">
        <v>19</v>
      </c>
      <c r="B18" s="1572" t="s">
        <v>2341</v>
      </c>
      <c r="C18" s="1572"/>
      <c r="D18" s="1572"/>
      <c r="E18" s="1572"/>
      <c r="F18" s="1572"/>
      <c r="G18" s="1572" t="s">
        <v>1412</v>
      </c>
      <c r="H18" s="1572"/>
      <c r="I18" s="1572"/>
      <c r="J18" s="1572"/>
      <c r="K18" s="1572" t="s">
        <v>2340</v>
      </c>
      <c r="L18" s="1572"/>
      <c r="M18" s="1572"/>
    </row>
    <row r="19" spans="1:14" ht="19.5">
      <c r="A19" s="1571"/>
      <c r="B19" s="1573" t="s">
        <v>3</v>
      </c>
      <c r="C19" s="1574"/>
      <c r="D19" s="1575"/>
      <c r="E19" s="117" t="s">
        <v>17</v>
      </c>
      <c r="F19" s="29" t="s">
        <v>20</v>
      </c>
      <c r="G19" s="116" t="s">
        <v>3</v>
      </c>
      <c r="H19" s="117" t="s">
        <v>17</v>
      </c>
      <c r="I19" s="1568" t="s">
        <v>20</v>
      </c>
      <c r="J19" s="1568"/>
      <c r="K19" s="152" t="s">
        <v>3</v>
      </c>
      <c r="L19" s="152" t="s">
        <v>17</v>
      </c>
      <c r="M19" s="154" t="s">
        <v>20</v>
      </c>
      <c r="N19" s="153"/>
    </row>
    <row r="20" spans="1:14" ht="17.25">
      <c r="A20" s="30">
        <v>1</v>
      </c>
      <c r="B20" s="1556">
        <f>'workout sheet'!B3:D3</f>
        <v>0</v>
      </c>
      <c r="C20" s="1557"/>
      <c r="D20" s="1558"/>
      <c r="E20" s="222">
        <f>'workout sheet'!E3</f>
        <v>0</v>
      </c>
      <c r="F20" s="42">
        <f>B20+E20</f>
        <v>0</v>
      </c>
      <c r="G20" s="221">
        <f>'workout sheet'!G3</f>
        <v>0</v>
      </c>
      <c r="H20" s="221">
        <f>'workout sheet'!H3</f>
        <v>0</v>
      </c>
      <c r="I20" s="1559">
        <f>G20+H20</f>
        <v>0</v>
      </c>
      <c r="J20" s="1560"/>
      <c r="K20" s="222">
        <f>'workout sheet'!K3</f>
        <v>0</v>
      </c>
      <c r="L20" s="151">
        <f>'workout sheet'!L3</f>
        <v>0</v>
      </c>
      <c r="M20" s="151">
        <f>K20+L20</f>
        <v>0</v>
      </c>
    </row>
    <row r="21" spans="1:14" ht="17.25">
      <c r="A21" s="30">
        <v>2</v>
      </c>
      <c r="B21" s="1556">
        <f>'workout sheet'!B4:D4</f>
        <v>0</v>
      </c>
      <c r="C21" s="1557"/>
      <c r="D21" s="1558"/>
      <c r="E21" s="224">
        <f>'workout sheet'!E4</f>
        <v>0</v>
      </c>
      <c r="F21" s="42">
        <f t="shared" ref="F21:F39" si="0">B21+E21</f>
        <v>0</v>
      </c>
      <c r="G21" s="223">
        <f>'workout sheet'!G4</f>
        <v>0</v>
      </c>
      <c r="H21" s="223">
        <f>'workout sheet'!H4</f>
        <v>0</v>
      </c>
      <c r="I21" s="1559">
        <f t="shared" ref="I21:I38" si="1">G21+H21</f>
        <v>0</v>
      </c>
      <c r="J21" s="1560"/>
      <c r="K21" s="224">
        <f>'workout sheet'!K4</f>
        <v>0</v>
      </c>
      <c r="L21" s="224">
        <f>'workout sheet'!L4</f>
        <v>0</v>
      </c>
      <c r="M21" s="185">
        <f t="shared" ref="M21:M38" si="2">K21+L21</f>
        <v>0</v>
      </c>
    </row>
    <row r="22" spans="1:14" ht="17.25">
      <c r="A22" s="30">
        <f>A21+1</f>
        <v>3</v>
      </c>
      <c r="B22" s="1556">
        <f>'workout sheet'!B5:D5</f>
        <v>1</v>
      </c>
      <c r="C22" s="1557"/>
      <c r="D22" s="1558"/>
      <c r="E22" s="224">
        <f>'workout sheet'!E5</f>
        <v>0</v>
      </c>
      <c r="F22" s="42">
        <f t="shared" si="0"/>
        <v>1</v>
      </c>
      <c r="G22" s="223">
        <f>'workout sheet'!G5</f>
        <v>0</v>
      </c>
      <c r="H22" s="223">
        <f>'workout sheet'!H5</f>
        <v>0</v>
      </c>
      <c r="I22" s="1559">
        <f t="shared" si="1"/>
        <v>0</v>
      </c>
      <c r="J22" s="1560"/>
      <c r="K22" s="224">
        <f>'workout sheet'!K5</f>
        <v>0</v>
      </c>
      <c r="L22" s="224">
        <f>'workout sheet'!L5</f>
        <v>0</v>
      </c>
      <c r="M22" s="185">
        <f t="shared" si="2"/>
        <v>0</v>
      </c>
    </row>
    <row r="23" spans="1:14" ht="17.25">
      <c r="A23" s="30">
        <f t="shared" ref="A23:A38" si="3">A22+1</f>
        <v>4</v>
      </c>
      <c r="B23" s="1556">
        <f>'workout sheet'!B6:D6</f>
        <v>0</v>
      </c>
      <c r="C23" s="1557"/>
      <c r="D23" s="1558"/>
      <c r="E23" s="224">
        <f>'workout sheet'!E6</f>
        <v>0</v>
      </c>
      <c r="F23" s="42">
        <f t="shared" si="0"/>
        <v>0</v>
      </c>
      <c r="G23" s="223">
        <f>'workout sheet'!G6</f>
        <v>0</v>
      </c>
      <c r="H23" s="223">
        <f>'workout sheet'!H6</f>
        <v>0</v>
      </c>
      <c r="I23" s="1559">
        <f t="shared" si="1"/>
        <v>0</v>
      </c>
      <c r="J23" s="1560"/>
      <c r="K23" s="224">
        <f>'workout sheet'!K6</f>
        <v>0</v>
      </c>
      <c r="L23" s="224">
        <f>'workout sheet'!L6</f>
        <v>0</v>
      </c>
      <c r="M23" s="185">
        <f t="shared" si="2"/>
        <v>0</v>
      </c>
    </row>
    <row r="24" spans="1:14" ht="17.25">
      <c r="A24" s="30">
        <f t="shared" si="3"/>
        <v>5</v>
      </c>
      <c r="B24" s="1556">
        <f>'workout sheet'!B7:D7</f>
        <v>0</v>
      </c>
      <c r="C24" s="1557"/>
      <c r="D24" s="1558"/>
      <c r="E24" s="224">
        <f>'workout sheet'!E7</f>
        <v>0</v>
      </c>
      <c r="F24" s="42">
        <f t="shared" si="0"/>
        <v>0</v>
      </c>
      <c r="G24" s="223">
        <f>'workout sheet'!G7</f>
        <v>0</v>
      </c>
      <c r="H24" s="223">
        <f>'workout sheet'!H7</f>
        <v>1</v>
      </c>
      <c r="I24" s="1559">
        <f t="shared" si="1"/>
        <v>1</v>
      </c>
      <c r="J24" s="1560"/>
      <c r="K24" s="224">
        <f>'workout sheet'!K7</f>
        <v>0</v>
      </c>
      <c r="L24" s="224">
        <f>'workout sheet'!L7</f>
        <v>0</v>
      </c>
      <c r="M24" s="185">
        <f t="shared" si="2"/>
        <v>0</v>
      </c>
    </row>
    <row r="25" spans="1:14" ht="17.25">
      <c r="A25" s="30">
        <f t="shared" si="3"/>
        <v>6</v>
      </c>
      <c r="B25" s="1556">
        <f>'workout sheet'!B8:D8</f>
        <v>1</v>
      </c>
      <c r="C25" s="1557"/>
      <c r="D25" s="1558"/>
      <c r="E25" s="224">
        <f>'workout sheet'!E8</f>
        <v>1</v>
      </c>
      <c r="F25" s="42">
        <f t="shared" si="0"/>
        <v>2</v>
      </c>
      <c r="G25" s="223">
        <f>'workout sheet'!G8</f>
        <v>1</v>
      </c>
      <c r="H25" s="223">
        <f>'workout sheet'!H8</f>
        <v>1</v>
      </c>
      <c r="I25" s="1559">
        <f t="shared" si="1"/>
        <v>2</v>
      </c>
      <c r="J25" s="1560"/>
      <c r="K25" s="224">
        <f>'workout sheet'!K8</f>
        <v>0</v>
      </c>
      <c r="L25" s="224">
        <f>'workout sheet'!L8</f>
        <v>0</v>
      </c>
      <c r="M25" s="185">
        <f t="shared" si="2"/>
        <v>0</v>
      </c>
    </row>
    <row r="26" spans="1:14" ht="17.25">
      <c r="A26" s="30">
        <f t="shared" si="3"/>
        <v>7</v>
      </c>
      <c r="B26" s="1556">
        <f>'workout sheet'!B9:D9</f>
        <v>0</v>
      </c>
      <c r="C26" s="1557"/>
      <c r="D26" s="1558"/>
      <c r="E26" s="224">
        <f>'workout sheet'!E9</f>
        <v>0</v>
      </c>
      <c r="F26" s="42">
        <f t="shared" si="0"/>
        <v>0</v>
      </c>
      <c r="G26" s="223">
        <f>'workout sheet'!G9</f>
        <v>0</v>
      </c>
      <c r="H26" s="223">
        <f>'workout sheet'!H9</f>
        <v>0</v>
      </c>
      <c r="I26" s="1559">
        <f t="shared" si="1"/>
        <v>0</v>
      </c>
      <c r="J26" s="1560"/>
      <c r="K26" s="224">
        <f>'workout sheet'!K9</f>
        <v>0</v>
      </c>
      <c r="L26" s="224">
        <f>'workout sheet'!L9</f>
        <v>0</v>
      </c>
      <c r="M26" s="185">
        <f t="shared" si="2"/>
        <v>0</v>
      </c>
    </row>
    <row r="27" spans="1:14" ht="17.25">
      <c r="A27" s="30">
        <f t="shared" si="3"/>
        <v>8</v>
      </c>
      <c r="B27" s="1556">
        <f>'workout sheet'!B10:D10</f>
        <v>0</v>
      </c>
      <c r="C27" s="1557"/>
      <c r="D27" s="1558"/>
      <c r="E27" s="224">
        <f>'workout sheet'!E10</f>
        <v>0</v>
      </c>
      <c r="F27" s="42">
        <f t="shared" si="0"/>
        <v>0</v>
      </c>
      <c r="G27" s="223">
        <f>'workout sheet'!G10</f>
        <v>1</v>
      </c>
      <c r="H27" s="223">
        <f>'workout sheet'!H10</f>
        <v>0</v>
      </c>
      <c r="I27" s="1559">
        <f t="shared" si="1"/>
        <v>1</v>
      </c>
      <c r="J27" s="1560"/>
      <c r="K27" s="224">
        <f>'workout sheet'!K10</f>
        <v>0</v>
      </c>
      <c r="L27" s="224">
        <f>'workout sheet'!L10</f>
        <v>0</v>
      </c>
      <c r="M27" s="185">
        <f t="shared" si="2"/>
        <v>0</v>
      </c>
    </row>
    <row r="28" spans="1:14" ht="17.25">
      <c r="A28" s="30">
        <f t="shared" si="3"/>
        <v>9</v>
      </c>
      <c r="B28" s="1556">
        <f>'workout sheet'!B11:D11</f>
        <v>0</v>
      </c>
      <c r="C28" s="1557"/>
      <c r="D28" s="1558"/>
      <c r="E28" s="224">
        <f>'workout sheet'!E11</f>
        <v>0</v>
      </c>
      <c r="F28" s="42">
        <f t="shared" si="0"/>
        <v>0</v>
      </c>
      <c r="G28" s="223">
        <f>'workout sheet'!G11</f>
        <v>0</v>
      </c>
      <c r="H28" s="223">
        <f>'workout sheet'!H11</f>
        <v>0</v>
      </c>
      <c r="I28" s="1559">
        <f t="shared" si="1"/>
        <v>0</v>
      </c>
      <c r="J28" s="1560"/>
      <c r="K28" s="224">
        <f>'workout sheet'!K11</f>
        <v>0</v>
      </c>
      <c r="L28" s="224">
        <f>'workout sheet'!L11</f>
        <v>0</v>
      </c>
      <c r="M28" s="185">
        <f t="shared" si="2"/>
        <v>0</v>
      </c>
    </row>
    <row r="29" spans="1:14" ht="17.25">
      <c r="A29" s="30">
        <f t="shared" si="3"/>
        <v>10</v>
      </c>
      <c r="B29" s="1556">
        <f>'workout sheet'!B12:D12</f>
        <v>0</v>
      </c>
      <c r="C29" s="1557"/>
      <c r="D29" s="1558"/>
      <c r="E29" s="224">
        <f>'workout sheet'!E12</f>
        <v>0</v>
      </c>
      <c r="F29" s="42">
        <f>B29+E29</f>
        <v>0</v>
      </c>
      <c r="G29" s="223">
        <f>'workout sheet'!G12</f>
        <v>0</v>
      </c>
      <c r="H29" s="223">
        <f>'workout sheet'!H12</f>
        <v>0</v>
      </c>
      <c r="I29" s="1559">
        <f t="shared" si="1"/>
        <v>0</v>
      </c>
      <c r="J29" s="1560"/>
      <c r="K29" s="224">
        <f>'workout sheet'!K12</f>
        <v>0</v>
      </c>
      <c r="L29" s="224">
        <f>'workout sheet'!L12</f>
        <v>0</v>
      </c>
      <c r="M29" s="185">
        <f t="shared" si="2"/>
        <v>0</v>
      </c>
    </row>
    <row r="30" spans="1:14" ht="17.25">
      <c r="A30" s="30">
        <f t="shared" si="3"/>
        <v>11</v>
      </c>
      <c r="B30" s="1556">
        <f>'workout sheet'!B13:D13</f>
        <v>0</v>
      </c>
      <c r="C30" s="1557"/>
      <c r="D30" s="1558"/>
      <c r="E30" s="224">
        <f>'workout sheet'!E13</f>
        <v>0</v>
      </c>
      <c r="F30" s="42">
        <f t="shared" si="0"/>
        <v>0</v>
      </c>
      <c r="G30" s="223">
        <f>'workout sheet'!G13</f>
        <v>0</v>
      </c>
      <c r="H30" s="223">
        <f>'workout sheet'!H13</f>
        <v>0</v>
      </c>
      <c r="I30" s="1559">
        <f t="shared" si="1"/>
        <v>0</v>
      </c>
      <c r="J30" s="1560"/>
      <c r="K30" s="224">
        <f>'workout sheet'!K13</f>
        <v>0</v>
      </c>
      <c r="L30" s="224">
        <f>'workout sheet'!L13</f>
        <v>0</v>
      </c>
      <c r="M30" s="185">
        <f t="shared" si="2"/>
        <v>0</v>
      </c>
    </row>
    <row r="31" spans="1:14" ht="17.25">
      <c r="A31" s="30">
        <f t="shared" si="3"/>
        <v>12</v>
      </c>
      <c r="B31" s="1556">
        <f>'workout sheet'!B14:D14</f>
        <v>0</v>
      </c>
      <c r="C31" s="1557"/>
      <c r="D31" s="1558"/>
      <c r="E31" s="224">
        <f>'workout sheet'!E14</f>
        <v>0</v>
      </c>
      <c r="F31" s="42">
        <f t="shared" si="0"/>
        <v>0</v>
      </c>
      <c r="G31" s="223">
        <f>'workout sheet'!G14</f>
        <v>0</v>
      </c>
      <c r="H31" s="223">
        <f>'workout sheet'!H14</f>
        <v>0</v>
      </c>
      <c r="I31" s="1559">
        <f t="shared" si="1"/>
        <v>0</v>
      </c>
      <c r="J31" s="1560"/>
      <c r="K31" s="224">
        <f>'workout sheet'!K14</f>
        <v>0</v>
      </c>
      <c r="L31" s="224">
        <f>'workout sheet'!L14</f>
        <v>0</v>
      </c>
      <c r="M31" s="185">
        <f t="shared" si="2"/>
        <v>0</v>
      </c>
    </row>
    <row r="32" spans="1:14" ht="17.25">
      <c r="A32" s="30">
        <f t="shared" si="3"/>
        <v>13</v>
      </c>
      <c r="B32" s="1556">
        <f>'workout sheet'!B15:D15</f>
        <v>0</v>
      </c>
      <c r="C32" s="1557"/>
      <c r="D32" s="1558"/>
      <c r="E32" s="224">
        <f>'workout sheet'!E15</f>
        <v>0</v>
      </c>
      <c r="F32" s="42">
        <f t="shared" si="0"/>
        <v>0</v>
      </c>
      <c r="G32" s="223">
        <f>'workout sheet'!G15</f>
        <v>0</v>
      </c>
      <c r="H32" s="223">
        <f>'workout sheet'!H15</f>
        <v>0</v>
      </c>
      <c r="I32" s="1559">
        <f t="shared" si="1"/>
        <v>0</v>
      </c>
      <c r="J32" s="1560"/>
      <c r="K32" s="224">
        <f>'workout sheet'!K15</f>
        <v>0</v>
      </c>
      <c r="L32" s="224">
        <f>'workout sheet'!L15</f>
        <v>0</v>
      </c>
      <c r="M32" s="185">
        <f t="shared" si="2"/>
        <v>0</v>
      </c>
    </row>
    <row r="33" spans="1:13" ht="17.25">
      <c r="A33" s="30">
        <f t="shared" si="3"/>
        <v>14</v>
      </c>
      <c r="B33" s="1556">
        <f>'workout sheet'!B16:D16</f>
        <v>0</v>
      </c>
      <c r="C33" s="1557"/>
      <c r="D33" s="1558"/>
      <c r="E33" s="224">
        <f>'workout sheet'!E16</f>
        <v>0</v>
      </c>
      <c r="F33" s="42">
        <f t="shared" si="0"/>
        <v>0</v>
      </c>
      <c r="G33" s="223">
        <f>'workout sheet'!G16</f>
        <v>0</v>
      </c>
      <c r="H33" s="223">
        <f>'workout sheet'!H16</f>
        <v>0</v>
      </c>
      <c r="I33" s="1559">
        <f t="shared" si="1"/>
        <v>0</v>
      </c>
      <c r="J33" s="1560"/>
      <c r="K33" s="224">
        <f>'workout sheet'!K16</f>
        <v>0</v>
      </c>
      <c r="L33" s="224">
        <f>'workout sheet'!L16</f>
        <v>0</v>
      </c>
      <c r="M33" s="185">
        <f t="shared" si="2"/>
        <v>0</v>
      </c>
    </row>
    <row r="34" spans="1:13" ht="17.25">
      <c r="A34" s="30">
        <f t="shared" si="3"/>
        <v>15</v>
      </c>
      <c r="B34" s="1556">
        <f>'workout sheet'!B17:D17</f>
        <v>0</v>
      </c>
      <c r="C34" s="1557"/>
      <c r="D34" s="1558"/>
      <c r="E34" s="224">
        <f>'workout sheet'!E17</f>
        <v>0</v>
      </c>
      <c r="F34" s="42">
        <f t="shared" si="0"/>
        <v>0</v>
      </c>
      <c r="G34" s="223">
        <f>'workout sheet'!G17</f>
        <v>0</v>
      </c>
      <c r="H34" s="223">
        <f>'workout sheet'!H17</f>
        <v>0</v>
      </c>
      <c r="I34" s="1559">
        <f t="shared" si="1"/>
        <v>0</v>
      </c>
      <c r="J34" s="1560"/>
      <c r="K34" s="224">
        <f>'workout sheet'!K17</f>
        <v>0</v>
      </c>
      <c r="L34" s="224">
        <f>'workout sheet'!L17</f>
        <v>0</v>
      </c>
      <c r="M34" s="185">
        <f t="shared" si="2"/>
        <v>0</v>
      </c>
    </row>
    <row r="35" spans="1:13" ht="17.25">
      <c r="A35" s="30">
        <f t="shared" si="3"/>
        <v>16</v>
      </c>
      <c r="B35" s="1556">
        <f>'workout sheet'!B18:D18</f>
        <v>0</v>
      </c>
      <c r="C35" s="1557"/>
      <c r="D35" s="1558"/>
      <c r="E35" s="224">
        <f>'workout sheet'!E18</f>
        <v>0</v>
      </c>
      <c r="F35" s="42">
        <f t="shared" si="0"/>
        <v>0</v>
      </c>
      <c r="G35" s="223">
        <f>'workout sheet'!G18</f>
        <v>0</v>
      </c>
      <c r="H35" s="223">
        <f>'workout sheet'!H18</f>
        <v>0</v>
      </c>
      <c r="I35" s="1559">
        <f t="shared" si="1"/>
        <v>0</v>
      </c>
      <c r="J35" s="1560"/>
      <c r="K35" s="224">
        <f>'workout sheet'!K18</f>
        <v>0</v>
      </c>
      <c r="L35" s="224">
        <f>'workout sheet'!L18</f>
        <v>0</v>
      </c>
      <c r="M35" s="185">
        <f t="shared" si="2"/>
        <v>0</v>
      </c>
    </row>
    <row r="36" spans="1:13" ht="17.25">
      <c r="A36" s="30">
        <f t="shared" si="3"/>
        <v>17</v>
      </c>
      <c r="B36" s="1556">
        <f>'workout sheet'!B19:D19</f>
        <v>0</v>
      </c>
      <c r="C36" s="1557"/>
      <c r="D36" s="1558"/>
      <c r="E36" s="224">
        <f>'workout sheet'!E19</f>
        <v>0</v>
      </c>
      <c r="F36" s="42">
        <f t="shared" si="0"/>
        <v>0</v>
      </c>
      <c r="G36" s="223">
        <f>'workout sheet'!G19</f>
        <v>0</v>
      </c>
      <c r="H36" s="223">
        <f>'workout sheet'!H19</f>
        <v>0</v>
      </c>
      <c r="I36" s="1559">
        <f t="shared" si="1"/>
        <v>0</v>
      </c>
      <c r="J36" s="1560"/>
      <c r="K36" s="224">
        <f>'workout sheet'!K19</f>
        <v>0</v>
      </c>
      <c r="L36" s="224">
        <f>'workout sheet'!L19</f>
        <v>0</v>
      </c>
      <c r="M36" s="185">
        <f t="shared" si="2"/>
        <v>0</v>
      </c>
    </row>
    <row r="37" spans="1:13" ht="17.25">
      <c r="A37" s="30">
        <f>A36+1</f>
        <v>18</v>
      </c>
      <c r="B37" s="1556">
        <f>'workout sheet'!B20:D20</f>
        <v>0</v>
      </c>
      <c r="C37" s="1557"/>
      <c r="D37" s="1558"/>
      <c r="E37" s="224">
        <f>'workout sheet'!E20</f>
        <v>0</v>
      </c>
      <c r="F37" s="42">
        <f t="shared" si="0"/>
        <v>0</v>
      </c>
      <c r="G37" s="223">
        <f>'workout sheet'!G20</f>
        <v>0</v>
      </c>
      <c r="H37" s="223">
        <f>'workout sheet'!H20</f>
        <v>0</v>
      </c>
      <c r="I37" s="1559">
        <f t="shared" si="1"/>
        <v>0</v>
      </c>
      <c r="J37" s="1560"/>
      <c r="K37" s="224">
        <f>'workout sheet'!K20</f>
        <v>0</v>
      </c>
      <c r="L37" s="224">
        <f>'workout sheet'!L20</f>
        <v>0</v>
      </c>
      <c r="M37" s="185">
        <f t="shared" si="2"/>
        <v>0</v>
      </c>
    </row>
    <row r="38" spans="1:13" ht="17.25">
      <c r="A38" s="30">
        <f t="shared" si="3"/>
        <v>19</v>
      </c>
      <c r="B38" s="1556">
        <f>'workout sheet'!B21:D21</f>
        <v>0</v>
      </c>
      <c r="C38" s="1557"/>
      <c r="D38" s="1558"/>
      <c r="E38" s="224">
        <f>'workout sheet'!E21</f>
        <v>0</v>
      </c>
      <c r="F38" s="42">
        <f t="shared" si="0"/>
        <v>0</v>
      </c>
      <c r="G38" s="223">
        <f>'workout sheet'!G21</f>
        <v>0</v>
      </c>
      <c r="H38" s="223">
        <f>'workout sheet'!H21</f>
        <v>0</v>
      </c>
      <c r="I38" s="1559">
        <f t="shared" si="1"/>
        <v>0</v>
      </c>
      <c r="J38" s="1560"/>
      <c r="K38" s="224">
        <f>'workout sheet'!K21</f>
        <v>0</v>
      </c>
      <c r="L38" s="224">
        <f>'workout sheet'!L21</f>
        <v>0</v>
      </c>
      <c r="M38" s="185">
        <f t="shared" si="2"/>
        <v>0</v>
      </c>
    </row>
    <row r="39" spans="1:13" ht="19.5">
      <c r="A39" s="31" t="s">
        <v>20</v>
      </c>
      <c r="B39" s="1540">
        <f>SUM(B20:D38)</f>
        <v>2</v>
      </c>
      <c r="C39" s="1540"/>
      <c r="D39" s="1540"/>
      <c r="E39" s="30">
        <f>SUM(E20:E38)</f>
        <v>1</v>
      </c>
      <c r="F39" s="42">
        <f t="shared" si="0"/>
        <v>3</v>
      </c>
      <c r="G39" s="48">
        <f>SUM(G20:G38)</f>
        <v>2</v>
      </c>
      <c r="H39" s="30">
        <f>SUM(H20:H38)</f>
        <v>2</v>
      </c>
      <c r="I39" s="1516">
        <f>SUM(G39+H39)</f>
        <v>4</v>
      </c>
      <c r="J39" s="1517"/>
      <c r="K39" s="151">
        <f>SUM(K20:K38)</f>
        <v>0</v>
      </c>
      <c r="L39" s="151">
        <f>SUM(L20:L38)</f>
        <v>0</v>
      </c>
      <c r="M39" s="151">
        <f>SUM(M20:M38)</f>
        <v>0</v>
      </c>
    </row>
    <row r="40" spans="1:13" ht="19.5" customHeight="1">
      <c r="A40" s="36" t="s">
        <v>0</v>
      </c>
      <c r="B40" s="37">
        <f>'death list'!B1</f>
        <v>65327</v>
      </c>
      <c r="C40" s="1563" t="str">
        <f>'death list'!D1</f>
        <v>lbpF;f]</v>
      </c>
      <c r="D40" s="1563"/>
      <c r="E40" s="708" t="str">
        <f>'death list'!E1</f>
        <v>४ बजे</v>
      </c>
      <c r="F40" s="1529" t="s">
        <v>776</v>
      </c>
      <c r="G40" s="1529"/>
      <c r="H40" s="1529"/>
      <c r="I40" s="1529"/>
      <c r="J40" s="1521">
        <f>B3</f>
        <v>835</v>
      </c>
      <c r="K40" s="1521"/>
      <c r="L40" s="1521"/>
      <c r="M40" s="1521"/>
    </row>
    <row r="41" spans="1:13" ht="19.5" customHeight="1">
      <c r="A41" s="36" t="s">
        <v>21</v>
      </c>
      <c r="B41" s="38">
        <f>B4</f>
        <v>827</v>
      </c>
      <c r="C41" s="1529" t="s">
        <v>22</v>
      </c>
      <c r="D41" s="1529"/>
      <c r="E41" s="1529"/>
      <c r="F41" s="1529"/>
      <c r="G41" s="38">
        <f>B5</f>
        <v>7</v>
      </c>
      <c r="H41" s="1541" t="s">
        <v>23</v>
      </c>
      <c r="I41" s="1541"/>
      <c r="J41" s="1541"/>
      <c r="K41" s="1541"/>
      <c r="L41" s="1541"/>
      <c r="M41" s="1541"/>
    </row>
    <row r="42" spans="1:13" ht="19.5" thickBot="1">
      <c r="A42" s="1561" t="s">
        <v>5403</v>
      </c>
      <c r="B42" s="1561"/>
      <c r="C42" s="1561"/>
      <c r="D42" s="1561"/>
      <c r="E42" s="1561"/>
      <c r="F42" s="1561"/>
      <c r="G42" s="1561"/>
      <c r="H42" s="1561"/>
      <c r="I42" s="1561"/>
      <c r="J42" s="1561"/>
      <c r="K42" s="1561"/>
      <c r="L42" s="1561"/>
      <c r="M42" s="1561"/>
    </row>
    <row r="43" spans="1:13" ht="15" customHeight="1" thickTop="1">
      <c r="A43" s="39" t="s">
        <v>771</v>
      </c>
      <c r="B43" s="1518" t="s">
        <v>772</v>
      </c>
      <c r="C43" s="1519"/>
      <c r="D43" s="1520"/>
      <c r="E43" s="1518" t="s">
        <v>773</v>
      </c>
      <c r="F43" s="1519"/>
      <c r="G43" s="1520"/>
      <c r="H43" s="1518" t="s">
        <v>2339</v>
      </c>
      <c r="I43" s="1519"/>
      <c r="J43" s="1520"/>
      <c r="K43" s="1518" t="s">
        <v>774</v>
      </c>
      <c r="L43" s="1519"/>
      <c r="M43" s="1520"/>
    </row>
    <row r="44" spans="1:13" ht="15" customHeight="1">
      <c r="A44" s="40"/>
      <c r="B44" s="41" t="s">
        <v>3</v>
      </c>
      <c r="C44" s="41" t="s">
        <v>17</v>
      </c>
      <c r="D44" s="41" t="s">
        <v>20</v>
      </c>
      <c r="E44" s="41" t="s">
        <v>3</v>
      </c>
      <c r="F44" s="41" t="s">
        <v>17</v>
      </c>
      <c r="G44" s="41" t="s">
        <v>20</v>
      </c>
      <c r="H44" s="41" t="s">
        <v>3</v>
      </c>
      <c r="I44" s="41" t="s">
        <v>17</v>
      </c>
      <c r="J44" s="41" t="s">
        <v>20</v>
      </c>
      <c r="K44" s="41" t="s">
        <v>3</v>
      </c>
      <c r="L44" s="41" t="s">
        <v>17</v>
      </c>
      <c r="M44" s="41" t="s">
        <v>20</v>
      </c>
    </row>
    <row r="45" spans="1:13" ht="18" customHeight="1">
      <c r="A45" s="32">
        <v>1</v>
      </c>
      <c r="B45" s="33">
        <v>7</v>
      </c>
      <c r="C45" s="33">
        <v>8</v>
      </c>
      <c r="D45" s="43">
        <v>15</v>
      </c>
      <c r="E45" s="33">
        <v>7</v>
      </c>
      <c r="F45" s="33">
        <v>8</v>
      </c>
      <c r="G45" s="43">
        <v>15</v>
      </c>
      <c r="H45" s="33">
        <v>0</v>
      </c>
      <c r="I45" s="33">
        <v>0</v>
      </c>
      <c r="J45" s="43">
        <v>0</v>
      </c>
      <c r="K45" s="33">
        <v>0</v>
      </c>
      <c r="L45" s="33">
        <v>0</v>
      </c>
      <c r="M45" s="43">
        <f>K45+L45</f>
        <v>0</v>
      </c>
    </row>
    <row r="46" spans="1:13" ht="18" customHeight="1">
      <c r="A46" s="32">
        <v>2</v>
      </c>
      <c r="B46" s="33">
        <v>10</v>
      </c>
      <c r="C46" s="33">
        <v>9</v>
      </c>
      <c r="D46" s="43">
        <v>19</v>
      </c>
      <c r="E46" s="33">
        <v>10</v>
      </c>
      <c r="F46" s="33">
        <v>9</v>
      </c>
      <c r="G46" s="43">
        <v>19</v>
      </c>
      <c r="H46" s="33">
        <v>0</v>
      </c>
      <c r="I46" s="33">
        <v>0</v>
      </c>
      <c r="J46" s="43">
        <v>0</v>
      </c>
      <c r="K46" s="33">
        <v>0</v>
      </c>
      <c r="L46" s="33">
        <v>0</v>
      </c>
      <c r="M46" s="43">
        <f t="shared" ref="M46:M63" si="4">K46+L46</f>
        <v>0</v>
      </c>
    </row>
    <row r="47" spans="1:13" ht="18" customHeight="1">
      <c r="A47" s="32">
        <v>3</v>
      </c>
      <c r="B47" s="33">
        <v>11</v>
      </c>
      <c r="C47" s="33">
        <v>12</v>
      </c>
      <c r="D47" s="43">
        <v>23</v>
      </c>
      <c r="E47" s="33">
        <v>10</v>
      </c>
      <c r="F47" s="33">
        <v>12</v>
      </c>
      <c r="G47" s="43">
        <v>22</v>
      </c>
      <c r="H47" s="33">
        <v>0</v>
      </c>
      <c r="I47" s="33">
        <v>0</v>
      </c>
      <c r="J47" s="43">
        <v>0</v>
      </c>
      <c r="K47" s="33">
        <v>1</v>
      </c>
      <c r="L47" s="33">
        <v>0</v>
      </c>
      <c r="M47" s="43">
        <f t="shared" si="4"/>
        <v>1</v>
      </c>
    </row>
    <row r="48" spans="1:13" ht="18" customHeight="1">
      <c r="A48" s="32">
        <v>4</v>
      </c>
      <c r="B48" s="33">
        <v>19</v>
      </c>
      <c r="C48" s="33">
        <v>25</v>
      </c>
      <c r="D48" s="43">
        <v>44</v>
      </c>
      <c r="E48" s="33">
        <v>19</v>
      </c>
      <c r="F48" s="33">
        <v>25</v>
      </c>
      <c r="G48" s="43">
        <v>44</v>
      </c>
      <c r="H48" s="33">
        <v>0</v>
      </c>
      <c r="I48" s="33">
        <v>0</v>
      </c>
      <c r="J48" s="43">
        <v>0</v>
      </c>
      <c r="K48" s="33">
        <v>0</v>
      </c>
      <c r="L48" s="33">
        <v>0</v>
      </c>
      <c r="M48" s="43">
        <f t="shared" si="4"/>
        <v>0</v>
      </c>
    </row>
    <row r="49" spans="1:19" ht="18" customHeight="1">
      <c r="A49" s="32">
        <v>5</v>
      </c>
      <c r="B49" s="33">
        <v>88</v>
      </c>
      <c r="C49" s="33">
        <v>78</v>
      </c>
      <c r="D49" s="43">
        <v>166</v>
      </c>
      <c r="E49" s="33">
        <v>88</v>
      </c>
      <c r="F49" s="33">
        <v>78</v>
      </c>
      <c r="G49" s="43">
        <v>166</v>
      </c>
      <c r="H49" s="33">
        <v>0</v>
      </c>
      <c r="I49" s="33">
        <v>0</v>
      </c>
      <c r="J49" s="43">
        <v>0</v>
      </c>
      <c r="K49" s="33">
        <v>0</v>
      </c>
      <c r="L49" s="33">
        <v>0</v>
      </c>
      <c r="M49" s="43">
        <f t="shared" si="4"/>
        <v>0</v>
      </c>
    </row>
    <row r="50" spans="1:19" ht="18" customHeight="1">
      <c r="A50" s="32">
        <v>6</v>
      </c>
      <c r="B50" s="33">
        <v>122</v>
      </c>
      <c r="C50" s="33">
        <v>76</v>
      </c>
      <c r="D50" s="43">
        <v>198</v>
      </c>
      <c r="E50" s="33">
        <v>120</v>
      </c>
      <c r="F50" s="33">
        <v>75</v>
      </c>
      <c r="G50" s="43">
        <v>195</v>
      </c>
      <c r="H50" s="33">
        <v>0</v>
      </c>
      <c r="I50" s="33">
        <v>1</v>
      </c>
      <c r="J50" s="43">
        <v>1</v>
      </c>
      <c r="K50" s="33">
        <v>2</v>
      </c>
      <c r="L50" s="33">
        <v>0</v>
      </c>
      <c r="M50" s="43">
        <f t="shared" si="4"/>
        <v>2</v>
      </c>
    </row>
    <row r="51" spans="1:19" ht="18" customHeight="1">
      <c r="A51" s="32">
        <v>7</v>
      </c>
      <c r="B51" s="33">
        <v>39</v>
      </c>
      <c r="C51" s="33">
        <v>31</v>
      </c>
      <c r="D51" s="43">
        <v>70</v>
      </c>
      <c r="E51" s="33">
        <v>39</v>
      </c>
      <c r="F51" s="33">
        <v>31</v>
      </c>
      <c r="G51" s="43">
        <v>70</v>
      </c>
      <c r="H51" s="33">
        <v>0</v>
      </c>
      <c r="I51" s="33">
        <v>0</v>
      </c>
      <c r="J51" s="43">
        <v>0</v>
      </c>
      <c r="K51" s="33">
        <v>0</v>
      </c>
      <c r="L51" s="33">
        <v>0</v>
      </c>
      <c r="M51" s="43">
        <f t="shared" si="4"/>
        <v>0</v>
      </c>
    </row>
    <row r="52" spans="1:19" ht="18" customHeight="1">
      <c r="A52" s="32">
        <v>8</v>
      </c>
      <c r="B52" s="33">
        <v>41</v>
      </c>
      <c r="C52" s="33">
        <v>35</v>
      </c>
      <c r="D52" s="43">
        <v>76</v>
      </c>
      <c r="E52" s="33">
        <v>39</v>
      </c>
      <c r="F52" s="33">
        <v>33</v>
      </c>
      <c r="G52" s="43">
        <v>72</v>
      </c>
      <c r="H52" s="33">
        <v>0</v>
      </c>
      <c r="I52" s="33">
        <v>0</v>
      </c>
      <c r="J52" s="43">
        <v>0</v>
      </c>
      <c r="K52" s="33">
        <v>2</v>
      </c>
      <c r="L52" s="33">
        <v>2</v>
      </c>
      <c r="M52" s="43">
        <f t="shared" si="4"/>
        <v>4</v>
      </c>
    </row>
    <row r="53" spans="1:19" ht="18" customHeight="1">
      <c r="A53" s="32">
        <v>9</v>
      </c>
      <c r="B53" s="33">
        <v>38</v>
      </c>
      <c r="C53" s="33">
        <v>28</v>
      </c>
      <c r="D53" s="43">
        <v>66</v>
      </c>
      <c r="E53" s="33">
        <v>38</v>
      </c>
      <c r="F53" s="33">
        <v>28</v>
      </c>
      <c r="G53" s="43">
        <v>66</v>
      </c>
      <c r="H53" s="33">
        <v>0</v>
      </c>
      <c r="I53" s="33">
        <v>0</v>
      </c>
      <c r="J53" s="43">
        <v>0</v>
      </c>
      <c r="K53" s="33">
        <v>0</v>
      </c>
      <c r="L53" s="33">
        <v>0</v>
      </c>
      <c r="M53" s="43">
        <f t="shared" si="4"/>
        <v>0</v>
      </c>
    </row>
    <row r="54" spans="1:19" ht="18" customHeight="1">
      <c r="A54" s="32">
        <v>10</v>
      </c>
      <c r="B54" s="33">
        <v>9</v>
      </c>
      <c r="C54" s="33">
        <v>6</v>
      </c>
      <c r="D54" s="43">
        <v>15</v>
      </c>
      <c r="E54" s="33">
        <v>9</v>
      </c>
      <c r="F54" s="33">
        <v>6</v>
      </c>
      <c r="G54" s="43">
        <v>15</v>
      </c>
      <c r="H54" s="33">
        <v>0</v>
      </c>
      <c r="I54" s="33">
        <v>0</v>
      </c>
      <c r="J54" s="43">
        <v>0</v>
      </c>
      <c r="K54" s="33">
        <v>0</v>
      </c>
      <c r="L54" s="33">
        <v>0</v>
      </c>
      <c r="M54" s="43">
        <f t="shared" si="4"/>
        <v>0</v>
      </c>
    </row>
    <row r="55" spans="1:19" ht="18" customHeight="1">
      <c r="A55" s="32">
        <v>11</v>
      </c>
      <c r="B55" s="33">
        <v>10</v>
      </c>
      <c r="C55" s="33">
        <v>6</v>
      </c>
      <c r="D55" s="43">
        <v>16</v>
      </c>
      <c r="E55" s="33">
        <v>10</v>
      </c>
      <c r="F55" s="33">
        <v>6</v>
      </c>
      <c r="G55" s="43">
        <v>16</v>
      </c>
      <c r="H55" s="33">
        <v>0</v>
      </c>
      <c r="I55" s="33">
        <v>0</v>
      </c>
      <c r="J55" s="43">
        <v>0</v>
      </c>
      <c r="K55" s="33">
        <v>0</v>
      </c>
      <c r="L55" s="33">
        <v>0</v>
      </c>
      <c r="M55" s="43">
        <f t="shared" si="4"/>
        <v>0</v>
      </c>
    </row>
    <row r="56" spans="1:19" ht="18" customHeight="1">
      <c r="A56" s="32">
        <v>12</v>
      </c>
      <c r="B56" s="33">
        <v>16</v>
      </c>
      <c r="C56" s="33">
        <v>9</v>
      </c>
      <c r="D56" s="43">
        <v>25</v>
      </c>
      <c r="E56" s="33">
        <v>16</v>
      </c>
      <c r="F56" s="33">
        <v>9</v>
      </c>
      <c r="G56" s="43">
        <v>25</v>
      </c>
      <c r="H56" s="33">
        <v>0</v>
      </c>
      <c r="I56" s="33">
        <v>0</v>
      </c>
      <c r="J56" s="43">
        <v>0</v>
      </c>
      <c r="K56" s="33">
        <v>0</v>
      </c>
      <c r="L56" s="33">
        <v>0</v>
      </c>
      <c r="M56" s="43">
        <f t="shared" si="4"/>
        <v>0</v>
      </c>
      <c r="S56" s="28" t="s">
        <v>5483</v>
      </c>
    </row>
    <row r="57" spans="1:19" ht="18" customHeight="1">
      <c r="A57" s="32">
        <v>13</v>
      </c>
      <c r="B57" s="33">
        <v>0</v>
      </c>
      <c r="C57" s="33">
        <v>1</v>
      </c>
      <c r="D57" s="43">
        <v>1</v>
      </c>
      <c r="E57" s="33">
        <v>0</v>
      </c>
      <c r="F57" s="33">
        <v>1</v>
      </c>
      <c r="G57" s="43">
        <v>1</v>
      </c>
      <c r="H57" s="33">
        <v>0</v>
      </c>
      <c r="I57" s="33">
        <v>0</v>
      </c>
      <c r="J57" s="43">
        <v>0</v>
      </c>
      <c r="K57" s="33">
        <v>0</v>
      </c>
      <c r="L57" s="33">
        <v>0</v>
      </c>
      <c r="M57" s="43">
        <f t="shared" si="4"/>
        <v>0</v>
      </c>
    </row>
    <row r="58" spans="1:19" ht="18" customHeight="1">
      <c r="A58" s="32">
        <v>14</v>
      </c>
      <c r="B58" s="33">
        <v>4</v>
      </c>
      <c r="C58" s="33">
        <v>1</v>
      </c>
      <c r="D58" s="43">
        <v>5</v>
      </c>
      <c r="E58" s="33">
        <v>4</v>
      </c>
      <c r="F58" s="33">
        <v>1</v>
      </c>
      <c r="G58" s="43">
        <v>5</v>
      </c>
      <c r="H58" s="33">
        <v>0</v>
      </c>
      <c r="I58" s="33">
        <v>0</v>
      </c>
      <c r="J58" s="43">
        <v>0</v>
      </c>
      <c r="K58" s="33">
        <v>0</v>
      </c>
      <c r="L58" s="33">
        <v>0</v>
      </c>
      <c r="M58" s="43">
        <f t="shared" si="4"/>
        <v>0</v>
      </c>
    </row>
    <row r="59" spans="1:19" ht="18" customHeight="1">
      <c r="A59" s="32">
        <v>15</v>
      </c>
      <c r="B59" s="33">
        <v>2</v>
      </c>
      <c r="C59" s="33">
        <v>3</v>
      </c>
      <c r="D59" s="43">
        <v>5</v>
      </c>
      <c r="E59" s="33">
        <v>2</v>
      </c>
      <c r="F59" s="33">
        <v>3</v>
      </c>
      <c r="G59" s="43">
        <v>5</v>
      </c>
      <c r="H59" s="33">
        <v>0</v>
      </c>
      <c r="I59" s="33">
        <v>0</v>
      </c>
      <c r="J59" s="43">
        <v>0</v>
      </c>
      <c r="K59" s="33">
        <v>0</v>
      </c>
      <c r="L59" s="33">
        <v>0</v>
      </c>
      <c r="M59" s="43">
        <f t="shared" si="4"/>
        <v>0</v>
      </c>
    </row>
    <row r="60" spans="1:19" ht="18" customHeight="1">
      <c r="A60" s="32">
        <v>16</v>
      </c>
      <c r="B60" s="33">
        <v>9</v>
      </c>
      <c r="C60" s="33">
        <v>3</v>
      </c>
      <c r="D60" s="43">
        <v>12</v>
      </c>
      <c r="E60" s="33">
        <v>9</v>
      </c>
      <c r="F60" s="33">
        <v>3</v>
      </c>
      <c r="G60" s="43">
        <v>12</v>
      </c>
      <c r="H60" s="33">
        <v>0</v>
      </c>
      <c r="I60" s="33">
        <v>0</v>
      </c>
      <c r="J60" s="43">
        <v>0</v>
      </c>
      <c r="K60" s="33">
        <v>0</v>
      </c>
      <c r="L60" s="33">
        <v>0</v>
      </c>
      <c r="M60" s="43">
        <f t="shared" si="4"/>
        <v>0</v>
      </c>
    </row>
    <row r="61" spans="1:19" ht="18" customHeight="1">
      <c r="A61" s="32">
        <v>17</v>
      </c>
      <c r="B61" s="33">
        <v>18</v>
      </c>
      <c r="C61" s="33">
        <v>15</v>
      </c>
      <c r="D61" s="43">
        <v>33</v>
      </c>
      <c r="E61" s="33">
        <v>18</v>
      </c>
      <c r="F61" s="33">
        <v>15</v>
      </c>
      <c r="G61" s="43">
        <v>33</v>
      </c>
      <c r="H61" s="33">
        <v>0</v>
      </c>
      <c r="I61" s="33">
        <v>0</v>
      </c>
      <c r="J61" s="43">
        <v>0</v>
      </c>
      <c r="K61" s="33">
        <v>0</v>
      </c>
      <c r="L61" s="33">
        <v>0</v>
      </c>
      <c r="M61" s="43">
        <f t="shared" si="4"/>
        <v>0</v>
      </c>
    </row>
    <row r="62" spans="1:19" ht="18" customHeight="1">
      <c r="A62" s="32">
        <v>18</v>
      </c>
      <c r="B62" s="33">
        <v>12</v>
      </c>
      <c r="C62" s="33">
        <v>15</v>
      </c>
      <c r="D62" s="43">
        <v>27</v>
      </c>
      <c r="E62" s="33">
        <v>12</v>
      </c>
      <c r="F62" s="33">
        <v>15</v>
      </c>
      <c r="G62" s="43">
        <v>27</v>
      </c>
      <c r="H62" s="33">
        <v>0</v>
      </c>
      <c r="I62" s="33">
        <v>0</v>
      </c>
      <c r="J62" s="43">
        <v>0</v>
      </c>
      <c r="K62" s="33">
        <v>0</v>
      </c>
      <c r="L62" s="33">
        <v>0</v>
      </c>
      <c r="M62" s="43">
        <f t="shared" si="4"/>
        <v>0</v>
      </c>
    </row>
    <row r="63" spans="1:19" ht="18" customHeight="1">
      <c r="A63" s="32">
        <v>19</v>
      </c>
      <c r="B63" s="33">
        <v>10</v>
      </c>
      <c r="C63" s="33">
        <v>9</v>
      </c>
      <c r="D63" s="43">
        <v>19</v>
      </c>
      <c r="E63" s="33">
        <v>10</v>
      </c>
      <c r="F63" s="33">
        <v>9</v>
      </c>
      <c r="G63" s="43">
        <v>19</v>
      </c>
      <c r="H63" s="33">
        <v>0</v>
      </c>
      <c r="I63" s="33">
        <v>0</v>
      </c>
      <c r="J63" s="43">
        <v>0</v>
      </c>
      <c r="K63" s="33">
        <v>0</v>
      </c>
      <c r="L63" s="33">
        <v>0</v>
      </c>
      <c r="M63" s="43">
        <f t="shared" si="4"/>
        <v>0</v>
      </c>
    </row>
    <row r="64" spans="1:19" ht="19.5" customHeight="1">
      <c r="A64" s="44" t="s">
        <v>20</v>
      </c>
      <c r="B64" s="43">
        <f>SUM(B45:B63)</f>
        <v>465</v>
      </c>
      <c r="C64" s="43">
        <f>SUM(C45:C63)</f>
        <v>370</v>
      </c>
      <c r="D64" s="43">
        <f>SUM(D45:D63)</f>
        <v>835</v>
      </c>
      <c r="E64" s="43">
        <f>SUM(E45:E63)</f>
        <v>460</v>
      </c>
      <c r="F64" s="43">
        <f>SUM(F45:F63)</f>
        <v>367</v>
      </c>
      <c r="G64" s="43">
        <f>SUM(E64+F64)</f>
        <v>827</v>
      </c>
      <c r="H64" s="43">
        <f>SUM(H45:H63)</f>
        <v>0</v>
      </c>
      <c r="I64" s="43">
        <f>SUM(I45:I63)</f>
        <v>1</v>
      </c>
      <c r="J64" s="43">
        <f>H64+I64</f>
        <v>1</v>
      </c>
      <c r="K64" s="43">
        <f>SUM(K45:K63)</f>
        <v>5</v>
      </c>
      <c r="L64" s="43">
        <f>SUM(L45:L63)</f>
        <v>2</v>
      </c>
      <c r="M64" s="43">
        <f>SUM(M45:M63)</f>
        <v>7</v>
      </c>
    </row>
    <row r="65" spans="1:13" ht="17.25">
      <c r="A65" s="971"/>
      <c r="B65" s="972"/>
      <c r="C65" s="972"/>
      <c r="D65" s="973"/>
      <c r="E65" s="973"/>
      <c r="F65" s="973"/>
      <c r="G65" s="974"/>
      <c r="H65" s="973"/>
      <c r="I65" s="973"/>
      <c r="J65" s="972"/>
      <c r="K65" s="972"/>
      <c r="L65" s="972"/>
      <c r="M65" s="972"/>
    </row>
    <row r="66" spans="1:13" ht="27.75">
      <c r="A66" s="1566" t="s">
        <v>4880</v>
      </c>
      <c r="B66" s="1567"/>
      <c r="C66" s="1567"/>
      <c r="D66" s="1567"/>
      <c r="E66" s="1567"/>
      <c r="F66" s="1567"/>
      <c r="G66" s="1567"/>
      <c r="H66" s="1567"/>
      <c r="I66" s="1567"/>
      <c r="J66" s="1567"/>
      <c r="K66" s="1567"/>
      <c r="L66" s="1567"/>
      <c r="M66" s="1567"/>
    </row>
    <row r="67" spans="1:13" ht="18" customHeight="1">
      <c r="A67" s="1510" t="s">
        <v>4879</v>
      </c>
      <c r="B67" s="1511"/>
      <c r="C67" s="1511"/>
      <c r="D67" s="1512"/>
      <c r="E67" s="1530">
        <f>2411+21+25+18+9+12+16+4+11+12+14</f>
        <v>2553</v>
      </c>
      <c r="F67" s="1532" t="s">
        <v>4877</v>
      </c>
      <c r="G67" s="1532"/>
      <c r="H67" s="1532"/>
      <c r="I67" s="1532"/>
      <c r="J67" s="1532"/>
      <c r="K67" s="1532"/>
      <c r="L67" s="1533">
        <f>B3</f>
        <v>835</v>
      </c>
      <c r="M67" s="1534"/>
    </row>
    <row r="68" spans="1:13" ht="18" customHeight="1">
      <c r="A68" s="1513"/>
      <c r="B68" s="1514"/>
      <c r="C68" s="1514"/>
      <c r="D68" s="1515"/>
      <c r="E68" s="1531"/>
      <c r="F68" s="1532"/>
      <c r="G68" s="1532"/>
      <c r="H68" s="1532"/>
      <c r="I68" s="1532"/>
      <c r="J68" s="1532"/>
      <c r="K68" s="1532"/>
      <c r="L68" s="1535"/>
      <c r="M68" s="1536"/>
    </row>
    <row r="69" spans="1:13" ht="18" customHeight="1">
      <c r="A69" s="1537" t="s">
        <v>6186</v>
      </c>
      <c r="B69" s="1538"/>
      <c r="C69" s="1538"/>
      <c r="D69" s="1538"/>
      <c r="E69" s="1538"/>
      <c r="F69" s="1538"/>
      <c r="G69" s="1538"/>
      <c r="H69" s="1538"/>
      <c r="I69" s="1538"/>
      <c r="J69" s="1538"/>
      <c r="K69" s="1538"/>
      <c r="L69" s="1538"/>
      <c r="M69" s="1538"/>
    </row>
    <row r="70" spans="1:13" ht="18" customHeight="1">
      <c r="A70" s="1564" t="s">
        <v>4879</v>
      </c>
      <c r="B70" s="1564"/>
      <c r="C70" s="1564"/>
      <c r="D70" s="1564"/>
      <c r="E70" s="1539">
        <f>B71+D71</f>
        <v>10</v>
      </c>
      <c r="F70" s="1565" t="s">
        <v>4877</v>
      </c>
      <c r="G70" s="1565"/>
      <c r="H70" s="1565"/>
      <c r="I70" s="1565"/>
      <c r="J70" s="1565"/>
      <c r="K70" s="1565"/>
      <c r="L70" s="1539">
        <f>H71+K71</f>
        <v>5</v>
      </c>
      <c r="M70" s="1539"/>
    </row>
    <row r="71" spans="1:13" ht="43.5" customHeight="1">
      <c r="A71" s="1472" t="s">
        <v>48</v>
      </c>
      <c r="B71" s="1398">
        <v>6</v>
      </c>
      <c r="C71" s="1397" t="s">
        <v>90</v>
      </c>
      <c r="D71" s="1398">
        <v>4</v>
      </c>
      <c r="E71" s="1539"/>
      <c r="F71" s="1564" t="s">
        <v>48</v>
      </c>
      <c r="G71" s="1564"/>
      <c r="H71" s="1398">
        <v>4</v>
      </c>
      <c r="I71" s="1564" t="s">
        <v>90</v>
      </c>
      <c r="J71" s="1564"/>
      <c r="K71" s="1398">
        <v>1</v>
      </c>
      <c r="L71" s="1539"/>
      <c r="M71" s="1539"/>
    </row>
    <row r="72" spans="1:13" ht="24.75" customHeight="1">
      <c r="A72" s="1562"/>
      <c r="B72" s="1562"/>
      <c r="C72" s="1562"/>
      <c r="D72" s="1562"/>
      <c r="E72" s="1562"/>
      <c r="F72" s="1562"/>
      <c r="G72" s="1562"/>
      <c r="H72" s="1562"/>
      <c r="I72" s="1562"/>
      <c r="J72" s="1562"/>
      <c r="K72" s="1562"/>
      <c r="L72" s="1562"/>
      <c r="M72" s="1562"/>
    </row>
    <row r="73" spans="1:13" ht="67.5">
      <c r="A73" s="1099" t="s">
        <v>4</v>
      </c>
      <c r="B73" s="1099" t="s">
        <v>5</v>
      </c>
      <c r="C73" s="1453" t="s">
        <v>6</v>
      </c>
      <c r="D73" s="1551" t="s">
        <v>8</v>
      </c>
      <c r="E73" s="1551"/>
      <c r="F73" s="1448" t="s">
        <v>9</v>
      </c>
      <c r="G73" s="1099" t="s">
        <v>10</v>
      </c>
      <c r="H73" s="1099" t="s">
        <v>11</v>
      </c>
      <c r="I73" s="1099" t="s">
        <v>1341</v>
      </c>
      <c r="J73" s="1100" t="s">
        <v>12</v>
      </c>
      <c r="K73" s="1552" t="s">
        <v>2337</v>
      </c>
      <c r="L73" s="1553"/>
      <c r="M73" s="1554"/>
    </row>
    <row r="74" spans="1:13" ht="27.75">
      <c r="A74" s="1101">
        <f>B3-B74-C74-D74-F74-G74-H74-I74-J74-K74</f>
        <v>632</v>
      </c>
      <c r="B74" s="1101">
        <f>1+1</f>
        <v>2</v>
      </c>
      <c r="C74" s="1449">
        <v>0</v>
      </c>
      <c r="D74" s="1555">
        <f>17+5+1+3+1+1+1+2+1+7</f>
        <v>39</v>
      </c>
      <c r="E74" s="1555"/>
      <c r="F74" s="1450">
        <f>2+1</f>
        <v>3</v>
      </c>
      <c r="G74" s="1101">
        <f>4+5+5+1+8</f>
        <v>23</v>
      </c>
      <c r="H74" s="1101">
        <f>24+5+4+4+1+1+1+1+1</f>
        <v>42</v>
      </c>
      <c r="I74" s="1101">
        <f>65+7+2+5+2+4+2+1+1+1</f>
        <v>90</v>
      </c>
      <c r="J74" s="1101">
        <f>2+1+1</f>
        <v>4</v>
      </c>
      <c r="K74" s="1548">
        <v>0</v>
      </c>
      <c r="L74" s="1549"/>
      <c r="M74" s="1550"/>
    </row>
    <row r="75" spans="1:13" ht="24.75">
      <c r="A75" s="1499"/>
      <c r="B75" s="1500"/>
      <c r="C75" s="1500"/>
      <c r="D75" s="1500"/>
      <c r="E75" s="1500"/>
      <c r="F75" s="1500"/>
      <c r="G75" s="1500"/>
      <c r="H75" s="1500"/>
      <c r="I75" s="1500"/>
      <c r="J75" s="1500"/>
      <c r="K75" s="1500"/>
      <c r="L75" s="1500"/>
      <c r="M75" s="1500"/>
    </row>
    <row r="76" spans="1:13" ht="39.75">
      <c r="A76" s="1102" t="s">
        <v>13</v>
      </c>
      <c r="B76" s="1102" t="s">
        <v>4616</v>
      </c>
      <c r="C76" s="1102" t="s">
        <v>4617</v>
      </c>
      <c r="D76" s="1102" t="s">
        <v>4618</v>
      </c>
      <c r="E76" s="1102" t="s">
        <v>4619</v>
      </c>
      <c r="F76" s="1102" t="s">
        <v>4620</v>
      </c>
      <c r="G76" s="1545" t="s">
        <v>4621</v>
      </c>
      <c r="H76" s="1546"/>
      <c r="I76" s="1547" t="s">
        <v>4622</v>
      </c>
      <c r="J76" s="1547"/>
      <c r="K76" s="1547"/>
      <c r="L76" s="1545" t="s">
        <v>2338</v>
      </c>
      <c r="M76" s="1546"/>
    </row>
    <row r="77" spans="1:13" ht="18">
      <c r="A77" s="1103">
        <f>10+1+2+1+1</f>
        <v>15</v>
      </c>
      <c r="B77" s="1103">
        <f>91+3+3+2+3+3+1+2+2+1+1+1+1</f>
        <v>114</v>
      </c>
      <c r="C77" s="1103">
        <f>127+11+5+7+18+13+5+11+4+3+2+3+1+2</f>
        <v>212</v>
      </c>
      <c r="D77" s="1103">
        <f>146+4+9+6+10+11+7+9+4+4+1+2+1+2+1+2+1+3</f>
        <v>223</v>
      </c>
      <c r="E77" s="1103">
        <f>81+3+1+9+5+2+7+3+1+1</f>
        <v>113</v>
      </c>
      <c r="F77" s="1103">
        <f>59+3+1+6+9+2+2+2+1+1+1+1</f>
        <v>88</v>
      </c>
      <c r="G77" s="1542">
        <f>23+2+1+2+4+1+1+1+1+1+1</f>
        <v>38</v>
      </c>
      <c r="H77" s="1543"/>
      <c r="I77" s="1544">
        <f>13+1+1+1+2+1+1</f>
        <v>20</v>
      </c>
      <c r="J77" s="1544"/>
      <c r="K77" s="1544"/>
      <c r="L77" s="1542">
        <f>6+1+2+2+1</f>
        <v>12</v>
      </c>
      <c r="M77" s="1543"/>
    </row>
    <row r="78" spans="1:13">
      <c r="A78" s="1522"/>
      <c r="B78" s="1522"/>
      <c r="C78" s="1522"/>
      <c r="D78" s="1522"/>
      <c r="E78" s="1522"/>
      <c r="F78" s="1522"/>
      <c r="G78" s="1522"/>
      <c r="H78" s="1522"/>
      <c r="I78" s="1522"/>
      <c r="J78" s="1522"/>
      <c r="K78" s="1522"/>
      <c r="L78" s="1522"/>
      <c r="M78" s="1522"/>
    </row>
    <row r="79" spans="1:13" ht="27.75" customHeight="1">
      <c r="A79" s="1523" t="s">
        <v>5433</v>
      </c>
      <c r="B79" s="1524"/>
      <c r="C79" s="1524"/>
      <c r="D79" s="1524"/>
      <c r="E79" s="1524"/>
      <c r="F79" s="1524"/>
      <c r="G79" s="1524"/>
      <c r="H79" s="1524"/>
      <c r="I79" s="1524"/>
      <c r="J79" s="1524"/>
      <c r="K79" s="1524"/>
      <c r="L79" s="1524"/>
      <c r="M79" s="1525"/>
    </row>
    <row r="80" spans="1:13" ht="27.75" customHeight="1">
      <c r="A80" s="1526"/>
      <c r="B80" s="1527"/>
      <c r="C80" s="1527"/>
      <c r="D80" s="1527"/>
      <c r="E80" s="1527"/>
      <c r="F80" s="1527"/>
      <c r="G80" s="1527"/>
      <c r="H80" s="1527"/>
      <c r="I80" s="1527"/>
      <c r="J80" s="1527"/>
      <c r="K80" s="1527"/>
      <c r="L80" s="1527"/>
      <c r="M80" s="1528"/>
    </row>
    <row r="81" spans="1:14" ht="58.5" customHeight="1">
      <c r="A81" s="1501" t="s">
        <v>6150</v>
      </c>
      <c r="B81" s="1502"/>
      <c r="C81" s="1503"/>
      <c r="D81" s="1501" t="s">
        <v>6151</v>
      </c>
      <c r="E81" s="1502"/>
      <c r="F81" s="1502"/>
      <c r="G81" s="1503"/>
      <c r="H81" s="1504" t="s">
        <v>5434</v>
      </c>
      <c r="I81" s="1505"/>
      <c r="J81" s="1504" t="s">
        <v>6145</v>
      </c>
      <c r="K81" s="1505"/>
      <c r="L81" s="1504" t="s">
        <v>6146</v>
      </c>
      <c r="M81" s="1505"/>
    </row>
    <row r="82" spans="1:14" ht="58.5" customHeight="1">
      <c r="A82" s="1497" t="s">
        <v>6147</v>
      </c>
      <c r="B82" s="1497" t="s">
        <v>6148</v>
      </c>
      <c r="C82" s="1497" t="s">
        <v>6149</v>
      </c>
      <c r="D82" s="1501" t="s">
        <v>6147</v>
      </c>
      <c r="E82" s="1503"/>
      <c r="F82" s="1497" t="s">
        <v>6148</v>
      </c>
      <c r="G82" s="1497" t="s">
        <v>6149</v>
      </c>
      <c r="H82" s="1506"/>
      <c r="I82" s="1507"/>
      <c r="J82" s="1506"/>
      <c r="K82" s="1507"/>
      <c r="L82" s="1506"/>
      <c r="M82" s="1507"/>
    </row>
    <row r="83" spans="1:14" ht="33.75" customHeight="1">
      <c r="A83" s="1478">
        <v>24564</v>
      </c>
      <c r="B83" s="1478">
        <v>22722</v>
      </c>
      <c r="C83" s="1478">
        <f>2109+320</f>
        <v>2429</v>
      </c>
      <c r="D83" s="1508">
        <v>65185</v>
      </c>
      <c r="E83" s="1509"/>
      <c r="F83" s="1478">
        <v>59214</v>
      </c>
      <c r="G83" s="1478">
        <v>361</v>
      </c>
      <c r="H83" s="1508">
        <v>14810</v>
      </c>
      <c r="I83" s="1509"/>
      <c r="J83" s="1508">
        <v>24930</v>
      </c>
      <c r="K83" s="1509"/>
      <c r="L83" s="1508">
        <v>0</v>
      </c>
      <c r="M83" s="1509"/>
    </row>
    <row r="84" spans="1:14" ht="22.5">
      <c r="A84" s="1598"/>
      <c r="B84" s="1598"/>
      <c r="C84" s="1598"/>
      <c r="D84" s="1598"/>
      <c r="E84" s="1598"/>
      <c r="F84" s="1598"/>
      <c r="G84" s="1598"/>
      <c r="H84" s="1598"/>
      <c r="I84" s="1598"/>
      <c r="J84" s="1598"/>
      <c r="K84" s="1598"/>
      <c r="L84" s="1598"/>
      <c r="M84" s="1598"/>
    </row>
    <row r="85" spans="1:14" ht="20.25">
      <c r="A85" s="1599" t="s">
        <v>5748</v>
      </c>
      <c r="B85" s="1600"/>
      <c r="C85" s="1600"/>
      <c r="D85" s="1600"/>
      <c r="E85" s="1600"/>
      <c r="F85" s="1600"/>
      <c r="G85" s="1600"/>
      <c r="H85" s="1600"/>
      <c r="I85" s="1600"/>
      <c r="J85" s="1600"/>
      <c r="K85" s="1600"/>
      <c r="L85" s="1600"/>
      <c r="M85" s="1601"/>
    </row>
    <row r="86" spans="1:14" ht="27">
      <c r="A86" s="1602" t="s">
        <v>3436</v>
      </c>
      <c r="B86" s="1602"/>
      <c r="C86" s="1602"/>
      <c r="D86" s="1603">
        <f>'metro report'!C20</f>
        <v>179</v>
      </c>
      <c r="E86" s="1603"/>
      <c r="F86" s="1602" t="s">
        <v>3</v>
      </c>
      <c r="G86" s="1602"/>
      <c r="H86" s="1603">
        <f>'metro report'!E20</f>
        <v>102</v>
      </c>
      <c r="I86" s="1603"/>
      <c r="J86" s="1602" t="s">
        <v>17</v>
      </c>
      <c r="K86" s="1602"/>
      <c r="L86" s="1603">
        <f>'metro report'!G20</f>
        <v>77</v>
      </c>
      <c r="M86" s="1603"/>
      <c r="N86" s="1488"/>
    </row>
  </sheetData>
  <sheetProtection selectLockedCells="1"/>
  <mergeCells count="149">
    <mergeCell ref="A84:M84"/>
    <mergeCell ref="A85:M85"/>
    <mergeCell ref="F86:G86"/>
    <mergeCell ref="A86:C86"/>
    <mergeCell ref="D86:E86"/>
    <mergeCell ref="H86:I86"/>
    <mergeCell ref="J86:K86"/>
    <mergeCell ref="L86:M86"/>
    <mergeCell ref="A7:M7"/>
    <mergeCell ref="A8:B8"/>
    <mergeCell ref="C8:D8"/>
    <mergeCell ref="E8:F8"/>
    <mergeCell ref="G8:H8"/>
    <mergeCell ref="I8:J8"/>
    <mergeCell ref="K8:M8"/>
    <mergeCell ref="A9:B9"/>
    <mergeCell ref="C9:D9"/>
    <mergeCell ref="E9:F9"/>
    <mergeCell ref="G9:H9"/>
    <mergeCell ref="I9:J9"/>
    <mergeCell ref="K9:M9"/>
    <mergeCell ref="E11:F11"/>
    <mergeCell ref="G11:H11"/>
    <mergeCell ref="I11:J11"/>
    <mergeCell ref="A11:B11"/>
    <mergeCell ref="C11:D11"/>
    <mergeCell ref="K11:M11"/>
    <mergeCell ref="A13:M13"/>
    <mergeCell ref="E10:F10"/>
    <mergeCell ref="G10:H10"/>
    <mergeCell ref="K18:M18"/>
    <mergeCell ref="A12:B12"/>
    <mergeCell ref="C12:D12"/>
    <mergeCell ref="E12:F12"/>
    <mergeCell ref="G12:H12"/>
    <mergeCell ref="I12:J12"/>
    <mergeCell ref="K12:M12"/>
    <mergeCell ref="A10:B10"/>
    <mergeCell ref="C10:D10"/>
    <mergeCell ref="F15:I15"/>
    <mergeCell ref="B15:D15"/>
    <mergeCell ref="F17:I17"/>
    <mergeCell ref="B17:D17"/>
    <mergeCell ref="I25:J25"/>
    <mergeCell ref="I28:J28"/>
    <mergeCell ref="A1:M1"/>
    <mergeCell ref="I21:J21"/>
    <mergeCell ref="B20:D20"/>
    <mergeCell ref="A18:A19"/>
    <mergeCell ref="G18:J18"/>
    <mergeCell ref="B18:F18"/>
    <mergeCell ref="B19:D19"/>
    <mergeCell ref="K15:M15"/>
    <mergeCell ref="A14:M14"/>
    <mergeCell ref="K16:M16"/>
    <mergeCell ref="K17:M17"/>
    <mergeCell ref="F16:I16"/>
    <mergeCell ref="G5:H5"/>
    <mergeCell ref="G6:H6"/>
    <mergeCell ref="G2:M2"/>
    <mergeCell ref="D2:E2"/>
    <mergeCell ref="G3:H3"/>
    <mergeCell ref="G4:H4"/>
    <mergeCell ref="B21:D21"/>
    <mergeCell ref="B16:D16"/>
    <mergeCell ref="I10:J10"/>
    <mergeCell ref="K10:M10"/>
    <mergeCell ref="B25:D25"/>
    <mergeCell ref="I34:J34"/>
    <mergeCell ref="I35:J35"/>
    <mergeCell ref="I36:J36"/>
    <mergeCell ref="I33:J33"/>
    <mergeCell ref="B32:D32"/>
    <mergeCell ref="B23:D23"/>
    <mergeCell ref="B28:D28"/>
    <mergeCell ref="I19:J19"/>
    <mergeCell ref="B27:D27"/>
    <mergeCell ref="B31:D31"/>
    <mergeCell ref="I26:J26"/>
    <mergeCell ref="B26:D26"/>
    <mergeCell ref="B22:D22"/>
    <mergeCell ref="I20:J20"/>
    <mergeCell ref="I22:J22"/>
    <mergeCell ref="I23:J23"/>
    <mergeCell ref="B24:D24"/>
    <mergeCell ref="I24:J24"/>
    <mergeCell ref="I27:J27"/>
    <mergeCell ref="I29:J29"/>
    <mergeCell ref="I30:J30"/>
    <mergeCell ref="B29:D29"/>
    <mergeCell ref="B30:D30"/>
    <mergeCell ref="D73:E73"/>
    <mergeCell ref="K73:M73"/>
    <mergeCell ref="D74:E74"/>
    <mergeCell ref="B35:D35"/>
    <mergeCell ref="I32:J32"/>
    <mergeCell ref="B33:D33"/>
    <mergeCell ref="B36:D36"/>
    <mergeCell ref="B34:D34"/>
    <mergeCell ref="I31:J31"/>
    <mergeCell ref="I38:J38"/>
    <mergeCell ref="A42:M42"/>
    <mergeCell ref="A72:M72"/>
    <mergeCell ref="C40:D40"/>
    <mergeCell ref="F40:I40"/>
    <mergeCell ref="B37:D37"/>
    <mergeCell ref="H43:J43"/>
    <mergeCell ref="B38:D38"/>
    <mergeCell ref="A70:D70"/>
    <mergeCell ref="F70:K70"/>
    <mergeCell ref="I71:J71"/>
    <mergeCell ref="F71:G71"/>
    <mergeCell ref="B43:D43"/>
    <mergeCell ref="I37:J37"/>
    <mergeCell ref="A66:M66"/>
    <mergeCell ref="A67:D68"/>
    <mergeCell ref="I39:J39"/>
    <mergeCell ref="K43:M43"/>
    <mergeCell ref="J40:M40"/>
    <mergeCell ref="L83:M83"/>
    <mergeCell ref="A78:M78"/>
    <mergeCell ref="A79:M80"/>
    <mergeCell ref="C41:F41"/>
    <mergeCell ref="E67:E68"/>
    <mergeCell ref="F67:K68"/>
    <mergeCell ref="L67:M68"/>
    <mergeCell ref="A69:M69"/>
    <mergeCell ref="E70:E71"/>
    <mergeCell ref="L70:M71"/>
    <mergeCell ref="E43:G43"/>
    <mergeCell ref="B39:D39"/>
    <mergeCell ref="H41:M41"/>
    <mergeCell ref="G77:H77"/>
    <mergeCell ref="I77:K77"/>
    <mergeCell ref="L77:M77"/>
    <mergeCell ref="G76:H76"/>
    <mergeCell ref="I76:K76"/>
    <mergeCell ref="L76:M76"/>
    <mergeCell ref="K74:M74"/>
    <mergeCell ref="A75:M75"/>
    <mergeCell ref="A81:C81"/>
    <mergeCell ref="D82:E82"/>
    <mergeCell ref="D81:G81"/>
    <mergeCell ref="H81:I82"/>
    <mergeCell ref="J81:K82"/>
    <mergeCell ref="L81:M82"/>
    <mergeCell ref="D83:E83"/>
    <mergeCell ref="H83:I83"/>
    <mergeCell ref="J83:K83"/>
  </mergeCells>
  <pageMargins left="0.3" right="0.01" top="0" bottom="0" header="0" footer="0.01"/>
  <pageSetup paperSize="9" scale="67" orientation="portrait" r:id="rId1"/>
  <rowBreaks count="1" manualBreakCount="1">
    <brk id="64" max="1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alculation">
                <anchor moveWithCells="1" sizeWithCells="1">
                  <from>
                    <xdr:col>16</xdr:col>
                    <xdr:colOff>266700</xdr:colOff>
                    <xdr:row>44</xdr:row>
                    <xdr:rowOff>123825</xdr:rowOff>
                  </from>
                  <to>
                    <xdr:col>17</xdr:col>
                    <xdr:colOff>466725</xdr:colOff>
                    <xdr:row>46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Y836"/>
  <sheetViews>
    <sheetView topLeftCell="F812" zoomScale="80" zoomScaleNormal="80" workbookViewId="0">
      <selection activeCell="E834" sqref="E834:O836"/>
    </sheetView>
  </sheetViews>
  <sheetFormatPr defaultRowHeight="15"/>
  <cols>
    <col min="1" max="1" width="6.28515625" style="509" bestFit="1" customWidth="1"/>
    <col min="2" max="2" width="13.140625" style="432" bestFit="1" customWidth="1"/>
    <col min="3" max="3" width="6" style="432" bestFit="1" customWidth="1"/>
    <col min="4" max="4" width="19.140625" style="432" bestFit="1" customWidth="1"/>
    <col min="5" max="5" width="33.85546875" style="432" bestFit="1" customWidth="1"/>
    <col min="6" max="6" width="12" style="434" bestFit="1" customWidth="1"/>
    <col min="7" max="7" width="13" style="434" bestFit="1" customWidth="1"/>
    <col min="8" max="8" width="22.140625" style="432" bestFit="1" customWidth="1"/>
    <col min="9" max="9" width="9.5703125" style="434" bestFit="1" customWidth="1"/>
    <col min="10" max="10" width="8" style="434" bestFit="1" customWidth="1"/>
    <col min="11" max="11" width="35.85546875" style="434" customWidth="1"/>
    <col min="12" max="12" width="26" style="434" bestFit="1" customWidth="1"/>
    <col min="13" max="13" width="42.85546875" style="434" bestFit="1" customWidth="1"/>
    <col min="14" max="14" width="21.140625" style="733" bestFit="1" customWidth="1"/>
    <col min="15" max="15" width="14.5703125" style="432" bestFit="1" customWidth="1"/>
    <col min="16" max="17" width="16.7109375" style="432" bestFit="1" customWidth="1"/>
    <col min="18" max="18" width="22.42578125" style="322" bestFit="1" customWidth="1"/>
    <col min="19" max="19" width="12.85546875" style="322" bestFit="1" customWidth="1"/>
    <col min="20" max="20" width="9.85546875" style="322" bestFit="1" customWidth="1"/>
    <col min="21" max="21" width="9.140625" style="322"/>
    <col min="22" max="23" width="9.85546875" style="322" bestFit="1" customWidth="1"/>
    <col min="24" max="16384" width="9.140625" style="322"/>
  </cols>
  <sheetData>
    <row r="1" spans="1:20" s="1491" customFormat="1" ht="19.5">
      <c r="A1" s="369" t="s">
        <v>24</v>
      </c>
      <c r="B1" s="370" t="s">
        <v>25</v>
      </c>
      <c r="C1" s="370" t="s">
        <v>26</v>
      </c>
      <c r="D1" s="371" t="s">
        <v>27</v>
      </c>
      <c r="E1" s="372" t="s">
        <v>28</v>
      </c>
      <c r="F1" s="370" t="s">
        <v>2495</v>
      </c>
      <c r="G1" s="370" t="s">
        <v>2007</v>
      </c>
      <c r="H1" s="370" t="s">
        <v>30</v>
      </c>
      <c r="I1" s="370" t="s">
        <v>32</v>
      </c>
      <c r="J1" s="372" t="s">
        <v>33</v>
      </c>
      <c r="K1" s="372" t="s">
        <v>34</v>
      </c>
      <c r="L1" s="372" t="s">
        <v>35</v>
      </c>
      <c r="M1" s="370" t="s">
        <v>36</v>
      </c>
      <c r="N1" s="1489" t="s">
        <v>37</v>
      </c>
      <c r="O1" s="370" t="s">
        <v>38</v>
      </c>
      <c r="P1" s="370" t="s">
        <v>39</v>
      </c>
      <c r="Q1" s="370" t="s">
        <v>40</v>
      </c>
      <c r="R1" s="363" t="s">
        <v>41</v>
      </c>
      <c r="S1" s="1490" t="s">
        <v>42</v>
      </c>
      <c r="T1" s="1490"/>
    </row>
    <row r="2" spans="1:20">
      <c r="A2" s="509">
        <v>1</v>
      </c>
      <c r="B2" s="1213" t="s">
        <v>43</v>
      </c>
      <c r="C2" s="1146" t="s">
        <v>44</v>
      </c>
      <c r="D2" s="1146" t="s">
        <v>45</v>
      </c>
      <c r="E2" s="432" t="s">
        <v>5404</v>
      </c>
      <c r="F2" s="434">
        <v>6</v>
      </c>
      <c r="G2" s="434">
        <v>9857820425</v>
      </c>
      <c r="H2" s="375"/>
      <c r="I2" s="434">
        <v>46</v>
      </c>
      <c r="J2" s="128" t="s">
        <v>90</v>
      </c>
      <c r="K2" s="434" t="s">
        <v>5405</v>
      </c>
      <c r="M2" s="128" t="s">
        <v>1764</v>
      </c>
      <c r="N2" s="730">
        <v>65276</v>
      </c>
      <c r="O2" s="730">
        <v>65276</v>
      </c>
      <c r="P2" s="459">
        <v>65287</v>
      </c>
      <c r="Q2" s="432" t="s">
        <v>51</v>
      </c>
    </row>
    <row r="3" spans="1:20">
      <c r="A3" s="509">
        <f t="shared" ref="A3:A66" si="0">A2+1</f>
        <v>2</v>
      </c>
      <c r="B3" s="1213" t="s">
        <v>43</v>
      </c>
      <c r="C3" s="1146" t="s">
        <v>44</v>
      </c>
      <c r="D3" s="1146" t="s">
        <v>45</v>
      </c>
      <c r="E3" s="432" t="s">
        <v>1591</v>
      </c>
      <c r="F3" s="434">
        <v>6</v>
      </c>
      <c r="G3" s="434">
        <v>9847198198</v>
      </c>
      <c r="H3" s="432" t="s">
        <v>5406</v>
      </c>
      <c r="I3" s="434">
        <v>32</v>
      </c>
      <c r="J3" s="128" t="s">
        <v>48</v>
      </c>
      <c r="K3" s="434" t="s">
        <v>5405</v>
      </c>
      <c r="M3" s="434" t="s">
        <v>5407</v>
      </c>
      <c r="N3" s="730">
        <v>65276</v>
      </c>
      <c r="O3" s="730">
        <v>65276</v>
      </c>
      <c r="P3" s="459">
        <v>65287</v>
      </c>
      <c r="Q3" s="432" t="s">
        <v>51</v>
      </c>
    </row>
    <row r="4" spans="1:20">
      <c r="A4" s="509">
        <f t="shared" si="0"/>
        <v>3</v>
      </c>
      <c r="B4" s="1213" t="s">
        <v>43</v>
      </c>
      <c r="C4" s="1146" t="s">
        <v>44</v>
      </c>
      <c r="D4" s="1146" t="s">
        <v>45</v>
      </c>
      <c r="E4" s="432" t="s">
        <v>5408</v>
      </c>
      <c r="F4" s="434">
        <v>8</v>
      </c>
      <c r="I4" s="434">
        <v>51</v>
      </c>
      <c r="J4" s="128" t="s">
        <v>48</v>
      </c>
      <c r="K4" s="434" t="s">
        <v>5405</v>
      </c>
      <c r="M4" s="128" t="s">
        <v>1764</v>
      </c>
      <c r="N4" s="730">
        <v>65276</v>
      </c>
      <c r="O4" s="730">
        <v>65276</v>
      </c>
      <c r="P4" s="459">
        <v>65287</v>
      </c>
      <c r="Q4" s="432" t="s">
        <v>51</v>
      </c>
    </row>
    <row r="5" spans="1:20">
      <c r="A5" s="509">
        <f t="shared" si="0"/>
        <v>4</v>
      </c>
      <c r="B5" s="1213" t="s">
        <v>43</v>
      </c>
      <c r="C5" s="1146" t="s">
        <v>44</v>
      </c>
      <c r="D5" s="1146" t="s">
        <v>45</v>
      </c>
      <c r="E5" s="432" t="s">
        <v>5409</v>
      </c>
      <c r="F5" s="434">
        <v>17</v>
      </c>
      <c r="G5" s="434">
        <v>9866397344</v>
      </c>
      <c r="I5" s="434">
        <v>17</v>
      </c>
      <c r="J5" s="128" t="s">
        <v>48</v>
      </c>
      <c r="K5" s="434" t="s">
        <v>5405</v>
      </c>
      <c r="M5" s="434" t="s">
        <v>5407</v>
      </c>
      <c r="N5" s="730">
        <v>65276</v>
      </c>
      <c r="O5" s="730">
        <v>65276</v>
      </c>
      <c r="P5" s="459">
        <v>65287</v>
      </c>
      <c r="Q5" s="432" t="s">
        <v>51</v>
      </c>
    </row>
    <row r="6" spans="1:20">
      <c r="A6" s="509">
        <f t="shared" si="0"/>
        <v>5</v>
      </c>
      <c r="B6" s="1213" t="s">
        <v>43</v>
      </c>
      <c r="C6" s="1146" t="s">
        <v>44</v>
      </c>
      <c r="D6" s="1146" t="s">
        <v>45</v>
      </c>
      <c r="E6" s="432" t="s">
        <v>5410</v>
      </c>
      <c r="F6" s="434">
        <v>11</v>
      </c>
      <c r="G6" s="434">
        <v>9866397344</v>
      </c>
      <c r="I6" s="434">
        <v>17</v>
      </c>
      <c r="J6" s="128" t="s">
        <v>48</v>
      </c>
      <c r="K6" s="434" t="s">
        <v>5405</v>
      </c>
      <c r="M6" s="128" t="s">
        <v>1764</v>
      </c>
      <c r="N6" s="730">
        <v>65276</v>
      </c>
      <c r="O6" s="730">
        <v>65276</v>
      </c>
      <c r="P6" s="459">
        <v>65287</v>
      </c>
      <c r="Q6" s="432" t="s">
        <v>51</v>
      </c>
    </row>
    <row r="7" spans="1:20">
      <c r="A7" s="509">
        <f t="shared" si="0"/>
        <v>6</v>
      </c>
      <c r="B7" s="1213" t="s">
        <v>43</v>
      </c>
      <c r="C7" s="1146" t="s">
        <v>44</v>
      </c>
      <c r="D7" s="1146" t="s">
        <v>45</v>
      </c>
      <c r="E7" s="432" t="s">
        <v>5411</v>
      </c>
      <c r="F7" s="434">
        <v>8</v>
      </c>
      <c r="G7" s="434">
        <v>9857820345</v>
      </c>
      <c r="I7" s="434">
        <v>47</v>
      </c>
      <c r="J7" s="128" t="s">
        <v>48</v>
      </c>
      <c r="K7" s="434" t="s">
        <v>5405</v>
      </c>
      <c r="M7" s="128" t="s">
        <v>1764</v>
      </c>
      <c r="N7" s="730">
        <v>65276</v>
      </c>
      <c r="O7" s="730">
        <v>65276</v>
      </c>
      <c r="P7" s="459">
        <v>65287</v>
      </c>
      <c r="Q7" s="432" t="s">
        <v>51</v>
      </c>
    </row>
    <row r="8" spans="1:20">
      <c r="A8" s="509">
        <f t="shared" si="0"/>
        <v>7</v>
      </c>
      <c r="B8" s="1213" t="s">
        <v>43</v>
      </c>
      <c r="C8" s="1146" t="s">
        <v>44</v>
      </c>
      <c r="D8" s="1146" t="s">
        <v>45</v>
      </c>
      <c r="E8" s="432" t="s">
        <v>5412</v>
      </c>
      <c r="F8" s="434">
        <v>7</v>
      </c>
      <c r="G8" s="434">
        <v>9847945010</v>
      </c>
      <c r="I8" s="434">
        <v>32</v>
      </c>
      <c r="J8" s="128" t="s">
        <v>90</v>
      </c>
      <c r="K8" s="434" t="s">
        <v>5405</v>
      </c>
      <c r="M8" s="128" t="s">
        <v>1764</v>
      </c>
      <c r="N8" s="730">
        <v>65277</v>
      </c>
      <c r="O8" s="730">
        <v>65277</v>
      </c>
      <c r="P8" s="459">
        <v>65287</v>
      </c>
      <c r="Q8" s="432" t="s">
        <v>51</v>
      </c>
    </row>
    <row r="9" spans="1:20">
      <c r="A9" s="509">
        <f t="shared" si="0"/>
        <v>8</v>
      </c>
      <c r="B9" s="1213" t="s">
        <v>43</v>
      </c>
      <c r="C9" s="1146" t="s">
        <v>44</v>
      </c>
      <c r="D9" s="1146" t="s">
        <v>45</v>
      </c>
      <c r="E9" s="432" t="s">
        <v>5413</v>
      </c>
      <c r="F9" s="434">
        <v>5</v>
      </c>
      <c r="G9" s="434">
        <v>9847992830</v>
      </c>
      <c r="I9" s="434">
        <v>44</v>
      </c>
      <c r="J9" s="128" t="s">
        <v>90</v>
      </c>
      <c r="K9" s="434" t="s">
        <v>5405</v>
      </c>
      <c r="M9" s="128" t="s">
        <v>1764</v>
      </c>
      <c r="N9" s="730">
        <v>65277</v>
      </c>
      <c r="O9" s="730">
        <v>65277</v>
      </c>
      <c r="P9" s="459">
        <v>65287</v>
      </c>
      <c r="Q9" s="432" t="s">
        <v>51</v>
      </c>
    </row>
    <row r="10" spans="1:20">
      <c r="A10" s="509">
        <f t="shared" si="0"/>
        <v>9</v>
      </c>
      <c r="B10" s="1213" t="s">
        <v>43</v>
      </c>
      <c r="C10" s="1146" t="s">
        <v>44</v>
      </c>
      <c r="D10" s="1146" t="s">
        <v>45</v>
      </c>
      <c r="E10" s="432" t="s">
        <v>5419</v>
      </c>
      <c r="F10" s="434">
        <v>2</v>
      </c>
      <c r="G10" s="434">
        <v>9857821266</v>
      </c>
      <c r="I10" s="434">
        <v>38</v>
      </c>
      <c r="J10" s="128" t="s">
        <v>48</v>
      </c>
      <c r="K10" s="434" t="s">
        <v>5405</v>
      </c>
      <c r="M10" s="128" t="s">
        <v>1764</v>
      </c>
      <c r="N10" s="730">
        <v>65277</v>
      </c>
      <c r="O10" s="730">
        <v>65277</v>
      </c>
      <c r="P10" s="459">
        <v>65287</v>
      </c>
      <c r="Q10" s="432" t="s">
        <v>51</v>
      </c>
    </row>
    <row r="11" spans="1:20">
      <c r="A11" s="509">
        <f t="shared" si="0"/>
        <v>10</v>
      </c>
      <c r="B11" s="1213" t="s">
        <v>43</v>
      </c>
      <c r="C11" s="1146" t="s">
        <v>44</v>
      </c>
      <c r="D11" s="1146" t="s">
        <v>45</v>
      </c>
      <c r="E11" s="432" t="s">
        <v>5414</v>
      </c>
      <c r="F11" s="434">
        <v>2</v>
      </c>
      <c r="G11" s="434">
        <v>9868635567</v>
      </c>
      <c r="I11" s="434">
        <v>28</v>
      </c>
      <c r="J11" s="128" t="s">
        <v>90</v>
      </c>
      <c r="K11" s="434" t="s">
        <v>5405</v>
      </c>
      <c r="M11" s="128" t="s">
        <v>1764</v>
      </c>
      <c r="N11" s="730">
        <v>65277</v>
      </c>
      <c r="O11" s="730">
        <v>65277</v>
      </c>
      <c r="P11" s="459">
        <v>65287</v>
      </c>
      <c r="Q11" s="432" t="s">
        <v>51</v>
      </c>
    </row>
    <row r="12" spans="1:20">
      <c r="A12" s="578">
        <f t="shared" si="0"/>
        <v>11</v>
      </c>
      <c r="B12" s="1479" t="s">
        <v>43</v>
      </c>
      <c r="C12" s="1480" t="s">
        <v>44</v>
      </c>
      <c r="D12" s="1480" t="s">
        <v>45</v>
      </c>
      <c r="E12" s="578" t="s">
        <v>5415</v>
      </c>
      <c r="F12" s="579">
        <v>18</v>
      </c>
      <c r="G12" s="579">
        <v>9848034154</v>
      </c>
      <c r="H12" s="578"/>
      <c r="I12" s="579">
        <v>41</v>
      </c>
      <c r="J12" s="852" t="s">
        <v>90</v>
      </c>
      <c r="K12" s="579" t="s">
        <v>5405</v>
      </c>
      <c r="L12" s="579"/>
      <c r="M12" s="852" t="s">
        <v>1764</v>
      </c>
      <c r="N12" s="746">
        <v>65277</v>
      </c>
      <c r="O12" s="746">
        <v>65277</v>
      </c>
      <c r="P12" s="582">
        <v>65287</v>
      </c>
      <c r="Q12" s="578" t="s">
        <v>51</v>
      </c>
    </row>
    <row r="13" spans="1:20">
      <c r="A13" s="509">
        <f t="shared" si="0"/>
        <v>12</v>
      </c>
      <c r="B13" s="1213" t="s">
        <v>43</v>
      </c>
      <c r="C13" s="1146" t="s">
        <v>44</v>
      </c>
      <c r="D13" s="1146" t="s">
        <v>45</v>
      </c>
      <c r="E13" s="432" t="s">
        <v>5416</v>
      </c>
      <c r="F13" s="434">
        <v>8</v>
      </c>
      <c r="G13" s="434">
        <v>9810347479</v>
      </c>
      <c r="I13" s="434">
        <v>15</v>
      </c>
      <c r="J13" s="128" t="s">
        <v>90</v>
      </c>
      <c r="K13" s="434" t="s">
        <v>5405</v>
      </c>
      <c r="M13" s="128" t="s">
        <v>1764</v>
      </c>
      <c r="N13" s="730">
        <v>65277</v>
      </c>
      <c r="O13" s="730">
        <v>65277</v>
      </c>
      <c r="P13" s="459">
        <v>65287</v>
      </c>
      <c r="Q13" s="432" t="s">
        <v>51</v>
      </c>
    </row>
    <row r="14" spans="1:20">
      <c r="A14" s="509">
        <f t="shared" si="0"/>
        <v>13</v>
      </c>
      <c r="B14" s="1213" t="s">
        <v>43</v>
      </c>
      <c r="C14" s="1146" t="s">
        <v>44</v>
      </c>
      <c r="D14" s="1146" t="s">
        <v>45</v>
      </c>
      <c r="E14" s="432" t="s">
        <v>5417</v>
      </c>
      <c r="F14" s="434">
        <v>8</v>
      </c>
      <c r="G14" s="434">
        <v>9847907024</v>
      </c>
      <c r="I14" s="434">
        <v>47</v>
      </c>
      <c r="J14" s="128" t="s">
        <v>48</v>
      </c>
      <c r="K14" s="434" t="s">
        <v>5405</v>
      </c>
      <c r="M14" s="128" t="s">
        <v>1764</v>
      </c>
      <c r="N14" s="730">
        <v>65277</v>
      </c>
      <c r="O14" s="730">
        <v>65277</v>
      </c>
      <c r="P14" s="459">
        <v>65287</v>
      </c>
      <c r="Q14" s="432" t="s">
        <v>51</v>
      </c>
    </row>
    <row r="15" spans="1:20">
      <c r="A15" s="509">
        <f t="shared" si="0"/>
        <v>14</v>
      </c>
      <c r="B15" s="1213" t="s">
        <v>43</v>
      </c>
      <c r="C15" s="1146" t="s">
        <v>44</v>
      </c>
      <c r="D15" s="1146" t="s">
        <v>45</v>
      </c>
      <c r="E15" s="432" t="s">
        <v>5418</v>
      </c>
      <c r="F15" s="1477">
        <v>8</v>
      </c>
      <c r="G15" s="434">
        <v>9858082893</v>
      </c>
      <c r="I15" s="434">
        <v>15</v>
      </c>
      <c r="J15" s="128" t="s">
        <v>48</v>
      </c>
      <c r="K15" s="434" t="s">
        <v>5405</v>
      </c>
      <c r="M15" s="128" t="s">
        <v>1764</v>
      </c>
      <c r="N15" s="730">
        <v>65277</v>
      </c>
      <c r="O15" s="730">
        <v>65277</v>
      </c>
      <c r="P15" s="459">
        <v>65287</v>
      </c>
      <c r="Q15" s="432" t="s">
        <v>51</v>
      </c>
    </row>
    <row r="16" spans="1:20" ht="25.5">
      <c r="A16" s="509">
        <f t="shared" si="0"/>
        <v>15</v>
      </c>
      <c r="B16" s="1213" t="s">
        <v>43</v>
      </c>
      <c r="C16" s="1146" t="s">
        <v>44</v>
      </c>
      <c r="D16" s="1146" t="s">
        <v>45</v>
      </c>
      <c r="E16" s="120" t="s">
        <v>5633</v>
      </c>
      <c r="F16" s="150">
        <v>12</v>
      </c>
      <c r="G16" s="150">
        <v>9809702923</v>
      </c>
      <c r="I16" s="150">
        <v>31</v>
      </c>
      <c r="J16" s="120" t="s">
        <v>90</v>
      </c>
      <c r="K16" s="120" t="s">
        <v>4940</v>
      </c>
      <c r="M16" s="146" t="s">
        <v>119</v>
      </c>
      <c r="N16" s="246">
        <v>65277</v>
      </c>
      <c r="O16" s="246">
        <v>65277</v>
      </c>
      <c r="P16" s="459">
        <v>65287</v>
      </c>
      <c r="Q16" s="432" t="s">
        <v>51</v>
      </c>
    </row>
    <row r="17" spans="1:17">
      <c r="A17" s="509">
        <f t="shared" si="0"/>
        <v>16</v>
      </c>
      <c r="B17" s="1213" t="s">
        <v>43</v>
      </c>
      <c r="C17" s="1146" t="s">
        <v>44</v>
      </c>
      <c r="D17" s="1146" t="s">
        <v>45</v>
      </c>
      <c r="E17" s="432" t="s">
        <v>5420</v>
      </c>
      <c r="F17" s="434">
        <v>6</v>
      </c>
      <c r="H17" s="432" t="s">
        <v>5483</v>
      </c>
      <c r="I17" s="434">
        <v>34</v>
      </c>
      <c r="J17" s="128" t="s">
        <v>48</v>
      </c>
      <c r="K17" s="434" t="s">
        <v>5405</v>
      </c>
      <c r="M17" s="128" t="s">
        <v>1764</v>
      </c>
      <c r="N17" s="730">
        <v>65278</v>
      </c>
      <c r="O17" s="730">
        <v>65278</v>
      </c>
      <c r="P17" s="459">
        <v>65287</v>
      </c>
      <c r="Q17" s="432" t="s">
        <v>51</v>
      </c>
    </row>
    <row r="18" spans="1:17">
      <c r="A18" s="509">
        <f t="shared" si="0"/>
        <v>17</v>
      </c>
      <c r="B18" s="1213" t="s">
        <v>43</v>
      </c>
      <c r="C18" s="1146" t="s">
        <v>44</v>
      </c>
      <c r="D18" s="1146" t="s">
        <v>45</v>
      </c>
      <c r="E18" s="432" t="s">
        <v>5421</v>
      </c>
      <c r="F18" s="434">
        <v>8</v>
      </c>
      <c r="G18" s="434">
        <v>9860674125</v>
      </c>
      <c r="H18" s="432" t="s">
        <v>5430</v>
      </c>
      <c r="I18" s="434">
        <v>27</v>
      </c>
      <c r="J18" s="128" t="s">
        <v>48</v>
      </c>
      <c r="K18" s="434" t="s">
        <v>5405</v>
      </c>
      <c r="M18" s="128" t="s">
        <v>1764</v>
      </c>
      <c r="N18" s="730">
        <v>65278</v>
      </c>
      <c r="O18" s="730">
        <v>65278</v>
      </c>
      <c r="P18" s="459">
        <v>65287</v>
      </c>
      <c r="Q18" s="432" t="s">
        <v>51</v>
      </c>
    </row>
    <row r="19" spans="1:17">
      <c r="A19" s="509">
        <f t="shared" si="0"/>
        <v>18</v>
      </c>
      <c r="B19" s="1213" t="s">
        <v>43</v>
      </c>
      <c r="C19" s="1146" t="s">
        <v>44</v>
      </c>
      <c r="D19" s="1146" t="s">
        <v>45</v>
      </c>
      <c r="E19" s="432" t="s">
        <v>1320</v>
      </c>
      <c r="F19" s="434">
        <v>5</v>
      </c>
      <c r="H19" s="432" t="s">
        <v>5430</v>
      </c>
      <c r="I19" s="434">
        <v>54</v>
      </c>
      <c r="J19" s="128" t="s">
        <v>48</v>
      </c>
      <c r="K19" s="434" t="s">
        <v>5405</v>
      </c>
      <c r="M19" s="128" t="s">
        <v>1764</v>
      </c>
      <c r="N19" s="730">
        <v>65278</v>
      </c>
      <c r="O19" s="730">
        <v>65278</v>
      </c>
      <c r="P19" s="459">
        <v>65287</v>
      </c>
      <c r="Q19" s="432" t="s">
        <v>51</v>
      </c>
    </row>
    <row r="20" spans="1:17">
      <c r="A20" s="509">
        <f t="shared" si="0"/>
        <v>19</v>
      </c>
      <c r="B20" s="1213" t="s">
        <v>43</v>
      </c>
      <c r="C20" s="1146" t="s">
        <v>44</v>
      </c>
      <c r="D20" s="1146" t="s">
        <v>45</v>
      </c>
      <c r="E20" s="432" t="s">
        <v>5422</v>
      </c>
      <c r="F20" s="434">
        <v>8</v>
      </c>
      <c r="H20" s="432" t="s">
        <v>5430</v>
      </c>
      <c r="I20" s="434">
        <v>51</v>
      </c>
      <c r="J20" s="128" t="s">
        <v>48</v>
      </c>
      <c r="K20" s="434" t="s">
        <v>5405</v>
      </c>
      <c r="M20" s="128" t="s">
        <v>1764</v>
      </c>
      <c r="N20" s="730">
        <v>65278</v>
      </c>
      <c r="O20" s="730">
        <v>65278</v>
      </c>
      <c r="P20" s="459">
        <v>65287</v>
      </c>
      <c r="Q20" s="432" t="s">
        <v>51</v>
      </c>
    </row>
    <row r="21" spans="1:17">
      <c r="A21" s="509">
        <f t="shared" si="0"/>
        <v>20</v>
      </c>
      <c r="B21" s="1213" t="s">
        <v>43</v>
      </c>
      <c r="C21" s="1146" t="s">
        <v>44</v>
      </c>
      <c r="D21" s="1146" t="s">
        <v>45</v>
      </c>
      <c r="E21" s="432" t="s">
        <v>5423</v>
      </c>
      <c r="F21" s="434">
        <v>6</v>
      </c>
      <c r="H21" s="432" t="s">
        <v>5431</v>
      </c>
      <c r="I21" s="434">
        <v>37</v>
      </c>
      <c r="J21" s="128" t="s">
        <v>48</v>
      </c>
      <c r="K21" s="434" t="s">
        <v>5405</v>
      </c>
      <c r="M21" s="128" t="s">
        <v>1764</v>
      </c>
      <c r="N21" s="730">
        <v>65278</v>
      </c>
      <c r="O21" s="730">
        <v>65278</v>
      </c>
      <c r="P21" s="459">
        <v>65287</v>
      </c>
      <c r="Q21" s="432" t="s">
        <v>51</v>
      </c>
    </row>
    <row r="22" spans="1:17">
      <c r="A22" s="509">
        <f t="shared" si="0"/>
        <v>21</v>
      </c>
      <c r="B22" s="1213" t="s">
        <v>43</v>
      </c>
      <c r="C22" s="1146" t="s">
        <v>44</v>
      </c>
      <c r="D22" s="1146" t="s">
        <v>45</v>
      </c>
      <c r="E22" s="432" t="s">
        <v>5424</v>
      </c>
      <c r="F22" s="434">
        <v>8</v>
      </c>
      <c r="H22" s="432" t="s">
        <v>5432</v>
      </c>
      <c r="I22" s="434">
        <v>14</v>
      </c>
      <c r="J22" s="128" t="s">
        <v>90</v>
      </c>
      <c r="K22" s="434" t="s">
        <v>5405</v>
      </c>
      <c r="M22" s="128" t="s">
        <v>1764</v>
      </c>
      <c r="N22" s="730">
        <v>65278</v>
      </c>
      <c r="O22" s="730">
        <v>65278</v>
      </c>
      <c r="P22" s="459">
        <v>65287</v>
      </c>
      <c r="Q22" s="432" t="s">
        <v>51</v>
      </c>
    </row>
    <row r="23" spans="1:17">
      <c r="A23" s="509">
        <f t="shared" si="0"/>
        <v>22</v>
      </c>
      <c r="B23" s="1213" t="s">
        <v>43</v>
      </c>
      <c r="C23" s="1146" t="s">
        <v>44</v>
      </c>
      <c r="D23" s="1146" t="s">
        <v>45</v>
      </c>
      <c r="E23" s="432" t="s">
        <v>5425</v>
      </c>
      <c r="F23" s="434">
        <v>8</v>
      </c>
      <c r="H23" s="432" t="s">
        <v>5432</v>
      </c>
      <c r="I23" s="434">
        <v>19</v>
      </c>
      <c r="J23" s="128" t="s">
        <v>90</v>
      </c>
      <c r="K23" s="434" t="s">
        <v>5405</v>
      </c>
      <c r="M23" s="128" t="s">
        <v>1764</v>
      </c>
      <c r="N23" s="730">
        <v>65278</v>
      </c>
      <c r="O23" s="730">
        <v>65278</v>
      </c>
      <c r="P23" s="459">
        <v>65287</v>
      </c>
      <c r="Q23" s="432" t="s">
        <v>51</v>
      </c>
    </row>
    <row r="24" spans="1:17">
      <c r="A24" s="509">
        <f t="shared" si="0"/>
        <v>23</v>
      </c>
      <c r="B24" s="1213" t="s">
        <v>43</v>
      </c>
      <c r="C24" s="1146" t="s">
        <v>44</v>
      </c>
      <c r="D24" s="1146" t="s">
        <v>45</v>
      </c>
      <c r="E24" s="432" t="s">
        <v>5426</v>
      </c>
      <c r="F24" s="434">
        <v>8</v>
      </c>
      <c r="H24" s="432" t="s">
        <v>5432</v>
      </c>
      <c r="I24" s="434">
        <v>30</v>
      </c>
      <c r="J24" s="128" t="s">
        <v>48</v>
      </c>
      <c r="K24" s="434" t="s">
        <v>5405</v>
      </c>
      <c r="M24" s="128" t="s">
        <v>1764</v>
      </c>
      <c r="N24" s="730">
        <v>65278</v>
      </c>
      <c r="O24" s="730">
        <v>65278</v>
      </c>
      <c r="P24" s="459">
        <v>65287</v>
      </c>
      <c r="Q24" s="432" t="s">
        <v>51</v>
      </c>
    </row>
    <row r="25" spans="1:17">
      <c r="A25" s="509">
        <f t="shared" si="0"/>
        <v>24</v>
      </c>
      <c r="B25" s="1213" t="s">
        <v>43</v>
      </c>
      <c r="C25" s="1146" t="s">
        <v>44</v>
      </c>
      <c r="D25" s="1146" t="s">
        <v>45</v>
      </c>
      <c r="E25" s="432" t="s">
        <v>5427</v>
      </c>
      <c r="F25" s="434">
        <v>3</v>
      </c>
      <c r="H25" s="432" t="s">
        <v>5432</v>
      </c>
      <c r="I25" s="434">
        <v>18</v>
      </c>
      <c r="J25" s="128" t="s">
        <v>90</v>
      </c>
      <c r="K25" s="434" t="s">
        <v>5405</v>
      </c>
      <c r="M25" s="128" t="s">
        <v>1764</v>
      </c>
      <c r="N25" s="730">
        <v>65278</v>
      </c>
      <c r="O25" s="730">
        <v>65278</v>
      </c>
      <c r="P25" s="459">
        <v>65287</v>
      </c>
      <c r="Q25" s="432" t="s">
        <v>51</v>
      </c>
    </row>
    <row r="26" spans="1:17">
      <c r="A26" s="509">
        <f t="shared" si="0"/>
        <v>25</v>
      </c>
      <c r="B26" s="1213" t="s">
        <v>43</v>
      </c>
      <c r="C26" s="1146" t="s">
        <v>44</v>
      </c>
      <c r="D26" s="1146" t="s">
        <v>45</v>
      </c>
      <c r="E26" s="432" t="s">
        <v>5428</v>
      </c>
      <c r="F26" s="434">
        <v>3</v>
      </c>
      <c r="H26" s="432" t="s">
        <v>5432</v>
      </c>
      <c r="I26" s="434">
        <v>16</v>
      </c>
      <c r="J26" s="128" t="s">
        <v>90</v>
      </c>
      <c r="K26" s="434" t="s">
        <v>5405</v>
      </c>
      <c r="M26" s="128" t="s">
        <v>1764</v>
      </c>
      <c r="N26" s="730">
        <v>65278</v>
      </c>
      <c r="O26" s="730">
        <v>65278</v>
      </c>
      <c r="P26" s="459">
        <v>65287</v>
      </c>
      <c r="Q26" s="432" t="s">
        <v>51</v>
      </c>
    </row>
    <row r="27" spans="1:17">
      <c r="A27" s="509">
        <f t="shared" si="0"/>
        <v>26</v>
      </c>
      <c r="B27" s="1213" t="s">
        <v>43</v>
      </c>
      <c r="C27" s="1146" t="s">
        <v>44</v>
      </c>
      <c r="D27" s="1146" t="s">
        <v>45</v>
      </c>
      <c r="E27" s="432" t="s">
        <v>5429</v>
      </c>
      <c r="F27" s="434">
        <v>7</v>
      </c>
      <c r="H27" s="432" t="s">
        <v>5432</v>
      </c>
      <c r="I27" s="434">
        <v>20</v>
      </c>
      <c r="J27" s="128" t="s">
        <v>48</v>
      </c>
      <c r="K27" s="434" t="s">
        <v>5405</v>
      </c>
      <c r="M27" s="128" t="s">
        <v>1764</v>
      </c>
      <c r="N27" s="730">
        <v>65278</v>
      </c>
      <c r="O27" s="730">
        <v>65278</v>
      </c>
      <c r="P27" s="459">
        <v>65287</v>
      </c>
      <c r="Q27" s="432" t="s">
        <v>51</v>
      </c>
    </row>
    <row r="28" spans="1:17" ht="15" customHeight="1">
      <c r="A28" s="509">
        <f t="shared" si="0"/>
        <v>27</v>
      </c>
      <c r="B28" s="1213" t="s">
        <v>43</v>
      </c>
      <c r="C28" s="1146" t="s">
        <v>44</v>
      </c>
      <c r="D28" s="1146" t="s">
        <v>45</v>
      </c>
      <c r="E28" s="1481" t="s">
        <v>5634</v>
      </c>
      <c r="F28" s="150">
        <v>9</v>
      </c>
      <c r="G28" s="150">
        <v>9857820951</v>
      </c>
      <c r="I28" s="150">
        <v>82</v>
      </c>
      <c r="J28" s="120" t="s">
        <v>90</v>
      </c>
      <c r="K28" s="120" t="s">
        <v>53</v>
      </c>
      <c r="M28" s="146" t="s">
        <v>119</v>
      </c>
      <c r="N28" s="246">
        <v>65278</v>
      </c>
      <c r="O28" s="246">
        <v>65278</v>
      </c>
      <c r="P28" s="459">
        <v>65287</v>
      </c>
      <c r="Q28" s="432" t="s">
        <v>51</v>
      </c>
    </row>
    <row r="29" spans="1:17">
      <c r="A29" s="509">
        <f t="shared" si="0"/>
        <v>28</v>
      </c>
      <c r="B29" s="1213" t="s">
        <v>43</v>
      </c>
      <c r="C29" s="1146" t="s">
        <v>44</v>
      </c>
      <c r="D29" s="1146" t="s">
        <v>45</v>
      </c>
      <c r="E29" s="432" t="s">
        <v>5435</v>
      </c>
      <c r="F29" s="434">
        <v>6</v>
      </c>
      <c r="G29" s="434">
        <v>9812855445</v>
      </c>
      <c r="H29" s="432" t="s">
        <v>5432</v>
      </c>
      <c r="I29" s="434">
        <v>24</v>
      </c>
      <c r="J29" s="128" t="s">
        <v>48</v>
      </c>
      <c r="K29" s="434" t="s">
        <v>5405</v>
      </c>
      <c r="M29" s="128" t="s">
        <v>1764</v>
      </c>
      <c r="N29" s="730">
        <v>65279</v>
      </c>
      <c r="O29" s="730">
        <v>65279</v>
      </c>
      <c r="P29" s="459">
        <v>65287</v>
      </c>
      <c r="Q29" s="432" t="s">
        <v>51</v>
      </c>
    </row>
    <row r="30" spans="1:17">
      <c r="A30" s="509">
        <f t="shared" si="0"/>
        <v>29</v>
      </c>
      <c r="B30" s="1213" t="s">
        <v>43</v>
      </c>
      <c r="C30" s="1146" t="s">
        <v>44</v>
      </c>
      <c r="D30" s="1146" t="s">
        <v>45</v>
      </c>
      <c r="E30" s="432" t="s">
        <v>5436</v>
      </c>
      <c r="F30" s="434">
        <v>6</v>
      </c>
      <c r="G30" s="434">
        <v>9847941977</v>
      </c>
      <c r="I30" s="434">
        <v>29</v>
      </c>
      <c r="J30" s="128" t="s">
        <v>48</v>
      </c>
      <c r="K30" s="434" t="s">
        <v>5405</v>
      </c>
      <c r="M30" s="128" t="s">
        <v>1764</v>
      </c>
      <c r="N30" s="730">
        <v>65279</v>
      </c>
      <c r="O30" s="730">
        <v>65279</v>
      </c>
      <c r="P30" s="459">
        <v>65287</v>
      </c>
      <c r="Q30" s="432" t="s">
        <v>51</v>
      </c>
    </row>
    <row r="31" spans="1:17">
      <c r="A31" s="509">
        <f t="shared" si="0"/>
        <v>30</v>
      </c>
      <c r="B31" s="1213" t="s">
        <v>43</v>
      </c>
      <c r="C31" s="1146" t="s">
        <v>44</v>
      </c>
      <c r="D31" s="1146" t="s">
        <v>45</v>
      </c>
      <c r="E31" s="432" t="s">
        <v>5437</v>
      </c>
      <c r="F31" s="434">
        <v>6</v>
      </c>
      <c r="G31" s="434">
        <v>9857821194</v>
      </c>
      <c r="H31" s="1166" t="s">
        <v>5432</v>
      </c>
      <c r="I31" s="434">
        <v>15</v>
      </c>
      <c r="J31" s="128" t="s">
        <v>90</v>
      </c>
      <c r="K31" s="434" t="s">
        <v>5405</v>
      </c>
      <c r="M31" s="128" t="s">
        <v>1764</v>
      </c>
      <c r="N31" s="730">
        <v>65279</v>
      </c>
      <c r="O31" s="730">
        <v>65279</v>
      </c>
      <c r="P31" s="459">
        <v>65287</v>
      </c>
      <c r="Q31" s="432" t="s">
        <v>51</v>
      </c>
    </row>
    <row r="32" spans="1:17">
      <c r="A32" s="509">
        <f t="shared" si="0"/>
        <v>31</v>
      </c>
      <c r="B32" s="1213" t="s">
        <v>43</v>
      </c>
      <c r="C32" s="1146" t="s">
        <v>44</v>
      </c>
      <c r="D32" s="1146" t="s">
        <v>45</v>
      </c>
      <c r="E32" s="432" t="s">
        <v>5438</v>
      </c>
      <c r="F32" s="434">
        <v>6</v>
      </c>
      <c r="G32" s="434">
        <v>9847824953</v>
      </c>
      <c r="H32" s="432" t="s">
        <v>5432</v>
      </c>
      <c r="I32" s="434">
        <v>78</v>
      </c>
      <c r="J32" s="128" t="s">
        <v>48</v>
      </c>
      <c r="K32" s="434" t="s">
        <v>5405</v>
      </c>
      <c r="M32" s="128" t="s">
        <v>1764</v>
      </c>
      <c r="N32" s="730">
        <v>65279</v>
      </c>
      <c r="O32" s="730">
        <v>65279</v>
      </c>
      <c r="P32" s="459">
        <v>65287</v>
      </c>
      <c r="Q32" s="432" t="s">
        <v>51</v>
      </c>
    </row>
    <row r="33" spans="1:17">
      <c r="A33" s="509">
        <f t="shared" si="0"/>
        <v>32</v>
      </c>
      <c r="B33" s="1213" t="s">
        <v>43</v>
      </c>
      <c r="C33" s="1146" t="s">
        <v>44</v>
      </c>
      <c r="D33" s="1146" t="s">
        <v>45</v>
      </c>
      <c r="E33" s="432" t="s">
        <v>5439</v>
      </c>
      <c r="F33" s="434">
        <v>6</v>
      </c>
      <c r="G33" s="434">
        <v>9857821194</v>
      </c>
      <c r="H33" s="894"/>
      <c r="I33" s="434">
        <v>13</v>
      </c>
      <c r="J33" s="128" t="s">
        <v>48</v>
      </c>
      <c r="K33" s="434" t="s">
        <v>5405</v>
      </c>
      <c r="M33" s="128" t="s">
        <v>1764</v>
      </c>
      <c r="N33" s="730">
        <v>65279</v>
      </c>
      <c r="O33" s="730">
        <v>65279</v>
      </c>
      <c r="P33" s="459">
        <v>65287</v>
      </c>
      <c r="Q33" s="432" t="s">
        <v>51</v>
      </c>
    </row>
    <row r="34" spans="1:17">
      <c r="A34" s="509">
        <f t="shared" si="0"/>
        <v>33</v>
      </c>
      <c r="B34" s="1213" t="s">
        <v>43</v>
      </c>
      <c r="C34" s="1146" t="s">
        <v>44</v>
      </c>
      <c r="D34" s="1146" t="s">
        <v>45</v>
      </c>
      <c r="E34" s="432" t="s">
        <v>5446</v>
      </c>
      <c r="F34" s="434">
        <v>8</v>
      </c>
      <c r="G34" s="434">
        <v>9843772798</v>
      </c>
      <c r="H34" s="432" t="s">
        <v>5447</v>
      </c>
      <c r="I34" s="434">
        <v>26</v>
      </c>
      <c r="J34" s="128" t="s">
        <v>48</v>
      </c>
      <c r="K34" s="434" t="s">
        <v>5405</v>
      </c>
      <c r="M34" s="128" t="s">
        <v>1764</v>
      </c>
      <c r="N34" s="730">
        <v>65279</v>
      </c>
      <c r="O34" s="730">
        <v>65279</v>
      </c>
      <c r="P34" s="459">
        <v>65287</v>
      </c>
      <c r="Q34" s="432" t="s">
        <v>51</v>
      </c>
    </row>
    <row r="35" spans="1:17">
      <c r="A35" s="509">
        <f t="shared" si="0"/>
        <v>34</v>
      </c>
      <c r="B35" s="1213" t="s">
        <v>43</v>
      </c>
      <c r="C35" s="1146" t="s">
        <v>44</v>
      </c>
      <c r="D35" s="1146" t="s">
        <v>45</v>
      </c>
      <c r="E35" s="432" t="s">
        <v>5440</v>
      </c>
      <c r="F35" s="434">
        <v>8</v>
      </c>
      <c r="G35" s="434">
        <v>9809864714</v>
      </c>
      <c r="H35" s="432" t="s">
        <v>5448</v>
      </c>
      <c r="I35" s="434">
        <v>30</v>
      </c>
      <c r="J35" s="128" t="s">
        <v>90</v>
      </c>
      <c r="K35" s="434" t="s">
        <v>5405</v>
      </c>
      <c r="M35" s="128" t="s">
        <v>1764</v>
      </c>
      <c r="N35" s="730">
        <v>65279</v>
      </c>
      <c r="O35" s="730">
        <v>65279</v>
      </c>
      <c r="P35" s="459">
        <v>65287</v>
      </c>
      <c r="Q35" s="432" t="s">
        <v>51</v>
      </c>
    </row>
    <row r="36" spans="1:17">
      <c r="A36" s="509">
        <f t="shared" si="0"/>
        <v>35</v>
      </c>
      <c r="B36" s="1213" t="s">
        <v>43</v>
      </c>
      <c r="C36" s="1146" t="s">
        <v>44</v>
      </c>
      <c r="D36" s="1146" t="s">
        <v>45</v>
      </c>
      <c r="E36" s="432" t="s">
        <v>5441</v>
      </c>
      <c r="F36" s="434">
        <v>8</v>
      </c>
      <c r="G36" s="434">
        <v>9843772798</v>
      </c>
      <c r="I36" s="434">
        <v>64</v>
      </c>
      <c r="J36" s="128" t="s">
        <v>48</v>
      </c>
      <c r="K36" s="434" t="s">
        <v>5405</v>
      </c>
      <c r="M36" s="128" t="s">
        <v>1764</v>
      </c>
      <c r="N36" s="730">
        <v>65279</v>
      </c>
      <c r="O36" s="730">
        <v>65279</v>
      </c>
      <c r="P36" s="459">
        <v>65287</v>
      </c>
      <c r="Q36" s="432" t="s">
        <v>51</v>
      </c>
    </row>
    <row r="37" spans="1:17">
      <c r="A37" s="509">
        <f t="shared" si="0"/>
        <v>36</v>
      </c>
      <c r="B37" s="1213" t="s">
        <v>43</v>
      </c>
      <c r="C37" s="1146" t="s">
        <v>44</v>
      </c>
      <c r="D37" s="1146" t="s">
        <v>45</v>
      </c>
      <c r="E37" s="432" t="s">
        <v>5442</v>
      </c>
      <c r="F37" s="434">
        <v>12</v>
      </c>
      <c r="G37" s="434">
        <v>9847835578</v>
      </c>
      <c r="H37" s="432" t="s">
        <v>5448</v>
      </c>
      <c r="I37" s="434">
        <v>32</v>
      </c>
      <c r="J37" s="128" t="s">
        <v>90</v>
      </c>
      <c r="K37" s="434" t="s">
        <v>5405</v>
      </c>
      <c r="M37" s="128" t="s">
        <v>1764</v>
      </c>
      <c r="N37" s="730">
        <v>65279</v>
      </c>
      <c r="O37" s="730">
        <v>65279</v>
      </c>
      <c r="P37" s="459">
        <v>65287</v>
      </c>
      <c r="Q37" s="432" t="s">
        <v>51</v>
      </c>
    </row>
    <row r="38" spans="1:17">
      <c r="A38" s="509">
        <f t="shared" si="0"/>
        <v>37</v>
      </c>
      <c r="B38" s="1213" t="s">
        <v>43</v>
      </c>
      <c r="C38" s="1146" t="s">
        <v>44</v>
      </c>
      <c r="D38" s="1146" t="s">
        <v>45</v>
      </c>
      <c r="E38" s="432" t="s">
        <v>331</v>
      </c>
      <c r="F38" s="434">
        <v>9</v>
      </c>
      <c r="G38" s="434">
        <v>984723174</v>
      </c>
      <c r="H38" s="432" t="s">
        <v>5448</v>
      </c>
      <c r="I38" s="434">
        <v>32</v>
      </c>
      <c r="J38" s="128" t="s">
        <v>90</v>
      </c>
      <c r="K38" s="434" t="s">
        <v>5405</v>
      </c>
      <c r="M38" s="128" t="s">
        <v>1764</v>
      </c>
      <c r="N38" s="730">
        <v>65279</v>
      </c>
      <c r="O38" s="730">
        <v>65279</v>
      </c>
      <c r="P38" s="459">
        <v>65287</v>
      </c>
      <c r="Q38" s="432" t="s">
        <v>51</v>
      </c>
    </row>
    <row r="39" spans="1:17">
      <c r="A39" s="509">
        <f t="shared" si="0"/>
        <v>38</v>
      </c>
      <c r="B39" s="1213" t="s">
        <v>43</v>
      </c>
      <c r="C39" s="1146" t="s">
        <v>44</v>
      </c>
      <c r="D39" s="1146" t="s">
        <v>45</v>
      </c>
      <c r="E39" s="432" t="s">
        <v>5443</v>
      </c>
      <c r="F39" s="434">
        <v>7</v>
      </c>
      <c r="G39" s="434">
        <v>9868273319</v>
      </c>
      <c r="H39" s="432" t="s">
        <v>5448</v>
      </c>
      <c r="I39" s="434">
        <v>33</v>
      </c>
      <c r="J39" s="128" t="s">
        <v>90</v>
      </c>
      <c r="K39" s="434" t="s">
        <v>5405</v>
      </c>
      <c r="M39" s="128" t="s">
        <v>1764</v>
      </c>
      <c r="N39" s="730">
        <v>65279</v>
      </c>
      <c r="O39" s="730">
        <v>65279</v>
      </c>
      <c r="P39" s="459">
        <v>65287</v>
      </c>
      <c r="Q39" s="432" t="s">
        <v>51</v>
      </c>
    </row>
    <row r="40" spans="1:17">
      <c r="A40" s="509">
        <f t="shared" si="0"/>
        <v>39</v>
      </c>
      <c r="B40" s="1213" t="s">
        <v>43</v>
      </c>
      <c r="C40" s="1146" t="s">
        <v>44</v>
      </c>
      <c r="D40" s="1146" t="s">
        <v>45</v>
      </c>
      <c r="E40" s="432" t="s">
        <v>5444</v>
      </c>
      <c r="F40" s="434">
        <v>6</v>
      </c>
      <c r="G40" s="434">
        <v>9847932352</v>
      </c>
      <c r="I40" s="434">
        <v>37</v>
      </c>
      <c r="J40" s="128" t="s">
        <v>90</v>
      </c>
      <c r="K40" s="434" t="s">
        <v>5405</v>
      </c>
      <c r="M40" s="128" t="s">
        <v>1764</v>
      </c>
      <c r="N40" s="730">
        <v>65279</v>
      </c>
      <c r="O40" s="730">
        <v>65279</v>
      </c>
      <c r="P40" s="459">
        <v>65287</v>
      </c>
      <c r="Q40" s="432" t="s">
        <v>51</v>
      </c>
    </row>
    <row r="41" spans="1:17">
      <c r="A41" s="509">
        <f t="shared" si="0"/>
        <v>40</v>
      </c>
      <c r="B41" s="1213" t="s">
        <v>43</v>
      </c>
      <c r="C41" s="1146" t="s">
        <v>44</v>
      </c>
      <c r="D41" s="1146" t="s">
        <v>45</v>
      </c>
      <c r="E41" s="432" t="s">
        <v>5445</v>
      </c>
      <c r="F41" s="434">
        <v>12</v>
      </c>
      <c r="G41" s="434">
        <v>98224446967</v>
      </c>
      <c r="I41" s="434">
        <v>23</v>
      </c>
      <c r="J41" s="128" t="s">
        <v>90</v>
      </c>
      <c r="K41" s="434" t="s">
        <v>5405</v>
      </c>
      <c r="M41" s="128" t="s">
        <v>1764</v>
      </c>
      <c r="N41" s="730">
        <v>65279</v>
      </c>
      <c r="O41" s="730">
        <v>65279</v>
      </c>
      <c r="P41" s="459">
        <v>65287</v>
      </c>
      <c r="Q41" s="432" t="s">
        <v>51</v>
      </c>
    </row>
    <row r="42" spans="1:17">
      <c r="A42" s="509">
        <f t="shared" si="0"/>
        <v>41</v>
      </c>
      <c r="B42" s="1213" t="s">
        <v>43</v>
      </c>
      <c r="C42" s="1146" t="s">
        <v>44</v>
      </c>
      <c r="D42" s="1146" t="s">
        <v>45</v>
      </c>
      <c r="E42" s="432" t="s">
        <v>1602</v>
      </c>
      <c r="F42" s="434">
        <v>8</v>
      </c>
      <c r="G42" s="434">
        <v>9847822152</v>
      </c>
      <c r="I42" s="434">
        <v>35</v>
      </c>
      <c r="J42" s="128" t="s">
        <v>48</v>
      </c>
      <c r="K42" s="434" t="s">
        <v>5405</v>
      </c>
      <c r="M42" s="128" t="s">
        <v>1764</v>
      </c>
      <c r="N42" s="730">
        <v>65279</v>
      </c>
      <c r="O42" s="730">
        <v>65279</v>
      </c>
      <c r="P42" s="459">
        <v>65287</v>
      </c>
      <c r="Q42" s="432" t="s">
        <v>51</v>
      </c>
    </row>
    <row r="43" spans="1:17">
      <c r="A43" s="509">
        <f t="shared" si="0"/>
        <v>42</v>
      </c>
      <c r="B43" s="1213" t="s">
        <v>43</v>
      </c>
      <c r="C43" s="1146" t="s">
        <v>44</v>
      </c>
      <c r="D43" s="1146" t="s">
        <v>45</v>
      </c>
      <c r="E43" s="432" t="s">
        <v>5449</v>
      </c>
      <c r="F43" s="434">
        <v>12</v>
      </c>
      <c r="G43" s="434">
        <v>9857820265</v>
      </c>
      <c r="H43" s="432" t="s">
        <v>5448</v>
      </c>
      <c r="I43" s="434">
        <v>46</v>
      </c>
      <c r="J43" s="128" t="s">
        <v>48</v>
      </c>
      <c r="K43" s="434" t="s">
        <v>5405</v>
      </c>
      <c r="M43" s="128" t="s">
        <v>1764</v>
      </c>
      <c r="N43" s="730">
        <v>65280</v>
      </c>
      <c r="O43" s="730">
        <v>65280</v>
      </c>
      <c r="P43" s="459">
        <v>65288</v>
      </c>
      <c r="Q43" s="432" t="s">
        <v>51</v>
      </c>
    </row>
    <row r="44" spans="1:17">
      <c r="A44" s="509">
        <f t="shared" si="0"/>
        <v>43</v>
      </c>
      <c r="B44" s="1213" t="s">
        <v>43</v>
      </c>
      <c r="C44" s="1146" t="s">
        <v>44</v>
      </c>
      <c r="D44" s="1146" t="s">
        <v>45</v>
      </c>
      <c r="E44" s="432" t="s">
        <v>5450</v>
      </c>
      <c r="F44" s="434">
        <v>5</v>
      </c>
      <c r="G44" s="434">
        <v>9847824053</v>
      </c>
      <c r="H44" s="432" t="s">
        <v>5448</v>
      </c>
      <c r="I44" s="434">
        <v>44</v>
      </c>
      <c r="J44" s="128" t="s">
        <v>48</v>
      </c>
      <c r="K44" s="434" t="s">
        <v>5405</v>
      </c>
      <c r="M44" s="128" t="s">
        <v>1764</v>
      </c>
      <c r="N44" s="730">
        <v>65280</v>
      </c>
      <c r="O44" s="730">
        <v>65280</v>
      </c>
      <c r="P44" s="459">
        <v>65288</v>
      </c>
      <c r="Q44" s="432" t="s">
        <v>51</v>
      </c>
    </row>
    <row r="45" spans="1:17">
      <c r="A45" s="509">
        <f t="shared" si="0"/>
        <v>44</v>
      </c>
      <c r="B45" s="1213" t="s">
        <v>43</v>
      </c>
      <c r="C45" s="1146" t="s">
        <v>44</v>
      </c>
      <c r="D45" s="1146" t="s">
        <v>45</v>
      </c>
      <c r="E45" s="432" t="s">
        <v>328</v>
      </c>
      <c r="F45" s="434">
        <v>6</v>
      </c>
      <c r="H45" s="432" t="s">
        <v>5448</v>
      </c>
      <c r="I45" s="434">
        <v>51</v>
      </c>
      <c r="J45" s="128" t="s">
        <v>48</v>
      </c>
      <c r="K45" s="434" t="s">
        <v>5405</v>
      </c>
      <c r="M45" s="128" t="s">
        <v>1764</v>
      </c>
      <c r="N45" s="730">
        <v>65280</v>
      </c>
      <c r="O45" s="730">
        <v>65280</v>
      </c>
      <c r="P45" s="459">
        <v>65288</v>
      </c>
      <c r="Q45" s="432" t="s">
        <v>51</v>
      </c>
    </row>
    <row r="46" spans="1:17">
      <c r="A46" s="509">
        <f t="shared" si="0"/>
        <v>45</v>
      </c>
      <c r="B46" s="1213" t="s">
        <v>43</v>
      </c>
      <c r="C46" s="1146" t="s">
        <v>44</v>
      </c>
      <c r="D46" s="1146" t="s">
        <v>45</v>
      </c>
      <c r="E46" s="432" t="s">
        <v>5451</v>
      </c>
      <c r="F46" s="434">
        <v>6</v>
      </c>
      <c r="H46" s="432" t="s">
        <v>5463</v>
      </c>
      <c r="I46" s="434">
        <v>56</v>
      </c>
      <c r="J46" s="128" t="s">
        <v>48</v>
      </c>
      <c r="K46" s="434" t="s">
        <v>5405</v>
      </c>
      <c r="M46" s="128" t="s">
        <v>1764</v>
      </c>
      <c r="N46" s="730">
        <v>65280</v>
      </c>
      <c r="O46" s="730">
        <v>65280</v>
      </c>
      <c r="P46" s="459">
        <v>65288</v>
      </c>
      <c r="Q46" s="432" t="s">
        <v>51</v>
      </c>
    </row>
    <row r="47" spans="1:17">
      <c r="A47" s="509">
        <f t="shared" si="0"/>
        <v>46</v>
      </c>
      <c r="B47" s="1213" t="s">
        <v>43</v>
      </c>
      <c r="C47" s="1146" t="s">
        <v>44</v>
      </c>
      <c r="D47" s="1146" t="s">
        <v>45</v>
      </c>
      <c r="E47" s="432" t="s">
        <v>5452</v>
      </c>
      <c r="F47" s="434">
        <v>9</v>
      </c>
      <c r="G47" s="434">
        <v>9847823004</v>
      </c>
      <c r="I47" s="434">
        <v>14</v>
      </c>
      <c r="J47" s="128" t="s">
        <v>48</v>
      </c>
      <c r="K47" s="434" t="s">
        <v>5405</v>
      </c>
      <c r="M47" s="128" t="s">
        <v>1764</v>
      </c>
      <c r="N47" s="730">
        <v>65280</v>
      </c>
      <c r="O47" s="730">
        <v>65280</v>
      </c>
      <c r="P47" s="459">
        <v>65288</v>
      </c>
      <c r="Q47" s="432" t="s">
        <v>51</v>
      </c>
    </row>
    <row r="48" spans="1:17">
      <c r="A48" s="509">
        <f t="shared" si="0"/>
        <v>47</v>
      </c>
      <c r="B48" s="1213" t="s">
        <v>43</v>
      </c>
      <c r="C48" s="1146" t="s">
        <v>44</v>
      </c>
      <c r="D48" s="1146" t="s">
        <v>45</v>
      </c>
      <c r="E48" s="432" t="s">
        <v>5453</v>
      </c>
      <c r="F48" s="434">
        <v>6</v>
      </c>
      <c r="G48" s="434">
        <v>9847830619</v>
      </c>
      <c r="I48" s="434">
        <v>54</v>
      </c>
      <c r="J48" s="128" t="s">
        <v>48</v>
      </c>
      <c r="K48" s="434" t="s">
        <v>5405</v>
      </c>
      <c r="M48" s="128" t="s">
        <v>1764</v>
      </c>
      <c r="N48" s="730">
        <v>65280</v>
      </c>
      <c r="O48" s="730">
        <v>65280</v>
      </c>
      <c r="P48" s="459">
        <v>65288</v>
      </c>
      <c r="Q48" s="432" t="s">
        <v>51</v>
      </c>
    </row>
    <row r="49" spans="1:17">
      <c r="A49" s="509">
        <f t="shared" si="0"/>
        <v>48</v>
      </c>
      <c r="B49" s="1213" t="s">
        <v>43</v>
      </c>
      <c r="C49" s="1146" t="s">
        <v>44</v>
      </c>
      <c r="D49" s="1146" t="s">
        <v>45</v>
      </c>
      <c r="E49" s="432" t="s">
        <v>4822</v>
      </c>
      <c r="F49" s="434">
        <v>8</v>
      </c>
      <c r="G49" s="434">
        <v>9809565983</v>
      </c>
      <c r="I49" s="434">
        <v>18</v>
      </c>
      <c r="J49" s="128" t="s">
        <v>48</v>
      </c>
      <c r="K49" s="434" t="s">
        <v>5405</v>
      </c>
      <c r="M49" s="128" t="s">
        <v>1764</v>
      </c>
      <c r="N49" s="730">
        <v>65280</v>
      </c>
      <c r="O49" s="730">
        <v>65280</v>
      </c>
      <c r="P49" s="459">
        <v>65288</v>
      </c>
      <c r="Q49" s="432" t="s">
        <v>51</v>
      </c>
    </row>
    <row r="50" spans="1:17">
      <c r="A50" s="509">
        <f t="shared" si="0"/>
        <v>49</v>
      </c>
      <c r="B50" s="1213" t="s">
        <v>43</v>
      </c>
      <c r="C50" s="1146" t="s">
        <v>44</v>
      </c>
      <c r="D50" s="1146" t="s">
        <v>45</v>
      </c>
      <c r="E50" s="432" t="s">
        <v>5454</v>
      </c>
      <c r="F50" s="434">
        <v>8</v>
      </c>
      <c r="G50" s="434">
        <v>9809766752</v>
      </c>
      <c r="H50" s="432" t="s">
        <v>5432</v>
      </c>
      <c r="I50" s="434">
        <v>17</v>
      </c>
      <c r="J50" s="128" t="s">
        <v>90</v>
      </c>
      <c r="K50" s="434" t="s">
        <v>5405</v>
      </c>
      <c r="M50" s="128" t="s">
        <v>1764</v>
      </c>
      <c r="N50" s="730">
        <v>65280</v>
      </c>
      <c r="O50" s="730">
        <v>65280</v>
      </c>
      <c r="P50" s="459">
        <v>65288</v>
      </c>
      <c r="Q50" s="432" t="s">
        <v>51</v>
      </c>
    </row>
    <row r="51" spans="1:17">
      <c r="A51" s="509">
        <f t="shared" si="0"/>
        <v>50</v>
      </c>
      <c r="B51" s="1213" t="s">
        <v>43</v>
      </c>
      <c r="C51" s="1146" t="s">
        <v>44</v>
      </c>
      <c r="D51" s="1146" t="s">
        <v>45</v>
      </c>
      <c r="E51" s="432" t="s">
        <v>5455</v>
      </c>
      <c r="F51" s="434">
        <v>7</v>
      </c>
      <c r="G51" s="434">
        <v>9868950873</v>
      </c>
      <c r="I51" s="434">
        <v>53</v>
      </c>
      <c r="J51" s="128" t="s">
        <v>48</v>
      </c>
      <c r="K51" s="434" t="s">
        <v>5405</v>
      </c>
      <c r="M51" s="128" t="s">
        <v>1764</v>
      </c>
      <c r="N51" s="730">
        <v>65280</v>
      </c>
      <c r="O51" s="730">
        <v>65280</v>
      </c>
      <c r="P51" s="459">
        <v>65288</v>
      </c>
      <c r="Q51" s="432" t="s">
        <v>51</v>
      </c>
    </row>
    <row r="52" spans="1:17">
      <c r="A52" s="509">
        <f t="shared" si="0"/>
        <v>51</v>
      </c>
      <c r="B52" s="1213" t="s">
        <v>43</v>
      </c>
      <c r="C52" s="1146" t="s">
        <v>44</v>
      </c>
      <c r="D52" s="1146" t="s">
        <v>45</v>
      </c>
      <c r="E52" s="432" t="s">
        <v>5456</v>
      </c>
      <c r="F52" s="434">
        <v>9</v>
      </c>
      <c r="G52" s="434">
        <v>9860500277</v>
      </c>
      <c r="I52" s="434">
        <v>26</v>
      </c>
      <c r="J52" s="128" t="s">
        <v>90</v>
      </c>
      <c r="K52" s="434" t="s">
        <v>5405</v>
      </c>
      <c r="M52" s="128" t="s">
        <v>1764</v>
      </c>
      <c r="N52" s="730">
        <v>65280</v>
      </c>
      <c r="O52" s="730">
        <v>65280</v>
      </c>
      <c r="P52" s="459">
        <v>65288</v>
      </c>
      <c r="Q52" s="432" t="s">
        <v>51</v>
      </c>
    </row>
    <row r="53" spans="1:17">
      <c r="A53" s="509">
        <f t="shared" si="0"/>
        <v>52</v>
      </c>
      <c r="B53" s="1213" t="s">
        <v>43</v>
      </c>
      <c r="C53" s="1146" t="s">
        <v>44</v>
      </c>
      <c r="D53" s="1146" t="s">
        <v>45</v>
      </c>
      <c r="E53" s="432" t="s">
        <v>5457</v>
      </c>
      <c r="F53" s="434">
        <v>18</v>
      </c>
      <c r="G53" s="434">
        <v>9844854000</v>
      </c>
      <c r="H53" s="432" t="s">
        <v>5430</v>
      </c>
      <c r="I53" s="434">
        <v>48</v>
      </c>
      <c r="J53" s="128" t="s">
        <v>90</v>
      </c>
      <c r="K53" s="434" t="s">
        <v>5405</v>
      </c>
      <c r="M53" s="128" t="s">
        <v>1764</v>
      </c>
      <c r="N53" s="730">
        <v>65280</v>
      </c>
      <c r="O53" s="730">
        <v>65280</v>
      </c>
      <c r="P53" s="459">
        <v>65288</v>
      </c>
      <c r="Q53" s="432" t="s">
        <v>51</v>
      </c>
    </row>
    <row r="54" spans="1:17">
      <c r="A54" s="509">
        <f t="shared" si="0"/>
        <v>53</v>
      </c>
      <c r="B54" s="1213" t="s">
        <v>43</v>
      </c>
      <c r="C54" s="1146" t="s">
        <v>44</v>
      </c>
      <c r="D54" s="1146" t="s">
        <v>45</v>
      </c>
      <c r="E54" s="432" t="s">
        <v>5458</v>
      </c>
      <c r="F54" s="434">
        <v>5</v>
      </c>
      <c r="G54" s="434">
        <v>9857820121</v>
      </c>
      <c r="H54" s="432" t="s">
        <v>5448</v>
      </c>
      <c r="I54" s="434">
        <v>43</v>
      </c>
      <c r="J54" s="128" t="s">
        <v>48</v>
      </c>
      <c r="K54" s="434" t="s">
        <v>5405</v>
      </c>
      <c r="M54" s="128" t="s">
        <v>1764</v>
      </c>
      <c r="N54" s="730">
        <v>65280</v>
      </c>
      <c r="O54" s="730">
        <v>65280</v>
      </c>
      <c r="P54" s="459">
        <v>65288</v>
      </c>
      <c r="Q54" s="432" t="s">
        <v>51</v>
      </c>
    </row>
    <row r="55" spans="1:17">
      <c r="A55" s="509">
        <f t="shared" si="0"/>
        <v>54</v>
      </c>
      <c r="B55" s="1213" t="s">
        <v>43</v>
      </c>
      <c r="C55" s="1146" t="s">
        <v>44</v>
      </c>
      <c r="D55" s="1146" t="s">
        <v>45</v>
      </c>
      <c r="E55" s="432" t="s">
        <v>5459</v>
      </c>
      <c r="F55" s="434">
        <v>7</v>
      </c>
      <c r="G55" s="434">
        <v>9847856774</v>
      </c>
      <c r="I55" s="434">
        <v>38</v>
      </c>
      <c r="J55" s="128" t="s">
        <v>90</v>
      </c>
      <c r="K55" s="434" t="s">
        <v>5405</v>
      </c>
      <c r="M55" s="128" t="s">
        <v>1764</v>
      </c>
      <c r="N55" s="730">
        <v>65280</v>
      </c>
      <c r="O55" s="730">
        <v>65280</v>
      </c>
      <c r="P55" s="459">
        <v>65288</v>
      </c>
      <c r="Q55" s="432" t="s">
        <v>51</v>
      </c>
    </row>
    <row r="56" spans="1:17">
      <c r="A56" s="509">
        <f t="shared" si="0"/>
        <v>55</v>
      </c>
      <c r="B56" s="1213" t="s">
        <v>43</v>
      </c>
      <c r="C56" s="1146" t="s">
        <v>44</v>
      </c>
      <c r="D56" s="1146" t="s">
        <v>45</v>
      </c>
      <c r="E56" s="432" t="s">
        <v>5460</v>
      </c>
      <c r="F56" s="434">
        <v>9</v>
      </c>
      <c r="G56" s="434">
        <v>9809511135</v>
      </c>
      <c r="I56" s="434">
        <v>25</v>
      </c>
      <c r="J56" s="128" t="s">
        <v>90</v>
      </c>
      <c r="K56" s="434" t="s">
        <v>5405</v>
      </c>
      <c r="M56" s="128" t="s">
        <v>1764</v>
      </c>
      <c r="N56" s="730">
        <v>65280</v>
      </c>
      <c r="O56" s="730">
        <v>65280</v>
      </c>
      <c r="P56" s="459">
        <v>65288</v>
      </c>
      <c r="Q56" s="432" t="s">
        <v>51</v>
      </c>
    </row>
    <row r="57" spans="1:17">
      <c r="A57" s="509">
        <f t="shared" si="0"/>
        <v>56</v>
      </c>
      <c r="B57" s="1213" t="s">
        <v>43</v>
      </c>
      <c r="C57" s="1146" t="s">
        <v>44</v>
      </c>
      <c r="D57" s="1146" t="s">
        <v>45</v>
      </c>
      <c r="E57" s="432" t="s">
        <v>5461</v>
      </c>
      <c r="F57" s="434">
        <v>5</v>
      </c>
      <c r="H57" s="432" t="s">
        <v>5448</v>
      </c>
      <c r="I57" s="434">
        <v>36</v>
      </c>
      <c r="J57" s="128" t="s">
        <v>90</v>
      </c>
      <c r="K57" s="434" t="s">
        <v>5405</v>
      </c>
      <c r="M57" s="128" t="s">
        <v>1764</v>
      </c>
      <c r="N57" s="730">
        <v>65280</v>
      </c>
      <c r="O57" s="730">
        <v>65280</v>
      </c>
      <c r="P57" s="459">
        <v>65288</v>
      </c>
      <c r="Q57" s="432" t="s">
        <v>51</v>
      </c>
    </row>
    <row r="58" spans="1:17">
      <c r="A58" s="509">
        <f t="shared" si="0"/>
        <v>57</v>
      </c>
      <c r="B58" s="1213" t="s">
        <v>43</v>
      </c>
      <c r="C58" s="1146" t="s">
        <v>44</v>
      </c>
      <c r="D58" s="1146" t="s">
        <v>45</v>
      </c>
      <c r="E58" s="432" t="s">
        <v>5462</v>
      </c>
      <c r="F58" s="434">
        <v>5</v>
      </c>
      <c r="G58" s="434">
        <v>9851193911</v>
      </c>
      <c r="I58" s="434">
        <v>25</v>
      </c>
      <c r="J58" s="128" t="s">
        <v>90</v>
      </c>
      <c r="K58" s="434" t="s">
        <v>5405</v>
      </c>
      <c r="M58" s="128" t="s">
        <v>1764</v>
      </c>
      <c r="N58" s="730">
        <v>65280</v>
      </c>
      <c r="O58" s="730">
        <v>65280</v>
      </c>
      <c r="P58" s="459">
        <v>65288</v>
      </c>
      <c r="Q58" s="432" t="s">
        <v>51</v>
      </c>
    </row>
    <row r="59" spans="1:17">
      <c r="A59" s="509">
        <f t="shared" si="0"/>
        <v>58</v>
      </c>
      <c r="B59" s="1213" t="s">
        <v>43</v>
      </c>
      <c r="C59" s="1146" t="s">
        <v>44</v>
      </c>
      <c r="D59" s="1146" t="s">
        <v>45</v>
      </c>
      <c r="E59" s="432" t="s">
        <v>5464</v>
      </c>
      <c r="F59" s="434">
        <v>4</v>
      </c>
      <c r="G59" s="434">
        <v>9857821096</v>
      </c>
      <c r="H59" s="432" t="s">
        <v>5430</v>
      </c>
      <c r="I59" s="434">
        <v>49</v>
      </c>
      <c r="J59" s="128" t="s">
        <v>90</v>
      </c>
      <c r="K59" s="434" t="s">
        <v>5405</v>
      </c>
      <c r="M59" s="128" t="s">
        <v>1764</v>
      </c>
      <c r="N59" s="730">
        <v>65280</v>
      </c>
      <c r="O59" s="730">
        <v>65280</v>
      </c>
      <c r="P59" s="459">
        <v>65288</v>
      </c>
      <c r="Q59" s="432" t="s">
        <v>51</v>
      </c>
    </row>
    <row r="60" spans="1:17">
      <c r="A60" s="509">
        <f t="shared" si="0"/>
        <v>59</v>
      </c>
      <c r="B60" s="1213" t="s">
        <v>43</v>
      </c>
      <c r="C60" s="1146" t="s">
        <v>44</v>
      </c>
      <c r="D60" s="1146" t="s">
        <v>45</v>
      </c>
      <c r="E60" s="432" t="s">
        <v>5465</v>
      </c>
      <c r="F60" s="434">
        <v>4</v>
      </c>
      <c r="G60" s="434">
        <v>9857821096</v>
      </c>
      <c r="H60" s="432" t="s">
        <v>5432</v>
      </c>
      <c r="I60" s="434">
        <v>17</v>
      </c>
      <c r="J60" s="128" t="s">
        <v>90</v>
      </c>
      <c r="K60" s="434" t="s">
        <v>5405</v>
      </c>
      <c r="M60" s="128" t="s">
        <v>1764</v>
      </c>
      <c r="N60" s="730">
        <v>65280</v>
      </c>
      <c r="O60" s="730">
        <v>65280</v>
      </c>
      <c r="P60" s="459">
        <v>65288</v>
      </c>
      <c r="Q60" s="432" t="s">
        <v>51</v>
      </c>
    </row>
    <row r="61" spans="1:17">
      <c r="A61" s="509">
        <f t="shared" si="0"/>
        <v>60</v>
      </c>
      <c r="B61" s="1213" t="s">
        <v>43</v>
      </c>
      <c r="C61" s="1146" t="s">
        <v>44</v>
      </c>
      <c r="D61" s="1146" t="s">
        <v>45</v>
      </c>
      <c r="E61" s="432" t="s">
        <v>5412</v>
      </c>
      <c r="F61" s="434">
        <v>4</v>
      </c>
      <c r="G61" s="434">
        <v>9857821096</v>
      </c>
      <c r="H61" s="432" t="s">
        <v>5432</v>
      </c>
      <c r="I61" s="434">
        <v>18</v>
      </c>
      <c r="J61" s="128" t="s">
        <v>90</v>
      </c>
      <c r="K61" s="434" t="s">
        <v>5405</v>
      </c>
      <c r="M61" s="128" t="s">
        <v>1764</v>
      </c>
      <c r="N61" s="730">
        <v>65280</v>
      </c>
      <c r="O61" s="730">
        <v>65280</v>
      </c>
      <c r="P61" s="459">
        <v>65288</v>
      </c>
      <c r="Q61" s="432" t="s">
        <v>51</v>
      </c>
    </row>
    <row r="62" spans="1:17">
      <c r="A62" s="509">
        <f t="shared" si="0"/>
        <v>61</v>
      </c>
      <c r="B62" s="1213" t="s">
        <v>43</v>
      </c>
      <c r="C62" s="1146" t="s">
        <v>44</v>
      </c>
      <c r="D62" s="1146" t="s">
        <v>45</v>
      </c>
      <c r="E62" s="432" t="s">
        <v>5466</v>
      </c>
      <c r="F62" s="434">
        <v>4</v>
      </c>
      <c r="G62" s="434">
        <v>9857821096</v>
      </c>
      <c r="H62" s="432" t="s">
        <v>5432</v>
      </c>
      <c r="I62" s="434">
        <v>14</v>
      </c>
      <c r="J62" s="128" t="s">
        <v>90</v>
      </c>
      <c r="K62" s="434" t="s">
        <v>5405</v>
      </c>
      <c r="M62" s="128" t="s">
        <v>1764</v>
      </c>
      <c r="N62" s="730">
        <v>65280</v>
      </c>
      <c r="O62" s="730">
        <v>65280</v>
      </c>
      <c r="P62" s="459">
        <v>65288</v>
      </c>
      <c r="Q62" s="432" t="s">
        <v>51</v>
      </c>
    </row>
    <row r="63" spans="1:17">
      <c r="A63" s="509">
        <f t="shared" si="0"/>
        <v>62</v>
      </c>
      <c r="B63" s="1213" t="s">
        <v>43</v>
      </c>
      <c r="C63" s="1146" t="s">
        <v>44</v>
      </c>
      <c r="D63" s="1146" t="s">
        <v>45</v>
      </c>
      <c r="E63" s="432" t="s">
        <v>5467</v>
      </c>
      <c r="F63" s="434">
        <v>4</v>
      </c>
      <c r="G63" s="434">
        <v>9857821096</v>
      </c>
      <c r="H63" s="432" t="s">
        <v>5432</v>
      </c>
      <c r="I63" s="434">
        <v>17</v>
      </c>
      <c r="J63" s="128" t="s">
        <v>48</v>
      </c>
      <c r="K63" s="434" t="s">
        <v>5405</v>
      </c>
      <c r="M63" s="128" t="s">
        <v>1764</v>
      </c>
      <c r="N63" s="730">
        <v>65280</v>
      </c>
      <c r="O63" s="730">
        <v>65280</v>
      </c>
      <c r="P63" s="459">
        <v>65288</v>
      </c>
      <c r="Q63" s="432" t="s">
        <v>51</v>
      </c>
    </row>
    <row r="64" spans="1:17">
      <c r="A64" s="509">
        <f t="shared" si="0"/>
        <v>63</v>
      </c>
      <c r="B64" s="1213" t="s">
        <v>43</v>
      </c>
      <c r="C64" s="1146" t="s">
        <v>44</v>
      </c>
      <c r="D64" s="1146" t="s">
        <v>45</v>
      </c>
      <c r="E64" s="432" t="s">
        <v>5468</v>
      </c>
      <c r="F64" s="434">
        <v>4</v>
      </c>
      <c r="G64" s="434">
        <v>9857821096</v>
      </c>
      <c r="H64" s="432" t="s">
        <v>5432</v>
      </c>
      <c r="I64" s="434">
        <v>13</v>
      </c>
      <c r="J64" s="128" t="s">
        <v>48</v>
      </c>
      <c r="K64" s="434" t="s">
        <v>5405</v>
      </c>
      <c r="M64" s="128" t="s">
        <v>1764</v>
      </c>
      <c r="N64" s="730">
        <v>65280</v>
      </c>
      <c r="O64" s="730">
        <v>65280</v>
      </c>
      <c r="P64" s="459">
        <v>65288</v>
      </c>
      <c r="Q64" s="432" t="s">
        <v>51</v>
      </c>
    </row>
    <row r="65" spans="1:17">
      <c r="A65" s="509">
        <f t="shared" si="0"/>
        <v>64</v>
      </c>
      <c r="B65" s="1213" t="s">
        <v>43</v>
      </c>
      <c r="C65" s="1146" t="s">
        <v>44</v>
      </c>
      <c r="D65" s="1146" t="s">
        <v>45</v>
      </c>
      <c r="E65" s="432" t="s">
        <v>5469</v>
      </c>
      <c r="F65" s="434">
        <v>4</v>
      </c>
      <c r="G65" s="434">
        <v>9857821096</v>
      </c>
      <c r="H65" s="432" t="s">
        <v>5432</v>
      </c>
      <c r="I65" s="434">
        <v>16</v>
      </c>
      <c r="J65" s="128" t="s">
        <v>90</v>
      </c>
      <c r="K65" s="434" t="s">
        <v>5405</v>
      </c>
      <c r="M65" s="128" t="s">
        <v>1764</v>
      </c>
      <c r="N65" s="730">
        <v>65280</v>
      </c>
      <c r="O65" s="730">
        <v>65280</v>
      </c>
      <c r="P65" s="459">
        <v>65288</v>
      </c>
      <c r="Q65" s="432" t="s">
        <v>51</v>
      </c>
    </row>
    <row r="66" spans="1:17">
      <c r="A66" s="509">
        <f t="shared" si="0"/>
        <v>65</v>
      </c>
      <c r="B66" s="1213" t="s">
        <v>43</v>
      </c>
      <c r="C66" s="1146" t="s">
        <v>44</v>
      </c>
      <c r="D66" s="1146" t="s">
        <v>45</v>
      </c>
      <c r="E66" s="432" t="s">
        <v>5470</v>
      </c>
      <c r="F66" s="434">
        <v>4</v>
      </c>
      <c r="G66" s="434">
        <v>9857820121</v>
      </c>
      <c r="H66" s="432" t="s">
        <v>5432</v>
      </c>
      <c r="I66" s="434">
        <v>16</v>
      </c>
      <c r="J66" s="128" t="s">
        <v>90</v>
      </c>
      <c r="K66" s="434" t="s">
        <v>5405</v>
      </c>
      <c r="M66" s="128" t="s">
        <v>1764</v>
      </c>
      <c r="N66" s="730">
        <v>65280</v>
      </c>
      <c r="O66" s="730">
        <v>65280</v>
      </c>
      <c r="P66" s="459">
        <v>65288</v>
      </c>
      <c r="Q66" s="432" t="s">
        <v>51</v>
      </c>
    </row>
    <row r="67" spans="1:17">
      <c r="A67" s="509">
        <f t="shared" ref="A67:A130" si="1">A66+1</f>
        <v>66</v>
      </c>
      <c r="B67" s="1213" t="s">
        <v>43</v>
      </c>
      <c r="C67" s="1146" t="s">
        <v>44</v>
      </c>
      <c r="D67" s="1146" t="s">
        <v>45</v>
      </c>
      <c r="E67" s="432" t="s">
        <v>5471</v>
      </c>
      <c r="F67" s="434">
        <v>4</v>
      </c>
      <c r="H67" s="432" t="s">
        <v>5432</v>
      </c>
      <c r="I67" s="434">
        <v>17</v>
      </c>
      <c r="J67" s="128" t="s">
        <v>90</v>
      </c>
      <c r="K67" s="434" t="s">
        <v>5405</v>
      </c>
      <c r="M67" s="128" t="s">
        <v>1764</v>
      </c>
      <c r="N67" s="730">
        <v>65280</v>
      </c>
      <c r="O67" s="730">
        <v>65280</v>
      </c>
      <c r="P67" s="459">
        <v>65288</v>
      </c>
      <c r="Q67" s="432" t="s">
        <v>51</v>
      </c>
    </row>
    <row r="68" spans="1:17">
      <c r="A68" s="509">
        <f t="shared" si="1"/>
        <v>67</v>
      </c>
      <c r="B68" s="1213" t="s">
        <v>43</v>
      </c>
      <c r="C68" s="1146" t="s">
        <v>44</v>
      </c>
      <c r="D68" s="1146" t="s">
        <v>45</v>
      </c>
      <c r="E68" s="432" t="s">
        <v>5472</v>
      </c>
      <c r="F68" s="434">
        <v>4</v>
      </c>
      <c r="H68" s="432" t="s">
        <v>5432</v>
      </c>
      <c r="I68" s="434">
        <v>18</v>
      </c>
      <c r="J68" s="434" t="s">
        <v>48</v>
      </c>
      <c r="K68" s="434" t="s">
        <v>5405</v>
      </c>
      <c r="M68" s="128" t="s">
        <v>1764</v>
      </c>
      <c r="N68" s="730">
        <v>65280</v>
      </c>
      <c r="O68" s="730">
        <v>65280</v>
      </c>
      <c r="P68" s="459">
        <v>65288</v>
      </c>
      <c r="Q68" s="432" t="s">
        <v>51</v>
      </c>
    </row>
    <row r="69" spans="1:17">
      <c r="A69" s="509">
        <f t="shared" si="1"/>
        <v>68</v>
      </c>
      <c r="B69" s="1213" t="s">
        <v>43</v>
      </c>
      <c r="C69" s="1146" t="s">
        <v>44</v>
      </c>
      <c r="D69" s="1146" t="s">
        <v>45</v>
      </c>
      <c r="E69" s="432" t="s">
        <v>5473</v>
      </c>
      <c r="F69" s="434">
        <v>6</v>
      </c>
      <c r="G69" s="434">
        <v>9851244305</v>
      </c>
      <c r="I69" s="434">
        <v>31</v>
      </c>
      <c r="J69" s="434" t="s">
        <v>48</v>
      </c>
      <c r="K69" s="434" t="s">
        <v>5405</v>
      </c>
      <c r="M69" s="128" t="s">
        <v>1764</v>
      </c>
      <c r="N69" s="730">
        <v>65280</v>
      </c>
      <c r="O69" s="730">
        <v>65280</v>
      </c>
      <c r="P69" s="459">
        <v>65288</v>
      </c>
      <c r="Q69" s="432" t="s">
        <v>51</v>
      </c>
    </row>
    <row r="70" spans="1:17">
      <c r="A70" s="509">
        <f t="shared" si="1"/>
        <v>69</v>
      </c>
      <c r="B70" s="1213" t="s">
        <v>43</v>
      </c>
      <c r="C70" s="1146" t="s">
        <v>44</v>
      </c>
      <c r="D70" s="1146" t="s">
        <v>45</v>
      </c>
      <c r="E70" s="432" t="s">
        <v>1590</v>
      </c>
      <c r="F70" s="434">
        <v>6</v>
      </c>
      <c r="I70" s="434">
        <v>25</v>
      </c>
      <c r="J70" s="128" t="s">
        <v>90</v>
      </c>
      <c r="K70" s="434" t="s">
        <v>5405</v>
      </c>
      <c r="M70" s="128" t="s">
        <v>1764</v>
      </c>
      <c r="N70" s="730">
        <v>65280</v>
      </c>
      <c r="O70" s="730">
        <v>65280</v>
      </c>
      <c r="P70" s="459">
        <v>65288</v>
      </c>
      <c r="Q70" s="432" t="s">
        <v>51</v>
      </c>
    </row>
    <row r="71" spans="1:17">
      <c r="A71" s="509">
        <f t="shared" si="1"/>
        <v>70</v>
      </c>
      <c r="B71" s="1213" t="s">
        <v>43</v>
      </c>
      <c r="C71" s="1146" t="s">
        <v>44</v>
      </c>
      <c r="D71" s="1146" t="s">
        <v>45</v>
      </c>
      <c r="E71" s="432" t="s">
        <v>5474</v>
      </c>
      <c r="F71" s="434">
        <v>4</v>
      </c>
      <c r="H71" s="432" t="s">
        <v>5432</v>
      </c>
      <c r="I71" s="434">
        <v>18</v>
      </c>
      <c r="J71" s="128" t="s">
        <v>90</v>
      </c>
      <c r="K71" s="434" t="s">
        <v>5405</v>
      </c>
      <c r="M71" s="128" t="s">
        <v>1764</v>
      </c>
      <c r="N71" s="730">
        <v>65280</v>
      </c>
      <c r="O71" s="730">
        <v>65280</v>
      </c>
      <c r="P71" s="459">
        <v>65288</v>
      </c>
      <c r="Q71" s="432" t="s">
        <v>51</v>
      </c>
    </row>
    <row r="72" spans="1:17">
      <c r="A72" s="509">
        <f t="shared" si="1"/>
        <v>71</v>
      </c>
      <c r="B72" s="1213" t="s">
        <v>43</v>
      </c>
      <c r="C72" s="1146" t="s">
        <v>44</v>
      </c>
      <c r="D72" s="1146" t="s">
        <v>45</v>
      </c>
      <c r="E72" s="432" t="s">
        <v>5475</v>
      </c>
      <c r="F72" s="434">
        <v>4</v>
      </c>
      <c r="H72" s="432" t="s">
        <v>5430</v>
      </c>
      <c r="I72" s="434">
        <v>59</v>
      </c>
      <c r="J72" s="434" t="s">
        <v>48</v>
      </c>
      <c r="K72" s="434" t="s">
        <v>5405</v>
      </c>
      <c r="M72" s="128" t="s">
        <v>1764</v>
      </c>
      <c r="N72" s="730">
        <v>65280</v>
      </c>
      <c r="O72" s="730">
        <v>65280</v>
      </c>
      <c r="P72" s="459">
        <v>65288</v>
      </c>
      <c r="Q72" s="432" t="s">
        <v>51</v>
      </c>
    </row>
    <row r="73" spans="1:17">
      <c r="A73" s="509">
        <f t="shared" si="1"/>
        <v>72</v>
      </c>
      <c r="B73" s="1213" t="s">
        <v>43</v>
      </c>
      <c r="C73" s="1146" t="s">
        <v>44</v>
      </c>
      <c r="D73" s="1146" t="s">
        <v>45</v>
      </c>
      <c r="E73" s="432" t="s">
        <v>5476</v>
      </c>
      <c r="F73" s="434">
        <v>4</v>
      </c>
      <c r="H73" s="432" t="s">
        <v>5432</v>
      </c>
      <c r="I73" s="434">
        <v>15</v>
      </c>
      <c r="J73" s="434" t="s">
        <v>48</v>
      </c>
      <c r="K73" s="434" t="s">
        <v>5405</v>
      </c>
      <c r="M73" s="128" t="s">
        <v>1764</v>
      </c>
      <c r="N73" s="730">
        <v>65280</v>
      </c>
      <c r="O73" s="730">
        <v>65280</v>
      </c>
      <c r="P73" s="459">
        <v>65288</v>
      </c>
      <c r="Q73" s="432" t="s">
        <v>51</v>
      </c>
    </row>
    <row r="74" spans="1:17">
      <c r="A74" s="509">
        <f t="shared" si="1"/>
        <v>73</v>
      </c>
      <c r="B74" s="1213" t="s">
        <v>43</v>
      </c>
      <c r="C74" s="1146" t="s">
        <v>44</v>
      </c>
      <c r="D74" s="1146" t="s">
        <v>45</v>
      </c>
      <c r="E74" s="432" t="s">
        <v>3624</v>
      </c>
      <c r="F74" s="434">
        <v>4</v>
      </c>
      <c r="H74" s="432" t="s">
        <v>5432</v>
      </c>
      <c r="I74" s="434">
        <v>13</v>
      </c>
      <c r="J74" s="434" t="s">
        <v>48</v>
      </c>
      <c r="K74" s="434" t="s">
        <v>5405</v>
      </c>
      <c r="M74" s="128" t="s">
        <v>1764</v>
      </c>
      <c r="N74" s="730">
        <v>65280</v>
      </c>
      <c r="O74" s="730">
        <v>65280</v>
      </c>
      <c r="P74" s="459">
        <v>65288</v>
      </c>
      <c r="Q74" s="432" t="s">
        <v>51</v>
      </c>
    </row>
    <row r="75" spans="1:17">
      <c r="A75" s="509">
        <f t="shared" si="1"/>
        <v>74</v>
      </c>
      <c r="B75" s="1213" t="s">
        <v>43</v>
      </c>
      <c r="C75" s="1146" t="s">
        <v>44</v>
      </c>
      <c r="D75" s="1146" t="s">
        <v>45</v>
      </c>
      <c r="E75" s="432" t="s">
        <v>5477</v>
      </c>
      <c r="F75" s="434">
        <v>4</v>
      </c>
      <c r="I75" s="434">
        <v>15</v>
      </c>
      <c r="J75" s="128" t="s">
        <v>90</v>
      </c>
      <c r="K75" s="434" t="s">
        <v>5405</v>
      </c>
      <c r="M75" s="128" t="s">
        <v>1764</v>
      </c>
      <c r="N75" s="730">
        <v>65280</v>
      </c>
      <c r="O75" s="730">
        <v>65280</v>
      </c>
      <c r="P75" s="459">
        <v>65288</v>
      </c>
      <c r="Q75" s="432" t="s">
        <v>51</v>
      </c>
    </row>
    <row r="76" spans="1:17">
      <c r="A76" s="509">
        <f t="shared" si="1"/>
        <v>75</v>
      </c>
      <c r="B76" s="1213" t="s">
        <v>43</v>
      </c>
      <c r="C76" s="1146" t="s">
        <v>44</v>
      </c>
      <c r="D76" s="1146" t="s">
        <v>45</v>
      </c>
      <c r="E76" s="432" t="s">
        <v>5478</v>
      </c>
      <c r="F76" s="434">
        <v>5</v>
      </c>
      <c r="I76" s="434">
        <v>16</v>
      </c>
      <c r="J76" s="128" t="s">
        <v>90</v>
      </c>
      <c r="K76" s="434" t="s">
        <v>5405</v>
      </c>
      <c r="M76" s="128" t="s">
        <v>1764</v>
      </c>
      <c r="N76" s="730">
        <v>65280</v>
      </c>
      <c r="O76" s="730">
        <v>65280</v>
      </c>
      <c r="P76" s="459">
        <v>65288</v>
      </c>
      <c r="Q76" s="432" t="s">
        <v>51</v>
      </c>
    </row>
    <row r="77" spans="1:17">
      <c r="A77" s="509">
        <f t="shared" si="1"/>
        <v>76</v>
      </c>
      <c r="B77" s="1213" t="s">
        <v>43</v>
      </c>
      <c r="C77" s="1146" t="s">
        <v>44</v>
      </c>
      <c r="D77" s="1146" t="s">
        <v>45</v>
      </c>
      <c r="E77" s="432" t="s">
        <v>5479</v>
      </c>
      <c r="F77" s="434">
        <v>5</v>
      </c>
      <c r="I77" s="434">
        <v>17</v>
      </c>
      <c r="J77" s="434" t="s">
        <v>48</v>
      </c>
      <c r="K77" s="434" t="s">
        <v>5405</v>
      </c>
      <c r="M77" s="128" t="s">
        <v>1764</v>
      </c>
      <c r="N77" s="730">
        <v>65280</v>
      </c>
      <c r="O77" s="730">
        <v>65280</v>
      </c>
      <c r="P77" s="459">
        <v>65288</v>
      </c>
      <c r="Q77" s="432" t="s">
        <v>51</v>
      </c>
    </row>
    <row r="78" spans="1:17">
      <c r="A78" s="509">
        <f t="shared" si="1"/>
        <v>77</v>
      </c>
      <c r="B78" s="1213" t="s">
        <v>43</v>
      </c>
      <c r="C78" s="1146" t="s">
        <v>44</v>
      </c>
      <c r="D78" s="1146" t="s">
        <v>45</v>
      </c>
      <c r="E78" s="432" t="s">
        <v>5480</v>
      </c>
      <c r="F78" s="434">
        <v>5</v>
      </c>
      <c r="I78" s="434">
        <v>17</v>
      </c>
      <c r="J78" s="434" t="s">
        <v>48</v>
      </c>
      <c r="K78" s="434" t="s">
        <v>5405</v>
      </c>
      <c r="M78" s="128" t="s">
        <v>1764</v>
      </c>
      <c r="N78" s="730">
        <v>65280</v>
      </c>
      <c r="O78" s="730">
        <v>65280</v>
      </c>
      <c r="P78" s="459">
        <v>65288</v>
      </c>
      <c r="Q78" s="432" t="s">
        <v>51</v>
      </c>
    </row>
    <row r="79" spans="1:17">
      <c r="A79" s="509">
        <f t="shared" si="1"/>
        <v>78</v>
      </c>
      <c r="B79" s="1213" t="s">
        <v>43</v>
      </c>
      <c r="C79" s="1146" t="s">
        <v>44</v>
      </c>
      <c r="D79" s="1146" t="s">
        <v>45</v>
      </c>
      <c r="E79" s="432" t="s">
        <v>103</v>
      </c>
      <c r="F79" s="434">
        <v>5</v>
      </c>
      <c r="I79" s="434">
        <v>15</v>
      </c>
      <c r="J79" s="434" t="s">
        <v>48</v>
      </c>
      <c r="K79" s="434" t="s">
        <v>5405</v>
      </c>
      <c r="M79" s="128" t="s">
        <v>1764</v>
      </c>
      <c r="N79" s="730">
        <v>65280</v>
      </c>
      <c r="O79" s="730">
        <v>65280</v>
      </c>
      <c r="P79" s="459">
        <v>65288</v>
      </c>
      <c r="Q79" s="432" t="s">
        <v>51</v>
      </c>
    </row>
    <row r="80" spans="1:17">
      <c r="A80" s="509">
        <f t="shared" si="1"/>
        <v>79</v>
      </c>
      <c r="B80" s="1213" t="s">
        <v>43</v>
      </c>
      <c r="C80" s="1146" t="s">
        <v>44</v>
      </c>
      <c r="D80" s="1146" t="s">
        <v>45</v>
      </c>
      <c r="E80" s="432" t="s">
        <v>5481</v>
      </c>
      <c r="F80" s="434">
        <v>9</v>
      </c>
      <c r="I80" s="434">
        <v>33</v>
      </c>
      <c r="J80" s="128" t="s">
        <v>90</v>
      </c>
      <c r="K80" s="434" t="s">
        <v>5405</v>
      </c>
      <c r="M80" s="128" t="s">
        <v>1764</v>
      </c>
      <c r="N80" s="730">
        <v>65280</v>
      </c>
      <c r="O80" s="730">
        <v>65280</v>
      </c>
      <c r="P80" s="459">
        <v>65288</v>
      </c>
      <c r="Q80" s="432" t="s">
        <v>51</v>
      </c>
    </row>
    <row r="81" spans="1:17">
      <c r="A81" s="509">
        <f t="shared" si="1"/>
        <v>80</v>
      </c>
      <c r="B81" s="1213" t="s">
        <v>43</v>
      </c>
      <c r="C81" s="1146" t="s">
        <v>44</v>
      </c>
      <c r="D81" s="1146" t="s">
        <v>45</v>
      </c>
      <c r="E81" s="432" t="s">
        <v>5482</v>
      </c>
      <c r="F81" s="434">
        <v>4</v>
      </c>
      <c r="I81" s="434">
        <v>16</v>
      </c>
      <c r="J81" s="128" t="s">
        <v>90</v>
      </c>
      <c r="K81" s="434" t="s">
        <v>5405</v>
      </c>
      <c r="M81" s="128" t="s">
        <v>1764</v>
      </c>
      <c r="N81" s="730">
        <v>65280</v>
      </c>
      <c r="O81" s="730">
        <v>65280</v>
      </c>
      <c r="P81" s="459">
        <v>65288</v>
      </c>
      <c r="Q81" s="432" t="s">
        <v>51</v>
      </c>
    </row>
    <row r="82" spans="1:17">
      <c r="A82" s="509">
        <f t="shared" si="1"/>
        <v>81</v>
      </c>
      <c r="B82" s="1213" t="s">
        <v>43</v>
      </c>
      <c r="C82" s="1146" t="s">
        <v>44</v>
      </c>
      <c r="D82" s="1146" t="s">
        <v>45</v>
      </c>
      <c r="E82" s="432" t="s">
        <v>5484</v>
      </c>
      <c r="F82" s="434">
        <v>5</v>
      </c>
      <c r="I82" s="434">
        <v>16</v>
      </c>
      <c r="J82" s="434" t="s">
        <v>48</v>
      </c>
      <c r="K82" s="434" t="s">
        <v>5405</v>
      </c>
      <c r="M82" s="128" t="s">
        <v>1764</v>
      </c>
      <c r="N82" s="730">
        <v>65280</v>
      </c>
      <c r="O82" s="730">
        <v>65280</v>
      </c>
      <c r="P82" s="459">
        <v>65288</v>
      </c>
      <c r="Q82" s="432" t="s">
        <v>51</v>
      </c>
    </row>
    <row r="83" spans="1:17">
      <c r="A83" s="509">
        <f t="shared" si="1"/>
        <v>82</v>
      </c>
      <c r="B83" s="1213" t="s">
        <v>43</v>
      </c>
      <c r="C83" s="1146" t="s">
        <v>44</v>
      </c>
      <c r="D83" s="1146" t="s">
        <v>45</v>
      </c>
      <c r="E83" s="432" t="s">
        <v>5485</v>
      </c>
      <c r="F83" s="434">
        <v>5</v>
      </c>
      <c r="I83" s="434">
        <v>13</v>
      </c>
      <c r="J83" s="128" t="s">
        <v>90</v>
      </c>
      <c r="K83" s="434" t="s">
        <v>5405</v>
      </c>
      <c r="M83" s="128" t="s">
        <v>1764</v>
      </c>
      <c r="N83" s="730">
        <v>65280</v>
      </c>
      <c r="O83" s="730">
        <v>65280</v>
      </c>
      <c r="P83" s="459">
        <v>65288</v>
      </c>
      <c r="Q83" s="432" t="s">
        <v>51</v>
      </c>
    </row>
    <row r="84" spans="1:17">
      <c r="A84" s="509">
        <f t="shared" si="1"/>
        <v>83</v>
      </c>
      <c r="B84" s="1213" t="s">
        <v>43</v>
      </c>
      <c r="C84" s="1146" t="s">
        <v>44</v>
      </c>
      <c r="D84" s="1146" t="s">
        <v>45</v>
      </c>
      <c r="E84" s="432" t="s">
        <v>5486</v>
      </c>
      <c r="F84" s="434">
        <v>5</v>
      </c>
      <c r="I84" s="434">
        <v>13</v>
      </c>
      <c r="J84" s="128" t="s">
        <v>90</v>
      </c>
      <c r="K84" s="434" t="s">
        <v>5405</v>
      </c>
      <c r="M84" s="128" t="s">
        <v>1764</v>
      </c>
      <c r="N84" s="730">
        <v>65280</v>
      </c>
      <c r="O84" s="730">
        <v>65280</v>
      </c>
      <c r="P84" s="459">
        <v>65288</v>
      </c>
      <c r="Q84" s="432" t="s">
        <v>51</v>
      </c>
    </row>
    <row r="85" spans="1:17">
      <c r="A85" s="509">
        <f t="shared" si="1"/>
        <v>84</v>
      </c>
      <c r="B85" s="1213" t="s">
        <v>43</v>
      </c>
      <c r="C85" s="1146" t="s">
        <v>44</v>
      </c>
      <c r="D85" s="1146" t="s">
        <v>45</v>
      </c>
      <c r="E85" s="432" t="s">
        <v>5487</v>
      </c>
      <c r="F85" s="434">
        <v>5</v>
      </c>
      <c r="I85" s="434">
        <v>18</v>
      </c>
      <c r="J85" s="434" t="s">
        <v>48</v>
      </c>
      <c r="K85" s="434" t="s">
        <v>5405</v>
      </c>
      <c r="M85" s="128" t="s">
        <v>1764</v>
      </c>
      <c r="N85" s="730">
        <v>65280</v>
      </c>
      <c r="O85" s="730">
        <v>65280</v>
      </c>
      <c r="P85" s="459">
        <v>65288</v>
      </c>
      <c r="Q85" s="432" t="s">
        <v>51</v>
      </c>
    </row>
    <row r="86" spans="1:17">
      <c r="A86" s="509">
        <f t="shared" si="1"/>
        <v>85</v>
      </c>
      <c r="B86" s="1213" t="s">
        <v>43</v>
      </c>
      <c r="C86" s="1146" t="s">
        <v>44</v>
      </c>
      <c r="D86" s="1146" t="s">
        <v>45</v>
      </c>
      <c r="E86" s="432" t="s">
        <v>5488</v>
      </c>
      <c r="F86" s="434">
        <v>7</v>
      </c>
      <c r="G86" s="434">
        <v>9841621786</v>
      </c>
      <c r="I86" s="434">
        <v>26</v>
      </c>
      <c r="J86" s="128" t="s">
        <v>90</v>
      </c>
      <c r="K86" s="434" t="s">
        <v>5405</v>
      </c>
      <c r="M86" s="128" t="s">
        <v>1764</v>
      </c>
      <c r="N86" s="730">
        <v>65280</v>
      </c>
      <c r="O86" s="730">
        <v>65280</v>
      </c>
      <c r="P86" s="459">
        <v>65288</v>
      </c>
      <c r="Q86" s="432" t="s">
        <v>51</v>
      </c>
    </row>
    <row r="87" spans="1:17">
      <c r="A87" s="509">
        <f t="shared" si="1"/>
        <v>86</v>
      </c>
      <c r="B87" s="1213" t="s">
        <v>43</v>
      </c>
      <c r="C87" s="1146" t="s">
        <v>44</v>
      </c>
      <c r="D87" s="1146" t="s">
        <v>45</v>
      </c>
      <c r="E87" s="432" t="s">
        <v>5489</v>
      </c>
      <c r="F87" s="434">
        <v>6</v>
      </c>
      <c r="G87" s="434">
        <v>9847823025</v>
      </c>
      <c r="I87" s="434">
        <v>39</v>
      </c>
      <c r="J87" s="128" t="s">
        <v>90</v>
      </c>
      <c r="K87" s="434" t="s">
        <v>5405</v>
      </c>
      <c r="M87" s="434" t="s">
        <v>5407</v>
      </c>
      <c r="N87" s="730">
        <v>65280</v>
      </c>
      <c r="O87" s="730">
        <v>65280</v>
      </c>
      <c r="P87" s="459">
        <v>65288</v>
      </c>
      <c r="Q87" s="432" t="s">
        <v>51</v>
      </c>
    </row>
    <row r="88" spans="1:17">
      <c r="A88" s="509">
        <f t="shared" si="1"/>
        <v>87</v>
      </c>
      <c r="B88" s="1213" t="s">
        <v>43</v>
      </c>
      <c r="C88" s="1146" t="s">
        <v>44</v>
      </c>
      <c r="D88" s="1146" t="s">
        <v>45</v>
      </c>
      <c r="E88" s="432" t="s">
        <v>5490</v>
      </c>
      <c r="F88" s="434">
        <v>6</v>
      </c>
      <c r="G88" s="434">
        <v>9857835859</v>
      </c>
      <c r="I88" s="434">
        <v>60</v>
      </c>
      <c r="J88" s="434" t="s">
        <v>48</v>
      </c>
      <c r="K88" s="434" t="s">
        <v>5405</v>
      </c>
      <c r="M88" s="128" t="s">
        <v>1764</v>
      </c>
      <c r="N88" s="730">
        <v>65281</v>
      </c>
      <c r="O88" s="730">
        <v>65281</v>
      </c>
      <c r="P88" s="459">
        <v>65291</v>
      </c>
      <c r="Q88" s="432" t="s">
        <v>51</v>
      </c>
    </row>
    <row r="89" spans="1:17">
      <c r="A89" s="509">
        <f t="shared" si="1"/>
        <v>88</v>
      </c>
      <c r="B89" s="1213" t="s">
        <v>43</v>
      </c>
      <c r="C89" s="1146" t="s">
        <v>44</v>
      </c>
      <c r="D89" s="1146" t="s">
        <v>45</v>
      </c>
      <c r="E89" s="432" t="s">
        <v>5491</v>
      </c>
      <c r="F89" s="434">
        <v>6</v>
      </c>
      <c r="G89" s="434">
        <v>9847906009</v>
      </c>
      <c r="I89" s="434">
        <v>18</v>
      </c>
      <c r="J89" s="434" t="s">
        <v>48</v>
      </c>
      <c r="K89" s="434" t="s">
        <v>5405</v>
      </c>
      <c r="M89" s="128" t="s">
        <v>1764</v>
      </c>
      <c r="N89" s="730">
        <v>65281</v>
      </c>
      <c r="O89" s="730">
        <v>65281</v>
      </c>
      <c r="P89" s="459">
        <v>65291</v>
      </c>
      <c r="Q89" s="432" t="s">
        <v>51</v>
      </c>
    </row>
    <row r="90" spans="1:17">
      <c r="A90" s="509">
        <f t="shared" si="1"/>
        <v>89</v>
      </c>
      <c r="B90" s="1213" t="s">
        <v>43</v>
      </c>
      <c r="C90" s="1146" t="s">
        <v>44</v>
      </c>
      <c r="D90" s="1146" t="s">
        <v>45</v>
      </c>
      <c r="E90" s="432" t="s">
        <v>5492</v>
      </c>
      <c r="F90" s="434">
        <v>6</v>
      </c>
      <c r="G90" s="434">
        <v>9847852666</v>
      </c>
      <c r="I90" s="434">
        <v>25</v>
      </c>
      <c r="J90" s="434" t="s">
        <v>48</v>
      </c>
      <c r="K90" s="434" t="s">
        <v>5405</v>
      </c>
      <c r="M90" s="128" t="s">
        <v>1764</v>
      </c>
      <c r="N90" s="730">
        <v>65281</v>
      </c>
      <c r="O90" s="730">
        <v>65281</v>
      </c>
      <c r="P90" s="459">
        <v>65291</v>
      </c>
      <c r="Q90" s="432" t="s">
        <v>51</v>
      </c>
    </row>
    <row r="91" spans="1:17">
      <c r="A91" s="509">
        <f t="shared" si="1"/>
        <v>90</v>
      </c>
      <c r="B91" s="1213" t="s">
        <v>43</v>
      </c>
      <c r="C91" s="1146" t="s">
        <v>44</v>
      </c>
      <c r="D91" s="1146" t="s">
        <v>45</v>
      </c>
      <c r="E91" s="432" t="s">
        <v>5493</v>
      </c>
      <c r="F91" s="434">
        <v>3</v>
      </c>
      <c r="G91" s="434">
        <v>9809725368</v>
      </c>
      <c r="I91" s="434">
        <v>24</v>
      </c>
      <c r="J91" s="434" t="s">
        <v>48</v>
      </c>
      <c r="K91" s="434" t="s">
        <v>5405</v>
      </c>
      <c r="M91" s="128" t="s">
        <v>1764</v>
      </c>
      <c r="N91" s="730">
        <v>65281</v>
      </c>
      <c r="O91" s="730">
        <v>65281</v>
      </c>
      <c r="P91" s="459">
        <v>65291</v>
      </c>
      <c r="Q91" s="432" t="s">
        <v>51</v>
      </c>
    </row>
    <row r="92" spans="1:17">
      <c r="A92" s="509">
        <f t="shared" si="1"/>
        <v>91</v>
      </c>
      <c r="B92" s="1213" t="s">
        <v>43</v>
      </c>
      <c r="C92" s="1146" t="s">
        <v>44</v>
      </c>
      <c r="D92" s="1146" t="s">
        <v>45</v>
      </c>
      <c r="E92" s="432" t="s">
        <v>5494</v>
      </c>
      <c r="F92" s="434">
        <v>2</v>
      </c>
      <c r="G92" s="434">
        <v>9847824716</v>
      </c>
      <c r="I92" s="434">
        <v>43</v>
      </c>
      <c r="J92" s="434" t="s">
        <v>48</v>
      </c>
      <c r="K92" s="434" t="s">
        <v>5405</v>
      </c>
      <c r="M92" s="128" t="s">
        <v>1764</v>
      </c>
      <c r="N92" s="730">
        <v>65281</v>
      </c>
      <c r="O92" s="730">
        <v>65281</v>
      </c>
      <c r="P92" s="459">
        <v>65291</v>
      </c>
      <c r="Q92" s="432" t="s">
        <v>51</v>
      </c>
    </row>
    <row r="93" spans="1:17">
      <c r="A93" s="509">
        <f t="shared" si="1"/>
        <v>92</v>
      </c>
      <c r="B93" s="1213" t="s">
        <v>43</v>
      </c>
      <c r="C93" s="1146" t="s">
        <v>44</v>
      </c>
      <c r="D93" s="1146" t="s">
        <v>45</v>
      </c>
      <c r="E93" s="432" t="s">
        <v>5495</v>
      </c>
      <c r="F93" s="434">
        <v>2</v>
      </c>
      <c r="G93" s="434">
        <v>9847099322</v>
      </c>
      <c r="I93" s="434">
        <v>35</v>
      </c>
      <c r="J93" s="434" t="s">
        <v>48</v>
      </c>
      <c r="K93" s="434" t="s">
        <v>5405</v>
      </c>
      <c r="M93" s="128" t="s">
        <v>1764</v>
      </c>
      <c r="N93" s="730">
        <v>65281</v>
      </c>
      <c r="O93" s="730">
        <v>65281</v>
      </c>
      <c r="P93" s="459">
        <v>65291</v>
      </c>
      <c r="Q93" s="432" t="s">
        <v>51</v>
      </c>
    </row>
    <row r="94" spans="1:17">
      <c r="A94" s="509">
        <f t="shared" si="1"/>
        <v>93</v>
      </c>
      <c r="B94" s="1213" t="s">
        <v>43</v>
      </c>
      <c r="C94" s="1146" t="s">
        <v>44</v>
      </c>
      <c r="D94" s="1146" t="s">
        <v>45</v>
      </c>
      <c r="E94" s="432" t="s">
        <v>5496</v>
      </c>
      <c r="F94" s="434">
        <v>7</v>
      </c>
      <c r="G94" s="434">
        <v>9857820317</v>
      </c>
      <c r="I94" s="434">
        <v>34</v>
      </c>
      <c r="J94" s="434" t="s">
        <v>48</v>
      </c>
      <c r="K94" s="434" t="s">
        <v>5405</v>
      </c>
      <c r="M94" s="128" t="s">
        <v>1764</v>
      </c>
      <c r="N94" s="730">
        <v>65281</v>
      </c>
      <c r="O94" s="730">
        <v>65281</v>
      </c>
      <c r="P94" s="459">
        <v>65291</v>
      </c>
      <c r="Q94" s="432" t="s">
        <v>51</v>
      </c>
    </row>
    <row r="95" spans="1:17">
      <c r="A95" s="509">
        <f t="shared" si="1"/>
        <v>94</v>
      </c>
      <c r="B95" s="1213" t="s">
        <v>43</v>
      </c>
      <c r="C95" s="1146" t="s">
        <v>44</v>
      </c>
      <c r="D95" s="1146" t="s">
        <v>45</v>
      </c>
      <c r="E95" s="432" t="s">
        <v>5497</v>
      </c>
      <c r="F95" s="434">
        <v>19</v>
      </c>
      <c r="G95" s="434">
        <v>9868628425</v>
      </c>
      <c r="I95" s="434">
        <v>42</v>
      </c>
      <c r="J95" s="434" t="s">
        <v>48</v>
      </c>
      <c r="K95" s="434" t="s">
        <v>5405</v>
      </c>
      <c r="M95" s="128" t="s">
        <v>1764</v>
      </c>
      <c r="N95" s="730">
        <v>65281</v>
      </c>
      <c r="O95" s="730">
        <v>65281</v>
      </c>
      <c r="P95" s="459">
        <v>65291</v>
      </c>
      <c r="Q95" s="432" t="s">
        <v>51</v>
      </c>
    </row>
    <row r="96" spans="1:17">
      <c r="A96" s="509">
        <f t="shared" si="1"/>
        <v>95</v>
      </c>
      <c r="B96" s="1213" t="s">
        <v>43</v>
      </c>
      <c r="C96" s="1146" t="s">
        <v>44</v>
      </c>
      <c r="D96" s="1146" t="s">
        <v>45</v>
      </c>
      <c r="E96" s="432" t="s">
        <v>5498</v>
      </c>
      <c r="F96" s="434">
        <v>19</v>
      </c>
      <c r="G96" s="434">
        <v>9869597525</v>
      </c>
      <c r="I96" s="434">
        <v>42</v>
      </c>
      <c r="J96" s="128" t="s">
        <v>90</v>
      </c>
      <c r="K96" s="434" t="s">
        <v>5405</v>
      </c>
      <c r="M96" s="128" t="s">
        <v>1764</v>
      </c>
      <c r="N96" s="730">
        <v>65281</v>
      </c>
      <c r="O96" s="730">
        <v>65281</v>
      </c>
      <c r="P96" s="459">
        <v>65291</v>
      </c>
      <c r="Q96" s="432" t="s">
        <v>51</v>
      </c>
    </row>
    <row r="97" spans="1:17">
      <c r="A97" s="509">
        <f t="shared" si="1"/>
        <v>96</v>
      </c>
      <c r="B97" s="1213" t="s">
        <v>43</v>
      </c>
      <c r="C97" s="1146" t="s">
        <v>44</v>
      </c>
      <c r="D97" s="1146" t="s">
        <v>45</v>
      </c>
      <c r="E97" s="432" t="s">
        <v>5499</v>
      </c>
      <c r="F97" s="434">
        <v>7</v>
      </c>
      <c r="G97" s="434">
        <v>9847945723</v>
      </c>
      <c r="I97" s="434">
        <v>32</v>
      </c>
      <c r="J97" s="128" t="s">
        <v>90</v>
      </c>
      <c r="K97" s="434" t="s">
        <v>5405</v>
      </c>
      <c r="M97" s="128" t="s">
        <v>1764</v>
      </c>
      <c r="N97" s="730">
        <v>65281</v>
      </c>
      <c r="O97" s="730">
        <v>65281</v>
      </c>
      <c r="P97" s="459">
        <v>65291</v>
      </c>
      <c r="Q97" s="432" t="s">
        <v>51</v>
      </c>
    </row>
    <row r="98" spans="1:17">
      <c r="A98" s="509">
        <f t="shared" si="1"/>
        <v>97</v>
      </c>
      <c r="B98" s="1213" t="s">
        <v>43</v>
      </c>
      <c r="C98" s="1146" t="s">
        <v>44</v>
      </c>
      <c r="D98" s="1146" t="s">
        <v>45</v>
      </c>
      <c r="E98" s="432" t="s">
        <v>5500</v>
      </c>
      <c r="F98" s="434">
        <v>5</v>
      </c>
      <c r="G98" s="434">
        <v>9847943240</v>
      </c>
      <c r="I98" s="434">
        <v>28</v>
      </c>
      <c r="J98" s="128" t="s">
        <v>90</v>
      </c>
      <c r="K98" s="434" t="s">
        <v>5405</v>
      </c>
      <c r="M98" s="128" t="s">
        <v>1764</v>
      </c>
      <c r="N98" s="730">
        <v>65281</v>
      </c>
      <c r="O98" s="730">
        <v>65281</v>
      </c>
      <c r="P98" s="459">
        <v>65291</v>
      </c>
      <c r="Q98" s="432" t="s">
        <v>51</v>
      </c>
    </row>
    <row r="99" spans="1:17">
      <c r="A99" s="509">
        <f t="shared" si="1"/>
        <v>98</v>
      </c>
      <c r="B99" s="1213" t="s">
        <v>43</v>
      </c>
      <c r="C99" s="1146" t="s">
        <v>44</v>
      </c>
      <c r="D99" s="1146" t="s">
        <v>45</v>
      </c>
      <c r="E99" s="432" t="s">
        <v>5501</v>
      </c>
      <c r="F99" s="434">
        <v>7</v>
      </c>
      <c r="G99" s="434">
        <v>9843065980</v>
      </c>
      <c r="I99" s="434">
        <v>40</v>
      </c>
      <c r="J99" s="128" t="s">
        <v>90</v>
      </c>
      <c r="K99" s="434" t="s">
        <v>5405</v>
      </c>
      <c r="M99" s="434" t="s">
        <v>5407</v>
      </c>
      <c r="N99" s="730">
        <v>65281</v>
      </c>
      <c r="O99" s="730">
        <v>65281</v>
      </c>
      <c r="P99" s="459">
        <v>65291</v>
      </c>
      <c r="Q99" s="432" t="s">
        <v>51</v>
      </c>
    </row>
    <row r="100" spans="1:17">
      <c r="A100" s="509">
        <f t="shared" si="1"/>
        <v>99</v>
      </c>
      <c r="B100" s="1213" t="s">
        <v>43</v>
      </c>
      <c r="C100" s="1146" t="s">
        <v>44</v>
      </c>
      <c r="D100" s="1146" t="s">
        <v>45</v>
      </c>
      <c r="E100" s="432" t="s">
        <v>5502</v>
      </c>
      <c r="F100" s="434">
        <v>7</v>
      </c>
      <c r="G100" s="434">
        <v>9857824780</v>
      </c>
      <c r="I100" s="434">
        <v>36</v>
      </c>
      <c r="J100" s="434" t="s">
        <v>48</v>
      </c>
      <c r="K100" s="434" t="s">
        <v>5405</v>
      </c>
      <c r="M100" s="434" t="s">
        <v>5407</v>
      </c>
      <c r="N100" s="730">
        <v>65281</v>
      </c>
      <c r="O100" s="730">
        <v>65281</v>
      </c>
      <c r="P100" s="459">
        <v>65291</v>
      </c>
      <c r="Q100" s="432" t="s">
        <v>51</v>
      </c>
    </row>
    <row r="101" spans="1:17">
      <c r="A101" s="509">
        <f t="shared" si="1"/>
        <v>100</v>
      </c>
      <c r="B101" s="1213" t="s">
        <v>43</v>
      </c>
      <c r="C101" s="1146" t="s">
        <v>44</v>
      </c>
      <c r="D101" s="1146" t="s">
        <v>45</v>
      </c>
      <c r="E101" s="432" t="s">
        <v>5503</v>
      </c>
      <c r="F101" s="434">
        <v>7</v>
      </c>
      <c r="G101" s="434">
        <v>9857831958</v>
      </c>
      <c r="I101" s="434">
        <v>37</v>
      </c>
      <c r="J101" s="434" t="s">
        <v>48</v>
      </c>
      <c r="K101" s="434" t="s">
        <v>5405</v>
      </c>
      <c r="M101" s="128" t="s">
        <v>1764</v>
      </c>
      <c r="N101" s="730">
        <v>65281</v>
      </c>
      <c r="O101" s="730">
        <v>65281</v>
      </c>
      <c r="P101" s="459">
        <v>65291</v>
      </c>
      <c r="Q101" s="432" t="s">
        <v>51</v>
      </c>
    </row>
    <row r="102" spans="1:17">
      <c r="A102" s="509">
        <f t="shared" si="1"/>
        <v>101</v>
      </c>
      <c r="B102" s="1213" t="s">
        <v>43</v>
      </c>
      <c r="C102" s="1146" t="s">
        <v>44</v>
      </c>
      <c r="D102" s="1146" t="s">
        <v>45</v>
      </c>
      <c r="E102" s="432" t="s">
        <v>5504</v>
      </c>
      <c r="F102" s="434">
        <v>6</v>
      </c>
      <c r="G102" s="434">
        <v>9847830619</v>
      </c>
      <c r="I102" s="434">
        <v>64</v>
      </c>
      <c r="J102" s="128" t="s">
        <v>90</v>
      </c>
      <c r="K102" s="434" t="s">
        <v>5405</v>
      </c>
      <c r="M102" s="128" t="s">
        <v>1764</v>
      </c>
      <c r="N102" s="730">
        <v>65281</v>
      </c>
      <c r="O102" s="730">
        <v>65281</v>
      </c>
      <c r="P102" s="459">
        <v>65291</v>
      </c>
      <c r="Q102" s="432" t="s">
        <v>51</v>
      </c>
    </row>
    <row r="103" spans="1:17">
      <c r="A103" s="509">
        <f t="shared" si="1"/>
        <v>102</v>
      </c>
      <c r="B103" s="1213" t="s">
        <v>43</v>
      </c>
      <c r="C103" s="1146" t="s">
        <v>44</v>
      </c>
      <c r="D103" s="1146" t="s">
        <v>45</v>
      </c>
      <c r="E103" s="432" t="s">
        <v>5505</v>
      </c>
      <c r="F103" s="434">
        <v>8</v>
      </c>
      <c r="G103" s="434">
        <v>9829567917</v>
      </c>
      <c r="I103" s="434">
        <v>18</v>
      </c>
      <c r="J103" s="434" t="s">
        <v>48</v>
      </c>
      <c r="K103" s="434" t="s">
        <v>5405</v>
      </c>
      <c r="M103" s="128" t="s">
        <v>1764</v>
      </c>
      <c r="N103" s="730">
        <v>65281</v>
      </c>
      <c r="O103" s="730">
        <v>65281</v>
      </c>
      <c r="P103" s="459">
        <v>65291</v>
      </c>
      <c r="Q103" s="432" t="s">
        <v>51</v>
      </c>
    </row>
    <row r="104" spans="1:17">
      <c r="A104" s="509">
        <f t="shared" si="1"/>
        <v>103</v>
      </c>
      <c r="B104" s="1213" t="s">
        <v>43</v>
      </c>
      <c r="C104" s="1146" t="s">
        <v>44</v>
      </c>
      <c r="D104" s="1146" t="s">
        <v>45</v>
      </c>
      <c r="E104" s="432" t="s">
        <v>5506</v>
      </c>
      <c r="F104" s="434">
        <v>8</v>
      </c>
      <c r="G104" s="434">
        <v>9809891113</v>
      </c>
      <c r="I104" s="434">
        <v>18</v>
      </c>
      <c r="J104" s="434" t="s">
        <v>48</v>
      </c>
      <c r="K104" s="434" t="s">
        <v>5405</v>
      </c>
      <c r="M104" s="128" t="s">
        <v>1764</v>
      </c>
      <c r="N104" s="730">
        <v>65281</v>
      </c>
      <c r="O104" s="730">
        <v>65281</v>
      </c>
      <c r="P104" s="459">
        <v>65291</v>
      </c>
      <c r="Q104" s="432" t="s">
        <v>51</v>
      </c>
    </row>
    <row r="105" spans="1:17">
      <c r="A105" s="509">
        <f t="shared" si="1"/>
        <v>104</v>
      </c>
      <c r="B105" s="1213" t="s">
        <v>43</v>
      </c>
      <c r="C105" s="1146" t="s">
        <v>44</v>
      </c>
      <c r="D105" s="1146" t="s">
        <v>45</v>
      </c>
      <c r="E105" s="432" t="s">
        <v>5507</v>
      </c>
      <c r="F105" s="434">
        <v>16</v>
      </c>
      <c r="G105" s="434">
        <v>98108454887</v>
      </c>
      <c r="I105" s="434">
        <v>17</v>
      </c>
      <c r="J105" s="434" t="s">
        <v>48</v>
      </c>
      <c r="K105" s="434" t="s">
        <v>5405</v>
      </c>
      <c r="M105" s="128" t="s">
        <v>1764</v>
      </c>
      <c r="N105" s="730">
        <v>65281</v>
      </c>
      <c r="O105" s="730">
        <v>65281</v>
      </c>
      <c r="P105" s="459">
        <v>65291</v>
      </c>
      <c r="Q105" s="432" t="s">
        <v>51</v>
      </c>
    </row>
    <row r="106" spans="1:17">
      <c r="A106" s="509">
        <f t="shared" si="1"/>
        <v>105</v>
      </c>
      <c r="B106" s="1213" t="s">
        <v>43</v>
      </c>
      <c r="C106" s="1146" t="s">
        <v>44</v>
      </c>
      <c r="D106" s="1146" t="s">
        <v>45</v>
      </c>
      <c r="E106" s="432" t="s">
        <v>5508</v>
      </c>
      <c r="F106" s="434">
        <v>7</v>
      </c>
      <c r="G106" s="434">
        <v>9847833853</v>
      </c>
      <c r="I106" s="434">
        <v>57</v>
      </c>
      <c r="J106" s="434" t="s">
        <v>48</v>
      </c>
      <c r="K106" s="434" t="s">
        <v>5405</v>
      </c>
      <c r="M106" s="128" t="s">
        <v>1764</v>
      </c>
      <c r="N106" s="730">
        <v>65281</v>
      </c>
      <c r="O106" s="730">
        <v>65281</v>
      </c>
      <c r="P106" s="459">
        <v>65291</v>
      </c>
      <c r="Q106" s="432" t="s">
        <v>51</v>
      </c>
    </row>
    <row r="107" spans="1:17">
      <c r="A107" s="509">
        <f t="shared" si="1"/>
        <v>106</v>
      </c>
      <c r="B107" s="1213" t="s">
        <v>43</v>
      </c>
      <c r="C107" s="1146" t="s">
        <v>44</v>
      </c>
      <c r="D107" s="1146" t="s">
        <v>45</v>
      </c>
      <c r="E107" s="432" t="s">
        <v>5509</v>
      </c>
      <c r="F107" s="434">
        <v>10</v>
      </c>
      <c r="G107" s="434">
        <v>9857822659</v>
      </c>
      <c r="I107" s="434">
        <v>35</v>
      </c>
      <c r="J107" s="434" t="s">
        <v>48</v>
      </c>
      <c r="K107" s="434" t="s">
        <v>5405</v>
      </c>
      <c r="M107" s="128" t="s">
        <v>1764</v>
      </c>
      <c r="N107" s="730">
        <v>65281</v>
      </c>
      <c r="O107" s="730">
        <v>65281</v>
      </c>
      <c r="P107" s="459">
        <v>65291</v>
      </c>
      <c r="Q107" s="432" t="s">
        <v>51</v>
      </c>
    </row>
    <row r="108" spans="1:17">
      <c r="A108" s="509">
        <f t="shared" si="1"/>
        <v>107</v>
      </c>
      <c r="B108" s="1213" t="s">
        <v>43</v>
      </c>
      <c r="C108" s="1146" t="s">
        <v>44</v>
      </c>
      <c r="D108" s="1146" t="s">
        <v>45</v>
      </c>
      <c r="E108" s="432" t="s">
        <v>5510</v>
      </c>
      <c r="F108" s="434">
        <v>12</v>
      </c>
      <c r="G108" s="434">
        <v>9844924525</v>
      </c>
      <c r="I108" s="434">
        <v>78</v>
      </c>
      <c r="J108" s="434" t="s">
        <v>48</v>
      </c>
      <c r="K108" s="434" t="s">
        <v>5405</v>
      </c>
      <c r="M108" s="128" t="s">
        <v>1764</v>
      </c>
      <c r="N108" s="730">
        <v>65281</v>
      </c>
      <c r="O108" s="730">
        <v>65281</v>
      </c>
      <c r="P108" s="459">
        <v>65291</v>
      </c>
      <c r="Q108" s="432" t="s">
        <v>51</v>
      </c>
    </row>
    <row r="109" spans="1:17">
      <c r="A109" s="509">
        <f t="shared" si="1"/>
        <v>108</v>
      </c>
      <c r="B109" s="1213" t="s">
        <v>43</v>
      </c>
      <c r="C109" s="1146" t="s">
        <v>44</v>
      </c>
      <c r="D109" s="1146" t="s">
        <v>45</v>
      </c>
      <c r="E109" s="432" t="s">
        <v>5511</v>
      </c>
      <c r="F109" s="434">
        <v>6</v>
      </c>
      <c r="G109" s="434">
        <v>9857031929</v>
      </c>
      <c r="I109" s="434">
        <v>34</v>
      </c>
      <c r="J109" s="434" t="s">
        <v>48</v>
      </c>
      <c r="K109" s="434" t="s">
        <v>5405</v>
      </c>
      <c r="M109" s="128" t="s">
        <v>1764</v>
      </c>
      <c r="N109" s="730">
        <v>65281</v>
      </c>
      <c r="O109" s="730">
        <v>65281</v>
      </c>
      <c r="P109" s="459">
        <v>65291</v>
      </c>
      <c r="Q109" s="432" t="s">
        <v>51</v>
      </c>
    </row>
    <row r="110" spans="1:17">
      <c r="A110" s="509">
        <f t="shared" si="1"/>
        <v>109</v>
      </c>
      <c r="B110" s="1213" t="s">
        <v>43</v>
      </c>
      <c r="C110" s="1146" t="s">
        <v>44</v>
      </c>
      <c r="D110" s="1146" t="s">
        <v>45</v>
      </c>
      <c r="E110" s="432" t="s">
        <v>5512</v>
      </c>
      <c r="F110" s="434">
        <v>6</v>
      </c>
      <c r="G110" s="434">
        <v>9857824751</v>
      </c>
      <c r="I110" s="434">
        <v>51</v>
      </c>
      <c r="J110" s="128" t="s">
        <v>90</v>
      </c>
      <c r="K110" s="434" t="s">
        <v>5405</v>
      </c>
      <c r="M110" s="128" t="s">
        <v>1764</v>
      </c>
      <c r="N110" s="730">
        <v>65281</v>
      </c>
      <c r="O110" s="730">
        <v>65281</v>
      </c>
      <c r="P110" s="459">
        <v>65291</v>
      </c>
      <c r="Q110" s="432" t="s">
        <v>51</v>
      </c>
    </row>
    <row r="111" spans="1:17">
      <c r="A111" s="509">
        <f t="shared" si="1"/>
        <v>110</v>
      </c>
      <c r="B111" s="1213" t="s">
        <v>43</v>
      </c>
      <c r="C111" s="1146" t="s">
        <v>44</v>
      </c>
      <c r="D111" s="1146" t="s">
        <v>45</v>
      </c>
      <c r="E111" s="432" t="s">
        <v>5513</v>
      </c>
      <c r="F111" s="434">
        <v>6</v>
      </c>
      <c r="G111" s="434">
        <v>9812869975</v>
      </c>
      <c r="I111" s="434">
        <v>26</v>
      </c>
      <c r="J111" s="128" t="s">
        <v>90</v>
      </c>
      <c r="K111" s="434" t="s">
        <v>5405</v>
      </c>
      <c r="M111" s="128" t="s">
        <v>1764</v>
      </c>
      <c r="N111" s="730">
        <v>65281</v>
      </c>
      <c r="O111" s="730">
        <v>65281</v>
      </c>
      <c r="P111" s="459">
        <v>65291</v>
      </c>
      <c r="Q111" s="432" t="s">
        <v>51</v>
      </c>
    </row>
    <row r="112" spans="1:17">
      <c r="A112" s="509">
        <f t="shared" si="1"/>
        <v>111</v>
      </c>
      <c r="B112" s="1213" t="s">
        <v>43</v>
      </c>
      <c r="C112" s="1146" t="s">
        <v>44</v>
      </c>
      <c r="D112" s="1146" t="s">
        <v>45</v>
      </c>
      <c r="E112" s="432" t="s">
        <v>5514</v>
      </c>
      <c r="F112" s="434">
        <v>4</v>
      </c>
      <c r="G112" s="434">
        <v>9806288361</v>
      </c>
      <c r="I112" s="434">
        <v>36</v>
      </c>
      <c r="J112" s="128" t="s">
        <v>90</v>
      </c>
      <c r="K112" s="434" t="s">
        <v>5405</v>
      </c>
      <c r="M112" s="128" t="s">
        <v>1764</v>
      </c>
      <c r="N112" s="730">
        <v>65281</v>
      </c>
      <c r="O112" s="730">
        <v>65281</v>
      </c>
      <c r="P112" s="459">
        <v>65291</v>
      </c>
      <c r="Q112" s="432" t="s">
        <v>51</v>
      </c>
    </row>
    <row r="113" spans="1:17">
      <c r="A113" s="509">
        <f t="shared" si="1"/>
        <v>112</v>
      </c>
      <c r="B113" s="1213" t="s">
        <v>43</v>
      </c>
      <c r="C113" s="1146" t="s">
        <v>44</v>
      </c>
      <c r="D113" s="1146" t="s">
        <v>45</v>
      </c>
      <c r="E113" s="432" t="s">
        <v>5515</v>
      </c>
      <c r="F113" s="434">
        <v>7</v>
      </c>
      <c r="G113" s="434">
        <v>9847908024</v>
      </c>
      <c r="I113" s="434">
        <v>38</v>
      </c>
      <c r="J113" s="434" t="s">
        <v>48</v>
      </c>
      <c r="K113" s="434" t="s">
        <v>5405</v>
      </c>
      <c r="M113" s="128" t="s">
        <v>1764</v>
      </c>
      <c r="N113" s="730">
        <v>65281</v>
      </c>
      <c r="O113" s="730">
        <v>65281</v>
      </c>
      <c r="P113" s="459">
        <v>65291</v>
      </c>
      <c r="Q113" s="432" t="s">
        <v>51</v>
      </c>
    </row>
    <row r="114" spans="1:17">
      <c r="A114" s="509">
        <f t="shared" si="1"/>
        <v>113</v>
      </c>
      <c r="B114" s="1213" t="s">
        <v>43</v>
      </c>
      <c r="C114" s="1146" t="s">
        <v>44</v>
      </c>
      <c r="D114" s="1146" t="s">
        <v>45</v>
      </c>
      <c r="E114" s="432" t="s">
        <v>5517</v>
      </c>
      <c r="F114" s="434">
        <v>7</v>
      </c>
      <c r="G114" s="434">
        <v>9847908024</v>
      </c>
      <c r="I114" s="434">
        <v>33</v>
      </c>
      <c r="J114" s="128" t="s">
        <v>90</v>
      </c>
      <c r="K114" s="434" t="s">
        <v>5405</v>
      </c>
      <c r="M114" s="128" t="s">
        <v>1764</v>
      </c>
      <c r="N114" s="730">
        <v>65281</v>
      </c>
      <c r="O114" s="730">
        <v>65281</v>
      </c>
      <c r="P114" s="459">
        <v>65291</v>
      </c>
      <c r="Q114" s="432" t="s">
        <v>51</v>
      </c>
    </row>
    <row r="115" spans="1:17">
      <c r="A115" s="509">
        <f t="shared" si="1"/>
        <v>114</v>
      </c>
      <c r="B115" s="1213" t="s">
        <v>43</v>
      </c>
      <c r="C115" s="1146" t="s">
        <v>44</v>
      </c>
      <c r="D115" s="1146" t="s">
        <v>45</v>
      </c>
      <c r="E115" s="432" t="s">
        <v>5516</v>
      </c>
      <c r="F115" s="434">
        <v>9</v>
      </c>
      <c r="G115" s="434">
        <v>9857822340</v>
      </c>
      <c r="I115" s="434">
        <v>40</v>
      </c>
      <c r="J115" s="434" t="s">
        <v>48</v>
      </c>
      <c r="K115" s="434" t="s">
        <v>5405</v>
      </c>
      <c r="M115" s="128" t="s">
        <v>1764</v>
      </c>
      <c r="N115" s="730">
        <v>65281</v>
      </c>
      <c r="O115" s="730">
        <v>65281</v>
      </c>
      <c r="P115" s="459">
        <v>65291</v>
      </c>
      <c r="Q115" s="432" t="s">
        <v>51</v>
      </c>
    </row>
    <row r="116" spans="1:17">
      <c r="A116" s="509">
        <f t="shared" si="1"/>
        <v>115</v>
      </c>
      <c r="B116" s="1213" t="s">
        <v>43</v>
      </c>
      <c r="C116" s="1146" t="s">
        <v>44</v>
      </c>
      <c r="D116" s="1146" t="s">
        <v>45</v>
      </c>
      <c r="E116" s="432" t="s">
        <v>5518</v>
      </c>
      <c r="F116" s="434">
        <v>18</v>
      </c>
      <c r="G116" s="434">
        <v>9845849227</v>
      </c>
      <c r="I116" s="434">
        <v>33</v>
      </c>
      <c r="J116" s="128" t="s">
        <v>90</v>
      </c>
      <c r="K116" s="434" t="s">
        <v>5405</v>
      </c>
      <c r="M116" s="128" t="s">
        <v>1764</v>
      </c>
      <c r="N116" s="730">
        <v>65281</v>
      </c>
      <c r="O116" s="730">
        <v>65281</v>
      </c>
      <c r="P116" s="459">
        <v>65291</v>
      </c>
      <c r="Q116" s="432" t="s">
        <v>51</v>
      </c>
    </row>
    <row r="117" spans="1:17">
      <c r="A117" s="509">
        <f t="shared" si="1"/>
        <v>116</v>
      </c>
      <c r="B117" s="1213" t="s">
        <v>43</v>
      </c>
      <c r="C117" s="1146" t="s">
        <v>44</v>
      </c>
      <c r="D117" s="1146" t="s">
        <v>45</v>
      </c>
      <c r="E117" s="432" t="s">
        <v>5519</v>
      </c>
      <c r="F117" s="434">
        <v>6</v>
      </c>
      <c r="G117" s="434">
        <v>9812801727</v>
      </c>
      <c r="I117" s="434">
        <v>17</v>
      </c>
      <c r="J117" s="434" t="s">
        <v>48</v>
      </c>
      <c r="K117" s="434" t="s">
        <v>5405</v>
      </c>
      <c r="M117" s="128" t="s">
        <v>1764</v>
      </c>
      <c r="N117" s="730">
        <v>65281</v>
      </c>
      <c r="O117" s="730">
        <v>65281</v>
      </c>
      <c r="P117" s="459">
        <v>65291</v>
      </c>
      <c r="Q117" s="432" t="s">
        <v>51</v>
      </c>
    </row>
    <row r="118" spans="1:17">
      <c r="A118" s="509">
        <f t="shared" si="1"/>
        <v>117</v>
      </c>
      <c r="B118" s="1213" t="s">
        <v>43</v>
      </c>
      <c r="C118" s="1146" t="s">
        <v>44</v>
      </c>
      <c r="D118" s="1146" t="s">
        <v>45</v>
      </c>
      <c r="E118" s="432" t="s">
        <v>5520</v>
      </c>
      <c r="F118" s="434">
        <v>5</v>
      </c>
      <c r="G118" s="434">
        <v>9812871791</v>
      </c>
      <c r="I118" s="434">
        <v>16</v>
      </c>
      <c r="J118" s="434" t="s">
        <v>48</v>
      </c>
      <c r="K118" s="434" t="s">
        <v>5405</v>
      </c>
      <c r="M118" s="128" t="s">
        <v>1764</v>
      </c>
      <c r="N118" s="730">
        <v>65281</v>
      </c>
      <c r="O118" s="730">
        <v>65281</v>
      </c>
      <c r="P118" s="459">
        <v>65291</v>
      </c>
      <c r="Q118" s="432" t="s">
        <v>51</v>
      </c>
    </row>
    <row r="119" spans="1:17">
      <c r="A119" s="509">
        <f t="shared" si="1"/>
        <v>118</v>
      </c>
      <c r="B119" s="1213" t="s">
        <v>43</v>
      </c>
      <c r="C119" s="1146" t="s">
        <v>44</v>
      </c>
      <c r="D119" s="1146" t="s">
        <v>45</v>
      </c>
      <c r="E119" s="432" t="s">
        <v>5521</v>
      </c>
      <c r="F119" s="434">
        <v>9</v>
      </c>
      <c r="G119" s="434">
        <v>9847836982</v>
      </c>
      <c r="I119" s="434">
        <v>15</v>
      </c>
      <c r="J119" s="128" t="s">
        <v>90</v>
      </c>
      <c r="K119" s="434" t="s">
        <v>5405</v>
      </c>
      <c r="M119" s="128" t="s">
        <v>1764</v>
      </c>
      <c r="N119" s="730">
        <v>65281</v>
      </c>
      <c r="O119" s="730">
        <v>65281</v>
      </c>
      <c r="P119" s="459">
        <v>65291</v>
      </c>
      <c r="Q119" s="432" t="s">
        <v>51</v>
      </c>
    </row>
    <row r="120" spans="1:17">
      <c r="A120" s="509">
        <f t="shared" si="1"/>
        <v>119</v>
      </c>
      <c r="B120" s="1213" t="s">
        <v>43</v>
      </c>
      <c r="C120" s="1146" t="s">
        <v>44</v>
      </c>
      <c r="D120" s="1146" t="s">
        <v>45</v>
      </c>
      <c r="E120" s="432" t="s">
        <v>5522</v>
      </c>
      <c r="F120" s="434">
        <v>5</v>
      </c>
      <c r="G120" s="434">
        <v>9810960436</v>
      </c>
      <c r="I120" s="434">
        <v>16</v>
      </c>
      <c r="J120" s="128" t="s">
        <v>90</v>
      </c>
      <c r="K120" s="434" t="s">
        <v>5405</v>
      </c>
      <c r="M120" s="128" t="s">
        <v>1764</v>
      </c>
      <c r="N120" s="730">
        <v>65281</v>
      </c>
      <c r="O120" s="730">
        <v>65281</v>
      </c>
      <c r="P120" s="459">
        <v>65291</v>
      </c>
      <c r="Q120" s="432" t="s">
        <v>51</v>
      </c>
    </row>
    <row r="121" spans="1:17">
      <c r="A121" s="509">
        <f t="shared" si="1"/>
        <v>120</v>
      </c>
      <c r="B121" s="1213" t="s">
        <v>43</v>
      </c>
      <c r="C121" s="1146" t="s">
        <v>44</v>
      </c>
      <c r="D121" s="1146" t="s">
        <v>45</v>
      </c>
      <c r="E121" s="120" t="s">
        <v>5635</v>
      </c>
      <c r="F121" s="150">
        <v>5</v>
      </c>
      <c r="G121" s="150">
        <v>9847844764</v>
      </c>
      <c r="I121" s="150">
        <v>50</v>
      </c>
      <c r="J121" s="120" t="s">
        <v>48</v>
      </c>
      <c r="K121" s="120" t="s">
        <v>53</v>
      </c>
      <c r="M121" s="146" t="s">
        <v>119</v>
      </c>
      <c r="N121" s="246">
        <v>65281</v>
      </c>
      <c r="O121" s="246">
        <v>65281</v>
      </c>
      <c r="P121" s="459">
        <v>65291</v>
      </c>
      <c r="Q121" s="432" t="s">
        <v>51</v>
      </c>
    </row>
    <row r="122" spans="1:17">
      <c r="A122" s="509">
        <f t="shared" si="1"/>
        <v>121</v>
      </c>
      <c r="B122" s="1213" t="s">
        <v>43</v>
      </c>
      <c r="C122" s="1146" t="s">
        <v>44</v>
      </c>
      <c r="D122" s="1146" t="s">
        <v>45</v>
      </c>
      <c r="E122" s="432" t="s">
        <v>5524</v>
      </c>
      <c r="F122" s="434">
        <v>17</v>
      </c>
      <c r="G122" s="434">
        <v>9851197982</v>
      </c>
      <c r="I122" s="434">
        <v>44</v>
      </c>
      <c r="J122" s="434" t="s">
        <v>48</v>
      </c>
      <c r="K122" s="434" t="s">
        <v>5405</v>
      </c>
      <c r="M122" s="128" t="s">
        <v>1764</v>
      </c>
      <c r="N122" s="730">
        <v>65283</v>
      </c>
      <c r="O122" s="730">
        <v>65283</v>
      </c>
      <c r="P122" s="459">
        <v>65292</v>
      </c>
      <c r="Q122" s="432" t="s">
        <v>51</v>
      </c>
    </row>
    <row r="123" spans="1:17">
      <c r="A123" s="509">
        <f t="shared" si="1"/>
        <v>122</v>
      </c>
      <c r="B123" s="1213" t="s">
        <v>43</v>
      </c>
      <c r="C123" s="1146" t="s">
        <v>44</v>
      </c>
      <c r="D123" s="1146" t="s">
        <v>45</v>
      </c>
      <c r="E123" s="432" t="s">
        <v>5525</v>
      </c>
      <c r="F123" s="434">
        <v>6</v>
      </c>
      <c r="G123" s="434">
        <v>9857820432</v>
      </c>
      <c r="H123" s="432" t="s">
        <v>5430</v>
      </c>
      <c r="I123" s="434">
        <v>46</v>
      </c>
      <c r="J123" s="434" t="s">
        <v>48</v>
      </c>
      <c r="K123" s="434" t="s">
        <v>5405</v>
      </c>
      <c r="M123" s="128" t="s">
        <v>1764</v>
      </c>
      <c r="N123" s="730">
        <v>65283</v>
      </c>
      <c r="O123" s="730">
        <v>65283</v>
      </c>
      <c r="P123" s="459">
        <v>65292</v>
      </c>
      <c r="Q123" s="432" t="s">
        <v>51</v>
      </c>
    </row>
    <row r="124" spans="1:17">
      <c r="A124" s="509">
        <f t="shared" si="1"/>
        <v>123</v>
      </c>
      <c r="B124" s="1213" t="s">
        <v>43</v>
      </c>
      <c r="C124" s="1146" t="s">
        <v>44</v>
      </c>
      <c r="D124" s="1146" t="s">
        <v>45</v>
      </c>
      <c r="E124" s="432" t="s">
        <v>5526</v>
      </c>
      <c r="F124" s="434">
        <v>6</v>
      </c>
      <c r="G124" s="434">
        <v>9847826206</v>
      </c>
      <c r="I124" s="434">
        <v>29</v>
      </c>
      <c r="J124" s="128" t="s">
        <v>90</v>
      </c>
      <c r="K124" s="434" t="s">
        <v>5405</v>
      </c>
      <c r="M124" s="128" t="s">
        <v>1764</v>
      </c>
      <c r="N124" s="730">
        <v>65283</v>
      </c>
      <c r="O124" s="730">
        <v>65283</v>
      </c>
      <c r="P124" s="459">
        <v>65292</v>
      </c>
      <c r="Q124" s="432" t="s">
        <v>51</v>
      </c>
    </row>
    <row r="125" spans="1:17">
      <c r="A125" s="509">
        <f t="shared" si="1"/>
        <v>124</v>
      </c>
      <c r="B125" s="1213" t="s">
        <v>43</v>
      </c>
      <c r="C125" s="1146" t="s">
        <v>44</v>
      </c>
      <c r="D125" s="1146" t="s">
        <v>45</v>
      </c>
      <c r="E125" s="432" t="s">
        <v>5527</v>
      </c>
      <c r="F125" s="434">
        <v>6</v>
      </c>
      <c r="G125" s="434">
        <v>9847835161</v>
      </c>
      <c r="I125" s="434">
        <v>54</v>
      </c>
      <c r="J125" s="434" t="s">
        <v>48</v>
      </c>
      <c r="K125" s="434" t="s">
        <v>5405</v>
      </c>
      <c r="M125" s="128" t="s">
        <v>1764</v>
      </c>
      <c r="N125" s="730">
        <v>65283</v>
      </c>
      <c r="O125" s="730">
        <v>65283</v>
      </c>
      <c r="P125" s="459">
        <v>65292</v>
      </c>
      <c r="Q125" s="432" t="s">
        <v>51</v>
      </c>
    </row>
    <row r="126" spans="1:17">
      <c r="A126" s="509">
        <f t="shared" si="1"/>
        <v>125</v>
      </c>
      <c r="B126" s="1213" t="s">
        <v>43</v>
      </c>
      <c r="C126" s="1146" t="s">
        <v>44</v>
      </c>
      <c r="D126" s="1146" t="s">
        <v>45</v>
      </c>
      <c r="E126" s="432" t="s">
        <v>5532</v>
      </c>
      <c r="F126" s="434">
        <v>6</v>
      </c>
      <c r="G126" s="434">
        <v>9857841926</v>
      </c>
      <c r="I126" s="434">
        <v>28</v>
      </c>
      <c r="J126" s="434" t="s">
        <v>48</v>
      </c>
      <c r="K126" s="434" t="s">
        <v>5405</v>
      </c>
      <c r="M126" s="128" t="s">
        <v>1764</v>
      </c>
      <c r="N126" s="730">
        <v>65283</v>
      </c>
      <c r="O126" s="730">
        <v>65283</v>
      </c>
      <c r="P126" s="459">
        <v>65292</v>
      </c>
      <c r="Q126" s="432" t="s">
        <v>51</v>
      </c>
    </row>
    <row r="127" spans="1:17">
      <c r="A127" s="509">
        <f t="shared" si="1"/>
        <v>126</v>
      </c>
      <c r="B127" s="1213" t="s">
        <v>43</v>
      </c>
      <c r="C127" s="1146" t="s">
        <v>44</v>
      </c>
      <c r="D127" s="1146" t="s">
        <v>45</v>
      </c>
      <c r="E127" s="432" t="s">
        <v>5528</v>
      </c>
      <c r="F127" s="434">
        <v>5</v>
      </c>
      <c r="G127" s="434">
        <v>9847998860</v>
      </c>
      <c r="I127" s="434">
        <v>27</v>
      </c>
      <c r="J127" s="128" t="s">
        <v>90</v>
      </c>
      <c r="K127" s="434" t="s">
        <v>5405</v>
      </c>
      <c r="M127" s="128" t="s">
        <v>1764</v>
      </c>
      <c r="N127" s="730">
        <v>65283</v>
      </c>
      <c r="O127" s="730">
        <v>65283</v>
      </c>
      <c r="P127" s="459">
        <v>65292</v>
      </c>
      <c r="Q127" s="432" t="s">
        <v>51</v>
      </c>
    </row>
    <row r="128" spans="1:17">
      <c r="A128" s="509">
        <f t="shared" si="1"/>
        <v>127</v>
      </c>
      <c r="B128" s="1213" t="s">
        <v>43</v>
      </c>
      <c r="C128" s="1146" t="s">
        <v>44</v>
      </c>
      <c r="D128" s="1146" t="s">
        <v>45</v>
      </c>
      <c r="E128" s="432" t="s">
        <v>5529</v>
      </c>
      <c r="F128" s="434">
        <v>6</v>
      </c>
      <c r="G128" s="434">
        <v>9809559842</v>
      </c>
      <c r="I128" s="434">
        <v>32</v>
      </c>
      <c r="J128" s="434" t="s">
        <v>48</v>
      </c>
      <c r="K128" s="434" t="s">
        <v>5405</v>
      </c>
      <c r="M128" s="128" t="s">
        <v>1764</v>
      </c>
      <c r="N128" s="730">
        <v>65283</v>
      </c>
      <c r="O128" s="730">
        <v>65283</v>
      </c>
      <c r="P128" s="459">
        <v>65292</v>
      </c>
      <c r="Q128" s="432" t="s">
        <v>51</v>
      </c>
    </row>
    <row r="129" spans="1:17">
      <c r="A129" s="509">
        <f t="shared" si="1"/>
        <v>128</v>
      </c>
      <c r="B129" s="1213" t="s">
        <v>43</v>
      </c>
      <c r="C129" s="1146" t="s">
        <v>44</v>
      </c>
      <c r="D129" s="1146" t="s">
        <v>45</v>
      </c>
      <c r="E129" s="432" t="s">
        <v>5530</v>
      </c>
      <c r="F129" s="434">
        <v>6</v>
      </c>
      <c r="G129" s="434">
        <v>9858051010</v>
      </c>
      <c r="I129" s="434">
        <v>50</v>
      </c>
      <c r="J129" s="434" t="s">
        <v>48</v>
      </c>
      <c r="K129" s="434" t="s">
        <v>5405</v>
      </c>
      <c r="M129" s="128" t="s">
        <v>1764</v>
      </c>
      <c r="N129" s="730">
        <v>65283</v>
      </c>
      <c r="O129" s="730">
        <v>65283</v>
      </c>
      <c r="P129" s="459">
        <v>65292</v>
      </c>
      <c r="Q129" s="432" t="s">
        <v>51</v>
      </c>
    </row>
    <row r="130" spans="1:17">
      <c r="A130" s="509">
        <f t="shared" si="1"/>
        <v>129</v>
      </c>
      <c r="B130" s="1213" t="s">
        <v>43</v>
      </c>
      <c r="C130" s="1146" t="s">
        <v>44</v>
      </c>
      <c r="D130" s="1146" t="s">
        <v>45</v>
      </c>
      <c r="E130" s="432" t="s">
        <v>5531</v>
      </c>
      <c r="F130" s="434">
        <v>15</v>
      </c>
      <c r="G130" s="434">
        <v>9868108704</v>
      </c>
      <c r="I130" s="434">
        <v>28</v>
      </c>
      <c r="J130" s="128" t="s">
        <v>90</v>
      </c>
      <c r="K130" s="434" t="s">
        <v>5405</v>
      </c>
      <c r="M130" s="128" t="s">
        <v>1764</v>
      </c>
      <c r="N130" s="730">
        <v>65283</v>
      </c>
      <c r="O130" s="730">
        <v>65283</v>
      </c>
      <c r="P130" s="459">
        <v>65292</v>
      </c>
      <c r="Q130" s="432" t="s">
        <v>51</v>
      </c>
    </row>
    <row r="131" spans="1:17">
      <c r="A131" s="509">
        <f t="shared" ref="A131:A194" si="2">A130+1</f>
        <v>130</v>
      </c>
      <c r="B131" s="1213" t="s">
        <v>43</v>
      </c>
      <c r="C131" s="1146" t="s">
        <v>44</v>
      </c>
      <c r="D131" s="1146" t="s">
        <v>45</v>
      </c>
      <c r="E131" s="432" t="s">
        <v>2074</v>
      </c>
      <c r="F131" s="434">
        <v>6</v>
      </c>
      <c r="G131" s="434">
        <v>9847946599</v>
      </c>
      <c r="I131" s="434">
        <v>32</v>
      </c>
      <c r="J131" s="128" t="s">
        <v>90</v>
      </c>
      <c r="K131" s="434" t="s">
        <v>5405</v>
      </c>
      <c r="M131" s="128" t="s">
        <v>1764</v>
      </c>
      <c r="N131" s="730">
        <v>65283</v>
      </c>
      <c r="O131" s="730">
        <v>65283</v>
      </c>
      <c r="P131" s="459">
        <v>65292</v>
      </c>
      <c r="Q131" s="432" t="s">
        <v>51</v>
      </c>
    </row>
    <row r="132" spans="1:17">
      <c r="A132" s="509">
        <f t="shared" si="2"/>
        <v>131</v>
      </c>
      <c r="B132" s="1213" t="s">
        <v>43</v>
      </c>
      <c r="C132" s="1146" t="s">
        <v>44</v>
      </c>
      <c r="D132" s="1146" t="s">
        <v>45</v>
      </c>
      <c r="E132" s="432" t="s">
        <v>5533</v>
      </c>
      <c r="F132" s="434">
        <v>7</v>
      </c>
      <c r="G132" s="434">
        <v>9857822364</v>
      </c>
      <c r="I132" s="434">
        <v>41</v>
      </c>
      <c r="J132" s="434" t="s">
        <v>48</v>
      </c>
      <c r="K132" s="434" t="s">
        <v>5405</v>
      </c>
      <c r="M132" s="128" t="s">
        <v>1764</v>
      </c>
      <c r="N132" s="730">
        <v>65283</v>
      </c>
      <c r="O132" s="730">
        <v>65283</v>
      </c>
      <c r="P132" s="459">
        <v>65292</v>
      </c>
      <c r="Q132" s="432" t="s">
        <v>51</v>
      </c>
    </row>
    <row r="133" spans="1:17">
      <c r="A133" s="509">
        <f t="shared" si="2"/>
        <v>132</v>
      </c>
      <c r="B133" s="1213" t="s">
        <v>43</v>
      </c>
      <c r="C133" s="1146" t="s">
        <v>44</v>
      </c>
      <c r="D133" s="1146" t="s">
        <v>45</v>
      </c>
      <c r="E133" s="432" t="s">
        <v>5534</v>
      </c>
      <c r="F133" s="434">
        <v>7</v>
      </c>
      <c r="G133" s="434">
        <v>9844949449</v>
      </c>
      <c r="I133" s="434">
        <v>48</v>
      </c>
      <c r="J133" s="128" t="s">
        <v>90</v>
      </c>
      <c r="K133" s="434" t="s">
        <v>5405</v>
      </c>
      <c r="M133" s="128" t="s">
        <v>1764</v>
      </c>
      <c r="N133" s="730">
        <v>65283</v>
      </c>
      <c r="O133" s="730">
        <v>65283</v>
      </c>
      <c r="P133" s="459">
        <v>65292</v>
      </c>
      <c r="Q133" s="432" t="s">
        <v>51</v>
      </c>
    </row>
    <row r="134" spans="1:17">
      <c r="A134" s="509">
        <f t="shared" si="2"/>
        <v>133</v>
      </c>
      <c r="B134" s="1213" t="s">
        <v>43</v>
      </c>
      <c r="C134" s="1146" t="s">
        <v>44</v>
      </c>
      <c r="D134" s="1146" t="s">
        <v>45</v>
      </c>
      <c r="E134" s="432" t="s">
        <v>5535</v>
      </c>
      <c r="F134" s="434">
        <v>5</v>
      </c>
      <c r="G134" s="434">
        <v>9857861060</v>
      </c>
      <c r="I134" s="434">
        <v>30</v>
      </c>
      <c r="J134" s="434" t="s">
        <v>48</v>
      </c>
      <c r="K134" s="434" t="s">
        <v>5405</v>
      </c>
      <c r="M134" s="128" t="s">
        <v>1764</v>
      </c>
      <c r="N134" s="730">
        <v>65283</v>
      </c>
      <c r="O134" s="730">
        <v>65283</v>
      </c>
      <c r="P134" s="459">
        <v>65292</v>
      </c>
      <c r="Q134" s="432" t="s">
        <v>51</v>
      </c>
    </row>
    <row r="135" spans="1:17">
      <c r="A135" s="509">
        <f t="shared" si="2"/>
        <v>134</v>
      </c>
      <c r="B135" s="1213" t="s">
        <v>43</v>
      </c>
      <c r="C135" s="1146" t="s">
        <v>44</v>
      </c>
      <c r="D135" s="1146" t="s">
        <v>45</v>
      </c>
      <c r="E135" s="432" t="s">
        <v>5536</v>
      </c>
      <c r="F135" s="434">
        <v>6</v>
      </c>
      <c r="G135" s="434">
        <v>9847836596</v>
      </c>
      <c r="I135" s="434">
        <v>42</v>
      </c>
      <c r="J135" s="434" t="s">
        <v>48</v>
      </c>
      <c r="K135" s="434" t="s">
        <v>5405</v>
      </c>
      <c r="M135" s="128" t="s">
        <v>1764</v>
      </c>
      <c r="N135" s="730">
        <v>65283</v>
      </c>
      <c r="O135" s="730">
        <v>65283</v>
      </c>
      <c r="P135" s="459">
        <v>65292</v>
      </c>
      <c r="Q135" s="432" t="s">
        <v>51</v>
      </c>
    </row>
    <row r="136" spans="1:17">
      <c r="A136" s="509">
        <f t="shared" si="2"/>
        <v>135</v>
      </c>
      <c r="B136" s="1213" t="s">
        <v>43</v>
      </c>
      <c r="C136" s="1146" t="s">
        <v>44</v>
      </c>
      <c r="D136" s="1146" t="s">
        <v>45</v>
      </c>
      <c r="E136" s="432" t="s">
        <v>5537</v>
      </c>
      <c r="F136" s="434">
        <v>9</v>
      </c>
      <c r="G136" s="434">
        <v>9868663766</v>
      </c>
      <c r="I136" s="434">
        <v>37</v>
      </c>
      <c r="J136" s="434" t="s">
        <v>48</v>
      </c>
      <c r="K136" s="434" t="s">
        <v>5405</v>
      </c>
      <c r="M136" s="128" t="s">
        <v>1764</v>
      </c>
      <c r="N136" s="730">
        <v>65283</v>
      </c>
      <c r="O136" s="730">
        <v>65283</v>
      </c>
      <c r="P136" s="459">
        <v>65292</v>
      </c>
      <c r="Q136" s="432" t="s">
        <v>51</v>
      </c>
    </row>
    <row r="137" spans="1:17">
      <c r="A137" s="509">
        <f t="shared" si="2"/>
        <v>136</v>
      </c>
      <c r="B137" s="1213" t="s">
        <v>43</v>
      </c>
      <c r="C137" s="1146" t="s">
        <v>44</v>
      </c>
      <c r="D137" s="1146" t="s">
        <v>45</v>
      </c>
      <c r="E137" s="432" t="s">
        <v>5538</v>
      </c>
      <c r="F137" s="434">
        <v>8</v>
      </c>
      <c r="G137" s="434">
        <v>9857824470</v>
      </c>
      <c r="I137" s="434">
        <v>33</v>
      </c>
      <c r="J137" s="434" t="s">
        <v>48</v>
      </c>
      <c r="K137" s="434" t="s">
        <v>5405</v>
      </c>
      <c r="M137" s="128" t="s">
        <v>1764</v>
      </c>
      <c r="N137" s="730">
        <v>65283</v>
      </c>
      <c r="O137" s="730">
        <v>65283</v>
      </c>
      <c r="P137" s="459">
        <v>65292</v>
      </c>
      <c r="Q137" s="432" t="s">
        <v>51</v>
      </c>
    </row>
    <row r="138" spans="1:17">
      <c r="A138" s="509">
        <f t="shared" si="2"/>
        <v>137</v>
      </c>
      <c r="B138" s="1213" t="s">
        <v>43</v>
      </c>
      <c r="C138" s="1146" t="s">
        <v>44</v>
      </c>
      <c r="D138" s="1146" t="s">
        <v>45</v>
      </c>
      <c r="E138" s="432" t="s">
        <v>5539</v>
      </c>
      <c r="F138" s="434">
        <v>5</v>
      </c>
      <c r="G138" s="434">
        <v>9857820216</v>
      </c>
      <c r="I138" s="434">
        <v>31</v>
      </c>
      <c r="J138" s="434" t="s">
        <v>48</v>
      </c>
      <c r="K138" s="434" t="s">
        <v>5405</v>
      </c>
      <c r="M138" s="128" t="s">
        <v>1764</v>
      </c>
      <c r="N138" s="730">
        <v>65283</v>
      </c>
      <c r="O138" s="730">
        <v>65283</v>
      </c>
      <c r="P138" s="459">
        <v>65292</v>
      </c>
      <c r="Q138" s="432" t="s">
        <v>51</v>
      </c>
    </row>
    <row r="139" spans="1:17">
      <c r="A139" s="509">
        <f t="shared" si="2"/>
        <v>138</v>
      </c>
      <c r="B139" s="1213" t="s">
        <v>43</v>
      </c>
      <c r="C139" s="1146" t="s">
        <v>44</v>
      </c>
      <c r="D139" s="1146" t="s">
        <v>45</v>
      </c>
      <c r="E139" s="432" t="s">
        <v>5540</v>
      </c>
      <c r="F139" s="434">
        <v>7</v>
      </c>
      <c r="G139" s="434">
        <v>9844934466</v>
      </c>
      <c r="I139" s="434">
        <v>35</v>
      </c>
      <c r="J139" s="128" t="s">
        <v>90</v>
      </c>
      <c r="K139" s="434" t="s">
        <v>5405</v>
      </c>
      <c r="M139" s="128" t="s">
        <v>1764</v>
      </c>
      <c r="N139" s="730">
        <v>65283</v>
      </c>
      <c r="O139" s="730">
        <v>65283</v>
      </c>
      <c r="P139" s="459">
        <v>65292</v>
      </c>
      <c r="Q139" s="432" t="s">
        <v>51</v>
      </c>
    </row>
    <row r="140" spans="1:17">
      <c r="A140" s="509">
        <f t="shared" si="2"/>
        <v>139</v>
      </c>
      <c r="B140" s="1213" t="s">
        <v>43</v>
      </c>
      <c r="C140" s="1146" t="s">
        <v>44</v>
      </c>
      <c r="D140" s="1146" t="s">
        <v>45</v>
      </c>
      <c r="E140" s="432" t="s">
        <v>1321</v>
      </c>
      <c r="F140" s="434">
        <v>5</v>
      </c>
      <c r="G140" s="434">
        <v>9857823302</v>
      </c>
      <c r="I140" s="434">
        <v>8</v>
      </c>
      <c r="J140" s="434" t="s">
        <v>48</v>
      </c>
      <c r="K140" s="434" t="s">
        <v>5405</v>
      </c>
      <c r="M140" s="128" t="s">
        <v>1764</v>
      </c>
      <c r="N140" s="730">
        <v>65283</v>
      </c>
      <c r="O140" s="730">
        <v>65283</v>
      </c>
      <c r="P140" s="459">
        <v>65292</v>
      </c>
      <c r="Q140" s="432" t="s">
        <v>51</v>
      </c>
    </row>
    <row r="141" spans="1:17">
      <c r="A141" s="509">
        <f t="shared" si="2"/>
        <v>140</v>
      </c>
      <c r="B141" s="1213" t="s">
        <v>43</v>
      </c>
      <c r="C141" s="1146" t="s">
        <v>44</v>
      </c>
      <c r="D141" s="1146" t="s">
        <v>45</v>
      </c>
      <c r="E141" s="432" t="s">
        <v>5541</v>
      </c>
      <c r="F141" s="434">
        <v>4</v>
      </c>
      <c r="G141" s="434">
        <v>9822936683</v>
      </c>
      <c r="I141" s="434">
        <v>18</v>
      </c>
      <c r="J141" s="128" t="s">
        <v>90</v>
      </c>
      <c r="K141" s="434" t="s">
        <v>5405</v>
      </c>
      <c r="M141" s="128" t="s">
        <v>1764</v>
      </c>
      <c r="N141" s="730">
        <v>65283</v>
      </c>
      <c r="O141" s="730">
        <v>65283</v>
      </c>
      <c r="P141" s="459">
        <v>65292</v>
      </c>
      <c r="Q141" s="432" t="s">
        <v>51</v>
      </c>
    </row>
    <row r="142" spans="1:17">
      <c r="A142" s="509">
        <f t="shared" si="2"/>
        <v>141</v>
      </c>
      <c r="B142" s="1213" t="s">
        <v>43</v>
      </c>
      <c r="C142" s="1146" t="s">
        <v>44</v>
      </c>
      <c r="D142" s="1146" t="s">
        <v>45</v>
      </c>
      <c r="E142" s="432" t="s">
        <v>5542</v>
      </c>
      <c r="F142" s="434">
        <v>7</v>
      </c>
      <c r="G142" s="434">
        <v>9847824212</v>
      </c>
      <c r="I142" s="434">
        <v>43</v>
      </c>
      <c r="J142" s="434" t="s">
        <v>48</v>
      </c>
      <c r="K142" s="434" t="s">
        <v>5405</v>
      </c>
      <c r="M142" s="128" t="s">
        <v>1764</v>
      </c>
      <c r="N142" s="730">
        <v>65283</v>
      </c>
      <c r="O142" s="730">
        <v>65283</v>
      </c>
      <c r="P142" s="459">
        <v>65292</v>
      </c>
      <c r="Q142" s="432" t="s">
        <v>51</v>
      </c>
    </row>
    <row r="143" spans="1:17">
      <c r="A143" s="509">
        <f t="shared" si="2"/>
        <v>142</v>
      </c>
      <c r="B143" s="1213" t="s">
        <v>43</v>
      </c>
      <c r="C143" s="1146" t="s">
        <v>44</v>
      </c>
      <c r="D143" s="1146" t="s">
        <v>45</v>
      </c>
      <c r="E143" s="432" t="s">
        <v>5543</v>
      </c>
      <c r="F143" s="434">
        <v>6</v>
      </c>
      <c r="G143" s="434">
        <v>9857835608</v>
      </c>
      <c r="I143" s="434">
        <v>30</v>
      </c>
      <c r="J143" s="434" t="s">
        <v>48</v>
      </c>
      <c r="K143" s="434" t="s">
        <v>5405</v>
      </c>
      <c r="M143" s="128" t="s">
        <v>1764</v>
      </c>
      <c r="N143" s="730">
        <v>65283</v>
      </c>
      <c r="O143" s="730">
        <v>65283</v>
      </c>
      <c r="P143" s="459">
        <v>65292</v>
      </c>
      <c r="Q143" s="432" t="s">
        <v>51</v>
      </c>
    </row>
    <row r="144" spans="1:17">
      <c r="A144" s="509">
        <f t="shared" si="2"/>
        <v>143</v>
      </c>
      <c r="B144" s="1213" t="s">
        <v>43</v>
      </c>
      <c r="C144" s="1146" t="s">
        <v>44</v>
      </c>
      <c r="D144" s="1146" t="s">
        <v>45</v>
      </c>
      <c r="E144" s="432" t="s">
        <v>5544</v>
      </c>
      <c r="F144" s="434">
        <v>3</v>
      </c>
      <c r="G144" s="434">
        <v>9861373250</v>
      </c>
      <c r="I144" s="434">
        <v>14</v>
      </c>
      <c r="J144" s="434" t="s">
        <v>48</v>
      </c>
      <c r="K144" s="434" t="s">
        <v>5405</v>
      </c>
      <c r="M144" s="128" t="s">
        <v>1764</v>
      </c>
      <c r="N144" s="730">
        <v>65283</v>
      </c>
      <c r="O144" s="730">
        <v>65283</v>
      </c>
      <c r="P144" s="459">
        <v>65292</v>
      </c>
      <c r="Q144" s="432" t="s">
        <v>51</v>
      </c>
    </row>
    <row r="145" spans="1:17">
      <c r="A145" s="509">
        <f t="shared" si="2"/>
        <v>144</v>
      </c>
      <c r="B145" s="1213" t="s">
        <v>43</v>
      </c>
      <c r="C145" s="1146" t="s">
        <v>44</v>
      </c>
      <c r="D145" s="1146" t="s">
        <v>45</v>
      </c>
      <c r="E145" s="432" t="s">
        <v>5545</v>
      </c>
      <c r="F145" s="434">
        <v>7</v>
      </c>
      <c r="G145" s="434">
        <v>9843913588</v>
      </c>
      <c r="I145" s="434">
        <v>34</v>
      </c>
      <c r="J145" s="434" t="s">
        <v>48</v>
      </c>
      <c r="K145" s="434" t="s">
        <v>5405</v>
      </c>
      <c r="M145" s="128" t="s">
        <v>1764</v>
      </c>
      <c r="N145" s="730">
        <v>65283</v>
      </c>
      <c r="O145" s="730">
        <v>65283</v>
      </c>
      <c r="P145" s="459">
        <v>65292</v>
      </c>
      <c r="Q145" s="432" t="s">
        <v>51</v>
      </c>
    </row>
    <row r="146" spans="1:17">
      <c r="A146" s="509">
        <f t="shared" si="2"/>
        <v>145</v>
      </c>
      <c r="B146" s="1213" t="s">
        <v>43</v>
      </c>
      <c r="C146" s="1146" t="s">
        <v>44</v>
      </c>
      <c r="D146" s="1146" t="s">
        <v>45</v>
      </c>
      <c r="E146" s="432" t="s">
        <v>5546</v>
      </c>
      <c r="F146" s="434">
        <v>3</v>
      </c>
      <c r="G146" s="434">
        <v>9845564024</v>
      </c>
      <c r="I146" s="434">
        <v>19</v>
      </c>
      <c r="J146" s="128" t="s">
        <v>90</v>
      </c>
      <c r="K146" s="434" t="s">
        <v>5405</v>
      </c>
      <c r="M146" s="128" t="s">
        <v>1764</v>
      </c>
      <c r="N146" s="730">
        <v>65283</v>
      </c>
      <c r="O146" s="730">
        <v>65283</v>
      </c>
      <c r="P146" s="459">
        <v>65292</v>
      </c>
      <c r="Q146" s="432" t="s">
        <v>51</v>
      </c>
    </row>
    <row r="147" spans="1:17">
      <c r="A147" s="509">
        <f t="shared" si="2"/>
        <v>146</v>
      </c>
      <c r="B147" s="1213" t="s">
        <v>43</v>
      </c>
      <c r="C147" s="1146" t="s">
        <v>44</v>
      </c>
      <c r="D147" s="1146" t="s">
        <v>45</v>
      </c>
      <c r="E147" s="432" t="s">
        <v>5547</v>
      </c>
      <c r="F147" s="434">
        <v>5</v>
      </c>
      <c r="G147" s="434">
        <v>9847823406</v>
      </c>
      <c r="I147" s="434">
        <v>31</v>
      </c>
      <c r="J147" s="434" t="s">
        <v>48</v>
      </c>
      <c r="K147" s="434" t="s">
        <v>5405</v>
      </c>
      <c r="M147" s="128" t="s">
        <v>1764</v>
      </c>
      <c r="N147" s="730">
        <v>65283</v>
      </c>
      <c r="O147" s="730">
        <v>65283</v>
      </c>
      <c r="P147" s="459">
        <v>65292</v>
      </c>
      <c r="Q147" s="432" t="s">
        <v>51</v>
      </c>
    </row>
    <row r="148" spans="1:17">
      <c r="A148" s="509">
        <f t="shared" si="2"/>
        <v>147</v>
      </c>
      <c r="B148" s="1213" t="s">
        <v>43</v>
      </c>
      <c r="C148" s="1146" t="s">
        <v>44</v>
      </c>
      <c r="D148" s="1146" t="s">
        <v>45</v>
      </c>
      <c r="E148" s="432" t="s">
        <v>5548</v>
      </c>
      <c r="F148" s="434">
        <v>5</v>
      </c>
      <c r="G148" s="434">
        <v>9847823406</v>
      </c>
      <c r="I148" s="434">
        <v>21</v>
      </c>
      <c r="J148" s="434" t="s">
        <v>48</v>
      </c>
      <c r="K148" s="434" t="s">
        <v>5405</v>
      </c>
      <c r="M148" s="128" t="s">
        <v>1764</v>
      </c>
      <c r="N148" s="730">
        <v>65283</v>
      </c>
      <c r="O148" s="730">
        <v>65283</v>
      </c>
      <c r="P148" s="459">
        <v>65292</v>
      </c>
      <c r="Q148" s="432" t="s">
        <v>51</v>
      </c>
    </row>
    <row r="149" spans="1:17">
      <c r="A149" s="509">
        <f t="shared" si="2"/>
        <v>148</v>
      </c>
      <c r="B149" s="1213" t="s">
        <v>43</v>
      </c>
      <c r="C149" s="1146" t="s">
        <v>44</v>
      </c>
      <c r="D149" s="1146" t="s">
        <v>45</v>
      </c>
      <c r="E149" s="432" t="s">
        <v>5549</v>
      </c>
      <c r="F149" s="434">
        <v>10</v>
      </c>
      <c r="G149" s="434">
        <v>9857822640</v>
      </c>
      <c r="I149" s="434">
        <v>57</v>
      </c>
      <c r="J149" s="128" t="s">
        <v>90</v>
      </c>
      <c r="K149" s="434" t="s">
        <v>5405</v>
      </c>
      <c r="M149" s="128" t="s">
        <v>1764</v>
      </c>
      <c r="N149" s="730">
        <v>65283</v>
      </c>
      <c r="O149" s="730">
        <v>65283</v>
      </c>
      <c r="P149" s="459">
        <v>65292</v>
      </c>
      <c r="Q149" s="432" t="s">
        <v>51</v>
      </c>
    </row>
    <row r="150" spans="1:17">
      <c r="A150" s="509">
        <f t="shared" si="2"/>
        <v>149</v>
      </c>
      <c r="B150" s="1213" t="s">
        <v>43</v>
      </c>
      <c r="C150" s="1146" t="s">
        <v>44</v>
      </c>
      <c r="D150" s="1146" t="s">
        <v>45</v>
      </c>
      <c r="E150" s="432" t="s">
        <v>5550</v>
      </c>
      <c r="F150" s="434">
        <v>6</v>
      </c>
      <c r="G150" s="434">
        <v>9857831777</v>
      </c>
      <c r="I150" s="434">
        <v>17</v>
      </c>
      <c r="J150" s="434" t="s">
        <v>48</v>
      </c>
      <c r="K150" s="434" t="s">
        <v>5405</v>
      </c>
      <c r="M150" s="128" t="s">
        <v>1764</v>
      </c>
      <c r="N150" s="730">
        <v>65283</v>
      </c>
      <c r="O150" s="730">
        <v>65283</v>
      </c>
      <c r="P150" s="459">
        <v>65292</v>
      </c>
      <c r="Q150" s="432" t="s">
        <v>51</v>
      </c>
    </row>
    <row r="151" spans="1:17">
      <c r="A151" s="509">
        <f t="shared" si="2"/>
        <v>150</v>
      </c>
      <c r="B151" s="1213" t="s">
        <v>43</v>
      </c>
      <c r="C151" s="1146" t="s">
        <v>44</v>
      </c>
      <c r="D151" s="1146" t="s">
        <v>45</v>
      </c>
      <c r="E151" s="432" t="s">
        <v>5551</v>
      </c>
      <c r="F151" s="434">
        <v>9</v>
      </c>
      <c r="G151" s="434">
        <v>9847823410</v>
      </c>
      <c r="I151" s="434">
        <v>81</v>
      </c>
      <c r="J151" s="128" t="s">
        <v>90</v>
      </c>
      <c r="K151" s="434" t="s">
        <v>5405</v>
      </c>
      <c r="M151" s="128" t="s">
        <v>1764</v>
      </c>
      <c r="N151" s="730">
        <v>65283</v>
      </c>
      <c r="O151" s="730">
        <v>65283</v>
      </c>
      <c r="P151" s="459">
        <v>65292</v>
      </c>
      <c r="Q151" s="432" t="s">
        <v>51</v>
      </c>
    </row>
    <row r="152" spans="1:17">
      <c r="A152" s="509">
        <f t="shared" si="2"/>
        <v>151</v>
      </c>
      <c r="B152" s="1213" t="s">
        <v>43</v>
      </c>
      <c r="C152" s="1146" t="s">
        <v>44</v>
      </c>
      <c r="D152" s="1146" t="s">
        <v>45</v>
      </c>
      <c r="E152" s="432" t="s">
        <v>5552</v>
      </c>
      <c r="F152" s="434">
        <v>6</v>
      </c>
      <c r="G152" s="434">
        <v>9866902170</v>
      </c>
      <c r="I152" s="434">
        <v>26</v>
      </c>
      <c r="J152" s="434" t="s">
        <v>48</v>
      </c>
      <c r="K152" s="434" t="s">
        <v>5405</v>
      </c>
      <c r="M152" s="128" t="s">
        <v>1764</v>
      </c>
      <c r="N152" s="730">
        <v>65283</v>
      </c>
      <c r="O152" s="730">
        <v>65283</v>
      </c>
      <c r="P152" s="459">
        <v>65292</v>
      </c>
      <c r="Q152" s="432" t="s">
        <v>51</v>
      </c>
    </row>
    <row r="153" spans="1:17">
      <c r="A153" s="509">
        <f t="shared" si="2"/>
        <v>152</v>
      </c>
      <c r="B153" s="1213" t="s">
        <v>43</v>
      </c>
      <c r="C153" s="1146" t="s">
        <v>44</v>
      </c>
      <c r="D153" s="1146" t="s">
        <v>45</v>
      </c>
      <c r="E153" s="432" t="s">
        <v>5553</v>
      </c>
      <c r="F153" s="434">
        <v>7</v>
      </c>
      <c r="G153" s="434">
        <v>9868391031</v>
      </c>
      <c r="I153" s="434">
        <v>48</v>
      </c>
      <c r="J153" s="434" t="s">
        <v>48</v>
      </c>
      <c r="K153" s="434" t="s">
        <v>5405</v>
      </c>
      <c r="M153" s="128" t="s">
        <v>1764</v>
      </c>
      <c r="N153" s="730">
        <v>65283</v>
      </c>
      <c r="O153" s="730">
        <v>65283</v>
      </c>
      <c r="P153" s="459">
        <v>65292</v>
      </c>
      <c r="Q153" s="432" t="s">
        <v>51</v>
      </c>
    </row>
    <row r="154" spans="1:17">
      <c r="A154" s="509">
        <f t="shared" si="2"/>
        <v>153</v>
      </c>
      <c r="B154" s="1213" t="s">
        <v>43</v>
      </c>
      <c r="C154" s="1146" t="s">
        <v>44</v>
      </c>
      <c r="D154" s="1146" t="s">
        <v>45</v>
      </c>
      <c r="E154" s="432" t="s">
        <v>5554</v>
      </c>
      <c r="F154" s="434">
        <v>5</v>
      </c>
      <c r="G154" s="434">
        <v>9847822068</v>
      </c>
      <c r="I154" s="434">
        <v>66</v>
      </c>
      <c r="J154" s="434" t="s">
        <v>48</v>
      </c>
      <c r="K154" s="434" t="s">
        <v>5405</v>
      </c>
      <c r="M154" s="128" t="s">
        <v>1764</v>
      </c>
      <c r="N154" s="730">
        <v>65283</v>
      </c>
      <c r="O154" s="730">
        <v>65283</v>
      </c>
      <c r="P154" s="459">
        <v>65292</v>
      </c>
      <c r="Q154" s="432" t="s">
        <v>51</v>
      </c>
    </row>
    <row r="155" spans="1:17">
      <c r="A155" s="509">
        <f t="shared" si="2"/>
        <v>154</v>
      </c>
      <c r="B155" s="1213" t="s">
        <v>43</v>
      </c>
      <c r="C155" s="1146" t="s">
        <v>44</v>
      </c>
      <c r="D155" s="1146" t="s">
        <v>45</v>
      </c>
      <c r="E155" s="432" t="s">
        <v>1297</v>
      </c>
      <c r="F155" s="434">
        <v>5</v>
      </c>
      <c r="G155" s="434">
        <v>9847822068</v>
      </c>
      <c r="I155" s="434">
        <v>42</v>
      </c>
      <c r="J155" s="434" t="s">
        <v>48</v>
      </c>
      <c r="K155" s="434" t="s">
        <v>5405</v>
      </c>
      <c r="M155" s="128" t="s">
        <v>1764</v>
      </c>
      <c r="N155" s="730">
        <v>65283</v>
      </c>
      <c r="O155" s="730">
        <v>65283</v>
      </c>
      <c r="P155" s="459">
        <v>65292</v>
      </c>
      <c r="Q155" s="432" t="s">
        <v>51</v>
      </c>
    </row>
    <row r="156" spans="1:17">
      <c r="A156" s="509">
        <f t="shared" si="2"/>
        <v>155</v>
      </c>
      <c r="B156" s="1213" t="s">
        <v>43</v>
      </c>
      <c r="C156" s="1146" t="s">
        <v>44</v>
      </c>
      <c r="D156" s="1146" t="s">
        <v>45</v>
      </c>
      <c r="E156" s="432" t="s">
        <v>5555</v>
      </c>
      <c r="F156" s="434">
        <v>11</v>
      </c>
      <c r="G156" s="434">
        <v>9847835914</v>
      </c>
      <c r="I156" s="434">
        <v>42</v>
      </c>
      <c r="J156" s="434" t="s">
        <v>48</v>
      </c>
      <c r="K156" s="434" t="s">
        <v>5405</v>
      </c>
      <c r="M156" s="128" t="s">
        <v>1764</v>
      </c>
      <c r="N156" s="730">
        <v>65283</v>
      </c>
      <c r="O156" s="730">
        <v>65283</v>
      </c>
      <c r="P156" s="459">
        <v>65292</v>
      </c>
      <c r="Q156" s="432" t="s">
        <v>51</v>
      </c>
    </row>
    <row r="157" spans="1:17">
      <c r="A157" s="509">
        <f t="shared" si="2"/>
        <v>156</v>
      </c>
      <c r="B157" s="1213" t="s">
        <v>43</v>
      </c>
      <c r="C157" s="1146" t="s">
        <v>44</v>
      </c>
      <c r="D157" s="1146" t="s">
        <v>45</v>
      </c>
      <c r="E157" s="432" t="s">
        <v>5556</v>
      </c>
      <c r="F157" s="434">
        <v>3</v>
      </c>
      <c r="G157" s="434">
        <v>9822884781</v>
      </c>
      <c r="I157" s="434">
        <v>19</v>
      </c>
      <c r="J157" s="128" t="s">
        <v>90</v>
      </c>
      <c r="K157" s="434" t="s">
        <v>5405</v>
      </c>
      <c r="M157" s="128" t="s">
        <v>1764</v>
      </c>
      <c r="N157" s="730">
        <v>65283</v>
      </c>
      <c r="O157" s="730">
        <v>65283</v>
      </c>
      <c r="P157" s="459">
        <v>65292</v>
      </c>
      <c r="Q157" s="432" t="s">
        <v>51</v>
      </c>
    </row>
    <row r="158" spans="1:17">
      <c r="A158" s="509">
        <f t="shared" si="2"/>
        <v>157</v>
      </c>
      <c r="B158" s="1213" t="s">
        <v>43</v>
      </c>
      <c r="C158" s="1146" t="s">
        <v>44</v>
      </c>
      <c r="D158" s="1146" t="s">
        <v>45</v>
      </c>
      <c r="E158" s="432" t="s">
        <v>5557</v>
      </c>
      <c r="F158" s="434">
        <v>1</v>
      </c>
      <c r="G158" s="434">
        <v>9847940385</v>
      </c>
      <c r="I158" s="434">
        <v>32</v>
      </c>
      <c r="J158" s="434" t="s">
        <v>48</v>
      </c>
      <c r="K158" s="434" t="s">
        <v>5405</v>
      </c>
      <c r="M158" s="128" t="s">
        <v>1764</v>
      </c>
      <c r="N158" s="730">
        <v>65283</v>
      </c>
      <c r="O158" s="730">
        <v>65283</v>
      </c>
      <c r="P158" s="459">
        <v>65292</v>
      </c>
      <c r="Q158" s="432" t="s">
        <v>51</v>
      </c>
    </row>
    <row r="159" spans="1:17">
      <c r="A159" s="509">
        <f t="shared" si="2"/>
        <v>158</v>
      </c>
      <c r="B159" s="1213" t="s">
        <v>43</v>
      </c>
      <c r="C159" s="1146" t="s">
        <v>44</v>
      </c>
      <c r="D159" s="1146" t="s">
        <v>45</v>
      </c>
      <c r="E159" s="432" t="s">
        <v>5558</v>
      </c>
      <c r="F159" s="434">
        <v>6</v>
      </c>
      <c r="G159" s="434">
        <v>9857823577</v>
      </c>
      <c r="I159" s="434">
        <v>81</v>
      </c>
      <c r="J159" s="434" t="s">
        <v>48</v>
      </c>
      <c r="K159" s="434" t="s">
        <v>5405</v>
      </c>
      <c r="M159" s="128" t="s">
        <v>1764</v>
      </c>
      <c r="N159" s="730">
        <v>65283</v>
      </c>
      <c r="O159" s="730">
        <v>65283</v>
      </c>
      <c r="P159" s="459">
        <v>65292</v>
      </c>
      <c r="Q159" s="432" t="s">
        <v>51</v>
      </c>
    </row>
    <row r="160" spans="1:17">
      <c r="A160" s="509">
        <f t="shared" si="2"/>
        <v>159</v>
      </c>
      <c r="B160" s="1213" t="s">
        <v>43</v>
      </c>
      <c r="C160" s="1146" t="s">
        <v>44</v>
      </c>
      <c r="D160" s="1146" t="s">
        <v>45</v>
      </c>
      <c r="E160" s="120" t="s">
        <v>5636</v>
      </c>
      <c r="F160" s="150">
        <v>4</v>
      </c>
      <c r="G160" s="150">
        <v>9845016630</v>
      </c>
      <c r="I160" s="150">
        <v>44</v>
      </c>
      <c r="J160" s="120" t="s">
        <v>48</v>
      </c>
      <c r="K160" s="120" t="s">
        <v>53</v>
      </c>
      <c r="M160" s="146" t="s">
        <v>119</v>
      </c>
      <c r="N160" s="246">
        <v>65283</v>
      </c>
      <c r="O160" s="246">
        <v>65283</v>
      </c>
      <c r="P160" s="459">
        <v>65292</v>
      </c>
      <c r="Q160" s="432" t="s">
        <v>51</v>
      </c>
    </row>
    <row r="161" spans="1:17">
      <c r="A161" s="509">
        <f t="shared" si="2"/>
        <v>160</v>
      </c>
      <c r="B161" s="1213" t="s">
        <v>43</v>
      </c>
      <c r="C161" s="1146" t="s">
        <v>44</v>
      </c>
      <c r="D161" s="1146" t="s">
        <v>45</v>
      </c>
      <c r="E161" s="144" t="s">
        <v>3222</v>
      </c>
      <c r="F161" s="150">
        <v>18</v>
      </c>
      <c r="G161" s="150">
        <v>9847822152</v>
      </c>
      <c r="I161" s="150">
        <v>35</v>
      </c>
      <c r="J161" s="120" t="s">
        <v>90</v>
      </c>
      <c r="K161" s="120" t="s">
        <v>53</v>
      </c>
      <c r="M161" s="146" t="s">
        <v>119</v>
      </c>
      <c r="N161" s="246">
        <v>65283</v>
      </c>
      <c r="O161" s="246">
        <v>65283</v>
      </c>
      <c r="P161" s="459">
        <v>65292</v>
      </c>
      <c r="Q161" s="432" t="s">
        <v>51</v>
      </c>
    </row>
    <row r="162" spans="1:17">
      <c r="A162" s="509">
        <f t="shared" si="2"/>
        <v>161</v>
      </c>
      <c r="B162" s="1213" t="s">
        <v>43</v>
      </c>
      <c r="C162" s="1146" t="s">
        <v>44</v>
      </c>
      <c r="D162" s="1146" t="s">
        <v>45</v>
      </c>
      <c r="E162" s="120" t="s">
        <v>5642</v>
      </c>
      <c r="F162" s="150">
        <v>6</v>
      </c>
      <c r="G162" s="150">
        <v>9857824994</v>
      </c>
      <c r="I162" s="150">
        <v>41</v>
      </c>
      <c r="J162" s="120" t="s">
        <v>48</v>
      </c>
      <c r="K162" s="120" t="s">
        <v>1480</v>
      </c>
      <c r="M162" s="146" t="s">
        <v>119</v>
      </c>
      <c r="N162" s="246">
        <v>65283</v>
      </c>
      <c r="O162" s="246">
        <v>65283</v>
      </c>
      <c r="P162" s="459">
        <v>65292</v>
      </c>
      <c r="Q162" s="432" t="s">
        <v>51</v>
      </c>
    </row>
    <row r="163" spans="1:17">
      <c r="A163" s="509">
        <f t="shared" si="2"/>
        <v>162</v>
      </c>
      <c r="B163" s="1213" t="s">
        <v>43</v>
      </c>
      <c r="C163" s="1146" t="s">
        <v>44</v>
      </c>
      <c r="D163" s="1146" t="s">
        <v>45</v>
      </c>
      <c r="E163" s="432" t="s">
        <v>5559</v>
      </c>
      <c r="F163" s="434">
        <v>5</v>
      </c>
      <c r="G163" s="434">
        <v>9840073264</v>
      </c>
      <c r="I163" s="434">
        <v>28</v>
      </c>
      <c r="J163" s="434" t="s">
        <v>48</v>
      </c>
      <c r="K163" s="434" t="s">
        <v>5405</v>
      </c>
      <c r="M163" s="128" t="s">
        <v>1764</v>
      </c>
      <c r="N163" s="730">
        <v>65284</v>
      </c>
      <c r="O163" s="730">
        <v>65284</v>
      </c>
      <c r="P163" s="459">
        <v>65293</v>
      </c>
      <c r="Q163" s="432" t="s">
        <v>51</v>
      </c>
    </row>
    <row r="164" spans="1:17">
      <c r="A164" s="509">
        <f t="shared" si="2"/>
        <v>163</v>
      </c>
      <c r="B164" s="1213" t="s">
        <v>43</v>
      </c>
      <c r="C164" s="1146" t="s">
        <v>44</v>
      </c>
      <c r="D164" s="1146" t="s">
        <v>45</v>
      </c>
      <c r="E164" s="432" t="s">
        <v>5560</v>
      </c>
      <c r="F164" s="434">
        <v>6</v>
      </c>
      <c r="G164" s="434">
        <v>9847838463</v>
      </c>
      <c r="I164" s="434">
        <v>27</v>
      </c>
      <c r="J164" s="128" t="s">
        <v>90</v>
      </c>
      <c r="K164" s="434" t="s">
        <v>5405</v>
      </c>
      <c r="M164" s="128" t="s">
        <v>1764</v>
      </c>
      <c r="N164" s="730">
        <v>65284</v>
      </c>
      <c r="O164" s="730">
        <v>65284</v>
      </c>
      <c r="P164" s="459">
        <v>65293</v>
      </c>
      <c r="Q164" s="432" t="s">
        <v>51</v>
      </c>
    </row>
    <row r="165" spans="1:17">
      <c r="A165" s="509">
        <f t="shared" si="2"/>
        <v>164</v>
      </c>
      <c r="B165" s="1213" t="s">
        <v>43</v>
      </c>
      <c r="C165" s="1146" t="s">
        <v>44</v>
      </c>
      <c r="D165" s="1146" t="s">
        <v>45</v>
      </c>
      <c r="E165" s="432" t="s">
        <v>5561</v>
      </c>
      <c r="F165" s="434">
        <v>5</v>
      </c>
      <c r="G165" s="434">
        <v>9847836979</v>
      </c>
      <c r="I165" s="434">
        <v>53</v>
      </c>
      <c r="J165" s="434" t="s">
        <v>48</v>
      </c>
      <c r="K165" s="434" t="s">
        <v>5405</v>
      </c>
      <c r="M165" s="128" t="s">
        <v>1764</v>
      </c>
      <c r="N165" s="730">
        <v>65284</v>
      </c>
      <c r="O165" s="730">
        <v>65284</v>
      </c>
      <c r="P165" s="459">
        <v>65293</v>
      </c>
      <c r="Q165" s="432" t="s">
        <v>51</v>
      </c>
    </row>
    <row r="166" spans="1:17">
      <c r="A166" s="509">
        <f t="shared" si="2"/>
        <v>165</v>
      </c>
      <c r="B166" s="1213" t="s">
        <v>43</v>
      </c>
      <c r="C166" s="1146" t="s">
        <v>44</v>
      </c>
      <c r="D166" s="1146" t="s">
        <v>45</v>
      </c>
      <c r="E166" s="432" t="s">
        <v>5562</v>
      </c>
      <c r="F166" s="434">
        <v>17</v>
      </c>
      <c r="G166" s="434">
        <v>9857826006</v>
      </c>
      <c r="I166" s="434">
        <v>10</v>
      </c>
      <c r="J166" s="434" t="s">
        <v>48</v>
      </c>
      <c r="K166" s="434" t="s">
        <v>5405</v>
      </c>
      <c r="M166" s="128" t="s">
        <v>1764</v>
      </c>
      <c r="N166" s="730">
        <v>65284</v>
      </c>
      <c r="O166" s="730">
        <v>65284</v>
      </c>
      <c r="P166" s="459">
        <v>65293</v>
      </c>
      <c r="Q166" s="432" t="s">
        <v>51</v>
      </c>
    </row>
    <row r="167" spans="1:17">
      <c r="A167" s="509">
        <f t="shared" si="2"/>
        <v>166</v>
      </c>
      <c r="B167" s="1213" t="s">
        <v>43</v>
      </c>
      <c r="C167" s="1146" t="s">
        <v>44</v>
      </c>
      <c r="D167" s="1146" t="s">
        <v>45</v>
      </c>
      <c r="E167" s="432" t="s">
        <v>5563</v>
      </c>
      <c r="F167" s="434">
        <v>6</v>
      </c>
      <c r="G167" s="434">
        <v>9857823716</v>
      </c>
      <c r="I167" s="434">
        <v>45</v>
      </c>
      <c r="J167" s="128" t="s">
        <v>90</v>
      </c>
      <c r="K167" s="434" t="s">
        <v>5405</v>
      </c>
      <c r="M167" s="128" t="s">
        <v>1764</v>
      </c>
      <c r="N167" s="730">
        <v>65284</v>
      </c>
      <c r="O167" s="730">
        <v>65284</v>
      </c>
      <c r="P167" s="459">
        <v>65293</v>
      </c>
      <c r="Q167" s="432" t="s">
        <v>51</v>
      </c>
    </row>
    <row r="168" spans="1:17">
      <c r="A168" s="509">
        <f t="shared" si="2"/>
        <v>167</v>
      </c>
      <c r="B168" s="1213" t="s">
        <v>43</v>
      </c>
      <c r="C168" s="1146" t="s">
        <v>44</v>
      </c>
      <c r="D168" s="1146" t="s">
        <v>45</v>
      </c>
      <c r="E168" s="432" t="s">
        <v>5564</v>
      </c>
      <c r="F168" s="434">
        <v>10</v>
      </c>
      <c r="G168" s="434">
        <v>9857823588</v>
      </c>
      <c r="I168" s="434">
        <v>33</v>
      </c>
      <c r="J168" s="434" t="s">
        <v>48</v>
      </c>
      <c r="K168" s="434" t="s">
        <v>5405</v>
      </c>
      <c r="M168" s="128" t="s">
        <v>1764</v>
      </c>
      <c r="N168" s="730">
        <v>65284</v>
      </c>
      <c r="O168" s="730">
        <v>65284</v>
      </c>
      <c r="P168" s="459">
        <v>65293</v>
      </c>
      <c r="Q168" s="432" t="s">
        <v>51</v>
      </c>
    </row>
    <row r="169" spans="1:17">
      <c r="A169" s="509">
        <f t="shared" si="2"/>
        <v>168</v>
      </c>
      <c r="B169" s="1213" t="s">
        <v>43</v>
      </c>
      <c r="C169" s="1146" t="s">
        <v>44</v>
      </c>
      <c r="D169" s="1146" t="s">
        <v>45</v>
      </c>
      <c r="E169" s="432" t="s">
        <v>5565</v>
      </c>
      <c r="F169" s="434">
        <v>6</v>
      </c>
      <c r="G169" s="434">
        <v>9857820708</v>
      </c>
      <c r="I169" s="434">
        <v>52</v>
      </c>
      <c r="J169" s="434" t="s">
        <v>48</v>
      </c>
      <c r="K169" s="434" t="s">
        <v>5405</v>
      </c>
      <c r="M169" s="128" t="s">
        <v>1764</v>
      </c>
      <c r="N169" s="730">
        <v>65284</v>
      </c>
      <c r="O169" s="730">
        <v>65284</v>
      </c>
      <c r="P169" s="459">
        <v>65293</v>
      </c>
      <c r="Q169" s="432" t="s">
        <v>51</v>
      </c>
    </row>
    <row r="170" spans="1:17">
      <c r="A170" s="509">
        <f t="shared" si="2"/>
        <v>169</v>
      </c>
      <c r="B170" s="1213" t="s">
        <v>43</v>
      </c>
      <c r="C170" s="1146" t="s">
        <v>44</v>
      </c>
      <c r="D170" s="1146" t="s">
        <v>45</v>
      </c>
      <c r="E170" s="432" t="s">
        <v>5566</v>
      </c>
      <c r="F170" s="434">
        <v>6</v>
      </c>
      <c r="G170" s="434">
        <v>9868606431</v>
      </c>
      <c r="I170" s="434">
        <v>37</v>
      </c>
      <c r="J170" s="434" t="s">
        <v>48</v>
      </c>
      <c r="K170" s="434" t="s">
        <v>5405</v>
      </c>
      <c r="M170" s="128" t="s">
        <v>1764</v>
      </c>
      <c r="N170" s="730">
        <v>65284</v>
      </c>
      <c r="O170" s="730">
        <v>65284</v>
      </c>
      <c r="P170" s="459">
        <v>65293</v>
      </c>
      <c r="Q170" s="432" t="s">
        <v>51</v>
      </c>
    </row>
    <row r="171" spans="1:17">
      <c r="A171" s="509">
        <f t="shared" si="2"/>
        <v>170</v>
      </c>
      <c r="B171" s="1213" t="s">
        <v>43</v>
      </c>
      <c r="C171" s="1146" t="s">
        <v>44</v>
      </c>
      <c r="D171" s="1146" t="s">
        <v>45</v>
      </c>
      <c r="E171" s="432" t="s">
        <v>5567</v>
      </c>
      <c r="F171" s="434">
        <v>4</v>
      </c>
      <c r="G171" s="434">
        <v>9851258768</v>
      </c>
      <c r="I171" s="434">
        <v>18</v>
      </c>
      <c r="J171" s="128" t="s">
        <v>90</v>
      </c>
      <c r="K171" s="434" t="s">
        <v>5405</v>
      </c>
      <c r="M171" s="128" t="s">
        <v>1764</v>
      </c>
      <c r="N171" s="730">
        <v>65284</v>
      </c>
      <c r="O171" s="730">
        <v>65284</v>
      </c>
      <c r="P171" s="459">
        <v>65293</v>
      </c>
      <c r="Q171" s="432" t="s">
        <v>51</v>
      </c>
    </row>
    <row r="172" spans="1:17">
      <c r="A172" s="509">
        <f t="shared" si="2"/>
        <v>171</v>
      </c>
      <c r="B172" s="1213" t="s">
        <v>43</v>
      </c>
      <c r="C172" s="1146" t="s">
        <v>44</v>
      </c>
      <c r="D172" s="1146" t="s">
        <v>45</v>
      </c>
      <c r="E172" s="432" t="s">
        <v>5568</v>
      </c>
      <c r="F172" s="434">
        <v>8</v>
      </c>
      <c r="G172" s="434">
        <v>9866941678</v>
      </c>
      <c r="I172" s="434">
        <v>8</v>
      </c>
      <c r="J172" s="434" t="s">
        <v>48</v>
      </c>
      <c r="K172" s="434" t="s">
        <v>5405</v>
      </c>
      <c r="M172" s="128" t="s">
        <v>1764</v>
      </c>
      <c r="N172" s="730">
        <v>65284</v>
      </c>
      <c r="O172" s="730">
        <v>65284</v>
      </c>
      <c r="P172" s="459">
        <v>65293</v>
      </c>
      <c r="Q172" s="432" t="s">
        <v>51</v>
      </c>
    </row>
    <row r="173" spans="1:17">
      <c r="A173" s="509">
        <f t="shared" si="2"/>
        <v>172</v>
      </c>
      <c r="B173" s="1213" t="s">
        <v>43</v>
      </c>
      <c r="C173" s="1146" t="s">
        <v>44</v>
      </c>
      <c r="D173" s="1146" t="s">
        <v>45</v>
      </c>
      <c r="E173" s="432" t="s">
        <v>5569</v>
      </c>
      <c r="F173" s="434">
        <v>6</v>
      </c>
      <c r="G173" s="434">
        <v>9847939496</v>
      </c>
      <c r="I173" s="434">
        <v>44</v>
      </c>
      <c r="J173" s="128" t="s">
        <v>90</v>
      </c>
      <c r="K173" s="434" t="s">
        <v>5405</v>
      </c>
      <c r="M173" s="128" t="s">
        <v>1764</v>
      </c>
      <c r="N173" s="730">
        <v>65284</v>
      </c>
      <c r="O173" s="730">
        <v>65284</v>
      </c>
      <c r="P173" s="459">
        <v>65293</v>
      </c>
      <c r="Q173" s="432" t="s">
        <v>51</v>
      </c>
    </row>
    <row r="174" spans="1:17">
      <c r="A174" s="509">
        <f t="shared" si="2"/>
        <v>173</v>
      </c>
      <c r="B174" s="1213" t="s">
        <v>43</v>
      </c>
      <c r="C174" s="1146" t="s">
        <v>44</v>
      </c>
      <c r="D174" s="1146" t="s">
        <v>45</v>
      </c>
      <c r="E174" s="432" t="s">
        <v>5570</v>
      </c>
      <c r="F174" s="434">
        <v>5</v>
      </c>
      <c r="G174" s="434">
        <v>9857834950</v>
      </c>
      <c r="I174" s="434">
        <v>31</v>
      </c>
      <c r="J174" s="434" t="s">
        <v>48</v>
      </c>
      <c r="K174" s="434" t="s">
        <v>5405</v>
      </c>
      <c r="M174" s="128" t="s">
        <v>1764</v>
      </c>
      <c r="N174" s="730">
        <v>65284</v>
      </c>
      <c r="O174" s="730">
        <v>65284</v>
      </c>
      <c r="P174" s="459">
        <v>65293</v>
      </c>
      <c r="Q174" s="432" t="s">
        <v>51</v>
      </c>
    </row>
    <row r="175" spans="1:17">
      <c r="A175" s="509">
        <f t="shared" si="2"/>
        <v>174</v>
      </c>
      <c r="B175" s="1213" t="s">
        <v>43</v>
      </c>
      <c r="C175" s="1146" t="s">
        <v>44</v>
      </c>
      <c r="D175" s="1146" t="s">
        <v>45</v>
      </c>
      <c r="E175" s="432" t="s">
        <v>5571</v>
      </c>
      <c r="F175" s="434">
        <v>1</v>
      </c>
      <c r="G175" s="434">
        <v>9847835073</v>
      </c>
      <c r="I175" s="434">
        <v>44</v>
      </c>
      <c r="J175" s="434" t="s">
        <v>48</v>
      </c>
      <c r="K175" s="434" t="s">
        <v>5405</v>
      </c>
      <c r="M175" s="128" t="s">
        <v>1764</v>
      </c>
      <c r="N175" s="730">
        <v>65284</v>
      </c>
      <c r="O175" s="730">
        <v>65284</v>
      </c>
      <c r="P175" s="459">
        <v>65293</v>
      </c>
      <c r="Q175" s="432" t="s">
        <v>51</v>
      </c>
    </row>
    <row r="176" spans="1:17">
      <c r="A176" s="509">
        <f t="shared" si="2"/>
        <v>175</v>
      </c>
      <c r="B176" s="1213" t="s">
        <v>43</v>
      </c>
      <c r="C176" s="1146" t="s">
        <v>44</v>
      </c>
      <c r="D176" s="1146" t="s">
        <v>45</v>
      </c>
      <c r="E176" s="432" t="s">
        <v>5572</v>
      </c>
      <c r="F176" s="434">
        <v>7</v>
      </c>
      <c r="G176" s="434">
        <v>9847824212</v>
      </c>
      <c r="I176" s="434">
        <v>14</v>
      </c>
      <c r="J176" s="434" t="s">
        <v>48</v>
      </c>
      <c r="K176" s="434" t="s">
        <v>5405</v>
      </c>
      <c r="M176" s="128" t="s">
        <v>1764</v>
      </c>
      <c r="N176" s="730">
        <v>65284</v>
      </c>
      <c r="O176" s="730">
        <v>65284</v>
      </c>
      <c r="P176" s="459">
        <v>65293</v>
      </c>
      <c r="Q176" s="432" t="s">
        <v>51</v>
      </c>
    </row>
    <row r="177" spans="1:17">
      <c r="A177" s="509">
        <f t="shared" si="2"/>
        <v>176</v>
      </c>
      <c r="B177" s="1213" t="s">
        <v>43</v>
      </c>
      <c r="C177" s="1146" t="s">
        <v>44</v>
      </c>
      <c r="D177" s="1146" t="s">
        <v>45</v>
      </c>
      <c r="E177" s="432" t="s">
        <v>3560</v>
      </c>
      <c r="F177" s="434">
        <v>18</v>
      </c>
      <c r="G177" s="434">
        <v>9861185862</v>
      </c>
      <c r="I177" s="434">
        <v>64</v>
      </c>
      <c r="J177" s="434" t="s">
        <v>48</v>
      </c>
      <c r="K177" s="434" t="s">
        <v>5405</v>
      </c>
      <c r="M177" s="128" t="s">
        <v>5672</v>
      </c>
      <c r="N177" s="730">
        <v>65284</v>
      </c>
      <c r="O177" s="730">
        <v>65284</v>
      </c>
      <c r="P177" s="459">
        <v>65293</v>
      </c>
      <c r="Q177" s="432" t="s">
        <v>51</v>
      </c>
    </row>
    <row r="178" spans="1:17">
      <c r="A178" s="509">
        <f t="shared" si="2"/>
        <v>177</v>
      </c>
      <c r="B178" s="1213" t="s">
        <v>43</v>
      </c>
      <c r="C178" s="1146" t="s">
        <v>44</v>
      </c>
      <c r="D178" s="1146" t="s">
        <v>45</v>
      </c>
      <c r="E178" s="432" t="s">
        <v>5573</v>
      </c>
      <c r="F178" s="434">
        <v>18</v>
      </c>
      <c r="G178" s="434">
        <v>9861185862</v>
      </c>
      <c r="I178" s="434">
        <v>59</v>
      </c>
      <c r="J178" s="128" t="s">
        <v>90</v>
      </c>
      <c r="K178" s="434" t="s">
        <v>5405</v>
      </c>
      <c r="M178" s="128" t="s">
        <v>1764</v>
      </c>
      <c r="N178" s="730">
        <v>65284</v>
      </c>
      <c r="O178" s="730">
        <v>65284</v>
      </c>
      <c r="P178" s="459">
        <v>65293</v>
      </c>
      <c r="Q178" s="432" t="s">
        <v>51</v>
      </c>
    </row>
    <row r="179" spans="1:17">
      <c r="A179" s="509">
        <f t="shared" si="2"/>
        <v>178</v>
      </c>
      <c r="B179" s="1213" t="s">
        <v>43</v>
      </c>
      <c r="C179" s="1146" t="s">
        <v>44</v>
      </c>
      <c r="D179" s="1146" t="s">
        <v>45</v>
      </c>
      <c r="E179" s="432" t="s">
        <v>5574</v>
      </c>
      <c r="F179" s="434">
        <v>18</v>
      </c>
      <c r="G179" s="434">
        <v>9847835907</v>
      </c>
      <c r="I179" s="434">
        <v>42</v>
      </c>
      <c r="J179" s="128" t="s">
        <v>90</v>
      </c>
      <c r="K179" s="434" t="s">
        <v>5405</v>
      </c>
      <c r="M179" s="128" t="s">
        <v>5672</v>
      </c>
      <c r="N179" s="730">
        <v>65284</v>
      </c>
      <c r="O179" s="730">
        <v>65284</v>
      </c>
      <c r="P179" s="459">
        <v>65293</v>
      </c>
      <c r="Q179" s="432" t="s">
        <v>51</v>
      </c>
    </row>
    <row r="180" spans="1:17">
      <c r="A180" s="509">
        <f t="shared" si="2"/>
        <v>179</v>
      </c>
      <c r="B180" s="1213" t="s">
        <v>43</v>
      </c>
      <c r="C180" s="1146" t="s">
        <v>44</v>
      </c>
      <c r="D180" s="1146" t="s">
        <v>45</v>
      </c>
      <c r="E180" s="432" t="s">
        <v>5575</v>
      </c>
      <c r="F180" s="434">
        <v>5</v>
      </c>
      <c r="G180" s="434">
        <v>9857825532</v>
      </c>
      <c r="I180" s="434">
        <v>38</v>
      </c>
      <c r="J180" s="128" t="s">
        <v>90</v>
      </c>
      <c r="K180" s="434" t="s">
        <v>5405</v>
      </c>
      <c r="M180" s="128" t="s">
        <v>1764</v>
      </c>
      <c r="N180" s="730">
        <v>65284</v>
      </c>
      <c r="O180" s="730">
        <v>65284</v>
      </c>
      <c r="P180" s="459">
        <v>65293</v>
      </c>
      <c r="Q180" s="432" t="s">
        <v>51</v>
      </c>
    </row>
    <row r="181" spans="1:17">
      <c r="A181" s="509">
        <f t="shared" si="2"/>
        <v>180</v>
      </c>
      <c r="B181" s="1213" t="s">
        <v>43</v>
      </c>
      <c r="C181" s="1146" t="s">
        <v>44</v>
      </c>
      <c r="D181" s="1146" t="s">
        <v>45</v>
      </c>
      <c r="E181" s="432" t="s">
        <v>5576</v>
      </c>
      <c r="F181" s="434">
        <v>4</v>
      </c>
      <c r="G181" s="434">
        <v>9866170494</v>
      </c>
      <c r="I181" s="434">
        <v>14</v>
      </c>
      <c r="J181" s="128" t="s">
        <v>90</v>
      </c>
      <c r="K181" s="434" t="s">
        <v>5405</v>
      </c>
      <c r="M181" s="128" t="s">
        <v>1764</v>
      </c>
      <c r="N181" s="730">
        <v>65284</v>
      </c>
      <c r="O181" s="730">
        <v>65284</v>
      </c>
      <c r="P181" s="459">
        <v>65293</v>
      </c>
      <c r="Q181" s="432" t="s">
        <v>51</v>
      </c>
    </row>
    <row r="182" spans="1:17">
      <c r="A182" s="509">
        <f t="shared" si="2"/>
        <v>181</v>
      </c>
      <c r="B182" s="1213" t="s">
        <v>43</v>
      </c>
      <c r="C182" s="1146" t="s">
        <v>44</v>
      </c>
      <c r="D182" s="1146" t="s">
        <v>45</v>
      </c>
      <c r="E182" s="432" t="s">
        <v>5577</v>
      </c>
      <c r="F182" s="434">
        <v>6</v>
      </c>
      <c r="G182" s="434">
        <v>9843111223</v>
      </c>
      <c r="I182" s="434">
        <v>35</v>
      </c>
      <c r="J182" s="434" t="s">
        <v>48</v>
      </c>
      <c r="K182" s="434" t="s">
        <v>3293</v>
      </c>
      <c r="M182" s="128" t="s">
        <v>1764</v>
      </c>
      <c r="N182" s="730">
        <v>65284</v>
      </c>
      <c r="O182" s="730">
        <v>65284</v>
      </c>
      <c r="P182" s="459">
        <v>65293</v>
      </c>
      <c r="Q182" s="432" t="s">
        <v>51</v>
      </c>
    </row>
    <row r="183" spans="1:17">
      <c r="A183" s="509">
        <f t="shared" si="2"/>
        <v>182</v>
      </c>
      <c r="B183" s="1213" t="s">
        <v>43</v>
      </c>
      <c r="C183" s="1146" t="s">
        <v>44</v>
      </c>
      <c r="D183" s="1146" t="s">
        <v>45</v>
      </c>
      <c r="E183" s="432" t="s">
        <v>5578</v>
      </c>
      <c r="F183" s="434">
        <v>4</v>
      </c>
      <c r="G183" s="434">
        <v>9866973010</v>
      </c>
      <c r="I183" s="434">
        <v>14</v>
      </c>
      <c r="J183" s="434" t="s">
        <v>48</v>
      </c>
      <c r="K183" s="434" t="s">
        <v>3293</v>
      </c>
      <c r="M183" s="128" t="s">
        <v>1764</v>
      </c>
      <c r="N183" s="730">
        <v>65284</v>
      </c>
      <c r="O183" s="730">
        <v>65284</v>
      </c>
      <c r="P183" s="459">
        <v>65293</v>
      </c>
      <c r="Q183" s="432" t="s">
        <v>51</v>
      </c>
    </row>
    <row r="184" spans="1:17">
      <c r="A184" s="509">
        <f t="shared" si="2"/>
        <v>183</v>
      </c>
      <c r="B184" s="1213" t="s">
        <v>43</v>
      </c>
      <c r="C184" s="1146" t="s">
        <v>44</v>
      </c>
      <c r="D184" s="1146" t="s">
        <v>45</v>
      </c>
      <c r="E184" s="432" t="s">
        <v>5579</v>
      </c>
      <c r="F184" s="434">
        <v>5</v>
      </c>
      <c r="G184" s="434">
        <v>9857821917</v>
      </c>
      <c r="I184" s="434">
        <v>45</v>
      </c>
      <c r="J184" s="434" t="s">
        <v>48</v>
      </c>
      <c r="K184" s="434" t="s">
        <v>3293</v>
      </c>
      <c r="M184" s="128" t="s">
        <v>1764</v>
      </c>
      <c r="N184" s="730">
        <v>65284</v>
      </c>
      <c r="O184" s="730">
        <v>65284</v>
      </c>
      <c r="P184" s="459">
        <v>65293</v>
      </c>
      <c r="Q184" s="432" t="s">
        <v>51</v>
      </c>
    </row>
    <row r="185" spans="1:17">
      <c r="A185" s="509">
        <f t="shared" si="2"/>
        <v>184</v>
      </c>
      <c r="B185" s="1213" t="s">
        <v>43</v>
      </c>
      <c r="C185" s="1146" t="s">
        <v>44</v>
      </c>
      <c r="D185" s="1146" t="s">
        <v>45</v>
      </c>
      <c r="E185" s="432" t="s">
        <v>5580</v>
      </c>
      <c r="F185" s="434">
        <v>9</v>
      </c>
      <c r="G185" s="434">
        <v>9857821348</v>
      </c>
      <c r="I185" s="434">
        <v>39</v>
      </c>
      <c r="J185" s="434" t="s">
        <v>48</v>
      </c>
      <c r="K185" s="434" t="s">
        <v>3293</v>
      </c>
      <c r="M185" s="128" t="s">
        <v>1764</v>
      </c>
      <c r="N185" s="730">
        <v>65284</v>
      </c>
      <c r="O185" s="730">
        <v>65284</v>
      </c>
      <c r="P185" s="459">
        <v>65293</v>
      </c>
      <c r="Q185" s="432" t="s">
        <v>51</v>
      </c>
    </row>
    <row r="186" spans="1:17">
      <c r="A186" s="509">
        <f t="shared" si="2"/>
        <v>185</v>
      </c>
      <c r="B186" s="1213" t="s">
        <v>43</v>
      </c>
      <c r="C186" s="1146" t="s">
        <v>44</v>
      </c>
      <c r="D186" s="1146" t="s">
        <v>45</v>
      </c>
      <c r="E186" s="432" t="s">
        <v>5581</v>
      </c>
      <c r="F186" s="434">
        <v>18</v>
      </c>
      <c r="G186" s="434">
        <v>9857881222</v>
      </c>
      <c r="I186" s="434">
        <v>15</v>
      </c>
      <c r="J186" s="128" t="s">
        <v>90</v>
      </c>
      <c r="K186" s="434" t="s">
        <v>5405</v>
      </c>
      <c r="M186" s="128" t="s">
        <v>1764</v>
      </c>
      <c r="N186" s="730">
        <v>65284</v>
      </c>
      <c r="O186" s="730">
        <v>65284</v>
      </c>
      <c r="P186" s="459">
        <v>65293</v>
      </c>
      <c r="Q186" s="432" t="s">
        <v>51</v>
      </c>
    </row>
    <row r="187" spans="1:17">
      <c r="A187" s="509">
        <f t="shared" si="2"/>
        <v>186</v>
      </c>
      <c r="B187" s="1213" t="s">
        <v>43</v>
      </c>
      <c r="C187" s="1146" t="s">
        <v>44</v>
      </c>
      <c r="D187" s="1146" t="s">
        <v>45</v>
      </c>
      <c r="E187" s="432" t="s">
        <v>5582</v>
      </c>
      <c r="F187" s="434">
        <v>6</v>
      </c>
      <c r="G187" s="434">
        <v>9845977606</v>
      </c>
      <c r="I187" s="434">
        <v>34</v>
      </c>
      <c r="J187" s="434" t="s">
        <v>48</v>
      </c>
      <c r="K187" s="434" t="s">
        <v>5405</v>
      </c>
      <c r="M187" s="128" t="s">
        <v>1764</v>
      </c>
      <c r="N187" s="730">
        <v>65284</v>
      </c>
      <c r="O187" s="730">
        <v>65284</v>
      </c>
      <c r="P187" s="459">
        <v>65293</v>
      </c>
      <c r="Q187" s="432" t="s">
        <v>51</v>
      </c>
    </row>
    <row r="188" spans="1:17">
      <c r="A188" s="509">
        <f t="shared" si="2"/>
        <v>187</v>
      </c>
      <c r="B188" s="1213" t="s">
        <v>43</v>
      </c>
      <c r="C188" s="1146" t="s">
        <v>44</v>
      </c>
      <c r="D188" s="1146" t="s">
        <v>45</v>
      </c>
      <c r="E188" s="432" t="s">
        <v>5583</v>
      </c>
      <c r="F188" s="434">
        <v>6</v>
      </c>
      <c r="G188" s="434">
        <v>9845977606</v>
      </c>
      <c r="I188" s="434">
        <v>12</v>
      </c>
      <c r="J188" s="434" t="s">
        <v>48</v>
      </c>
      <c r="K188" s="434" t="s">
        <v>5405</v>
      </c>
      <c r="M188" s="128" t="s">
        <v>1764</v>
      </c>
      <c r="N188" s="730">
        <v>65284</v>
      </c>
      <c r="O188" s="730">
        <v>65284</v>
      </c>
      <c r="P188" s="459">
        <v>65293</v>
      </c>
      <c r="Q188" s="432" t="s">
        <v>51</v>
      </c>
    </row>
    <row r="189" spans="1:17">
      <c r="A189" s="509">
        <f t="shared" si="2"/>
        <v>188</v>
      </c>
      <c r="B189" s="1213" t="s">
        <v>43</v>
      </c>
      <c r="C189" s="1146" t="s">
        <v>44</v>
      </c>
      <c r="D189" s="1146" t="s">
        <v>45</v>
      </c>
      <c r="E189" s="432" t="s">
        <v>5584</v>
      </c>
      <c r="F189" s="434">
        <v>6</v>
      </c>
      <c r="G189" s="434">
        <v>9866902405</v>
      </c>
      <c r="I189" s="434">
        <v>26</v>
      </c>
      <c r="J189" s="128" t="s">
        <v>90</v>
      </c>
      <c r="K189" s="434" t="s">
        <v>5405</v>
      </c>
      <c r="M189" s="128" t="s">
        <v>1764</v>
      </c>
      <c r="N189" s="730">
        <v>65284</v>
      </c>
      <c r="O189" s="730">
        <v>65284</v>
      </c>
      <c r="P189" s="459">
        <v>65293</v>
      </c>
      <c r="Q189" s="432" t="s">
        <v>51</v>
      </c>
    </row>
    <row r="190" spans="1:17">
      <c r="A190" s="509">
        <f t="shared" si="2"/>
        <v>189</v>
      </c>
      <c r="B190" s="1213" t="s">
        <v>43</v>
      </c>
      <c r="C190" s="1146" t="s">
        <v>44</v>
      </c>
      <c r="D190" s="1146" t="s">
        <v>45</v>
      </c>
      <c r="E190" s="247" t="s">
        <v>5610</v>
      </c>
      <c r="F190" s="247">
        <v>1</v>
      </c>
      <c r="G190" s="247">
        <v>9810886583</v>
      </c>
      <c r="H190" s="247"/>
      <c r="I190" s="247">
        <v>5</v>
      </c>
      <c r="J190" s="247" t="s">
        <v>90</v>
      </c>
      <c r="K190" s="247" t="s">
        <v>5259</v>
      </c>
      <c r="L190" s="894"/>
      <c r="M190" s="247" t="s">
        <v>1764</v>
      </c>
      <c r="N190" s="1257">
        <v>65284</v>
      </c>
      <c r="O190" s="1257">
        <v>65284</v>
      </c>
      <c r="P190" s="459">
        <v>65293</v>
      </c>
      <c r="Q190" s="432" t="s">
        <v>51</v>
      </c>
    </row>
    <row r="191" spans="1:17">
      <c r="A191" s="509">
        <f t="shared" si="2"/>
        <v>190</v>
      </c>
      <c r="B191" s="1213" t="s">
        <v>43</v>
      </c>
      <c r="C191" s="1146" t="s">
        <v>44</v>
      </c>
      <c r="D191" s="1146" t="s">
        <v>45</v>
      </c>
      <c r="E191" s="247" t="s">
        <v>5611</v>
      </c>
      <c r="F191" s="247">
        <v>5</v>
      </c>
      <c r="G191" s="247">
        <v>9812882684</v>
      </c>
      <c r="H191" s="247"/>
      <c r="I191" s="247">
        <v>5</v>
      </c>
      <c r="J191" s="247" t="s">
        <v>90</v>
      </c>
      <c r="K191" s="247" t="s">
        <v>5259</v>
      </c>
      <c r="L191" s="894"/>
      <c r="M191" s="247" t="s">
        <v>1764</v>
      </c>
      <c r="N191" s="1257">
        <v>65284</v>
      </c>
      <c r="O191" s="1257">
        <v>65284</v>
      </c>
      <c r="P191" s="459">
        <v>65293</v>
      </c>
      <c r="Q191" s="432" t="s">
        <v>51</v>
      </c>
    </row>
    <row r="192" spans="1:17">
      <c r="A192" s="509">
        <f t="shared" si="2"/>
        <v>191</v>
      </c>
      <c r="B192" s="1213" t="s">
        <v>43</v>
      </c>
      <c r="C192" s="1146" t="s">
        <v>44</v>
      </c>
      <c r="D192" s="1146" t="s">
        <v>45</v>
      </c>
      <c r="E192" s="432" t="s">
        <v>5585</v>
      </c>
      <c r="F192" s="434">
        <v>6</v>
      </c>
      <c r="G192" s="434">
        <v>9847823787</v>
      </c>
      <c r="I192" s="434">
        <v>39</v>
      </c>
      <c r="J192" s="128" t="s">
        <v>90</v>
      </c>
      <c r="K192" s="434" t="s">
        <v>5405</v>
      </c>
      <c r="M192" s="128" t="s">
        <v>1764</v>
      </c>
      <c r="N192" s="730">
        <v>65285</v>
      </c>
      <c r="O192" s="730">
        <v>65285</v>
      </c>
      <c r="P192" s="459">
        <v>65294</v>
      </c>
      <c r="Q192" s="432" t="s">
        <v>51</v>
      </c>
    </row>
    <row r="193" spans="1:17">
      <c r="A193" s="509">
        <f t="shared" si="2"/>
        <v>192</v>
      </c>
      <c r="B193" s="1213" t="s">
        <v>43</v>
      </c>
      <c r="C193" s="1146" t="s">
        <v>44</v>
      </c>
      <c r="D193" s="1146" t="s">
        <v>45</v>
      </c>
      <c r="E193" s="432" t="s">
        <v>5586</v>
      </c>
      <c r="F193" s="434">
        <v>5</v>
      </c>
      <c r="G193" s="434">
        <v>9844905114</v>
      </c>
      <c r="I193" s="434">
        <v>45</v>
      </c>
      <c r="J193" s="128" t="s">
        <v>90</v>
      </c>
      <c r="K193" s="434" t="s">
        <v>5405</v>
      </c>
      <c r="M193" s="128" t="s">
        <v>1764</v>
      </c>
      <c r="N193" s="730">
        <v>65285</v>
      </c>
      <c r="O193" s="730">
        <v>65285</v>
      </c>
      <c r="P193" s="459">
        <v>65294</v>
      </c>
      <c r="Q193" s="432" t="s">
        <v>51</v>
      </c>
    </row>
    <row r="194" spans="1:17">
      <c r="A194" s="509">
        <f t="shared" si="2"/>
        <v>193</v>
      </c>
      <c r="B194" s="1213" t="s">
        <v>43</v>
      </c>
      <c r="C194" s="1146" t="s">
        <v>44</v>
      </c>
      <c r="D194" s="1146" t="s">
        <v>45</v>
      </c>
      <c r="E194" s="432" t="s">
        <v>4748</v>
      </c>
      <c r="F194" s="434">
        <v>12</v>
      </c>
      <c r="G194" s="434">
        <v>9857821044</v>
      </c>
      <c r="I194" s="434">
        <v>44</v>
      </c>
      <c r="J194" s="434" t="s">
        <v>48</v>
      </c>
      <c r="K194" s="434" t="s">
        <v>5405</v>
      </c>
      <c r="M194" s="128" t="s">
        <v>1764</v>
      </c>
      <c r="N194" s="730">
        <v>65285</v>
      </c>
      <c r="O194" s="730">
        <v>65285</v>
      </c>
      <c r="P194" s="459">
        <v>65294</v>
      </c>
      <c r="Q194" s="432" t="s">
        <v>51</v>
      </c>
    </row>
    <row r="195" spans="1:17">
      <c r="A195" s="509">
        <f t="shared" ref="A195:A258" si="3">A194+1</f>
        <v>194</v>
      </c>
      <c r="B195" s="1213" t="s">
        <v>43</v>
      </c>
      <c r="C195" s="1146" t="s">
        <v>44</v>
      </c>
      <c r="D195" s="1146" t="s">
        <v>45</v>
      </c>
      <c r="E195" s="432" t="s">
        <v>5587</v>
      </c>
      <c r="F195" s="434">
        <v>8</v>
      </c>
      <c r="G195" s="434">
        <v>9847833396</v>
      </c>
      <c r="I195" s="434">
        <v>40</v>
      </c>
      <c r="J195" s="434" t="s">
        <v>48</v>
      </c>
      <c r="K195" s="434" t="s">
        <v>5405</v>
      </c>
      <c r="M195" s="128" t="s">
        <v>1764</v>
      </c>
      <c r="N195" s="730">
        <v>65285</v>
      </c>
      <c r="O195" s="730">
        <v>65285</v>
      </c>
      <c r="P195" s="459">
        <v>65294</v>
      </c>
      <c r="Q195" s="432" t="s">
        <v>51</v>
      </c>
    </row>
    <row r="196" spans="1:17">
      <c r="A196" s="509">
        <f t="shared" si="3"/>
        <v>195</v>
      </c>
      <c r="B196" s="1213" t="s">
        <v>43</v>
      </c>
      <c r="C196" s="1146" t="s">
        <v>44</v>
      </c>
      <c r="D196" s="1146" t="s">
        <v>45</v>
      </c>
      <c r="E196" s="432" t="s">
        <v>5588</v>
      </c>
      <c r="F196" s="434">
        <v>9</v>
      </c>
      <c r="G196" s="434">
        <v>9847649332</v>
      </c>
      <c r="I196" s="434">
        <v>33</v>
      </c>
      <c r="J196" s="128" t="s">
        <v>90</v>
      </c>
      <c r="K196" s="434" t="s">
        <v>5405</v>
      </c>
      <c r="M196" s="128" t="s">
        <v>1764</v>
      </c>
      <c r="N196" s="730">
        <v>65285</v>
      </c>
      <c r="O196" s="730">
        <v>65285</v>
      </c>
      <c r="P196" s="459">
        <v>65294</v>
      </c>
      <c r="Q196" s="432" t="s">
        <v>51</v>
      </c>
    </row>
    <row r="197" spans="1:17">
      <c r="A197" s="509">
        <f t="shared" si="3"/>
        <v>196</v>
      </c>
      <c r="B197" s="1213" t="s">
        <v>43</v>
      </c>
      <c r="C197" s="1146" t="s">
        <v>44</v>
      </c>
      <c r="D197" s="1146" t="s">
        <v>45</v>
      </c>
      <c r="E197" s="432" t="s">
        <v>5612</v>
      </c>
      <c r="F197" s="434">
        <v>6</v>
      </c>
      <c r="G197" s="434">
        <v>9868933473</v>
      </c>
      <c r="I197" s="434">
        <v>54</v>
      </c>
      <c r="J197" s="434" t="s">
        <v>48</v>
      </c>
      <c r="K197" s="434" t="s">
        <v>5405</v>
      </c>
      <c r="M197" s="128" t="s">
        <v>1764</v>
      </c>
      <c r="N197" s="730">
        <v>65285</v>
      </c>
      <c r="O197" s="730">
        <v>65285</v>
      </c>
      <c r="P197" s="459">
        <v>65294</v>
      </c>
      <c r="Q197" s="432" t="s">
        <v>51</v>
      </c>
    </row>
    <row r="198" spans="1:17">
      <c r="A198" s="509">
        <f t="shared" si="3"/>
        <v>197</v>
      </c>
      <c r="B198" s="1213" t="s">
        <v>43</v>
      </c>
      <c r="C198" s="1146" t="s">
        <v>44</v>
      </c>
      <c r="D198" s="1146" t="s">
        <v>45</v>
      </c>
      <c r="E198" s="432" t="s">
        <v>1206</v>
      </c>
      <c r="F198" s="434">
        <v>8</v>
      </c>
      <c r="G198" s="434">
        <v>9849607369</v>
      </c>
      <c r="I198" s="434">
        <v>66</v>
      </c>
      <c r="J198" s="434" t="s">
        <v>48</v>
      </c>
      <c r="K198" s="434" t="s">
        <v>5405</v>
      </c>
      <c r="M198" s="128" t="s">
        <v>1764</v>
      </c>
      <c r="N198" s="730">
        <v>65285</v>
      </c>
      <c r="O198" s="730">
        <v>65285</v>
      </c>
      <c r="P198" s="459">
        <v>65294</v>
      </c>
      <c r="Q198" s="432" t="s">
        <v>51</v>
      </c>
    </row>
    <row r="199" spans="1:17">
      <c r="A199" s="509">
        <f t="shared" si="3"/>
        <v>198</v>
      </c>
      <c r="B199" s="1213" t="s">
        <v>43</v>
      </c>
      <c r="C199" s="1146" t="s">
        <v>44</v>
      </c>
      <c r="D199" s="1146" t="s">
        <v>45</v>
      </c>
      <c r="E199" s="432" t="s">
        <v>5613</v>
      </c>
      <c r="F199" s="434">
        <v>6</v>
      </c>
      <c r="G199" s="434">
        <v>9847835643</v>
      </c>
      <c r="I199" s="434">
        <v>52</v>
      </c>
      <c r="J199" s="434" t="s">
        <v>48</v>
      </c>
      <c r="K199" s="434" t="s">
        <v>5405</v>
      </c>
      <c r="M199" s="128" t="s">
        <v>1764</v>
      </c>
      <c r="N199" s="730">
        <v>65285</v>
      </c>
      <c r="O199" s="730">
        <v>65285</v>
      </c>
      <c r="P199" s="459">
        <v>65294</v>
      </c>
      <c r="Q199" s="432" t="s">
        <v>51</v>
      </c>
    </row>
    <row r="200" spans="1:17">
      <c r="A200" s="509">
        <f t="shared" si="3"/>
        <v>199</v>
      </c>
      <c r="B200" s="1213" t="s">
        <v>43</v>
      </c>
      <c r="C200" s="1146" t="s">
        <v>44</v>
      </c>
      <c r="D200" s="1146" t="s">
        <v>45</v>
      </c>
      <c r="E200" s="432" t="s">
        <v>5614</v>
      </c>
      <c r="F200" s="434">
        <v>5</v>
      </c>
      <c r="G200" s="434">
        <v>9812888200</v>
      </c>
      <c r="I200" s="434">
        <v>36</v>
      </c>
      <c r="J200" s="434" t="s">
        <v>48</v>
      </c>
      <c r="K200" s="434" t="s">
        <v>5405</v>
      </c>
      <c r="M200" s="128" t="s">
        <v>1764</v>
      </c>
      <c r="N200" s="730">
        <v>65285</v>
      </c>
      <c r="O200" s="730">
        <v>65285</v>
      </c>
      <c r="P200" s="459">
        <v>65294</v>
      </c>
      <c r="Q200" s="432" t="s">
        <v>51</v>
      </c>
    </row>
    <row r="201" spans="1:17">
      <c r="A201" s="509">
        <f t="shared" si="3"/>
        <v>200</v>
      </c>
      <c r="B201" s="1213" t="s">
        <v>43</v>
      </c>
      <c r="C201" s="1146" t="s">
        <v>44</v>
      </c>
      <c r="D201" s="1146" t="s">
        <v>45</v>
      </c>
      <c r="E201" s="432" t="s">
        <v>1168</v>
      </c>
      <c r="F201" s="434">
        <v>6</v>
      </c>
      <c r="G201" s="434">
        <v>9847825712</v>
      </c>
      <c r="I201" s="434">
        <v>47</v>
      </c>
      <c r="J201" s="434" t="s">
        <v>48</v>
      </c>
      <c r="K201" s="434" t="s">
        <v>5405</v>
      </c>
      <c r="M201" s="128" t="s">
        <v>1764</v>
      </c>
      <c r="N201" s="730">
        <v>65285</v>
      </c>
      <c r="O201" s="730">
        <v>65285</v>
      </c>
      <c r="P201" s="459">
        <v>65294</v>
      </c>
      <c r="Q201" s="432" t="s">
        <v>51</v>
      </c>
    </row>
    <row r="202" spans="1:17">
      <c r="A202" s="509">
        <f t="shared" si="3"/>
        <v>201</v>
      </c>
      <c r="B202" s="1213" t="s">
        <v>43</v>
      </c>
      <c r="C202" s="1146" t="s">
        <v>44</v>
      </c>
      <c r="D202" s="1146" t="s">
        <v>45</v>
      </c>
      <c r="E202" s="432" t="s">
        <v>5615</v>
      </c>
      <c r="F202" s="434">
        <v>6</v>
      </c>
      <c r="G202" s="434">
        <v>9842336730</v>
      </c>
      <c r="I202" s="434">
        <v>39</v>
      </c>
      <c r="J202" s="128" t="s">
        <v>90</v>
      </c>
      <c r="K202" s="434" t="s">
        <v>5405</v>
      </c>
      <c r="M202" s="128" t="s">
        <v>1764</v>
      </c>
      <c r="N202" s="730">
        <v>65285</v>
      </c>
      <c r="O202" s="730">
        <v>65285</v>
      </c>
      <c r="P202" s="459">
        <v>65294</v>
      </c>
      <c r="Q202" s="432" t="s">
        <v>51</v>
      </c>
    </row>
    <row r="203" spans="1:17">
      <c r="A203" s="509">
        <f t="shared" si="3"/>
        <v>202</v>
      </c>
      <c r="B203" s="1213" t="s">
        <v>43</v>
      </c>
      <c r="C203" s="1146" t="s">
        <v>44</v>
      </c>
      <c r="D203" s="1146" t="s">
        <v>45</v>
      </c>
      <c r="E203" s="432" t="s">
        <v>5616</v>
      </c>
      <c r="F203" s="434">
        <v>2</v>
      </c>
      <c r="G203" s="434">
        <v>9801343642</v>
      </c>
      <c r="I203" s="434">
        <v>23</v>
      </c>
      <c r="J203" s="434" t="s">
        <v>48</v>
      </c>
      <c r="K203" s="434" t="s">
        <v>5405</v>
      </c>
      <c r="M203" s="128" t="s">
        <v>1764</v>
      </c>
      <c r="N203" s="730">
        <v>65285</v>
      </c>
      <c r="O203" s="730">
        <v>65285</v>
      </c>
      <c r="P203" s="459">
        <v>65294</v>
      </c>
      <c r="Q203" s="432" t="s">
        <v>51</v>
      </c>
    </row>
    <row r="204" spans="1:17">
      <c r="A204" s="509">
        <f t="shared" si="3"/>
        <v>203</v>
      </c>
      <c r="B204" s="1213" t="s">
        <v>43</v>
      </c>
      <c r="C204" s="1146" t="s">
        <v>44</v>
      </c>
      <c r="D204" s="1146" t="s">
        <v>45</v>
      </c>
      <c r="E204" s="432" t="s">
        <v>5617</v>
      </c>
      <c r="F204" s="434">
        <v>6</v>
      </c>
      <c r="G204" s="434">
        <v>9847888836</v>
      </c>
      <c r="I204" s="434">
        <v>41</v>
      </c>
      <c r="J204" s="434" t="s">
        <v>48</v>
      </c>
      <c r="K204" s="434" t="s">
        <v>5405</v>
      </c>
      <c r="M204" s="128" t="s">
        <v>1764</v>
      </c>
      <c r="N204" s="730">
        <v>65285</v>
      </c>
      <c r="O204" s="730">
        <v>65285</v>
      </c>
      <c r="P204" s="459">
        <v>65294</v>
      </c>
      <c r="Q204" s="432" t="s">
        <v>51</v>
      </c>
    </row>
    <row r="205" spans="1:17">
      <c r="A205" s="509">
        <f t="shared" si="3"/>
        <v>204</v>
      </c>
      <c r="B205" s="1213" t="s">
        <v>43</v>
      </c>
      <c r="C205" s="1146" t="s">
        <v>44</v>
      </c>
      <c r="D205" s="1146" t="s">
        <v>45</v>
      </c>
      <c r="E205" s="432" t="s">
        <v>5618</v>
      </c>
      <c r="F205" s="434">
        <v>19</v>
      </c>
      <c r="G205" s="434">
        <v>9862700056</v>
      </c>
      <c r="I205" s="434">
        <v>34</v>
      </c>
      <c r="J205" s="434" t="s">
        <v>48</v>
      </c>
      <c r="K205" s="434" t="s">
        <v>5405</v>
      </c>
      <c r="M205" s="128" t="s">
        <v>1764</v>
      </c>
      <c r="N205" s="730">
        <v>65285</v>
      </c>
      <c r="O205" s="730">
        <v>65285</v>
      </c>
      <c r="P205" s="459">
        <v>65294</v>
      </c>
      <c r="Q205" s="432" t="s">
        <v>51</v>
      </c>
    </row>
    <row r="206" spans="1:17">
      <c r="A206" s="509">
        <f t="shared" si="3"/>
        <v>205</v>
      </c>
      <c r="B206" s="1213" t="s">
        <v>43</v>
      </c>
      <c r="C206" s="1146" t="s">
        <v>44</v>
      </c>
      <c r="D206" s="1146" t="s">
        <v>45</v>
      </c>
      <c r="E206" s="432" t="s">
        <v>5619</v>
      </c>
      <c r="F206" s="434">
        <v>2</v>
      </c>
      <c r="G206" s="434">
        <v>9866933316</v>
      </c>
      <c r="I206" s="434">
        <v>46</v>
      </c>
      <c r="J206" s="434" t="s">
        <v>48</v>
      </c>
      <c r="K206" s="434" t="s">
        <v>5405</v>
      </c>
      <c r="M206" s="128" t="s">
        <v>1764</v>
      </c>
      <c r="N206" s="730">
        <v>65285</v>
      </c>
      <c r="O206" s="730">
        <v>65285</v>
      </c>
      <c r="P206" s="459">
        <v>65294</v>
      </c>
      <c r="Q206" s="432" t="s">
        <v>51</v>
      </c>
    </row>
    <row r="207" spans="1:17">
      <c r="A207" s="509">
        <f t="shared" si="3"/>
        <v>206</v>
      </c>
      <c r="B207" s="1213" t="s">
        <v>43</v>
      </c>
      <c r="C207" s="1146" t="s">
        <v>44</v>
      </c>
      <c r="D207" s="1146" t="s">
        <v>45</v>
      </c>
      <c r="E207" s="432" t="s">
        <v>5620</v>
      </c>
      <c r="F207" s="434">
        <v>6</v>
      </c>
      <c r="G207" s="434">
        <v>9857821194</v>
      </c>
      <c r="I207" s="434">
        <v>45</v>
      </c>
      <c r="J207" s="434" t="s">
        <v>48</v>
      </c>
      <c r="K207" s="434" t="s">
        <v>5405</v>
      </c>
      <c r="M207" s="128" t="s">
        <v>1764</v>
      </c>
      <c r="N207" s="730">
        <v>65285</v>
      </c>
      <c r="O207" s="730">
        <v>65285</v>
      </c>
      <c r="P207" s="459">
        <v>65294</v>
      </c>
      <c r="Q207" s="432" t="s">
        <v>51</v>
      </c>
    </row>
    <row r="208" spans="1:17">
      <c r="A208" s="509">
        <f t="shared" si="3"/>
        <v>207</v>
      </c>
      <c r="B208" s="1213" t="s">
        <v>43</v>
      </c>
      <c r="C208" s="1146" t="s">
        <v>44</v>
      </c>
      <c r="D208" s="1146" t="s">
        <v>45</v>
      </c>
      <c r="E208" s="432" t="s">
        <v>5621</v>
      </c>
      <c r="F208" s="434">
        <v>5</v>
      </c>
      <c r="G208" s="434">
        <v>98228664</v>
      </c>
      <c r="I208" s="434">
        <v>37</v>
      </c>
      <c r="J208" s="128" t="s">
        <v>90</v>
      </c>
      <c r="K208" s="434" t="s">
        <v>5405</v>
      </c>
      <c r="M208" s="128" t="s">
        <v>1764</v>
      </c>
      <c r="N208" s="730">
        <v>65285</v>
      </c>
      <c r="O208" s="730">
        <v>65285</v>
      </c>
      <c r="P208" s="459">
        <v>65294</v>
      </c>
      <c r="Q208" s="432" t="s">
        <v>51</v>
      </c>
    </row>
    <row r="209" spans="1:17">
      <c r="A209" s="509">
        <f t="shared" si="3"/>
        <v>208</v>
      </c>
      <c r="B209" s="1213" t="s">
        <v>43</v>
      </c>
      <c r="C209" s="1146" t="s">
        <v>44</v>
      </c>
      <c r="D209" s="1146" t="s">
        <v>45</v>
      </c>
      <c r="E209" s="432" t="s">
        <v>5622</v>
      </c>
      <c r="F209" s="434">
        <v>9</v>
      </c>
      <c r="G209" s="434">
        <v>9862445713</v>
      </c>
      <c r="I209" s="434">
        <v>22</v>
      </c>
      <c r="J209" s="434" t="s">
        <v>48</v>
      </c>
      <c r="K209" s="434" t="s">
        <v>5405</v>
      </c>
      <c r="M209" s="128" t="s">
        <v>1764</v>
      </c>
      <c r="N209" s="730">
        <v>65285</v>
      </c>
      <c r="O209" s="730">
        <v>65285</v>
      </c>
      <c r="P209" s="459">
        <v>65294</v>
      </c>
      <c r="Q209" s="432" t="s">
        <v>51</v>
      </c>
    </row>
    <row r="210" spans="1:17">
      <c r="A210" s="509">
        <f t="shared" si="3"/>
        <v>209</v>
      </c>
      <c r="B210" s="1213" t="s">
        <v>43</v>
      </c>
      <c r="C210" s="1146" t="s">
        <v>44</v>
      </c>
      <c r="D210" s="1146" t="s">
        <v>45</v>
      </c>
      <c r="E210" s="432" t="s">
        <v>5626</v>
      </c>
      <c r="F210" s="434">
        <v>6</v>
      </c>
      <c r="G210" s="434">
        <v>9851193981</v>
      </c>
      <c r="I210" s="434">
        <v>35</v>
      </c>
      <c r="J210" s="434" t="s">
        <v>48</v>
      </c>
      <c r="K210" s="434" t="s">
        <v>5405</v>
      </c>
      <c r="M210" s="128" t="s">
        <v>1764</v>
      </c>
      <c r="N210" s="730">
        <v>65285</v>
      </c>
      <c r="O210" s="730">
        <v>65285</v>
      </c>
      <c r="P210" s="459">
        <v>65294</v>
      </c>
      <c r="Q210" s="432" t="s">
        <v>51</v>
      </c>
    </row>
    <row r="211" spans="1:17">
      <c r="A211" s="509">
        <f t="shared" si="3"/>
        <v>210</v>
      </c>
      <c r="B211" s="1213" t="s">
        <v>43</v>
      </c>
      <c r="C211" s="1146" t="s">
        <v>44</v>
      </c>
      <c r="D211" s="1146" t="s">
        <v>45</v>
      </c>
      <c r="E211" s="432" t="s">
        <v>2101</v>
      </c>
      <c r="F211" s="434">
        <v>5</v>
      </c>
      <c r="G211" s="434">
        <v>984907677</v>
      </c>
      <c r="I211" s="434">
        <v>29</v>
      </c>
      <c r="J211" s="128" t="s">
        <v>90</v>
      </c>
      <c r="K211" s="434" t="s">
        <v>5405</v>
      </c>
      <c r="M211" s="128" t="s">
        <v>1764</v>
      </c>
      <c r="N211" s="730">
        <v>65285</v>
      </c>
      <c r="O211" s="730">
        <v>65285</v>
      </c>
      <c r="P211" s="459">
        <v>65294</v>
      </c>
      <c r="Q211" s="432" t="s">
        <v>51</v>
      </c>
    </row>
    <row r="212" spans="1:17">
      <c r="A212" s="509">
        <f t="shared" si="3"/>
        <v>211</v>
      </c>
      <c r="B212" s="1213" t="s">
        <v>43</v>
      </c>
      <c r="C212" s="1146" t="s">
        <v>44</v>
      </c>
      <c r="D212" s="1146" t="s">
        <v>45</v>
      </c>
      <c r="E212" s="432" t="s">
        <v>5623</v>
      </c>
      <c r="F212" s="434">
        <v>16</v>
      </c>
      <c r="G212" s="434">
        <v>9868663647</v>
      </c>
      <c r="I212" s="434">
        <v>32</v>
      </c>
      <c r="J212" s="128" t="s">
        <v>90</v>
      </c>
      <c r="K212" s="434" t="s">
        <v>5405</v>
      </c>
      <c r="M212" s="128" t="s">
        <v>1764</v>
      </c>
      <c r="N212" s="730">
        <v>65285</v>
      </c>
      <c r="O212" s="730">
        <v>65285</v>
      </c>
      <c r="P212" s="459">
        <v>65294</v>
      </c>
      <c r="Q212" s="432" t="s">
        <v>51</v>
      </c>
    </row>
    <row r="213" spans="1:17">
      <c r="A213" s="509">
        <f t="shared" si="3"/>
        <v>212</v>
      </c>
      <c r="B213" s="1213" t="s">
        <v>43</v>
      </c>
      <c r="C213" s="1146" t="s">
        <v>44</v>
      </c>
      <c r="D213" s="1146" t="s">
        <v>45</v>
      </c>
      <c r="E213" s="432" t="s">
        <v>5624</v>
      </c>
      <c r="F213" s="434">
        <v>5</v>
      </c>
      <c r="G213" s="434">
        <v>9849076677</v>
      </c>
      <c r="I213" s="434">
        <v>34</v>
      </c>
      <c r="J213" s="434" t="s">
        <v>48</v>
      </c>
      <c r="K213" s="434" t="s">
        <v>5405</v>
      </c>
      <c r="M213" s="128" t="s">
        <v>1764</v>
      </c>
      <c r="N213" s="730">
        <v>65285</v>
      </c>
      <c r="O213" s="730">
        <v>65285</v>
      </c>
      <c r="P213" s="459">
        <v>65294</v>
      </c>
      <c r="Q213" s="432" t="s">
        <v>51</v>
      </c>
    </row>
    <row r="214" spans="1:17">
      <c r="A214" s="509">
        <f t="shared" si="3"/>
        <v>213</v>
      </c>
      <c r="B214" s="1213" t="s">
        <v>43</v>
      </c>
      <c r="C214" s="1146" t="s">
        <v>44</v>
      </c>
      <c r="D214" s="1146" t="s">
        <v>45</v>
      </c>
      <c r="E214" s="432" t="s">
        <v>5625</v>
      </c>
      <c r="F214" s="434">
        <v>12</v>
      </c>
      <c r="G214" s="434">
        <v>9847830563</v>
      </c>
      <c r="I214" s="434">
        <v>36</v>
      </c>
      <c r="J214" s="434" t="s">
        <v>48</v>
      </c>
      <c r="K214" s="434" t="s">
        <v>5405</v>
      </c>
      <c r="M214" s="128" t="s">
        <v>1764</v>
      </c>
      <c r="N214" s="730">
        <v>65285</v>
      </c>
      <c r="O214" s="730">
        <v>65285</v>
      </c>
      <c r="P214" s="459">
        <v>65294</v>
      </c>
      <c r="Q214" s="432" t="s">
        <v>51</v>
      </c>
    </row>
    <row r="215" spans="1:17">
      <c r="A215" s="509">
        <f t="shared" si="3"/>
        <v>214</v>
      </c>
      <c r="B215" s="1213" t="s">
        <v>43</v>
      </c>
      <c r="C215" s="1146" t="s">
        <v>44</v>
      </c>
      <c r="D215" s="1146" t="s">
        <v>45</v>
      </c>
      <c r="E215" s="432" t="s">
        <v>5627</v>
      </c>
      <c r="F215" s="434">
        <v>6</v>
      </c>
      <c r="G215" s="434">
        <v>9810968288</v>
      </c>
      <c r="I215" s="434">
        <v>24</v>
      </c>
      <c r="J215" s="434" t="s">
        <v>48</v>
      </c>
      <c r="K215" s="434" t="s">
        <v>3293</v>
      </c>
      <c r="M215" s="128" t="s">
        <v>1764</v>
      </c>
      <c r="N215" s="730">
        <v>65285</v>
      </c>
      <c r="O215" s="730">
        <v>65285</v>
      </c>
      <c r="P215" s="459">
        <v>65294</v>
      </c>
      <c r="Q215" s="432" t="s">
        <v>51</v>
      </c>
    </row>
    <row r="216" spans="1:17">
      <c r="A216" s="509">
        <f t="shared" si="3"/>
        <v>215</v>
      </c>
      <c r="B216" s="1213" t="s">
        <v>43</v>
      </c>
      <c r="C216" s="1146" t="s">
        <v>44</v>
      </c>
      <c r="D216" s="1146" t="s">
        <v>45</v>
      </c>
      <c r="E216" s="432" t="s">
        <v>5628</v>
      </c>
      <c r="F216" s="434">
        <v>6</v>
      </c>
      <c r="G216" s="434">
        <v>9866854638</v>
      </c>
      <c r="I216" s="434">
        <v>39</v>
      </c>
      <c r="J216" s="128" t="s">
        <v>90</v>
      </c>
      <c r="K216" s="434" t="s">
        <v>3293</v>
      </c>
      <c r="M216" s="128" t="s">
        <v>1764</v>
      </c>
      <c r="N216" s="730">
        <v>65285</v>
      </c>
      <c r="O216" s="730">
        <v>65285</v>
      </c>
      <c r="P216" s="459">
        <v>65294</v>
      </c>
      <c r="Q216" s="432" t="s">
        <v>51</v>
      </c>
    </row>
    <row r="217" spans="1:17">
      <c r="A217" s="509">
        <f t="shared" si="3"/>
        <v>216</v>
      </c>
      <c r="B217" s="1213" t="s">
        <v>43</v>
      </c>
      <c r="C217" s="1146" t="s">
        <v>44</v>
      </c>
      <c r="D217" s="1146" t="s">
        <v>45</v>
      </c>
      <c r="E217" s="432" t="s">
        <v>2092</v>
      </c>
      <c r="F217" s="434">
        <v>12</v>
      </c>
      <c r="G217" s="434">
        <v>9810263116</v>
      </c>
      <c r="I217" s="434">
        <v>21</v>
      </c>
      <c r="J217" s="128" t="s">
        <v>90</v>
      </c>
      <c r="K217" s="434" t="s">
        <v>3293</v>
      </c>
      <c r="M217" s="128" t="s">
        <v>1764</v>
      </c>
      <c r="N217" s="730">
        <v>65285</v>
      </c>
      <c r="O217" s="730">
        <v>65285</v>
      </c>
      <c r="P217" s="459">
        <v>65294</v>
      </c>
      <c r="Q217" s="432" t="s">
        <v>51</v>
      </c>
    </row>
    <row r="218" spans="1:17">
      <c r="A218" s="509">
        <f t="shared" si="3"/>
        <v>217</v>
      </c>
      <c r="B218" s="1213" t="s">
        <v>43</v>
      </c>
      <c r="C218" s="1146" t="s">
        <v>44</v>
      </c>
      <c r="D218" s="1146" t="s">
        <v>45</v>
      </c>
      <c r="E218" s="432" t="s">
        <v>1370</v>
      </c>
      <c r="F218" s="434">
        <v>5</v>
      </c>
      <c r="G218" s="434">
        <v>9748860415</v>
      </c>
      <c r="I218" s="434">
        <v>21</v>
      </c>
      <c r="J218" s="434" t="s">
        <v>48</v>
      </c>
      <c r="K218" s="434" t="s">
        <v>3293</v>
      </c>
      <c r="M218" s="128" t="s">
        <v>1764</v>
      </c>
      <c r="N218" s="730">
        <v>65285</v>
      </c>
      <c r="O218" s="730">
        <v>65285</v>
      </c>
      <c r="P218" s="459">
        <v>65294</v>
      </c>
      <c r="Q218" s="432" t="s">
        <v>51</v>
      </c>
    </row>
    <row r="219" spans="1:17">
      <c r="A219" s="509">
        <f t="shared" si="3"/>
        <v>218</v>
      </c>
      <c r="B219" s="1213" t="s">
        <v>43</v>
      </c>
      <c r="C219" s="1146" t="s">
        <v>44</v>
      </c>
      <c r="D219" s="1146" t="s">
        <v>45</v>
      </c>
      <c r="E219" s="432" t="s">
        <v>5629</v>
      </c>
      <c r="F219" s="434">
        <v>14</v>
      </c>
      <c r="G219" s="434">
        <v>9847948259</v>
      </c>
      <c r="I219" s="434">
        <v>53</v>
      </c>
      <c r="J219" s="434" t="s">
        <v>48</v>
      </c>
      <c r="K219" s="434" t="s">
        <v>3293</v>
      </c>
      <c r="M219" s="128" t="s">
        <v>1764</v>
      </c>
      <c r="N219" s="730">
        <v>65285</v>
      </c>
      <c r="O219" s="730">
        <v>65285</v>
      </c>
      <c r="P219" s="459">
        <v>65294</v>
      </c>
      <c r="Q219" s="432" t="s">
        <v>51</v>
      </c>
    </row>
    <row r="220" spans="1:17">
      <c r="A220" s="509">
        <f t="shared" si="3"/>
        <v>219</v>
      </c>
      <c r="B220" s="1213" t="s">
        <v>43</v>
      </c>
      <c r="C220" s="1146" t="s">
        <v>44</v>
      </c>
      <c r="D220" s="1146" t="s">
        <v>45</v>
      </c>
      <c r="E220" s="432" t="s">
        <v>5630</v>
      </c>
      <c r="F220" s="434">
        <v>3</v>
      </c>
      <c r="G220" s="434">
        <v>9866749974</v>
      </c>
      <c r="I220" s="434">
        <v>41</v>
      </c>
      <c r="J220" s="434" t="s">
        <v>48</v>
      </c>
      <c r="K220" s="434" t="s">
        <v>3293</v>
      </c>
      <c r="M220" s="128" t="s">
        <v>1764</v>
      </c>
      <c r="N220" s="730">
        <v>65285</v>
      </c>
      <c r="O220" s="730">
        <v>65285</v>
      </c>
      <c r="P220" s="459">
        <v>65294</v>
      </c>
      <c r="Q220" s="432" t="s">
        <v>51</v>
      </c>
    </row>
    <row r="221" spans="1:17">
      <c r="A221" s="509">
        <f t="shared" si="3"/>
        <v>220</v>
      </c>
      <c r="B221" s="1213" t="s">
        <v>43</v>
      </c>
      <c r="C221" s="1146" t="s">
        <v>44</v>
      </c>
      <c r="D221" s="1146" t="s">
        <v>45</v>
      </c>
      <c r="E221" s="432" t="s">
        <v>5631</v>
      </c>
      <c r="F221" s="434">
        <v>6</v>
      </c>
      <c r="G221" s="434">
        <v>9857823498</v>
      </c>
      <c r="I221" s="434">
        <v>35</v>
      </c>
      <c r="J221" s="434" t="s">
        <v>48</v>
      </c>
      <c r="K221" s="434" t="s">
        <v>3293</v>
      </c>
      <c r="M221" s="128" t="s">
        <v>1764</v>
      </c>
      <c r="N221" s="730">
        <v>65285</v>
      </c>
      <c r="O221" s="730">
        <v>65285</v>
      </c>
      <c r="P221" s="459">
        <v>65294</v>
      </c>
      <c r="Q221" s="432" t="s">
        <v>51</v>
      </c>
    </row>
    <row r="222" spans="1:17">
      <c r="A222" s="509">
        <f t="shared" si="3"/>
        <v>221</v>
      </c>
      <c r="B222" s="1213" t="s">
        <v>43</v>
      </c>
      <c r="C222" s="1146" t="s">
        <v>44</v>
      </c>
      <c r="D222" s="1146" t="s">
        <v>45</v>
      </c>
      <c r="E222" s="432" t="s">
        <v>812</v>
      </c>
      <c r="F222" s="434">
        <v>4</v>
      </c>
      <c r="I222" s="434">
        <v>19</v>
      </c>
      <c r="J222" s="128" t="s">
        <v>90</v>
      </c>
      <c r="K222" s="434" t="s">
        <v>5632</v>
      </c>
      <c r="M222" s="128" t="s">
        <v>1764</v>
      </c>
      <c r="N222" s="730">
        <v>65285</v>
      </c>
      <c r="O222" s="730">
        <v>65285</v>
      </c>
      <c r="P222" s="459">
        <v>65294</v>
      </c>
      <c r="Q222" s="432" t="s">
        <v>51</v>
      </c>
    </row>
    <row r="223" spans="1:17">
      <c r="A223" s="509">
        <f t="shared" si="3"/>
        <v>222</v>
      </c>
      <c r="B223" s="1213" t="s">
        <v>43</v>
      </c>
      <c r="C223" s="1146" t="s">
        <v>44</v>
      </c>
      <c r="D223" s="1146" t="s">
        <v>45</v>
      </c>
      <c r="E223" s="432" t="s">
        <v>812</v>
      </c>
      <c r="F223" s="434">
        <v>4</v>
      </c>
      <c r="I223" s="434">
        <v>80</v>
      </c>
      <c r="J223" s="128" t="s">
        <v>90</v>
      </c>
      <c r="K223" s="434" t="s">
        <v>5632</v>
      </c>
      <c r="M223" s="128" t="s">
        <v>1764</v>
      </c>
      <c r="N223" s="730">
        <v>65285</v>
      </c>
      <c r="O223" s="730">
        <v>65285</v>
      </c>
      <c r="P223" s="459">
        <v>65294</v>
      </c>
      <c r="Q223" s="432" t="s">
        <v>51</v>
      </c>
    </row>
    <row r="224" spans="1:17">
      <c r="A224" s="509">
        <f t="shared" si="3"/>
        <v>223</v>
      </c>
      <c r="B224" s="1213" t="s">
        <v>43</v>
      </c>
      <c r="C224" s="1146" t="s">
        <v>44</v>
      </c>
      <c r="D224" s="1146" t="s">
        <v>45</v>
      </c>
      <c r="E224" s="432" t="s">
        <v>812</v>
      </c>
      <c r="F224" s="434">
        <v>4</v>
      </c>
      <c r="I224" s="434">
        <v>32</v>
      </c>
      <c r="J224" s="128" t="s">
        <v>90</v>
      </c>
      <c r="K224" s="434" t="s">
        <v>5632</v>
      </c>
      <c r="M224" s="128" t="s">
        <v>1764</v>
      </c>
      <c r="N224" s="730">
        <v>65285</v>
      </c>
      <c r="O224" s="730">
        <v>65285</v>
      </c>
      <c r="P224" s="459">
        <v>65294</v>
      </c>
      <c r="Q224" s="432" t="s">
        <v>51</v>
      </c>
    </row>
    <row r="225" spans="1:17">
      <c r="A225" s="509">
        <f t="shared" si="3"/>
        <v>224</v>
      </c>
      <c r="B225" s="1213" t="s">
        <v>43</v>
      </c>
      <c r="C225" s="1146" t="s">
        <v>44</v>
      </c>
      <c r="D225" s="1146" t="s">
        <v>45</v>
      </c>
      <c r="E225" s="432" t="s">
        <v>812</v>
      </c>
      <c r="F225" s="434">
        <v>4</v>
      </c>
      <c r="I225" s="434">
        <v>18</v>
      </c>
      <c r="J225" s="128" t="s">
        <v>90</v>
      </c>
      <c r="K225" s="434" t="s">
        <v>5632</v>
      </c>
      <c r="M225" s="128" t="s">
        <v>1764</v>
      </c>
      <c r="N225" s="730">
        <v>65285</v>
      </c>
      <c r="O225" s="730">
        <v>65285</v>
      </c>
      <c r="P225" s="459">
        <v>65294</v>
      </c>
      <c r="Q225" s="432" t="s">
        <v>51</v>
      </c>
    </row>
    <row r="226" spans="1:17">
      <c r="A226" s="509">
        <f t="shared" si="3"/>
        <v>225</v>
      </c>
      <c r="B226" s="1213" t="s">
        <v>43</v>
      </c>
      <c r="C226" s="1146" t="s">
        <v>44</v>
      </c>
      <c r="D226" s="1146" t="s">
        <v>45</v>
      </c>
      <c r="E226" s="432" t="s">
        <v>812</v>
      </c>
      <c r="F226" s="434">
        <v>4</v>
      </c>
      <c r="I226" s="434">
        <v>20</v>
      </c>
      <c r="J226" s="434" t="s">
        <v>48</v>
      </c>
      <c r="K226" s="434" t="s">
        <v>5632</v>
      </c>
      <c r="M226" s="128" t="s">
        <v>1764</v>
      </c>
      <c r="N226" s="730">
        <v>65285</v>
      </c>
      <c r="O226" s="730">
        <v>65285</v>
      </c>
      <c r="P226" s="459">
        <v>65294</v>
      </c>
      <c r="Q226" s="432" t="s">
        <v>51</v>
      </c>
    </row>
    <row r="227" spans="1:17">
      <c r="A227" s="509">
        <f t="shared" si="3"/>
        <v>226</v>
      </c>
      <c r="B227" s="1213" t="s">
        <v>43</v>
      </c>
      <c r="C227" s="1146" t="s">
        <v>44</v>
      </c>
      <c r="D227" s="1146" t="s">
        <v>45</v>
      </c>
      <c r="E227" s="247" t="s">
        <v>5604</v>
      </c>
      <c r="F227" s="247">
        <v>10</v>
      </c>
      <c r="G227" s="247">
        <v>9822882578</v>
      </c>
      <c r="H227" s="247"/>
      <c r="I227" s="247">
        <v>5</v>
      </c>
      <c r="J227" s="247" t="s">
        <v>90</v>
      </c>
      <c r="K227" s="247" t="s">
        <v>5259</v>
      </c>
      <c r="L227" s="894"/>
      <c r="M227" s="247" t="s">
        <v>1764</v>
      </c>
      <c r="N227" s="1257">
        <v>65285</v>
      </c>
      <c r="O227" s="1257">
        <v>65285</v>
      </c>
      <c r="P227" s="459">
        <v>65294</v>
      </c>
      <c r="Q227" s="432" t="s">
        <v>51</v>
      </c>
    </row>
    <row r="228" spans="1:17">
      <c r="A228" s="509">
        <f t="shared" si="3"/>
        <v>227</v>
      </c>
      <c r="B228" s="1213" t="s">
        <v>43</v>
      </c>
      <c r="C228" s="1146" t="s">
        <v>44</v>
      </c>
      <c r="D228" s="1146" t="s">
        <v>45</v>
      </c>
      <c r="E228" s="247" t="s">
        <v>5605</v>
      </c>
      <c r="F228" s="247">
        <v>15</v>
      </c>
      <c r="G228" s="247">
        <v>9844583065</v>
      </c>
      <c r="H228" s="247"/>
      <c r="I228" s="247">
        <v>18</v>
      </c>
      <c r="J228" s="247" t="s">
        <v>90</v>
      </c>
      <c r="K228" s="247" t="s">
        <v>5259</v>
      </c>
      <c r="L228" s="894"/>
      <c r="M228" s="247" t="s">
        <v>1764</v>
      </c>
      <c r="N228" s="1257">
        <v>65285</v>
      </c>
      <c r="O228" s="1257">
        <v>65285</v>
      </c>
      <c r="P228" s="459">
        <v>65294</v>
      </c>
      <c r="Q228" s="432" t="s">
        <v>51</v>
      </c>
    </row>
    <row r="229" spans="1:17">
      <c r="A229" s="509">
        <f t="shared" si="3"/>
        <v>228</v>
      </c>
      <c r="B229" s="1213" t="s">
        <v>43</v>
      </c>
      <c r="C229" s="1146" t="s">
        <v>44</v>
      </c>
      <c r="D229" s="1146" t="s">
        <v>45</v>
      </c>
      <c r="E229" s="247" t="s">
        <v>5606</v>
      </c>
      <c r="F229" s="247">
        <v>4</v>
      </c>
      <c r="G229" s="247">
        <v>9844717705</v>
      </c>
      <c r="H229" s="247"/>
      <c r="I229" s="247">
        <v>32</v>
      </c>
      <c r="J229" s="247" t="s">
        <v>48</v>
      </c>
      <c r="K229" s="247" t="s">
        <v>5607</v>
      </c>
      <c r="L229" s="894"/>
      <c r="M229" s="247" t="s">
        <v>1764</v>
      </c>
      <c r="N229" s="1257">
        <v>65285</v>
      </c>
      <c r="O229" s="1257">
        <v>65285</v>
      </c>
      <c r="P229" s="459">
        <v>65294</v>
      </c>
      <c r="Q229" s="432" t="s">
        <v>51</v>
      </c>
    </row>
    <row r="230" spans="1:17">
      <c r="A230" s="509">
        <f t="shared" si="3"/>
        <v>229</v>
      </c>
      <c r="B230" s="1213" t="s">
        <v>43</v>
      </c>
      <c r="C230" s="1146" t="s">
        <v>44</v>
      </c>
      <c r="D230" s="1146" t="s">
        <v>45</v>
      </c>
      <c r="E230" s="247" t="s">
        <v>5608</v>
      </c>
      <c r="F230" s="247">
        <v>19</v>
      </c>
      <c r="G230" s="247">
        <v>9866843454</v>
      </c>
      <c r="H230" s="247"/>
      <c r="I230" s="247">
        <v>20</v>
      </c>
      <c r="J230" s="247" t="s">
        <v>90</v>
      </c>
      <c r="K230" s="247" t="s">
        <v>5259</v>
      </c>
      <c r="L230" s="894"/>
      <c r="M230" s="247" t="s">
        <v>1764</v>
      </c>
      <c r="N230" s="1257">
        <v>65285</v>
      </c>
      <c r="O230" s="1257">
        <v>65285</v>
      </c>
      <c r="P230" s="459">
        <v>65294</v>
      </c>
      <c r="Q230" s="432" t="s">
        <v>51</v>
      </c>
    </row>
    <row r="231" spans="1:17">
      <c r="A231" s="509">
        <f t="shared" si="3"/>
        <v>230</v>
      </c>
      <c r="B231" s="1213" t="s">
        <v>43</v>
      </c>
      <c r="C231" s="1146" t="s">
        <v>44</v>
      </c>
      <c r="D231" s="1146" t="s">
        <v>45</v>
      </c>
      <c r="E231" s="247" t="s">
        <v>5609</v>
      </c>
      <c r="F231" s="247">
        <v>8</v>
      </c>
      <c r="G231" s="247">
        <v>9829565123</v>
      </c>
      <c r="H231" s="247"/>
      <c r="I231" s="247">
        <v>19</v>
      </c>
      <c r="J231" s="247" t="s">
        <v>90</v>
      </c>
      <c r="K231" s="247" t="s">
        <v>5259</v>
      </c>
      <c r="L231" s="894"/>
      <c r="M231" s="247" t="s">
        <v>1764</v>
      </c>
      <c r="N231" s="1257">
        <v>65285</v>
      </c>
      <c r="O231" s="1257">
        <v>65285</v>
      </c>
      <c r="P231" s="459">
        <v>65294</v>
      </c>
      <c r="Q231" s="432" t="s">
        <v>51</v>
      </c>
    </row>
    <row r="232" spans="1:17">
      <c r="A232" s="509">
        <f t="shared" si="3"/>
        <v>231</v>
      </c>
      <c r="B232" s="1213" t="s">
        <v>43</v>
      </c>
      <c r="C232" s="1146" t="s">
        <v>44</v>
      </c>
      <c r="D232" s="1146" t="s">
        <v>45</v>
      </c>
      <c r="E232" s="1482" t="s">
        <v>5637</v>
      </c>
      <c r="F232" s="1484">
        <v>6</v>
      </c>
      <c r="G232" s="1484">
        <v>9869595636</v>
      </c>
      <c r="I232" s="1484">
        <v>38</v>
      </c>
      <c r="J232" s="1482" t="s">
        <v>90</v>
      </c>
      <c r="K232" s="120" t="s">
        <v>53</v>
      </c>
      <c r="M232" s="146" t="s">
        <v>119</v>
      </c>
      <c r="N232" s="246">
        <v>65285</v>
      </c>
      <c r="O232" s="246">
        <v>65285</v>
      </c>
      <c r="P232" s="459">
        <v>65294</v>
      </c>
      <c r="Q232" s="432" t="s">
        <v>51</v>
      </c>
    </row>
    <row r="233" spans="1:17">
      <c r="A233" s="509">
        <f t="shared" si="3"/>
        <v>232</v>
      </c>
      <c r="B233" s="1213" t="s">
        <v>43</v>
      </c>
      <c r="C233" s="1146" t="s">
        <v>44</v>
      </c>
      <c r="D233" s="1146" t="s">
        <v>45</v>
      </c>
      <c r="E233" s="1482" t="s">
        <v>5638</v>
      </c>
      <c r="F233" s="1484">
        <v>5</v>
      </c>
      <c r="G233" s="1484">
        <v>9813386053</v>
      </c>
      <c r="I233" s="1484">
        <v>29</v>
      </c>
      <c r="J233" s="1482" t="s">
        <v>48</v>
      </c>
      <c r="K233" s="120" t="s">
        <v>53</v>
      </c>
      <c r="M233" s="146" t="s">
        <v>119</v>
      </c>
      <c r="N233" s="246">
        <v>65285</v>
      </c>
      <c r="O233" s="246">
        <v>65285</v>
      </c>
      <c r="P233" s="459">
        <v>65294</v>
      </c>
      <c r="Q233" s="432" t="s">
        <v>51</v>
      </c>
    </row>
    <row r="234" spans="1:17">
      <c r="A234" s="509">
        <f t="shared" si="3"/>
        <v>233</v>
      </c>
      <c r="B234" s="1213" t="s">
        <v>43</v>
      </c>
      <c r="C234" s="1146" t="s">
        <v>44</v>
      </c>
      <c r="D234" s="1146" t="s">
        <v>45</v>
      </c>
      <c r="E234" s="432" t="s">
        <v>5589</v>
      </c>
      <c r="F234" s="434">
        <v>6</v>
      </c>
      <c r="G234" s="434">
        <v>9844944922</v>
      </c>
      <c r="I234" s="434">
        <v>22</v>
      </c>
      <c r="J234" s="128" t="s">
        <v>90</v>
      </c>
      <c r="K234" s="434" t="s">
        <v>3293</v>
      </c>
      <c r="M234" s="128" t="s">
        <v>1764</v>
      </c>
      <c r="N234" s="1465">
        <v>65286</v>
      </c>
      <c r="O234" s="1465">
        <v>65286</v>
      </c>
      <c r="P234" s="459">
        <v>65295</v>
      </c>
      <c r="Q234" s="432" t="s">
        <v>51</v>
      </c>
    </row>
    <row r="235" spans="1:17">
      <c r="A235" s="509">
        <f t="shared" si="3"/>
        <v>234</v>
      </c>
      <c r="B235" s="1213" t="s">
        <v>43</v>
      </c>
      <c r="C235" s="1146" t="s">
        <v>44</v>
      </c>
      <c r="D235" s="1146" t="s">
        <v>45</v>
      </c>
      <c r="E235" s="432" t="s">
        <v>5590</v>
      </c>
      <c r="F235" s="434">
        <v>7</v>
      </c>
      <c r="G235" s="434">
        <v>9866971420</v>
      </c>
      <c r="I235" s="434">
        <v>66</v>
      </c>
      <c r="J235" s="128" t="s">
        <v>90</v>
      </c>
      <c r="K235" s="434" t="s">
        <v>3293</v>
      </c>
      <c r="M235" s="128" t="s">
        <v>5672</v>
      </c>
      <c r="N235" s="730">
        <v>65286</v>
      </c>
      <c r="O235" s="730">
        <v>65286</v>
      </c>
      <c r="P235" s="459">
        <v>65295</v>
      </c>
      <c r="Q235" s="432" t="s">
        <v>51</v>
      </c>
    </row>
    <row r="236" spans="1:17">
      <c r="A236" s="509">
        <f t="shared" si="3"/>
        <v>235</v>
      </c>
      <c r="B236" s="1213" t="s">
        <v>43</v>
      </c>
      <c r="C236" s="1146" t="s">
        <v>44</v>
      </c>
      <c r="D236" s="1146" t="s">
        <v>45</v>
      </c>
      <c r="E236" s="432" t="s">
        <v>5397</v>
      </c>
      <c r="F236" s="434">
        <v>6</v>
      </c>
      <c r="G236" s="434">
        <v>9847837291</v>
      </c>
      <c r="I236" s="434">
        <v>66</v>
      </c>
      <c r="J236" s="434" t="s">
        <v>48</v>
      </c>
      <c r="K236" s="434" t="s">
        <v>3293</v>
      </c>
      <c r="M236" s="128" t="s">
        <v>1764</v>
      </c>
      <c r="N236" s="730">
        <v>65286</v>
      </c>
      <c r="O236" s="730">
        <v>65286</v>
      </c>
      <c r="P236" s="459">
        <v>65295</v>
      </c>
      <c r="Q236" s="432" t="s">
        <v>51</v>
      </c>
    </row>
    <row r="237" spans="1:17">
      <c r="A237" s="509">
        <f t="shared" si="3"/>
        <v>236</v>
      </c>
      <c r="B237" s="1213" t="s">
        <v>43</v>
      </c>
      <c r="C237" s="1146" t="s">
        <v>44</v>
      </c>
      <c r="D237" s="1146" t="s">
        <v>45</v>
      </c>
      <c r="E237" s="432" t="s">
        <v>5591</v>
      </c>
      <c r="F237" s="434">
        <v>7</v>
      </c>
      <c r="G237" s="434">
        <v>9809566597</v>
      </c>
      <c r="I237" s="434">
        <v>40</v>
      </c>
      <c r="J237" s="434" t="s">
        <v>48</v>
      </c>
      <c r="K237" s="434" t="s">
        <v>3293</v>
      </c>
      <c r="M237" s="128" t="s">
        <v>1764</v>
      </c>
      <c r="N237" s="730">
        <v>65286</v>
      </c>
      <c r="O237" s="730">
        <v>65286</v>
      </c>
      <c r="P237" s="459">
        <v>65295</v>
      </c>
      <c r="Q237" s="432" t="s">
        <v>51</v>
      </c>
    </row>
    <row r="238" spans="1:17">
      <c r="A238" s="509">
        <f t="shared" si="3"/>
        <v>237</v>
      </c>
      <c r="B238" s="1213" t="s">
        <v>43</v>
      </c>
      <c r="C238" s="1146" t="s">
        <v>44</v>
      </c>
      <c r="D238" s="1146" t="s">
        <v>45</v>
      </c>
      <c r="E238" s="432" t="s">
        <v>5592</v>
      </c>
      <c r="F238" s="434">
        <v>5</v>
      </c>
      <c r="G238" s="434">
        <v>9847843137</v>
      </c>
      <c r="I238" s="434">
        <v>36</v>
      </c>
      <c r="J238" s="434" t="s">
        <v>48</v>
      </c>
      <c r="K238" s="434" t="s">
        <v>3293</v>
      </c>
      <c r="M238" s="128" t="s">
        <v>1764</v>
      </c>
      <c r="N238" s="730">
        <v>65286</v>
      </c>
      <c r="O238" s="730">
        <v>65286</v>
      </c>
      <c r="P238" s="459">
        <v>65295</v>
      </c>
      <c r="Q238" s="432" t="s">
        <v>51</v>
      </c>
    </row>
    <row r="239" spans="1:17">
      <c r="A239" s="509">
        <f t="shared" si="3"/>
        <v>238</v>
      </c>
      <c r="B239" s="1213" t="s">
        <v>43</v>
      </c>
      <c r="C239" s="1146" t="s">
        <v>44</v>
      </c>
      <c r="D239" s="1146" t="s">
        <v>45</v>
      </c>
      <c r="E239" s="432" t="s">
        <v>5593</v>
      </c>
      <c r="F239" s="434">
        <v>6</v>
      </c>
      <c r="G239" s="434">
        <v>9841096225</v>
      </c>
      <c r="I239" s="434">
        <v>33</v>
      </c>
      <c r="J239" s="128" t="s">
        <v>90</v>
      </c>
      <c r="K239" s="434" t="s">
        <v>3293</v>
      </c>
      <c r="M239" s="128" t="s">
        <v>1764</v>
      </c>
      <c r="N239" s="730">
        <v>65286</v>
      </c>
      <c r="O239" s="730">
        <v>65286</v>
      </c>
      <c r="P239" s="459">
        <v>65295</v>
      </c>
      <c r="Q239" s="432" t="s">
        <v>51</v>
      </c>
    </row>
    <row r="240" spans="1:17">
      <c r="A240" s="509">
        <f t="shared" si="3"/>
        <v>239</v>
      </c>
      <c r="B240" s="1213" t="s">
        <v>43</v>
      </c>
      <c r="C240" s="1146" t="s">
        <v>44</v>
      </c>
      <c r="D240" s="1146" t="s">
        <v>45</v>
      </c>
      <c r="E240" s="432" t="s">
        <v>5594</v>
      </c>
      <c r="F240" s="434">
        <v>3</v>
      </c>
      <c r="G240" s="434">
        <v>9809773463</v>
      </c>
      <c r="I240" s="434">
        <v>20</v>
      </c>
      <c r="J240" s="128" t="s">
        <v>90</v>
      </c>
      <c r="K240" s="434" t="s">
        <v>5405</v>
      </c>
      <c r="M240" s="128" t="s">
        <v>1764</v>
      </c>
      <c r="N240" s="730">
        <v>65286</v>
      </c>
      <c r="O240" s="730">
        <v>65286</v>
      </c>
      <c r="P240" s="459">
        <v>65295</v>
      </c>
      <c r="Q240" s="432" t="s">
        <v>51</v>
      </c>
    </row>
    <row r="241" spans="1:17">
      <c r="A241" s="1318">
        <f t="shared" si="3"/>
        <v>240</v>
      </c>
      <c r="B241" s="1213" t="s">
        <v>43</v>
      </c>
      <c r="C241" s="1146" t="s">
        <v>44</v>
      </c>
      <c r="D241" s="1146" t="s">
        <v>45</v>
      </c>
      <c r="E241" s="892" t="s">
        <v>5595</v>
      </c>
      <c r="F241" s="1106">
        <v>8</v>
      </c>
      <c r="G241" s="1106"/>
      <c r="H241" s="892"/>
      <c r="I241" s="1106">
        <v>61</v>
      </c>
      <c r="J241" s="1158" t="s">
        <v>90</v>
      </c>
      <c r="K241" s="1106" t="s">
        <v>5405</v>
      </c>
      <c r="L241" s="1106"/>
      <c r="M241" s="1158" t="s">
        <v>1764</v>
      </c>
      <c r="N241" s="1395">
        <v>65286</v>
      </c>
      <c r="O241" s="1395">
        <v>65286</v>
      </c>
      <c r="P241" s="459">
        <v>65295</v>
      </c>
      <c r="Q241" s="432" t="s">
        <v>51</v>
      </c>
    </row>
    <row r="242" spans="1:17">
      <c r="A242" s="1318">
        <f t="shared" si="3"/>
        <v>241</v>
      </c>
      <c r="B242" s="1213" t="s">
        <v>43</v>
      </c>
      <c r="C242" s="1146" t="s">
        <v>44</v>
      </c>
      <c r="D242" s="1146" t="s">
        <v>45</v>
      </c>
      <c r="E242" s="432" t="s">
        <v>5596</v>
      </c>
      <c r="F242" s="434">
        <v>8</v>
      </c>
      <c r="G242" s="434">
        <v>9810936321</v>
      </c>
      <c r="I242" s="434">
        <v>22</v>
      </c>
      <c r="J242" s="434" t="s">
        <v>48</v>
      </c>
      <c r="K242" s="434" t="s">
        <v>5405</v>
      </c>
      <c r="M242" s="128" t="s">
        <v>1764</v>
      </c>
      <c r="N242" s="730">
        <v>65286</v>
      </c>
      <c r="O242" s="730">
        <v>65286</v>
      </c>
      <c r="P242" s="459">
        <v>65295</v>
      </c>
      <c r="Q242" s="432" t="s">
        <v>51</v>
      </c>
    </row>
    <row r="243" spans="1:17" ht="15" customHeight="1">
      <c r="A243" s="1318">
        <f t="shared" si="3"/>
        <v>242</v>
      </c>
      <c r="B243" s="1213" t="s">
        <v>43</v>
      </c>
      <c r="C243" s="1146" t="s">
        <v>44</v>
      </c>
      <c r="D243" s="1146" t="s">
        <v>45</v>
      </c>
      <c r="E243" s="432" t="s">
        <v>5597</v>
      </c>
      <c r="F243" s="434">
        <v>5</v>
      </c>
      <c r="I243" s="434">
        <v>62</v>
      </c>
      <c r="J243" s="128" t="s">
        <v>90</v>
      </c>
      <c r="K243" s="434" t="s">
        <v>5405</v>
      </c>
      <c r="M243" s="128" t="s">
        <v>1764</v>
      </c>
      <c r="N243" s="730">
        <v>65286</v>
      </c>
      <c r="O243" s="730">
        <v>65286</v>
      </c>
      <c r="P243" s="459">
        <v>65295</v>
      </c>
      <c r="Q243" s="432" t="s">
        <v>51</v>
      </c>
    </row>
    <row r="244" spans="1:17">
      <c r="A244" s="1318">
        <f t="shared" si="3"/>
        <v>243</v>
      </c>
      <c r="B244" s="1213" t="s">
        <v>43</v>
      </c>
      <c r="C244" s="1146" t="s">
        <v>44</v>
      </c>
      <c r="D244" s="1146" t="s">
        <v>45</v>
      </c>
      <c r="E244" s="432" t="s">
        <v>5598</v>
      </c>
      <c r="F244" s="434">
        <v>7</v>
      </c>
      <c r="G244" s="434">
        <v>9863117768</v>
      </c>
      <c r="I244" s="434">
        <v>31</v>
      </c>
      <c r="J244" s="128" t="s">
        <v>90</v>
      </c>
      <c r="K244" s="434" t="s">
        <v>5405</v>
      </c>
      <c r="M244" s="128" t="s">
        <v>1764</v>
      </c>
      <c r="N244" s="730">
        <v>65286</v>
      </c>
      <c r="O244" s="730">
        <v>65286</v>
      </c>
      <c r="P244" s="459">
        <v>65295</v>
      </c>
      <c r="Q244" s="432" t="s">
        <v>51</v>
      </c>
    </row>
    <row r="245" spans="1:17">
      <c r="A245" s="1318">
        <f t="shared" si="3"/>
        <v>244</v>
      </c>
      <c r="B245" s="1213" t="s">
        <v>43</v>
      </c>
      <c r="C245" s="1146" t="s">
        <v>44</v>
      </c>
      <c r="D245" s="1146" t="s">
        <v>45</v>
      </c>
      <c r="E245" s="432" t="s">
        <v>5599</v>
      </c>
      <c r="F245" s="434">
        <v>3</v>
      </c>
      <c r="G245" s="434">
        <v>9847847049</v>
      </c>
      <c r="I245" s="434">
        <v>18</v>
      </c>
      <c r="J245" s="128" t="s">
        <v>90</v>
      </c>
      <c r="K245" s="434" t="s">
        <v>5405</v>
      </c>
      <c r="M245" s="128" t="s">
        <v>1764</v>
      </c>
      <c r="N245" s="730">
        <v>65286</v>
      </c>
      <c r="O245" s="730">
        <v>65286</v>
      </c>
      <c r="P245" s="459">
        <v>65295</v>
      </c>
      <c r="Q245" s="432" t="s">
        <v>51</v>
      </c>
    </row>
    <row r="246" spans="1:17">
      <c r="A246" s="1318">
        <f t="shared" si="3"/>
        <v>245</v>
      </c>
      <c r="B246" s="1213" t="s">
        <v>43</v>
      </c>
      <c r="C246" s="1146" t="s">
        <v>44</v>
      </c>
      <c r="D246" s="1146" t="s">
        <v>45</v>
      </c>
      <c r="E246" s="432" t="s">
        <v>5602</v>
      </c>
      <c r="F246" s="434">
        <v>6</v>
      </c>
      <c r="G246" s="434">
        <v>9848023211</v>
      </c>
      <c r="I246" s="434">
        <v>45</v>
      </c>
      <c r="J246" s="434" t="s">
        <v>48</v>
      </c>
      <c r="K246" s="434" t="s">
        <v>5405</v>
      </c>
      <c r="M246" s="128" t="s">
        <v>1764</v>
      </c>
      <c r="N246" s="730">
        <v>65286</v>
      </c>
      <c r="O246" s="730">
        <v>65286</v>
      </c>
      <c r="P246" s="459">
        <v>65295</v>
      </c>
      <c r="Q246" s="432" t="s">
        <v>51</v>
      </c>
    </row>
    <row r="247" spans="1:17">
      <c r="A247" s="1318">
        <f t="shared" si="3"/>
        <v>246</v>
      </c>
      <c r="B247" s="1213" t="s">
        <v>43</v>
      </c>
      <c r="C247" s="1146" t="s">
        <v>44</v>
      </c>
      <c r="D247" s="1146" t="s">
        <v>45</v>
      </c>
      <c r="E247" s="432" t="s">
        <v>5600</v>
      </c>
      <c r="F247" s="434">
        <v>6</v>
      </c>
      <c r="G247" s="434">
        <v>9857821464</v>
      </c>
      <c r="I247" s="434">
        <v>12</v>
      </c>
      <c r="J247" s="434" t="s">
        <v>48</v>
      </c>
      <c r="K247" s="434" t="s">
        <v>5405</v>
      </c>
      <c r="M247" s="128" t="s">
        <v>1764</v>
      </c>
      <c r="N247" s="730">
        <v>65286</v>
      </c>
      <c r="O247" s="730">
        <v>65286</v>
      </c>
      <c r="P247" s="459">
        <v>65295</v>
      </c>
      <c r="Q247" s="432" t="s">
        <v>51</v>
      </c>
    </row>
    <row r="248" spans="1:17">
      <c r="A248" s="1318">
        <f t="shared" si="3"/>
        <v>247</v>
      </c>
      <c r="B248" s="1213" t="s">
        <v>43</v>
      </c>
      <c r="C248" s="1146" t="s">
        <v>44</v>
      </c>
      <c r="D248" s="1146" t="s">
        <v>45</v>
      </c>
      <c r="E248" s="432" t="s">
        <v>5601</v>
      </c>
      <c r="F248" s="434">
        <v>6</v>
      </c>
      <c r="G248" s="434">
        <v>9857821464</v>
      </c>
      <c r="I248" s="434">
        <v>60</v>
      </c>
      <c r="J248" s="128" t="s">
        <v>90</v>
      </c>
      <c r="K248" s="434" t="s">
        <v>5405</v>
      </c>
      <c r="M248" s="128" t="s">
        <v>1764</v>
      </c>
      <c r="N248" s="730">
        <v>65286</v>
      </c>
      <c r="O248" s="730">
        <v>65286</v>
      </c>
      <c r="P248" s="459">
        <v>65295</v>
      </c>
      <c r="Q248" s="432" t="s">
        <v>51</v>
      </c>
    </row>
    <row r="249" spans="1:17">
      <c r="A249" s="1318">
        <f t="shared" si="3"/>
        <v>248</v>
      </c>
      <c r="B249" s="1213" t="s">
        <v>43</v>
      </c>
      <c r="C249" s="1146" t="s">
        <v>44</v>
      </c>
      <c r="D249" s="1146" t="s">
        <v>45</v>
      </c>
      <c r="E249" s="432" t="s">
        <v>5603</v>
      </c>
      <c r="F249" s="434">
        <v>11</v>
      </c>
      <c r="G249" s="434">
        <v>9812832293</v>
      </c>
      <c r="I249" s="434">
        <v>38</v>
      </c>
      <c r="J249" s="128" t="s">
        <v>90</v>
      </c>
      <c r="K249" s="434" t="s">
        <v>5405</v>
      </c>
      <c r="M249" s="128" t="s">
        <v>1764</v>
      </c>
      <c r="N249" s="730">
        <v>65286</v>
      </c>
      <c r="O249" s="730">
        <v>65286</v>
      </c>
      <c r="P249" s="459">
        <v>65295</v>
      </c>
      <c r="Q249" s="432" t="s">
        <v>51</v>
      </c>
    </row>
    <row r="250" spans="1:17">
      <c r="A250" s="1318">
        <f t="shared" si="3"/>
        <v>249</v>
      </c>
      <c r="B250" s="1213" t="s">
        <v>43</v>
      </c>
      <c r="C250" s="1146" t="s">
        <v>44</v>
      </c>
      <c r="D250" s="1146" t="s">
        <v>45</v>
      </c>
      <c r="E250" s="120" t="s">
        <v>5639</v>
      </c>
      <c r="F250" s="150">
        <v>6</v>
      </c>
      <c r="G250" s="150">
        <v>9847832395</v>
      </c>
      <c r="I250" s="150">
        <v>32</v>
      </c>
      <c r="J250" s="120" t="s">
        <v>90</v>
      </c>
      <c r="K250" s="120" t="s">
        <v>1459</v>
      </c>
      <c r="M250" s="146" t="s">
        <v>119</v>
      </c>
      <c r="N250" s="246">
        <v>65286</v>
      </c>
      <c r="O250" s="246">
        <v>65286</v>
      </c>
      <c r="P250" s="459">
        <v>65295</v>
      </c>
      <c r="Q250" s="432" t="s">
        <v>51</v>
      </c>
    </row>
    <row r="251" spans="1:17">
      <c r="A251" s="1318">
        <f t="shared" si="3"/>
        <v>250</v>
      </c>
      <c r="B251" s="1213" t="s">
        <v>43</v>
      </c>
      <c r="C251" s="1146" t="s">
        <v>44</v>
      </c>
      <c r="D251" s="1146" t="s">
        <v>45</v>
      </c>
      <c r="E251" s="1482" t="s">
        <v>5640</v>
      </c>
      <c r="F251" s="1484">
        <v>18</v>
      </c>
      <c r="G251" s="1484">
        <v>9847307570</v>
      </c>
      <c r="I251" s="1484">
        <v>23</v>
      </c>
      <c r="J251" s="120" t="s">
        <v>90</v>
      </c>
      <c r="K251" s="120" t="s">
        <v>53</v>
      </c>
      <c r="M251" s="1483" t="s">
        <v>53</v>
      </c>
      <c r="N251" s="246">
        <v>65286</v>
      </c>
      <c r="O251" s="246">
        <v>65286</v>
      </c>
      <c r="P251" s="459">
        <v>65295</v>
      </c>
      <c r="Q251" s="432" t="s">
        <v>51</v>
      </c>
    </row>
    <row r="252" spans="1:17">
      <c r="A252" s="1318">
        <f t="shared" si="3"/>
        <v>251</v>
      </c>
      <c r="B252" s="1213" t="s">
        <v>43</v>
      </c>
      <c r="C252" s="1146" t="s">
        <v>44</v>
      </c>
      <c r="D252" s="1146" t="s">
        <v>45</v>
      </c>
      <c r="E252" s="1482" t="s">
        <v>3201</v>
      </c>
      <c r="F252" s="1484">
        <v>18</v>
      </c>
      <c r="G252" s="1484">
        <v>9810940051</v>
      </c>
      <c r="I252" s="1484">
        <v>23</v>
      </c>
      <c r="J252" s="120" t="s">
        <v>90</v>
      </c>
      <c r="K252" s="120" t="s">
        <v>53</v>
      </c>
      <c r="M252" s="146" t="s">
        <v>119</v>
      </c>
      <c r="N252" s="246">
        <v>65286</v>
      </c>
      <c r="O252" s="246">
        <v>65286</v>
      </c>
      <c r="P252" s="459">
        <v>65295</v>
      </c>
      <c r="Q252" s="432" t="s">
        <v>51</v>
      </c>
    </row>
    <row r="253" spans="1:17">
      <c r="A253" s="509">
        <f t="shared" si="3"/>
        <v>252</v>
      </c>
      <c r="B253" s="1332" t="s">
        <v>43</v>
      </c>
      <c r="C253" s="943" t="s">
        <v>44</v>
      </c>
      <c r="D253" s="943" t="s">
        <v>45</v>
      </c>
      <c r="E253" s="120" t="s">
        <v>5641</v>
      </c>
      <c r="F253" s="1484">
        <v>19</v>
      </c>
      <c r="G253" s="1484">
        <v>9847910433</v>
      </c>
      <c r="I253" s="1484">
        <v>44</v>
      </c>
      <c r="J253" s="120" t="s">
        <v>48</v>
      </c>
      <c r="K253" s="120" t="s">
        <v>53</v>
      </c>
      <c r="M253" s="146" t="s">
        <v>119</v>
      </c>
      <c r="N253" s="246">
        <v>65286</v>
      </c>
      <c r="O253" s="246">
        <v>65286</v>
      </c>
      <c r="P253" s="459">
        <v>65295</v>
      </c>
      <c r="Q253" s="432" t="s">
        <v>51</v>
      </c>
    </row>
    <row r="254" spans="1:17">
      <c r="A254" s="509">
        <f t="shared" si="3"/>
        <v>253</v>
      </c>
      <c r="B254" s="1332" t="s">
        <v>43</v>
      </c>
      <c r="C254" s="943" t="s">
        <v>44</v>
      </c>
      <c r="D254" s="943" t="s">
        <v>45</v>
      </c>
      <c r="E254" s="893" t="s">
        <v>5643</v>
      </c>
      <c r="F254" s="941">
        <v>7</v>
      </c>
      <c r="G254" s="941">
        <v>9809737991</v>
      </c>
      <c r="H254" s="893"/>
      <c r="I254" s="941">
        <v>38</v>
      </c>
      <c r="J254" s="120" t="s">
        <v>48</v>
      </c>
      <c r="K254" s="941" t="s">
        <v>3293</v>
      </c>
      <c r="L254" s="941"/>
      <c r="M254" s="146" t="s">
        <v>119</v>
      </c>
      <c r="N254" s="1485">
        <v>65287</v>
      </c>
      <c r="O254" s="1485">
        <v>65287</v>
      </c>
      <c r="P254" s="459">
        <v>65299</v>
      </c>
      <c r="Q254" s="432" t="s">
        <v>51</v>
      </c>
    </row>
    <row r="255" spans="1:17">
      <c r="A255" s="509">
        <f t="shared" si="3"/>
        <v>254</v>
      </c>
      <c r="B255" s="1332" t="s">
        <v>43</v>
      </c>
      <c r="C255" s="943" t="s">
        <v>44</v>
      </c>
      <c r="D255" s="943" t="s">
        <v>45</v>
      </c>
      <c r="E255" s="432" t="s">
        <v>3222</v>
      </c>
      <c r="F255" s="434">
        <v>7</v>
      </c>
      <c r="G255" s="434">
        <v>9847822528</v>
      </c>
      <c r="I255" s="434">
        <v>39</v>
      </c>
      <c r="J255" s="120" t="s">
        <v>90</v>
      </c>
      <c r="K255" s="941" t="s">
        <v>3293</v>
      </c>
      <c r="M255" s="146" t="s">
        <v>119</v>
      </c>
      <c r="N255" s="1485">
        <v>65287</v>
      </c>
      <c r="O255" s="1485">
        <v>65287</v>
      </c>
      <c r="P255" s="459">
        <v>65299</v>
      </c>
      <c r="Q255" s="432" t="s">
        <v>51</v>
      </c>
    </row>
    <row r="256" spans="1:17">
      <c r="A256" s="509">
        <f t="shared" si="3"/>
        <v>255</v>
      </c>
      <c r="B256" s="1332" t="s">
        <v>43</v>
      </c>
      <c r="C256" s="943" t="s">
        <v>44</v>
      </c>
      <c r="D256" s="943" t="s">
        <v>45</v>
      </c>
      <c r="E256" s="432" t="s">
        <v>5644</v>
      </c>
      <c r="F256" s="434">
        <v>3</v>
      </c>
      <c r="G256" s="434">
        <v>9809894341</v>
      </c>
      <c r="I256" s="434">
        <v>71</v>
      </c>
      <c r="J256" s="120" t="s">
        <v>90</v>
      </c>
      <c r="K256" s="941" t="s">
        <v>3293</v>
      </c>
      <c r="M256" s="146" t="s">
        <v>119</v>
      </c>
      <c r="N256" s="1485">
        <v>65287</v>
      </c>
      <c r="O256" s="1485">
        <v>65287</v>
      </c>
      <c r="P256" s="459">
        <v>65299</v>
      </c>
      <c r="Q256" s="432" t="s">
        <v>51</v>
      </c>
    </row>
    <row r="257" spans="1:17">
      <c r="A257" s="509">
        <f t="shared" si="3"/>
        <v>256</v>
      </c>
      <c r="B257" s="1332" t="s">
        <v>43</v>
      </c>
      <c r="C257" s="943" t="s">
        <v>44</v>
      </c>
      <c r="D257" s="943" t="s">
        <v>45</v>
      </c>
      <c r="E257" s="432" t="s">
        <v>5645</v>
      </c>
      <c r="F257" s="434">
        <v>7</v>
      </c>
      <c r="G257" s="434">
        <v>9806298542</v>
      </c>
      <c r="I257" s="434">
        <v>53</v>
      </c>
      <c r="J257" s="120" t="s">
        <v>48</v>
      </c>
      <c r="K257" s="941" t="s">
        <v>3293</v>
      </c>
      <c r="M257" s="146" t="s">
        <v>119</v>
      </c>
      <c r="N257" s="1485">
        <v>65287</v>
      </c>
      <c r="O257" s="1485">
        <v>65287</v>
      </c>
      <c r="P257" s="459">
        <v>65299</v>
      </c>
      <c r="Q257" s="432" t="s">
        <v>51</v>
      </c>
    </row>
    <row r="258" spans="1:17">
      <c r="A258" s="509">
        <f t="shared" si="3"/>
        <v>257</v>
      </c>
      <c r="B258" s="1332" t="s">
        <v>43</v>
      </c>
      <c r="C258" s="943" t="s">
        <v>44</v>
      </c>
      <c r="D258" s="943" t="s">
        <v>45</v>
      </c>
      <c r="E258" s="432" t="s">
        <v>5646</v>
      </c>
      <c r="F258" s="434">
        <v>10</v>
      </c>
      <c r="G258" s="434">
        <v>9843015812</v>
      </c>
      <c r="I258" s="434">
        <v>39</v>
      </c>
      <c r="J258" s="120" t="s">
        <v>48</v>
      </c>
      <c r="K258" s="941" t="s">
        <v>3293</v>
      </c>
      <c r="M258" s="146" t="s">
        <v>119</v>
      </c>
      <c r="N258" s="1485">
        <v>65287</v>
      </c>
      <c r="O258" s="1485">
        <v>65287</v>
      </c>
      <c r="P258" s="459">
        <v>65299</v>
      </c>
      <c r="Q258" s="432" t="s">
        <v>51</v>
      </c>
    </row>
    <row r="259" spans="1:17">
      <c r="A259" s="509">
        <f t="shared" ref="A259:A322" si="4">A258+1</f>
        <v>258</v>
      </c>
      <c r="B259" s="1332" t="s">
        <v>43</v>
      </c>
      <c r="C259" s="943" t="s">
        <v>44</v>
      </c>
      <c r="D259" s="943" t="s">
        <v>45</v>
      </c>
      <c r="E259" s="432" t="s">
        <v>5647</v>
      </c>
      <c r="F259" s="434">
        <v>10</v>
      </c>
      <c r="G259" s="434">
        <v>9843015812</v>
      </c>
      <c r="I259" s="434">
        <v>29</v>
      </c>
      <c r="J259" s="120" t="s">
        <v>90</v>
      </c>
      <c r="K259" s="941" t="s">
        <v>3293</v>
      </c>
      <c r="M259" s="146" t="s">
        <v>119</v>
      </c>
      <c r="N259" s="1485">
        <v>65287</v>
      </c>
      <c r="O259" s="1485">
        <v>65287</v>
      </c>
      <c r="P259" s="459">
        <v>65299</v>
      </c>
      <c r="Q259" s="432" t="s">
        <v>51</v>
      </c>
    </row>
    <row r="260" spans="1:17">
      <c r="A260" s="509">
        <f t="shared" si="4"/>
        <v>259</v>
      </c>
      <c r="B260" s="1332" t="s">
        <v>43</v>
      </c>
      <c r="C260" s="943" t="s">
        <v>44</v>
      </c>
      <c r="D260" s="943" t="s">
        <v>45</v>
      </c>
      <c r="E260" s="432" t="s">
        <v>5648</v>
      </c>
      <c r="F260" s="434">
        <v>6</v>
      </c>
      <c r="G260" s="434">
        <v>9866915666</v>
      </c>
      <c r="I260" s="434">
        <v>26</v>
      </c>
      <c r="J260" s="120" t="s">
        <v>90</v>
      </c>
      <c r="K260" s="941" t="s">
        <v>3293</v>
      </c>
      <c r="M260" s="146" t="s">
        <v>119</v>
      </c>
      <c r="N260" s="1485">
        <v>65287</v>
      </c>
      <c r="O260" s="1485">
        <v>65287</v>
      </c>
      <c r="P260" s="459">
        <v>65299</v>
      </c>
      <c r="Q260" s="432" t="s">
        <v>51</v>
      </c>
    </row>
    <row r="261" spans="1:17">
      <c r="A261" s="509">
        <f t="shared" si="4"/>
        <v>260</v>
      </c>
      <c r="B261" s="1332" t="s">
        <v>43</v>
      </c>
      <c r="C261" s="943" t="s">
        <v>44</v>
      </c>
      <c r="D261" s="943" t="s">
        <v>45</v>
      </c>
      <c r="E261" s="432" t="s">
        <v>5649</v>
      </c>
      <c r="F261" s="434">
        <v>4</v>
      </c>
      <c r="G261" s="434">
        <v>9867148531</v>
      </c>
      <c r="I261" s="434">
        <v>26</v>
      </c>
      <c r="J261" s="120" t="s">
        <v>48</v>
      </c>
      <c r="K261" s="434" t="s">
        <v>5632</v>
      </c>
      <c r="M261" s="146" t="s">
        <v>119</v>
      </c>
      <c r="N261" s="1485">
        <v>65287</v>
      </c>
      <c r="O261" s="1485">
        <v>65287</v>
      </c>
      <c r="P261" s="459">
        <v>65299</v>
      </c>
      <c r="Q261" s="432" t="s">
        <v>51</v>
      </c>
    </row>
    <row r="262" spans="1:17">
      <c r="A262" s="509">
        <f t="shared" si="4"/>
        <v>261</v>
      </c>
      <c r="B262" s="1332" t="s">
        <v>43</v>
      </c>
      <c r="C262" s="943" t="s">
        <v>44</v>
      </c>
      <c r="D262" s="943" t="s">
        <v>45</v>
      </c>
      <c r="E262" s="432" t="s">
        <v>5650</v>
      </c>
      <c r="F262" s="434">
        <v>6</v>
      </c>
      <c r="G262" s="434">
        <v>984725340</v>
      </c>
      <c r="I262" s="434">
        <v>30</v>
      </c>
      <c r="J262" s="120" t="s">
        <v>48</v>
      </c>
      <c r="K262" s="434" t="s">
        <v>5405</v>
      </c>
      <c r="M262" s="146" t="s">
        <v>119</v>
      </c>
      <c r="N262" s="1485">
        <v>65287</v>
      </c>
      <c r="O262" s="1485">
        <v>65287</v>
      </c>
      <c r="P262" s="459">
        <v>65299</v>
      </c>
      <c r="Q262" s="432" t="s">
        <v>51</v>
      </c>
    </row>
    <row r="263" spans="1:17">
      <c r="A263" s="509">
        <f t="shared" si="4"/>
        <v>262</v>
      </c>
      <c r="B263" s="1332" t="s">
        <v>43</v>
      </c>
      <c r="C263" s="943" t="s">
        <v>44</v>
      </c>
      <c r="D263" s="943" t="s">
        <v>45</v>
      </c>
      <c r="E263" s="432" t="s">
        <v>5651</v>
      </c>
      <c r="F263" s="434">
        <v>7</v>
      </c>
      <c r="G263" s="434">
        <v>9847824109</v>
      </c>
      <c r="I263" s="434">
        <v>60</v>
      </c>
      <c r="J263" s="120" t="s">
        <v>48</v>
      </c>
      <c r="K263" s="434" t="s">
        <v>5405</v>
      </c>
      <c r="M263" s="146" t="s">
        <v>119</v>
      </c>
      <c r="N263" s="1485">
        <v>65287</v>
      </c>
      <c r="O263" s="1485">
        <v>65287</v>
      </c>
      <c r="P263" s="459">
        <v>65299</v>
      </c>
      <c r="Q263" s="432" t="s">
        <v>51</v>
      </c>
    </row>
    <row r="264" spans="1:17">
      <c r="A264" s="509">
        <f t="shared" si="4"/>
        <v>263</v>
      </c>
      <c r="B264" s="1332" t="s">
        <v>43</v>
      </c>
      <c r="C264" s="943" t="s">
        <v>44</v>
      </c>
      <c r="D264" s="943" t="s">
        <v>45</v>
      </c>
      <c r="E264" s="432" t="s">
        <v>5652</v>
      </c>
      <c r="F264" s="434">
        <v>6</v>
      </c>
      <c r="G264" s="434">
        <v>9847886349</v>
      </c>
      <c r="I264" s="434">
        <v>38</v>
      </c>
      <c r="J264" s="120" t="s">
        <v>48</v>
      </c>
      <c r="K264" s="434" t="s">
        <v>5405</v>
      </c>
      <c r="M264" s="146" t="s">
        <v>119</v>
      </c>
      <c r="N264" s="1485">
        <v>65287</v>
      </c>
      <c r="O264" s="1485">
        <v>65287</v>
      </c>
      <c r="P264" s="459">
        <v>65299</v>
      </c>
      <c r="Q264" s="432" t="s">
        <v>51</v>
      </c>
    </row>
    <row r="265" spans="1:17">
      <c r="A265" s="509">
        <f t="shared" si="4"/>
        <v>264</v>
      </c>
      <c r="B265" s="1332" t="s">
        <v>43</v>
      </c>
      <c r="C265" s="943" t="s">
        <v>44</v>
      </c>
      <c r="D265" s="943" t="s">
        <v>45</v>
      </c>
      <c r="E265" s="432" t="s">
        <v>4822</v>
      </c>
      <c r="F265" s="434">
        <v>6</v>
      </c>
      <c r="G265" s="434">
        <v>9857820203</v>
      </c>
      <c r="I265" s="434">
        <v>52</v>
      </c>
      <c r="J265" s="120" t="s">
        <v>48</v>
      </c>
      <c r="K265" s="434" t="s">
        <v>5405</v>
      </c>
      <c r="M265" s="146" t="s">
        <v>119</v>
      </c>
      <c r="N265" s="1485">
        <v>65287</v>
      </c>
      <c r="O265" s="1485">
        <v>65287</v>
      </c>
      <c r="P265" s="459">
        <v>65299</v>
      </c>
      <c r="Q265" s="432" t="s">
        <v>51</v>
      </c>
    </row>
    <row r="266" spans="1:17">
      <c r="A266" s="509">
        <f t="shared" si="4"/>
        <v>265</v>
      </c>
      <c r="B266" s="1332" t="s">
        <v>43</v>
      </c>
      <c r="C266" s="943" t="s">
        <v>44</v>
      </c>
      <c r="D266" s="943" t="s">
        <v>45</v>
      </c>
      <c r="E266" s="432" t="s">
        <v>2047</v>
      </c>
      <c r="F266" s="434">
        <v>6</v>
      </c>
      <c r="G266" s="434">
        <v>9857820203</v>
      </c>
      <c r="I266" s="434">
        <v>46</v>
      </c>
      <c r="J266" s="120" t="s">
        <v>90</v>
      </c>
      <c r="K266" s="434" t="s">
        <v>5405</v>
      </c>
      <c r="M266" s="146" t="s">
        <v>119</v>
      </c>
      <c r="N266" s="1485">
        <v>65287</v>
      </c>
      <c r="O266" s="1485">
        <v>65287</v>
      </c>
      <c r="P266" s="459">
        <v>65299</v>
      </c>
      <c r="Q266" s="432" t="s">
        <v>51</v>
      </c>
    </row>
    <row r="267" spans="1:17">
      <c r="A267" s="509">
        <f t="shared" si="4"/>
        <v>266</v>
      </c>
      <c r="B267" s="1332" t="s">
        <v>43</v>
      </c>
      <c r="C267" s="943" t="s">
        <v>44</v>
      </c>
      <c r="D267" s="943" t="s">
        <v>45</v>
      </c>
      <c r="E267" s="432" t="s">
        <v>5653</v>
      </c>
      <c r="F267" s="434">
        <v>5</v>
      </c>
      <c r="G267" s="434">
        <v>9857825909</v>
      </c>
      <c r="I267" s="434">
        <v>25</v>
      </c>
      <c r="J267" s="120" t="s">
        <v>48</v>
      </c>
      <c r="K267" s="434" t="s">
        <v>5405</v>
      </c>
      <c r="M267" s="146" t="s">
        <v>119</v>
      </c>
      <c r="N267" s="1485">
        <v>65287</v>
      </c>
      <c r="O267" s="1485">
        <v>65287</v>
      </c>
      <c r="P267" s="459">
        <v>65299</v>
      </c>
      <c r="Q267" s="432" t="s">
        <v>51</v>
      </c>
    </row>
    <row r="268" spans="1:17">
      <c r="A268" s="509">
        <f t="shared" si="4"/>
        <v>267</v>
      </c>
      <c r="B268" s="1332" t="s">
        <v>43</v>
      </c>
      <c r="C268" s="943" t="s">
        <v>44</v>
      </c>
      <c r="D268" s="943" t="s">
        <v>45</v>
      </c>
      <c r="E268" s="432" t="s">
        <v>5654</v>
      </c>
      <c r="F268" s="434">
        <v>8</v>
      </c>
      <c r="I268" s="434">
        <v>11</v>
      </c>
      <c r="J268" s="120" t="s">
        <v>48</v>
      </c>
      <c r="K268" s="434" t="s">
        <v>5405</v>
      </c>
      <c r="M268" s="146" t="s">
        <v>119</v>
      </c>
      <c r="N268" s="1485">
        <v>65287</v>
      </c>
      <c r="O268" s="1485">
        <v>65287</v>
      </c>
      <c r="P268" s="459">
        <v>65299</v>
      </c>
      <c r="Q268" s="432" t="s">
        <v>51</v>
      </c>
    </row>
    <row r="269" spans="1:17">
      <c r="A269" s="509">
        <f t="shared" si="4"/>
        <v>268</v>
      </c>
      <c r="B269" s="1332" t="s">
        <v>43</v>
      </c>
      <c r="C269" s="943" t="s">
        <v>44</v>
      </c>
      <c r="D269" s="943" t="s">
        <v>45</v>
      </c>
      <c r="E269" s="432" t="s">
        <v>5655</v>
      </c>
      <c r="F269" s="434">
        <v>5</v>
      </c>
      <c r="G269" s="434">
        <v>9851120097</v>
      </c>
      <c r="I269" s="434">
        <v>25</v>
      </c>
      <c r="J269" s="120" t="s">
        <v>48</v>
      </c>
      <c r="K269" s="434" t="s">
        <v>5405</v>
      </c>
      <c r="M269" s="146" t="s">
        <v>119</v>
      </c>
      <c r="N269" s="1485">
        <v>65287</v>
      </c>
      <c r="O269" s="1485">
        <v>65287</v>
      </c>
      <c r="P269" s="459">
        <v>65299</v>
      </c>
      <c r="Q269" s="432" t="s">
        <v>51</v>
      </c>
    </row>
    <row r="270" spans="1:17">
      <c r="A270" s="509">
        <f t="shared" si="4"/>
        <v>269</v>
      </c>
      <c r="B270" s="1332" t="s">
        <v>43</v>
      </c>
      <c r="C270" s="943" t="s">
        <v>44</v>
      </c>
      <c r="D270" s="943" t="s">
        <v>45</v>
      </c>
      <c r="E270" s="432" t="s">
        <v>5656</v>
      </c>
      <c r="F270" s="434">
        <v>5</v>
      </c>
      <c r="G270" s="434">
        <v>9851120097</v>
      </c>
      <c r="I270" s="434">
        <v>28</v>
      </c>
      <c r="J270" s="120" t="s">
        <v>90</v>
      </c>
      <c r="K270" s="434" t="s">
        <v>5405</v>
      </c>
      <c r="M270" s="146" t="s">
        <v>119</v>
      </c>
      <c r="N270" s="1485">
        <v>65287</v>
      </c>
      <c r="O270" s="1485">
        <v>65287</v>
      </c>
      <c r="P270" s="459">
        <v>65299</v>
      </c>
      <c r="Q270" s="432" t="s">
        <v>51</v>
      </c>
    </row>
    <row r="271" spans="1:17">
      <c r="A271" s="509">
        <f t="shared" si="4"/>
        <v>270</v>
      </c>
      <c r="B271" s="1332" t="s">
        <v>43</v>
      </c>
      <c r="C271" s="943" t="s">
        <v>44</v>
      </c>
      <c r="D271" s="943" t="s">
        <v>45</v>
      </c>
      <c r="E271" s="432" t="s">
        <v>5657</v>
      </c>
      <c r="F271" s="434">
        <v>5</v>
      </c>
      <c r="G271" s="434">
        <v>9809585532</v>
      </c>
      <c r="I271" s="434">
        <v>22</v>
      </c>
      <c r="J271" s="120" t="s">
        <v>90</v>
      </c>
      <c r="K271" s="434" t="s">
        <v>5405</v>
      </c>
      <c r="M271" s="146" t="s">
        <v>119</v>
      </c>
      <c r="N271" s="1485">
        <v>65287</v>
      </c>
      <c r="O271" s="1485">
        <v>65287</v>
      </c>
      <c r="P271" s="459">
        <v>65299</v>
      </c>
      <c r="Q271" s="432" t="s">
        <v>51</v>
      </c>
    </row>
    <row r="272" spans="1:17">
      <c r="A272" s="509">
        <f t="shared" si="4"/>
        <v>271</v>
      </c>
      <c r="B272" s="1332" t="s">
        <v>43</v>
      </c>
      <c r="C272" s="943" t="s">
        <v>44</v>
      </c>
      <c r="D272" s="943" t="s">
        <v>45</v>
      </c>
      <c r="E272" s="432" t="s">
        <v>5658</v>
      </c>
      <c r="F272" s="434">
        <v>6</v>
      </c>
      <c r="G272" s="434">
        <v>9857821568</v>
      </c>
      <c r="I272" s="434">
        <v>50</v>
      </c>
      <c r="J272" s="120" t="s">
        <v>48</v>
      </c>
      <c r="K272" s="434" t="s">
        <v>5405</v>
      </c>
      <c r="M272" s="146" t="s">
        <v>119</v>
      </c>
      <c r="N272" s="1485">
        <v>65287</v>
      </c>
      <c r="O272" s="1485">
        <v>65287</v>
      </c>
      <c r="P272" s="459">
        <v>65299</v>
      </c>
      <c r="Q272" s="432" t="s">
        <v>51</v>
      </c>
    </row>
    <row r="273" spans="1:17">
      <c r="A273" s="509">
        <f t="shared" si="4"/>
        <v>272</v>
      </c>
      <c r="B273" s="1332" t="s">
        <v>43</v>
      </c>
      <c r="C273" s="943" t="s">
        <v>44</v>
      </c>
      <c r="D273" s="943" t="s">
        <v>45</v>
      </c>
      <c r="E273" s="432" t="s">
        <v>5659</v>
      </c>
      <c r="F273" s="434">
        <v>6</v>
      </c>
      <c r="G273" s="434">
        <v>9841213831</v>
      </c>
      <c r="I273" s="434">
        <v>22</v>
      </c>
      <c r="J273" s="120" t="s">
        <v>48</v>
      </c>
      <c r="K273" s="434" t="s">
        <v>5405</v>
      </c>
      <c r="M273" s="146" t="s">
        <v>119</v>
      </c>
      <c r="N273" s="1485">
        <v>65287</v>
      </c>
      <c r="O273" s="1485">
        <v>65287</v>
      </c>
      <c r="P273" s="459">
        <v>65299</v>
      </c>
      <c r="Q273" s="432" t="s">
        <v>51</v>
      </c>
    </row>
    <row r="274" spans="1:17">
      <c r="A274" s="509">
        <f t="shared" si="4"/>
        <v>273</v>
      </c>
      <c r="B274" s="1332" t="s">
        <v>43</v>
      </c>
      <c r="C274" s="943" t="s">
        <v>44</v>
      </c>
      <c r="D274" s="943" t="s">
        <v>45</v>
      </c>
      <c r="E274" s="432" t="s">
        <v>5660</v>
      </c>
      <c r="F274" s="434">
        <v>8</v>
      </c>
      <c r="G274" s="434">
        <v>9847832633</v>
      </c>
      <c r="I274" s="434">
        <v>60</v>
      </c>
      <c r="J274" s="120" t="s">
        <v>48</v>
      </c>
      <c r="K274" s="434" t="s">
        <v>5405</v>
      </c>
      <c r="M274" s="146" t="s">
        <v>119</v>
      </c>
      <c r="N274" s="1485">
        <v>65287</v>
      </c>
      <c r="O274" s="1485">
        <v>65287</v>
      </c>
      <c r="P274" s="459">
        <v>65299</v>
      </c>
      <c r="Q274" s="432" t="s">
        <v>51</v>
      </c>
    </row>
    <row r="275" spans="1:17">
      <c r="A275" s="509">
        <f t="shared" si="4"/>
        <v>274</v>
      </c>
      <c r="B275" s="1332" t="s">
        <v>43</v>
      </c>
      <c r="C275" s="943" t="s">
        <v>44</v>
      </c>
      <c r="D275" s="943" t="s">
        <v>45</v>
      </c>
      <c r="E275" s="432" t="s">
        <v>5661</v>
      </c>
      <c r="F275" s="434">
        <v>18</v>
      </c>
      <c r="G275" s="434">
        <v>9843497277</v>
      </c>
      <c r="I275" s="434">
        <v>31</v>
      </c>
      <c r="J275" s="120" t="s">
        <v>48</v>
      </c>
      <c r="K275" s="434" t="s">
        <v>5405</v>
      </c>
      <c r="M275" s="146" t="s">
        <v>119</v>
      </c>
      <c r="N275" s="1485">
        <v>65287</v>
      </c>
      <c r="O275" s="1485">
        <v>65287</v>
      </c>
      <c r="P275" s="459">
        <v>65299</v>
      </c>
      <c r="Q275" s="432" t="s">
        <v>51</v>
      </c>
    </row>
    <row r="276" spans="1:17">
      <c r="A276" s="509">
        <f t="shared" si="4"/>
        <v>275</v>
      </c>
      <c r="B276" s="1332" t="s">
        <v>43</v>
      </c>
      <c r="C276" s="943" t="s">
        <v>44</v>
      </c>
      <c r="D276" s="943" t="s">
        <v>45</v>
      </c>
      <c r="E276" s="432" t="s">
        <v>5662</v>
      </c>
      <c r="F276" s="434">
        <v>8</v>
      </c>
      <c r="G276" s="434">
        <v>9847831818</v>
      </c>
      <c r="I276" s="434">
        <v>35</v>
      </c>
      <c r="J276" s="434" t="s">
        <v>90</v>
      </c>
      <c r="K276" s="434" t="s">
        <v>5405</v>
      </c>
      <c r="M276" s="146" t="s">
        <v>119</v>
      </c>
      <c r="N276" s="1485">
        <v>65287</v>
      </c>
      <c r="O276" s="1485">
        <v>65287</v>
      </c>
      <c r="P276" s="459">
        <v>65299</v>
      </c>
      <c r="Q276" s="432" t="s">
        <v>51</v>
      </c>
    </row>
    <row r="277" spans="1:17">
      <c r="A277" s="509">
        <f t="shared" si="4"/>
        <v>276</v>
      </c>
      <c r="B277" s="1332" t="s">
        <v>43</v>
      </c>
      <c r="C277" s="943" t="s">
        <v>44</v>
      </c>
      <c r="D277" s="943" t="s">
        <v>45</v>
      </c>
      <c r="E277" s="432" t="s">
        <v>294</v>
      </c>
      <c r="F277" s="434">
        <v>2</v>
      </c>
      <c r="G277" s="434">
        <v>9869740225</v>
      </c>
      <c r="I277" s="434">
        <v>35</v>
      </c>
      <c r="J277" s="434" t="s">
        <v>90</v>
      </c>
      <c r="K277" s="434" t="s">
        <v>5405</v>
      </c>
      <c r="M277" s="146" t="s">
        <v>119</v>
      </c>
      <c r="N277" s="1485">
        <v>65287</v>
      </c>
      <c r="O277" s="1485">
        <v>65287</v>
      </c>
      <c r="P277" s="459">
        <v>65299</v>
      </c>
      <c r="Q277" s="432" t="s">
        <v>51</v>
      </c>
    </row>
    <row r="278" spans="1:17">
      <c r="A278" s="509">
        <f t="shared" si="4"/>
        <v>277</v>
      </c>
      <c r="B278" s="1332" t="s">
        <v>43</v>
      </c>
      <c r="C278" s="943" t="s">
        <v>44</v>
      </c>
      <c r="D278" s="943" t="s">
        <v>45</v>
      </c>
      <c r="E278" s="432" t="s">
        <v>5663</v>
      </c>
      <c r="F278" s="434">
        <v>9</v>
      </c>
      <c r="G278" s="434">
        <v>9857823150</v>
      </c>
      <c r="I278" s="434">
        <v>31</v>
      </c>
      <c r="J278" s="120" t="s">
        <v>48</v>
      </c>
      <c r="K278" s="434" t="s">
        <v>5405</v>
      </c>
      <c r="M278" s="146" t="s">
        <v>119</v>
      </c>
      <c r="N278" s="1485">
        <v>65287</v>
      </c>
      <c r="O278" s="1485">
        <v>65287</v>
      </c>
      <c r="P278" s="459">
        <v>65299</v>
      </c>
      <c r="Q278" s="432" t="s">
        <v>51</v>
      </c>
    </row>
    <row r="279" spans="1:17">
      <c r="A279" s="509">
        <f t="shared" si="4"/>
        <v>278</v>
      </c>
      <c r="B279" s="1332" t="s">
        <v>43</v>
      </c>
      <c r="C279" s="943" t="s">
        <v>44</v>
      </c>
      <c r="D279" s="943" t="s">
        <v>45</v>
      </c>
      <c r="E279" s="432" t="s">
        <v>5664</v>
      </c>
      <c r="F279" s="434">
        <v>9</v>
      </c>
      <c r="G279" s="434">
        <v>9857823150</v>
      </c>
      <c r="I279" s="434">
        <v>14</v>
      </c>
      <c r="J279" s="434" t="s">
        <v>90</v>
      </c>
      <c r="K279" s="434" t="s">
        <v>5405</v>
      </c>
      <c r="M279" s="146" t="s">
        <v>119</v>
      </c>
      <c r="N279" s="1485">
        <v>65287</v>
      </c>
      <c r="O279" s="1485">
        <v>65287</v>
      </c>
      <c r="P279" s="459">
        <v>65299</v>
      </c>
      <c r="Q279" s="432" t="s">
        <v>51</v>
      </c>
    </row>
    <row r="280" spans="1:17">
      <c r="A280" s="509">
        <f t="shared" si="4"/>
        <v>279</v>
      </c>
      <c r="B280" s="1332" t="s">
        <v>43</v>
      </c>
      <c r="C280" s="943" t="s">
        <v>44</v>
      </c>
      <c r="D280" s="943" t="s">
        <v>45</v>
      </c>
      <c r="E280" s="432" t="s">
        <v>5665</v>
      </c>
      <c r="F280" s="434">
        <v>6</v>
      </c>
      <c r="G280" s="434">
        <v>9847884472</v>
      </c>
      <c r="I280" s="434">
        <v>15</v>
      </c>
      <c r="J280" s="434" t="s">
        <v>90</v>
      </c>
      <c r="K280" s="434" t="s">
        <v>5405</v>
      </c>
      <c r="M280" s="146" t="s">
        <v>119</v>
      </c>
      <c r="N280" s="1485">
        <v>65287</v>
      </c>
      <c r="O280" s="1485">
        <v>65287</v>
      </c>
      <c r="P280" s="459">
        <v>65299</v>
      </c>
      <c r="Q280" s="432" t="s">
        <v>51</v>
      </c>
    </row>
    <row r="281" spans="1:17">
      <c r="A281" s="509">
        <f t="shared" si="4"/>
        <v>280</v>
      </c>
      <c r="B281" s="1332" t="s">
        <v>43</v>
      </c>
      <c r="C281" s="943" t="s">
        <v>44</v>
      </c>
      <c r="D281" s="943" t="s">
        <v>45</v>
      </c>
      <c r="E281" s="432" t="s">
        <v>5666</v>
      </c>
      <c r="F281" s="434">
        <v>6</v>
      </c>
      <c r="G281" s="434">
        <v>9857821042</v>
      </c>
      <c r="I281" s="434">
        <v>52</v>
      </c>
      <c r="J281" s="120" t="s">
        <v>48</v>
      </c>
      <c r="K281" s="434" t="s">
        <v>5405</v>
      </c>
      <c r="M281" s="146" t="s">
        <v>119</v>
      </c>
      <c r="N281" s="1485">
        <v>65287</v>
      </c>
      <c r="O281" s="1485">
        <v>65287</v>
      </c>
      <c r="P281" s="459">
        <v>65299</v>
      </c>
      <c r="Q281" s="432" t="s">
        <v>51</v>
      </c>
    </row>
    <row r="282" spans="1:17">
      <c r="A282" s="509">
        <f t="shared" si="4"/>
        <v>281</v>
      </c>
      <c r="B282" s="1332" t="s">
        <v>43</v>
      </c>
      <c r="C282" s="943" t="s">
        <v>44</v>
      </c>
      <c r="D282" s="943" t="s">
        <v>45</v>
      </c>
      <c r="E282" s="432" t="s">
        <v>5667</v>
      </c>
      <c r="F282" s="434">
        <v>6</v>
      </c>
      <c r="G282" s="434">
        <v>9801077073</v>
      </c>
      <c r="I282" s="434">
        <v>28</v>
      </c>
      <c r="J282" s="434" t="s">
        <v>90</v>
      </c>
      <c r="K282" s="434" t="s">
        <v>5405</v>
      </c>
      <c r="M282" s="146" t="s">
        <v>119</v>
      </c>
      <c r="N282" s="1485">
        <v>65287</v>
      </c>
      <c r="O282" s="1485">
        <v>65287</v>
      </c>
      <c r="P282" s="459">
        <v>65299</v>
      </c>
      <c r="Q282" s="432" t="s">
        <v>51</v>
      </c>
    </row>
    <row r="283" spans="1:17">
      <c r="A283" s="509">
        <f t="shared" si="4"/>
        <v>282</v>
      </c>
      <c r="B283" s="1332" t="s">
        <v>43</v>
      </c>
      <c r="C283" s="943" t="s">
        <v>44</v>
      </c>
      <c r="D283" s="943" t="s">
        <v>45</v>
      </c>
      <c r="E283" s="432" t="s">
        <v>5668</v>
      </c>
      <c r="F283" s="434">
        <v>6</v>
      </c>
      <c r="G283" s="434">
        <v>9847902320</v>
      </c>
      <c r="I283" s="434">
        <v>35</v>
      </c>
      <c r="J283" s="120" t="s">
        <v>48</v>
      </c>
      <c r="K283" s="434" t="s">
        <v>5405</v>
      </c>
      <c r="M283" s="146" t="s">
        <v>119</v>
      </c>
      <c r="N283" s="1485">
        <v>65287</v>
      </c>
      <c r="O283" s="1485">
        <v>65287</v>
      </c>
      <c r="P283" s="459">
        <v>65299</v>
      </c>
      <c r="Q283" s="432" t="s">
        <v>51</v>
      </c>
    </row>
    <row r="284" spans="1:17">
      <c r="A284" s="509">
        <f t="shared" si="4"/>
        <v>283</v>
      </c>
      <c r="B284" s="1332" t="s">
        <v>43</v>
      </c>
      <c r="C284" s="943" t="s">
        <v>44</v>
      </c>
      <c r="D284" s="943" t="s">
        <v>45</v>
      </c>
      <c r="E284" s="432" t="s">
        <v>5669</v>
      </c>
      <c r="F284" s="434">
        <v>8</v>
      </c>
      <c r="G284" s="434">
        <v>9829594202</v>
      </c>
      <c r="I284" s="434">
        <v>20</v>
      </c>
      <c r="J284" s="120" t="s">
        <v>48</v>
      </c>
      <c r="K284" s="434" t="s">
        <v>5405</v>
      </c>
      <c r="M284" s="146" t="s">
        <v>119</v>
      </c>
      <c r="N284" s="1485">
        <v>65287</v>
      </c>
      <c r="O284" s="1485">
        <v>65287</v>
      </c>
      <c r="P284" s="459">
        <v>65299</v>
      </c>
      <c r="Q284" s="432" t="s">
        <v>51</v>
      </c>
    </row>
    <row r="285" spans="1:17">
      <c r="A285" s="509">
        <f t="shared" si="4"/>
        <v>284</v>
      </c>
      <c r="B285" s="1332" t="s">
        <v>43</v>
      </c>
      <c r="C285" s="943" t="s">
        <v>44</v>
      </c>
      <c r="D285" s="943" t="s">
        <v>45</v>
      </c>
      <c r="E285" s="432" t="s">
        <v>5670</v>
      </c>
      <c r="F285" s="434">
        <v>6</v>
      </c>
      <c r="G285" s="434">
        <v>9857820432</v>
      </c>
      <c r="I285" s="434">
        <v>15</v>
      </c>
      <c r="J285" s="120" t="s">
        <v>48</v>
      </c>
      <c r="K285" s="434" t="s">
        <v>5405</v>
      </c>
      <c r="M285" s="146" t="s">
        <v>119</v>
      </c>
      <c r="N285" s="1485">
        <v>65287</v>
      </c>
      <c r="O285" s="1485">
        <v>65287</v>
      </c>
      <c r="P285" s="459">
        <v>65299</v>
      </c>
      <c r="Q285" s="432" t="s">
        <v>51</v>
      </c>
    </row>
    <row r="286" spans="1:17">
      <c r="A286" s="509">
        <f t="shared" si="4"/>
        <v>285</v>
      </c>
      <c r="B286" s="1332" t="s">
        <v>43</v>
      </c>
      <c r="C286" s="943" t="s">
        <v>44</v>
      </c>
      <c r="D286" s="943" t="s">
        <v>45</v>
      </c>
      <c r="E286" s="432" t="s">
        <v>5671</v>
      </c>
      <c r="F286" s="434">
        <v>5</v>
      </c>
      <c r="G286" s="434">
        <v>9866206352</v>
      </c>
      <c r="I286" s="434">
        <v>21</v>
      </c>
      <c r="J286" s="434" t="s">
        <v>90</v>
      </c>
      <c r="K286" s="434" t="s">
        <v>5405</v>
      </c>
      <c r="M286" s="146" t="s">
        <v>119</v>
      </c>
      <c r="N286" s="1485">
        <v>65287</v>
      </c>
      <c r="O286" s="1485">
        <v>65287</v>
      </c>
      <c r="P286" s="459">
        <v>65299</v>
      </c>
      <c r="Q286" s="432" t="s">
        <v>51</v>
      </c>
    </row>
    <row r="287" spans="1:17">
      <c r="A287" s="509">
        <f t="shared" si="4"/>
        <v>286</v>
      </c>
      <c r="B287" s="1332" t="s">
        <v>43</v>
      </c>
      <c r="C287" s="943" t="s">
        <v>44</v>
      </c>
      <c r="D287" s="943" t="s">
        <v>45</v>
      </c>
      <c r="E287" s="432" t="s">
        <v>1095</v>
      </c>
      <c r="F287" s="434">
        <v>6</v>
      </c>
      <c r="G287" s="434">
        <v>9843453500</v>
      </c>
      <c r="I287" s="434">
        <v>19</v>
      </c>
      <c r="J287" s="120" t="s">
        <v>48</v>
      </c>
      <c r="K287" s="434" t="s">
        <v>5405</v>
      </c>
      <c r="M287" s="146" t="s">
        <v>119</v>
      </c>
      <c r="N287" s="1485">
        <v>65287</v>
      </c>
      <c r="O287" s="1485">
        <v>65287</v>
      </c>
      <c r="P287" s="459">
        <v>65299</v>
      </c>
      <c r="Q287" s="432" t="s">
        <v>51</v>
      </c>
    </row>
    <row r="288" spans="1:17">
      <c r="A288" s="509">
        <f t="shared" si="4"/>
        <v>287</v>
      </c>
      <c r="B288" s="1332" t="s">
        <v>43</v>
      </c>
      <c r="C288" s="943" t="s">
        <v>44</v>
      </c>
      <c r="D288" s="943" t="s">
        <v>45</v>
      </c>
      <c r="E288" s="432" t="s">
        <v>5673</v>
      </c>
      <c r="F288" s="434">
        <v>9</v>
      </c>
      <c r="G288" s="434">
        <v>9841583738</v>
      </c>
      <c r="I288" s="434">
        <v>65</v>
      </c>
      <c r="J288" s="120" t="s">
        <v>48</v>
      </c>
      <c r="K288" s="434" t="s">
        <v>5405</v>
      </c>
      <c r="M288" s="146" t="s">
        <v>119</v>
      </c>
      <c r="N288" s="1485">
        <v>65287</v>
      </c>
      <c r="O288" s="1485">
        <v>65287</v>
      </c>
      <c r="P288" s="459">
        <v>65299</v>
      </c>
      <c r="Q288" s="432" t="s">
        <v>51</v>
      </c>
    </row>
    <row r="289" spans="1:17">
      <c r="A289" s="527">
        <f t="shared" si="4"/>
        <v>288</v>
      </c>
      <c r="B289" s="1486" t="s">
        <v>43</v>
      </c>
      <c r="C289" s="1025" t="s">
        <v>44</v>
      </c>
      <c r="D289" s="1025" t="s">
        <v>45</v>
      </c>
      <c r="E289" s="422" t="s">
        <v>5734</v>
      </c>
      <c r="F289" s="423">
        <v>6</v>
      </c>
      <c r="G289" s="423">
        <v>9847855397</v>
      </c>
      <c r="H289" s="422"/>
      <c r="I289" s="423">
        <v>41</v>
      </c>
      <c r="J289" s="423" t="s">
        <v>90</v>
      </c>
      <c r="K289" s="423" t="s">
        <v>2650</v>
      </c>
      <c r="L289" s="423"/>
      <c r="M289" s="155" t="s">
        <v>2649</v>
      </c>
      <c r="N289" s="1487">
        <v>65288</v>
      </c>
      <c r="O289" s="1487">
        <v>65288</v>
      </c>
      <c r="P289" s="476">
        <v>65291</v>
      </c>
      <c r="Q289" s="422" t="s">
        <v>940</v>
      </c>
    </row>
    <row r="290" spans="1:17">
      <c r="A290" s="509">
        <f t="shared" si="4"/>
        <v>289</v>
      </c>
      <c r="B290" s="1332" t="s">
        <v>43</v>
      </c>
      <c r="C290" s="943" t="s">
        <v>44</v>
      </c>
      <c r="D290" s="943" t="s">
        <v>45</v>
      </c>
      <c r="E290" s="432" t="s">
        <v>2643</v>
      </c>
      <c r="F290" s="434">
        <v>14</v>
      </c>
      <c r="I290" s="434">
        <v>62</v>
      </c>
      <c r="J290" s="120" t="s">
        <v>48</v>
      </c>
      <c r="K290" s="434" t="s">
        <v>3293</v>
      </c>
      <c r="M290" s="146" t="s">
        <v>119</v>
      </c>
      <c r="N290" s="730">
        <v>65288</v>
      </c>
      <c r="O290" s="730">
        <v>65288</v>
      </c>
      <c r="P290" s="459">
        <v>65299</v>
      </c>
      <c r="Q290" s="432" t="s">
        <v>51</v>
      </c>
    </row>
    <row r="291" spans="1:17">
      <c r="A291" s="509">
        <f t="shared" si="4"/>
        <v>290</v>
      </c>
      <c r="B291" s="1332" t="s">
        <v>43</v>
      </c>
      <c r="C291" s="943" t="s">
        <v>44</v>
      </c>
      <c r="D291" s="943" t="s">
        <v>45</v>
      </c>
      <c r="E291" s="432" t="s">
        <v>5674</v>
      </c>
      <c r="F291" s="434">
        <v>7</v>
      </c>
      <c r="G291" s="434">
        <v>9866916353</v>
      </c>
      <c r="I291" s="434">
        <v>40</v>
      </c>
      <c r="J291" s="434" t="s">
        <v>90</v>
      </c>
      <c r="K291" s="434" t="s">
        <v>3293</v>
      </c>
      <c r="M291" s="146" t="s">
        <v>119</v>
      </c>
      <c r="N291" s="730">
        <v>65288</v>
      </c>
      <c r="O291" s="730">
        <v>65288</v>
      </c>
      <c r="P291" s="459">
        <v>65299</v>
      </c>
      <c r="Q291" s="432" t="s">
        <v>51</v>
      </c>
    </row>
    <row r="292" spans="1:17">
      <c r="A292" s="509">
        <f t="shared" si="4"/>
        <v>291</v>
      </c>
      <c r="B292" s="1332" t="s">
        <v>43</v>
      </c>
      <c r="C292" s="943" t="s">
        <v>44</v>
      </c>
      <c r="D292" s="943" t="s">
        <v>45</v>
      </c>
      <c r="E292" s="432" t="s">
        <v>5675</v>
      </c>
      <c r="F292" s="434">
        <v>5</v>
      </c>
      <c r="G292" s="434">
        <v>9851242747</v>
      </c>
      <c r="I292" s="434">
        <v>28</v>
      </c>
      <c r="J292" s="120" t="s">
        <v>48</v>
      </c>
      <c r="K292" s="434" t="s">
        <v>3293</v>
      </c>
      <c r="M292" s="146" t="s">
        <v>119</v>
      </c>
      <c r="N292" s="730">
        <v>65288</v>
      </c>
      <c r="O292" s="730">
        <v>65288</v>
      </c>
      <c r="P292" s="459">
        <v>65299</v>
      </c>
      <c r="Q292" s="432" t="s">
        <v>51</v>
      </c>
    </row>
    <row r="293" spans="1:17">
      <c r="A293" s="509">
        <f t="shared" si="4"/>
        <v>292</v>
      </c>
      <c r="B293" s="1332" t="s">
        <v>43</v>
      </c>
      <c r="C293" s="943" t="s">
        <v>44</v>
      </c>
      <c r="D293" s="943" t="s">
        <v>45</v>
      </c>
      <c r="E293" s="432" t="s">
        <v>5676</v>
      </c>
      <c r="F293" s="434">
        <v>9</v>
      </c>
      <c r="G293" s="434">
        <v>9866749997</v>
      </c>
      <c r="I293" s="434">
        <v>22</v>
      </c>
      <c r="J293" s="120" t="s">
        <v>48</v>
      </c>
      <c r="K293" s="434" t="s">
        <v>3293</v>
      </c>
      <c r="M293" s="146" t="s">
        <v>119</v>
      </c>
      <c r="N293" s="730">
        <v>65288</v>
      </c>
      <c r="O293" s="730">
        <v>65288</v>
      </c>
      <c r="P293" s="459">
        <v>65299</v>
      </c>
      <c r="Q293" s="432" t="s">
        <v>51</v>
      </c>
    </row>
    <row r="294" spans="1:17">
      <c r="A294" s="509">
        <f t="shared" si="4"/>
        <v>293</v>
      </c>
      <c r="B294" s="1332" t="s">
        <v>43</v>
      </c>
      <c r="C294" s="943" t="s">
        <v>44</v>
      </c>
      <c r="D294" s="943" t="s">
        <v>45</v>
      </c>
      <c r="E294" s="432" t="s">
        <v>5677</v>
      </c>
      <c r="F294" s="434">
        <v>7</v>
      </c>
      <c r="G294" s="434">
        <v>9847830338</v>
      </c>
      <c r="I294" s="434">
        <v>48</v>
      </c>
      <c r="J294" s="120" t="s">
        <v>48</v>
      </c>
      <c r="K294" s="434" t="s">
        <v>3293</v>
      </c>
      <c r="M294" s="146" t="s">
        <v>119</v>
      </c>
      <c r="N294" s="730">
        <v>65288</v>
      </c>
      <c r="O294" s="730">
        <v>65288</v>
      </c>
      <c r="P294" s="459">
        <v>65299</v>
      </c>
      <c r="Q294" s="432" t="s">
        <v>51</v>
      </c>
    </row>
    <row r="295" spans="1:17">
      <c r="A295" s="509">
        <f t="shared" si="4"/>
        <v>294</v>
      </c>
      <c r="B295" s="1332" t="s">
        <v>43</v>
      </c>
      <c r="C295" s="943" t="s">
        <v>44</v>
      </c>
      <c r="D295" s="943" t="s">
        <v>45</v>
      </c>
      <c r="E295" s="432" t="s">
        <v>5678</v>
      </c>
      <c r="F295" s="434">
        <v>7</v>
      </c>
      <c r="G295" s="434">
        <v>9857822528</v>
      </c>
      <c r="I295" s="434">
        <v>42</v>
      </c>
      <c r="J295" s="120" t="s">
        <v>48</v>
      </c>
      <c r="K295" s="434" t="s">
        <v>3293</v>
      </c>
      <c r="M295" s="146" t="s">
        <v>119</v>
      </c>
      <c r="N295" s="730">
        <v>65288</v>
      </c>
      <c r="O295" s="730">
        <v>65288</v>
      </c>
      <c r="P295" s="459">
        <v>65299</v>
      </c>
      <c r="Q295" s="432" t="s">
        <v>51</v>
      </c>
    </row>
    <row r="296" spans="1:17">
      <c r="A296" s="509">
        <f t="shared" si="4"/>
        <v>295</v>
      </c>
      <c r="B296" s="1332" t="s">
        <v>43</v>
      </c>
      <c r="C296" s="943" t="s">
        <v>44</v>
      </c>
      <c r="D296" s="943" t="s">
        <v>45</v>
      </c>
      <c r="E296" s="432" t="s">
        <v>5679</v>
      </c>
      <c r="F296" s="434">
        <v>6</v>
      </c>
      <c r="G296" s="434">
        <v>9844902417</v>
      </c>
      <c r="I296" s="434">
        <v>14</v>
      </c>
      <c r="J296" s="434" t="s">
        <v>90</v>
      </c>
      <c r="K296" s="434" t="s">
        <v>5405</v>
      </c>
      <c r="M296" s="146" t="s">
        <v>119</v>
      </c>
      <c r="N296" s="730">
        <v>65288</v>
      </c>
      <c r="O296" s="730">
        <v>65288</v>
      </c>
      <c r="P296" s="459">
        <v>65299</v>
      </c>
      <c r="Q296" s="432" t="s">
        <v>51</v>
      </c>
    </row>
    <row r="297" spans="1:17">
      <c r="A297" s="509">
        <f t="shared" si="4"/>
        <v>296</v>
      </c>
      <c r="B297" s="1332" t="s">
        <v>43</v>
      </c>
      <c r="C297" s="943" t="s">
        <v>44</v>
      </c>
      <c r="D297" s="943" t="s">
        <v>45</v>
      </c>
      <c r="E297" s="432" t="s">
        <v>5680</v>
      </c>
      <c r="F297" s="434">
        <v>7</v>
      </c>
      <c r="G297" s="434">
        <v>9844933643</v>
      </c>
      <c r="I297" s="434">
        <v>48</v>
      </c>
      <c r="J297" s="120" t="s">
        <v>48</v>
      </c>
      <c r="K297" s="434" t="s">
        <v>5405</v>
      </c>
      <c r="M297" s="146" t="s">
        <v>119</v>
      </c>
      <c r="N297" s="730">
        <v>65288</v>
      </c>
      <c r="O297" s="730">
        <v>65288</v>
      </c>
      <c r="P297" s="459">
        <v>65299</v>
      </c>
      <c r="Q297" s="432" t="s">
        <v>51</v>
      </c>
    </row>
    <row r="298" spans="1:17">
      <c r="A298" s="509">
        <f t="shared" si="4"/>
        <v>297</v>
      </c>
      <c r="B298" s="1332" t="s">
        <v>43</v>
      </c>
      <c r="C298" s="943" t="s">
        <v>44</v>
      </c>
      <c r="D298" s="943" t="s">
        <v>45</v>
      </c>
      <c r="E298" s="432" t="s">
        <v>5681</v>
      </c>
      <c r="F298" s="434">
        <v>6</v>
      </c>
      <c r="G298" s="434">
        <v>9806276491</v>
      </c>
      <c r="I298" s="434">
        <v>21</v>
      </c>
      <c r="J298" s="120" t="s">
        <v>48</v>
      </c>
      <c r="K298" s="434" t="s">
        <v>5405</v>
      </c>
      <c r="M298" s="146" t="s">
        <v>119</v>
      </c>
      <c r="N298" s="730">
        <v>65288</v>
      </c>
      <c r="O298" s="730">
        <v>65288</v>
      </c>
      <c r="P298" s="459">
        <v>65299</v>
      </c>
      <c r="Q298" s="432" t="s">
        <v>51</v>
      </c>
    </row>
    <row r="299" spans="1:17">
      <c r="A299" s="509">
        <f t="shared" si="4"/>
        <v>298</v>
      </c>
      <c r="B299" s="1332" t="s">
        <v>43</v>
      </c>
      <c r="C299" s="943" t="s">
        <v>44</v>
      </c>
      <c r="D299" s="943" t="s">
        <v>45</v>
      </c>
      <c r="E299" s="432" t="s">
        <v>5682</v>
      </c>
      <c r="F299" s="434">
        <v>5</v>
      </c>
      <c r="G299" s="434">
        <v>9864839133</v>
      </c>
      <c r="I299" s="434">
        <v>19</v>
      </c>
      <c r="J299" s="120" t="s">
        <v>48</v>
      </c>
      <c r="K299" s="434" t="s">
        <v>5405</v>
      </c>
      <c r="M299" s="146" t="s">
        <v>119</v>
      </c>
      <c r="N299" s="730">
        <v>65288</v>
      </c>
      <c r="O299" s="730">
        <v>65288</v>
      </c>
      <c r="P299" s="459">
        <v>65299</v>
      </c>
      <c r="Q299" s="432" t="s">
        <v>51</v>
      </c>
    </row>
    <row r="300" spans="1:17">
      <c r="A300" s="509">
        <f t="shared" si="4"/>
        <v>299</v>
      </c>
      <c r="B300" s="1332" t="s">
        <v>43</v>
      </c>
      <c r="C300" s="943" t="s">
        <v>44</v>
      </c>
      <c r="D300" s="943" t="s">
        <v>45</v>
      </c>
      <c r="E300" s="432" t="s">
        <v>5683</v>
      </c>
      <c r="F300" s="434">
        <v>9</v>
      </c>
      <c r="G300" s="434">
        <v>9841583738</v>
      </c>
      <c r="I300" s="434">
        <v>37</v>
      </c>
      <c r="J300" s="120" t="s">
        <v>48</v>
      </c>
      <c r="K300" s="434" t="s">
        <v>5405</v>
      </c>
      <c r="M300" s="146" t="s">
        <v>119</v>
      </c>
      <c r="N300" s="730">
        <v>65288</v>
      </c>
      <c r="O300" s="730">
        <v>65288</v>
      </c>
      <c r="P300" s="459">
        <v>65299</v>
      </c>
      <c r="Q300" s="432" t="s">
        <v>51</v>
      </c>
    </row>
    <row r="301" spans="1:17">
      <c r="A301" s="509">
        <f t="shared" si="4"/>
        <v>300</v>
      </c>
      <c r="B301" s="1332" t="s">
        <v>43</v>
      </c>
      <c r="C301" s="943" t="s">
        <v>44</v>
      </c>
      <c r="D301" s="943" t="s">
        <v>45</v>
      </c>
      <c r="E301" s="432" t="s">
        <v>5684</v>
      </c>
      <c r="F301" s="434">
        <v>18</v>
      </c>
      <c r="G301" s="434">
        <v>9806242868</v>
      </c>
      <c r="I301" s="434">
        <v>61</v>
      </c>
      <c r="J301" s="120" t="s">
        <v>48</v>
      </c>
      <c r="K301" s="434" t="s">
        <v>5405</v>
      </c>
      <c r="M301" s="146" t="s">
        <v>119</v>
      </c>
      <c r="N301" s="730">
        <v>65288</v>
      </c>
      <c r="O301" s="730">
        <v>65288</v>
      </c>
      <c r="P301" s="459">
        <v>65299</v>
      </c>
      <c r="Q301" s="432" t="s">
        <v>51</v>
      </c>
    </row>
    <row r="302" spans="1:17">
      <c r="A302" s="509">
        <f t="shared" si="4"/>
        <v>301</v>
      </c>
      <c r="B302" s="1332" t="s">
        <v>43</v>
      </c>
      <c r="C302" s="943" t="s">
        <v>44</v>
      </c>
      <c r="D302" s="943" t="s">
        <v>45</v>
      </c>
      <c r="E302" s="432" t="s">
        <v>5685</v>
      </c>
      <c r="F302" s="1285">
        <v>8</v>
      </c>
      <c r="G302" s="434">
        <v>9855050976</v>
      </c>
      <c r="I302" s="434">
        <v>45</v>
      </c>
      <c r="J302" s="434" t="s">
        <v>90</v>
      </c>
      <c r="K302" s="434" t="s">
        <v>5405</v>
      </c>
      <c r="M302" s="146" t="s">
        <v>119</v>
      </c>
      <c r="N302" s="730">
        <v>65288</v>
      </c>
      <c r="O302" s="730">
        <v>65288</v>
      </c>
      <c r="P302" s="459">
        <v>65299</v>
      </c>
      <c r="Q302" s="432" t="s">
        <v>51</v>
      </c>
    </row>
    <row r="303" spans="1:17">
      <c r="A303" s="509">
        <f t="shared" si="4"/>
        <v>302</v>
      </c>
      <c r="B303" s="1332" t="s">
        <v>43</v>
      </c>
      <c r="C303" s="943" t="s">
        <v>44</v>
      </c>
      <c r="D303" s="943" t="s">
        <v>45</v>
      </c>
      <c r="E303" s="432" t="s">
        <v>5686</v>
      </c>
      <c r="F303" s="1285">
        <v>7</v>
      </c>
      <c r="G303" s="434">
        <v>9869429083</v>
      </c>
      <c r="I303" s="434">
        <v>41</v>
      </c>
      <c r="J303" s="120" t="s">
        <v>48</v>
      </c>
      <c r="K303" s="434" t="s">
        <v>5405</v>
      </c>
      <c r="M303" s="146" t="s">
        <v>119</v>
      </c>
      <c r="N303" s="730">
        <v>65288</v>
      </c>
      <c r="O303" s="730">
        <v>65288</v>
      </c>
      <c r="P303" s="459">
        <v>65299</v>
      </c>
      <c r="Q303" s="432" t="s">
        <v>51</v>
      </c>
    </row>
    <row r="304" spans="1:17">
      <c r="A304" s="509">
        <f t="shared" si="4"/>
        <v>303</v>
      </c>
      <c r="B304" s="1332" t="s">
        <v>43</v>
      </c>
      <c r="C304" s="943" t="s">
        <v>44</v>
      </c>
      <c r="D304" s="943" t="s">
        <v>45</v>
      </c>
      <c r="E304" s="432" t="s">
        <v>5687</v>
      </c>
      <c r="F304" s="1285">
        <v>12</v>
      </c>
      <c r="G304" s="434">
        <v>9868677220</v>
      </c>
      <c r="I304" s="434">
        <v>30</v>
      </c>
      <c r="J304" s="120" t="s">
        <v>48</v>
      </c>
      <c r="K304" s="434" t="s">
        <v>5405</v>
      </c>
      <c r="M304" s="146" t="s">
        <v>119</v>
      </c>
      <c r="N304" s="730">
        <v>65288</v>
      </c>
      <c r="O304" s="730">
        <v>65288</v>
      </c>
      <c r="P304" s="459">
        <v>65299</v>
      </c>
      <c r="Q304" s="432" t="s">
        <v>51</v>
      </c>
    </row>
    <row r="305" spans="1:17">
      <c r="A305" s="509">
        <f t="shared" si="4"/>
        <v>304</v>
      </c>
      <c r="B305" s="1332" t="s">
        <v>43</v>
      </c>
      <c r="C305" s="943" t="s">
        <v>44</v>
      </c>
      <c r="D305" s="943" t="s">
        <v>45</v>
      </c>
      <c r="E305" s="432" t="s">
        <v>5688</v>
      </c>
      <c r="F305" s="434">
        <v>16</v>
      </c>
      <c r="G305" s="434">
        <v>9864353636</v>
      </c>
      <c r="I305" s="434">
        <v>26</v>
      </c>
      <c r="J305" s="120" t="s">
        <v>48</v>
      </c>
      <c r="K305" s="434" t="s">
        <v>3293</v>
      </c>
      <c r="M305" s="146" t="s">
        <v>119</v>
      </c>
      <c r="N305" s="730">
        <v>65289</v>
      </c>
      <c r="O305" s="730">
        <v>65289</v>
      </c>
      <c r="P305" s="459">
        <v>65299</v>
      </c>
      <c r="Q305" s="432" t="s">
        <v>51</v>
      </c>
    </row>
    <row r="306" spans="1:17">
      <c r="A306" s="509">
        <f t="shared" si="4"/>
        <v>305</v>
      </c>
      <c r="B306" s="1332" t="s">
        <v>43</v>
      </c>
      <c r="C306" s="943" t="s">
        <v>44</v>
      </c>
      <c r="D306" s="943" t="s">
        <v>45</v>
      </c>
      <c r="E306" s="432" t="s">
        <v>5689</v>
      </c>
      <c r="F306" s="434">
        <v>6</v>
      </c>
      <c r="G306" s="434">
        <v>9844938644</v>
      </c>
      <c r="I306" s="434">
        <v>28</v>
      </c>
      <c r="J306" s="434" t="s">
        <v>90</v>
      </c>
      <c r="K306" s="434" t="s">
        <v>3293</v>
      </c>
      <c r="M306" s="146" t="s">
        <v>119</v>
      </c>
      <c r="N306" s="730">
        <v>65289</v>
      </c>
      <c r="O306" s="730">
        <v>65289</v>
      </c>
      <c r="P306" s="459">
        <v>65299</v>
      </c>
      <c r="Q306" s="432" t="s">
        <v>51</v>
      </c>
    </row>
    <row r="307" spans="1:17">
      <c r="A307" s="509">
        <f t="shared" si="4"/>
        <v>306</v>
      </c>
      <c r="B307" s="1332" t="s">
        <v>43</v>
      </c>
      <c r="C307" s="943" t="s">
        <v>44</v>
      </c>
      <c r="D307" s="943" t="s">
        <v>45</v>
      </c>
      <c r="E307" s="432" t="s">
        <v>5690</v>
      </c>
      <c r="F307" s="434">
        <v>7</v>
      </c>
      <c r="G307" s="434">
        <v>9844966179</v>
      </c>
      <c r="I307" s="434">
        <v>33</v>
      </c>
      <c r="J307" s="434" t="s">
        <v>90</v>
      </c>
      <c r="K307" s="434" t="s">
        <v>5405</v>
      </c>
      <c r="M307" s="146" t="s">
        <v>119</v>
      </c>
      <c r="N307" s="730">
        <v>65290</v>
      </c>
      <c r="O307" s="730">
        <v>65290</v>
      </c>
      <c r="P307" s="459">
        <v>65299</v>
      </c>
      <c r="Q307" s="432" t="s">
        <v>51</v>
      </c>
    </row>
    <row r="308" spans="1:17">
      <c r="A308" s="509">
        <f t="shared" si="4"/>
        <v>307</v>
      </c>
      <c r="B308" s="1332" t="s">
        <v>43</v>
      </c>
      <c r="C308" s="943" t="s">
        <v>44</v>
      </c>
      <c r="D308" s="943" t="s">
        <v>45</v>
      </c>
      <c r="E308" s="432" t="s">
        <v>5691</v>
      </c>
      <c r="F308" s="434">
        <v>6</v>
      </c>
      <c r="G308" s="434">
        <v>9866550396</v>
      </c>
      <c r="I308" s="434">
        <v>40</v>
      </c>
      <c r="J308" s="120" t="s">
        <v>48</v>
      </c>
      <c r="K308" s="434" t="s">
        <v>5405</v>
      </c>
      <c r="M308" s="146" t="s">
        <v>119</v>
      </c>
      <c r="N308" s="730">
        <v>65290</v>
      </c>
      <c r="O308" s="730">
        <v>65290</v>
      </c>
      <c r="P308" s="459">
        <v>65299</v>
      </c>
      <c r="Q308" s="432" t="s">
        <v>51</v>
      </c>
    </row>
    <row r="309" spans="1:17">
      <c r="A309" s="509">
        <f t="shared" si="4"/>
        <v>308</v>
      </c>
      <c r="B309" s="1332" t="s">
        <v>43</v>
      </c>
      <c r="C309" s="943" t="s">
        <v>44</v>
      </c>
      <c r="D309" s="943" t="s">
        <v>45</v>
      </c>
      <c r="E309" s="432" t="s">
        <v>5692</v>
      </c>
      <c r="F309" s="434">
        <v>9</v>
      </c>
      <c r="G309" s="434">
        <v>9844947444</v>
      </c>
      <c r="I309" s="434">
        <v>52</v>
      </c>
      <c r="J309" s="434" t="s">
        <v>90</v>
      </c>
      <c r="K309" s="434" t="s">
        <v>5405</v>
      </c>
      <c r="M309" s="146" t="s">
        <v>119</v>
      </c>
      <c r="N309" s="730">
        <v>65290</v>
      </c>
      <c r="O309" s="730">
        <v>65290</v>
      </c>
      <c r="P309" s="459">
        <v>65299</v>
      </c>
      <c r="Q309" s="432" t="s">
        <v>51</v>
      </c>
    </row>
    <row r="310" spans="1:17">
      <c r="A310" s="509">
        <f t="shared" si="4"/>
        <v>309</v>
      </c>
      <c r="B310" s="1332" t="s">
        <v>43</v>
      </c>
      <c r="C310" s="943" t="s">
        <v>44</v>
      </c>
      <c r="D310" s="943" t="s">
        <v>45</v>
      </c>
      <c r="E310" s="432" t="s">
        <v>5693</v>
      </c>
      <c r="F310" s="434">
        <v>9</v>
      </c>
      <c r="G310" s="434">
        <v>9844981407</v>
      </c>
      <c r="I310" s="434">
        <v>53</v>
      </c>
      <c r="J310" s="120" t="s">
        <v>48</v>
      </c>
      <c r="K310" s="434" t="s">
        <v>5405</v>
      </c>
      <c r="M310" s="146" t="s">
        <v>119</v>
      </c>
      <c r="N310" s="730">
        <v>65290</v>
      </c>
      <c r="O310" s="730">
        <v>65290</v>
      </c>
      <c r="P310" s="459">
        <v>65299</v>
      </c>
      <c r="Q310" s="432" t="s">
        <v>51</v>
      </c>
    </row>
    <row r="311" spans="1:17">
      <c r="A311" s="509">
        <f t="shared" si="4"/>
        <v>310</v>
      </c>
      <c r="B311" s="1332" t="s">
        <v>43</v>
      </c>
      <c r="C311" s="943" t="s">
        <v>44</v>
      </c>
      <c r="D311" s="943" t="s">
        <v>45</v>
      </c>
      <c r="E311" s="432" t="s">
        <v>5694</v>
      </c>
      <c r="F311" s="434">
        <v>6</v>
      </c>
      <c r="G311" s="434">
        <v>9847668476</v>
      </c>
      <c r="I311" s="434">
        <v>39</v>
      </c>
      <c r="J311" s="434" t="s">
        <v>90</v>
      </c>
      <c r="K311" s="434" t="s">
        <v>5405</v>
      </c>
      <c r="M311" s="146" t="s">
        <v>119</v>
      </c>
      <c r="N311" s="730">
        <v>65290</v>
      </c>
      <c r="O311" s="730">
        <v>65290</v>
      </c>
      <c r="P311" s="459">
        <v>65299</v>
      </c>
      <c r="Q311" s="432" t="s">
        <v>51</v>
      </c>
    </row>
    <row r="312" spans="1:17">
      <c r="A312" s="509">
        <f t="shared" si="4"/>
        <v>311</v>
      </c>
      <c r="B312" s="1332" t="s">
        <v>43</v>
      </c>
      <c r="C312" s="943" t="s">
        <v>44</v>
      </c>
      <c r="D312" s="943" t="s">
        <v>45</v>
      </c>
      <c r="E312" s="432" t="s">
        <v>5695</v>
      </c>
      <c r="F312" s="434">
        <v>6</v>
      </c>
      <c r="G312" s="434">
        <v>9847668476</v>
      </c>
      <c r="I312" s="434">
        <v>58</v>
      </c>
      <c r="J312" s="434" t="s">
        <v>90</v>
      </c>
      <c r="K312" s="434" t="s">
        <v>5405</v>
      </c>
      <c r="M312" s="146" t="s">
        <v>119</v>
      </c>
      <c r="N312" s="730">
        <v>65290</v>
      </c>
      <c r="O312" s="730">
        <v>65290</v>
      </c>
      <c r="P312" s="459">
        <v>65299</v>
      </c>
      <c r="Q312" s="432" t="s">
        <v>51</v>
      </c>
    </row>
    <row r="313" spans="1:17">
      <c r="A313" s="509">
        <f t="shared" si="4"/>
        <v>312</v>
      </c>
      <c r="B313" s="1332" t="s">
        <v>43</v>
      </c>
      <c r="C313" s="943" t="s">
        <v>44</v>
      </c>
      <c r="D313" s="943" t="s">
        <v>45</v>
      </c>
      <c r="E313" s="432" t="s">
        <v>5696</v>
      </c>
      <c r="F313" s="434">
        <v>9</v>
      </c>
      <c r="G313" s="434">
        <v>9847910526</v>
      </c>
      <c r="I313" s="434">
        <v>59</v>
      </c>
      <c r="J313" s="120" t="s">
        <v>48</v>
      </c>
      <c r="K313" s="434" t="s">
        <v>5405</v>
      </c>
      <c r="M313" s="146" t="s">
        <v>119</v>
      </c>
      <c r="N313" s="730">
        <v>65290</v>
      </c>
      <c r="O313" s="730">
        <v>65290</v>
      </c>
      <c r="P313" s="459">
        <v>65299</v>
      </c>
      <c r="Q313" s="432" t="s">
        <v>51</v>
      </c>
    </row>
    <row r="314" spans="1:17">
      <c r="A314" s="509">
        <f t="shared" si="4"/>
        <v>313</v>
      </c>
      <c r="B314" s="1332" t="s">
        <v>43</v>
      </c>
      <c r="C314" s="943" t="s">
        <v>44</v>
      </c>
      <c r="D314" s="943" t="s">
        <v>45</v>
      </c>
      <c r="E314" s="432" t="s">
        <v>5697</v>
      </c>
      <c r="F314" s="434">
        <v>9</v>
      </c>
      <c r="G314" s="434">
        <v>9847910526</v>
      </c>
      <c r="I314" s="434">
        <v>55</v>
      </c>
      <c r="J314" s="434" t="s">
        <v>90</v>
      </c>
      <c r="K314" s="434" t="s">
        <v>5405</v>
      </c>
      <c r="M314" s="146" t="s">
        <v>119</v>
      </c>
      <c r="N314" s="730">
        <v>65290</v>
      </c>
      <c r="O314" s="730">
        <v>65290</v>
      </c>
      <c r="P314" s="459">
        <v>65299</v>
      </c>
      <c r="Q314" s="432" t="s">
        <v>51</v>
      </c>
    </row>
    <row r="315" spans="1:17">
      <c r="A315" s="509">
        <f t="shared" si="4"/>
        <v>314</v>
      </c>
      <c r="B315" s="1332" t="s">
        <v>43</v>
      </c>
      <c r="C315" s="943" t="s">
        <v>44</v>
      </c>
      <c r="D315" s="943" t="s">
        <v>45</v>
      </c>
      <c r="E315" s="432" t="s">
        <v>5698</v>
      </c>
      <c r="F315" s="434">
        <v>5</v>
      </c>
      <c r="G315" s="434">
        <v>9742357215</v>
      </c>
      <c r="I315" s="434">
        <v>33</v>
      </c>
      <c r="J315" s="434" t="s">
        <v>90</v>
      </c>
      <c r="K315" s="434" t="s">
        <v>5405</v>
      </c>
      <c r="M315" s="146" t="s">
        <v>119</v>
      </c>
      <c r="N315" s="730">
        <v>65290</v>
      </c>
      <c r="O315" s="730">
        <v>65290</v>
      </c>
      <c r="P315" s="459">
        <v>65299</v>
      </c>
      <c r="Q315" s="432" t="s">
        <v>51</v>
      </c>
    </row>
    <row r="316" spans="1:17">
      <c r="A316" s="509">
        <f t="shared" si="4"/>
        <v>315</v>
      </c>
      <c r="B316" s="1332" t="s">
        <v>43</v>
      </c>
      <c r="C316" s="943" t="s">
        <v>44</v>
      </c>
      <c r="D316" s="943" t="s">
        <v>45</v>
      </c>
      <c r="E316" s="432" t="s">
        <v>5699</v>
      </c>
      <c r="F316" s="434">
        <v>5</v>
      </c>
      <c r="G316" s="434">
        <v>9847840034</v>
      </c>
      <c r="I316" s="434">
        <v>8</v>
      </c>
      <c r="J316" s="120" t="s">
        <v>48</v>
      </c>
      <c r="K316" s="434" t="s">
        <v>5405</v>
      </c>
      <c r="M316" s="146" t="s">
        <v>119</v>
      </c>
      <c r="N316" s="730">
        <v>65290</v>
      </c>
      <c r="O316" s="730">
        <v>65290</v>
      </c>
      <c r="P316" s="459">
        <v>65299</v>
      </c>
      <c r="Q316" s="432" t="s">
        <v>51</v>
      </c>
    </row>
    <row r="317" spans="1:17">
      <c r="A317" s="509">
        <f t="shared" si="4"/>
        <v>316</v>
      </c>
      <c r="B317" s="1332" t="s">
        <v>43</v>
      </c>
      <c r="C317" s="943" t="s">
        <v>44</v>
      </c>
      <c r="D317" s="943" t="s">
        <v>45</v>
      </c>
      <c r="E317" s="432" t="s">
        <v>5236</v>
      </c>
      <c r="F317" s="434">
        <v>6</v>
      </c>
      <c r="G317" s="434">
        <v>9848129374</v>
      </c>
      <c r="H317" s="432" t="s">
        <v>5733</v>
      </c>
      <c r="I317" s="434">
        <v>51</v>
      </c>
      <c r="J317" s="120" t="s">
        <v>48</v>
      </c>
      <c r="K317" s="434" t="s">
        <v>5405</v>
      </c>
      <c r="M317" s="146" t="s">
        <v>119</v>
      </c>
      <c r="N317" s="730">
        <v>65290</v>
      </c>
      <c r="O317" s="730">
        <v>65290</v>
      </c>
      <c r="P317" s="459">
        <v>65299</v>
      </c>
      <c r="Q317" s="432" t="s">
        <v>51</v>
      </c>
    </row>
    <row r="318" spans="1:17">
      <c r="A318" s="509">
        <f t="shared" si="4"/>
        <v>317</v>
      </c>
      <c r="B318" s="1332" t="s">
        <v>43</v>
      </c>
      <c r="C318" s="943" t="s">
        <v>44</v>
      </c>
      <c r="D318" s="943" t="s">
        <v>45</v>
      </c>
      <c r="E318" s="432" t="s">
        <v>5700</v>
      </c>
      <c r="F318" s="434">
        <v>1</v>
      </c>
      <c r="G318" s="434">
        <v>9847949449</v>
      </c>
      <c r="I318" s="434">
        <v>30</v>
      </c>
      <c r="J318" s="120" t="s">
        <v>48</v>
      </c>
      <c r="K318" s="434" t="s">
        <v>5405</v>
      </c>
      <c r="M318" s="146" t="s">
        <v>119</v>
      </c>
      <c r="N318" s="730">
        <v>65290</v>
      </c>
      <c r="O318" s="730">
        <v>65290</v>
      </c>
      <c r="P318" s="459">
        <v>65299</v>
      </c>
      <c r="Q318" s="432" t="s">
        <v>51</v>
      </c>
    </row>
    <row r="319" spans="1:17">
      <c r="A319" s="509">
        <f t="shared" si="4"/>
        <v>318</v>
      </c>
      <c r="B319" s="1332" t="s">
        <v>43</v>
      </c>
      <c r="C319" s="943" t="s">
        <v>44</v>
      </c>
      <c r="D319" s="943" t="s">
        <v>45</v>
      </c>
      <c r="E319" s="432" t="s">
        <v>5701</v>
      </c>
      <c r="F319" s="434">
        <v>9</v>
      </c>
      <c r="G319" s="434">
        <v>9829808931</v>
      </c>
      <c r="I319" s="434">
        <v>24</v>
      </c>
      <c r="J319" s="120" t="s">
        <v>48</v>
      </c>
      <c r="K319" s="434" t="s">
        <v>5405</v>
      </c>
      <c r="M319" s="146" t="s">
        <v>119</v>
      </c>
      <c r="N319" s="730">
        <v>65290</v>
      </c>
      <c r="O319" s="730">
        <v>65290</v>
      </c>
      <c r="P319" s="459">
        <v>65299</v>
      </c>
      <c r="Q319" s="432" t="s">
        <v>51</v>
      </c>
    </row>
    <row r="320" spans="1:17">
      <c r="A320" s="509">
        <f t="shared" si="4"/>
        <v>319</v>
      </c>
      <c r="B320" s="1332" t="s">
        <v>43</v>
      </c>
      <c r="C320" s="943" t="s">
        <v>44</v>
      </c>
      <c r="D320" s="943" t="s">
        <v>45</v>
      </c>
      <c r="E320" s="432" t="s">
        <v>5702</v>
      </c>
      <c r="F320" s="434">
        <v>8</v>
      </c>
      <c r="G320" s="434">
        <v>9847830214</v>
      </c>
      <c r="I320" s="434">
        <v>36</v>
      </c>
      <c r="J320" s="120" t="s">
        <v>48</v>
      </c>
      <c r="K320" s="434" t="s">
        <v>5405</v>
      </c>
      <c r="M320" s="146" t="s">
        <v>119</v>
      </c>
      <c r="N320" s="730">
        <v>65290</v>
      </c>
      <c r="O320" s="730">
        <v>65290</v>
      </c>
      <c r="P320" s="459">
        <v>65299</v>
      </c>
      <c r="Q320" s="432" t="s">
        <v>51</v>
      </c>
    </row>
    <row r="321" spans="1:17">
      <c r="A321" s="509">
        <f t="shared" si="4"/>
        <v>320</v>
      </c>
      <c r="B321" s="1332" t="s">
        <v>43</v>
      </c>
      <c r="C321" s="943" t="s">
        <v>44</v>
      </c>
      <c r="D321" s="943" t="s">
        <v>45</v>
      </c>
      <c r="E321" s="432" t="s">
        <v>5703</v>
      </c>
      <c r="F321" s="434">
        <v>16</v>
      </c>
      <c r="G321" s="434">
        <v>9847882742</v>
      </c>
      <c r="I321" s="434">
        <v>31</v>
      </c>
      <c r="J321" s="120" t="s">
        <v>48</v>
      </c>
      <c r="K321" s="434" t="s">
        <v>5405</v>
      </c>
      <c r="M321" s="146" t="s">
        <v>119</v>
      </c>
      <c r="N321" s="730">
        <v>65290</v>
      </c>
      <c r="O321" s="730">
        <v>65290</v>
      </c>
      <c r="P321" s="459">
        <v>65299</v>
      </c>
      <c r="Q321" s="432" t="s">
        <v>51</v>
      </c>
    </row>
    <row r="322" spans="1:17">
      <c r="A322" s="509">
        <f t="shared" si="4"/>
        <v>321</v>
      </c>
      <c r="B322" s="1332" t="s">
        <v>43</v>
      </c>
      <c r="C322" s="943" t="s">
        <v>44</v>
      </c>
      <c r="D322" s="943" t="s">
        <v>45</v>
      </c>
      <c r="E322" s="432" t="s">
        <v>5454</v>
      </c>
      <c r="F322" s="434">
        <v>11</v>
      </c>
      <c r="G322" s="434">
        <v>9810877007</v>
      </c>
      <c r="I322" s="434">
        <v>5</v>
      </c>
      <c r="J322" s="434" t="s">
        <v>90</v>
      </c>
      <c r="K322" s="434" t="s">
        <v>5405</v>
      </c>
      <c r="M322" s="146" t="s">
        <v>119</v>
      </c>
      <c r="N322" s="730">
        <v>65290</v>
      </c>
      <c r="O322" s="730">
        <v>65290</v>
      </c>
      <c r="P322" s="459">
        <v>65299</v>
      </c>
      <c r="Q322" s="432" t="s">
        <v>51</v>
      </c>
    </row>
    <row r="323" spans="1:17">
      <c r="A323" s="509">
        <f t="shared" ref="A323:A386" si="5">A322+1</f>
        <v>322</v>
      </c>
      <c r="B323" s="1332" t="s">
        <v>43</v>
      </c>
      <c r="C323" s="943" t="s">
        <v>44</v>
      </c>
      <c r="D323" s="943" t="s">
        <v>45</v>
      </c>
      <c r="E323" s="432" t="s">
        <v>5704</v>
      </c>
      <c r="F323" s="434">
        <v>1</v>
      </c>
      <c r="G323" s="434">
        <v>9810877007</v>
      </c>
      <c r="I323" s="434">
        <v>25</v>
      </c>
      <c r="J323" s="434" t="s">
        <v>90</v>
      </c>
      <c r="K323" s="434" t="s">
        <v>5405</v>
      </c>
      <c r="M323" s="146" t="s">
        <v>119</v>
      </c>
      <c r="N323" s="730">
        <v>65290</v>
      </c>
      <c r="O323" s="730">
        <v>65290</v>
      </c>
      <c r="P323" s="459">
        <v>65299</v>
      </c>
      <c r="Q323" s="432" t="s">
        <v>51</v>
      </c>
    </row>
    <row r="324" spans="1:17">
      <c r="A324" s="509">
        <f t="shared" si="5"/>
        <v>323</v>
      </c>
      <c r="B324" s="1332" t="s">
        <v>43</v>
      </c>
      <c r="C324" s="943" t="s">
        <v>44</v>
      </c>
      <c r="D324" s="943" t="s">
        <v>45</v>
      </c>
      <c r="E324" s="432" t="s">
        <v>5705</v>
      </c>
      <c r="F324" s="434">
        <v>18</v>
      </c>
      <c r="G324" s="434">
        <v>9857821250</v>
      </c>
      <c r="I324" s="434">
        <v>32</v>
      </c>
      <c r="J324" s="120" t="s">
        <v>48</v>
      </c>
      <c r="K324" s="434" t="s">
        <v>5405</v>
      </c>
      <c r="M324" s="146" t="s">
        <v>119</v>
      </c>
      <c r="N324" s="730">
        <v>65290</v>
      </c>
      <c r="O324" s="730">
        <v>65290</v>
      </c>
      <c r="P324" s="459">
        <v>65299</v>
      </c>
      <c r="Q324" s="432" t="s">
        <v>51</v>
      </c>
    </row>
    <row r="325" spans="1:17">
      <c r="A325" s="509">
        <f t="shared" si="5"/>
        <v>324</v>
      </c>
      <c r="B325" s="1332" t="s">
        <v>43</v>
      </c>
      <c r="C325" s="943" t="s">
        <v>44</v>
      </c>
      <c r="D325" s="943" t="s">
        <v>45</v>
      </c>
      <c r="E325" s="432" t="s">
        <v>5706</v>
      </c>
      <c r="F325" s="434">
        <v>11</v>
      </c>
      <c r="G325" s="434">
        <v>9863524858</v>
      </c>
      <c r="I325" s="434">
        <v>26</v>
      </c>
      <c r="J325" s="120" t="s">
        <v>48</v>
      </c>
      <c r="K325" s="434" t="s">
        <v>5405</v>
      </c>
      <c r="M325" s="146" t="s">
        <v>119</v>
      </c>
      <c r="N325" s="730">
        <v>65291</v>
      </c>
      <c r="O325" s="730">
        <v>65291</v>
      </c>
      <c r="P325" s="459">
        <v>65300</v>
      </c>
      <c r="Q325" s="432" t="s">
        <v>51</v>
      </c>
    </row>
    <row r="326" spans="1:17">
      <c r="A326" s="509">
        <f t="shared" si="5"/>
        <v>325</v>
      </c>
      <c r="B326" s="1332" t="s">
        <v>43</v>
      </c>
      <c r="C326" s="943" t="s">
        <v>44</v>
      </c>
      <c r="D326" s="943" t="s">
        <v>45</v>
      </c>
      <c r="E326" s="432" t="s">
        <v>5707</v>
      </c>
      <c r="F326" s="434">
        <v>6</v>
      </c>
      <c r="G326" s="434">
        <v>9847919963</v>
      </c>
      <c r="I326" s="434">
        <v>28</v>
      </c>
      <c r="J326" s="120" t="s">
        <v>48</v>
      </c>
      <c r="K326" s="434" t="s">
        <v>5405</v>
      </c>
      <c r="M326" s="146" t="s">
        <v>119</v>
      </c>
      <c r="N326" s="730">
        <v>65291</v>
      </c>
      <c r="O326" s="730">
        <v>65291</v>
      </c>
      <c r="P326" s="459">
        <v>65300</v>
      </c>
      <c r="Q326" s="432" t="s">
        <v>51</v>
      </c>
    </row>
    <row r="327" spans="1:17">
      <c r="A327" s="509">
        <f t="shared" si="5"/>
        <v>326</v>
      </c>
      <c r="B327" s="1332" t="s">
        <v>43</v>
      </c>
      <c r="C327" s="943" t="s">
        <v>44</v>
      </c>
      <c r="D327" s="943" t="s">
        <v>45</v>
      </c>
      <c r="E327" s="432" t="s">
        <v>5708</v>
      </c>
      <c r="F327" s="434">
        <v>6</v>
      </c>
      <c r="G327" s="434">
        <v>9840259808</v>
      </c>
      <c r="I327" s="434">
        <v>30</v>
      </c>
      <c r="J327" s="120" t="s">
        <v>48</v>
      </c>
      <c r="K327" s="434" t="s">
        <v>5405</v>
      </c>
      <c r="M327" s="146" t="s">
        <v>119</v>
      </c>
      <c r="N327" s="730">
        <v>65291</v>
      </c>
      <c r="O327" s="730">
        <v>65291</v>
      </c>
      <c r="P327" s="459">
        <v>65300</v>
      </c>
      <c r="Q327" s="432" t="s">
        <v>51</v>
      </c>
    </row>
    <row r="328" spans="1:17">
      <c r="A328" s="509">
        <f t="shared" si="5"/>
        <v>327</v>
      </c>
      <c r="B328" s="1332" t="s">
        <v>43</v>
      </c>
      <c r="C328" s="943" t="s">
        <v>44</v>
      </c>
      <c r="D328" s="943" t="s">
        <v>45</v>
      </c>
      <c r="E328" s="432" t="s">
        <v>5709</v>
      </c>
      <c r="F328" s="434">
        <v>6</v>
      </c>
      <c r="G328" s="434">
        <v>9868298110</v>
      </c>
      <c r="I328" s="434">
        <v>60</v>
      </c>
      <c r="J328" s="434" t="s">
        <v>90</v>
      </c>
      <c r="K328" s="434" t="s">
        <v>5405</v>
      </c>
      <c r="M328" s="146" t="s">
        <v>119</v>
      </c>
      <c r="N328" s="730">
        <v>65291</v>
      </c>
      <c r="O328" s="730">
        <v>65291</v>
      </c>
      <c r="P328" s="459">
        <v>65300</v>
      </c>
      <c r="Q328" s="432" t="s">
        <v>51</v>
      </c>
    </row>
    <row r="329" spans="1:17">
      <c r="A329" s="509">
        <f t="shared" si="5"/>
        <v>328</v>
      </c>
      <c r="B329" s="1332" t="s">
        <v>43</v>
      </c>
      <c r="C329" s="943" t="s">
        <v>44</v>
      </c>
      <c r="D329" s="943" t="s">
        <v>45</v>
      </c>
      <c r="E329" s="432" t="s">
        <v>5710</v>
      </c>
      <c r="F329" s="434">
        <v>6</v>
      </c>
      <c r="G329" s="434">
        <v>9844902299</v>
      </c>
      <c r="I329" s="434">
        <v>56</v>
      </c>
      <c r="J329" s="434" t="s">
        <v>90</v>
      </c>
      <c r="K329" s="434" t="s">
        <v>5405</v>
      </c>
      <c r="M329" s="146" t="s">
        <v>119</v>
      </c>
      <c r="N329" s="730">
        <v>65291</v>
      </c>
      <c r="O329" s="730">
        <v>65291</v>
      </c>
      <c r="P329" s="459">
        <v>65300</v>
      </c>
      <c r="Q329" s="432" t="s">
        <v>51</v>
      </c>
    </row>
    <row r="330" spans="1:17">
      <c r="A330" s="509">
        <f t="shared" si="5"/>
        <v>329</v>
      </c>
      <c r="B330" s="1332" t="s">
        <v>43</v>
      </c>
      <c r="C330" s="943" t="s">
        <v>44</v>
      </c>
      <c r="D330" s="943" t="s">
        <v>45</v>
      </c>
      <c r="E330" s="432" t="s">
        <v>5711</v>
      </c>
      <c r="F330" s="434">
        <v>11</v>
      </c>
      <c r="G330" s="434">
        <v>9864677394</v>
      </c>
      <c r="I330" s="434">
        <v>35</v>
      </c>
      <c r="J330" s="120" t="s">
        <v>48</v>
      </c>
      <c r="K330" s="434" t="s">
        <v>5405</v>
      </c>
      <c r="M330" s="146" t="s">
        <v>119</v>
      </c>
      <c r="N330" s="730">
        <v>65291</v>
      </c>
      <c r="O330" s="730">
        <v>65291</v>
      </c>
      <c r="P330" s="459">
        <v>65300</v>
      </c>
      <c r="Q330" s="432" t="s">
        <v>51</v>
      </c>
    </row>
    <row r="331" spans="1:17">
      <c r="A331" s="509">
        <f t="shared" si="5"/>
        <v>330</v>
      </c>
      <c r="B331" s="1332" t="s">
        <v>43</v>
      </c>
      <c r="C331" s="943" t="s">
        <v>44</v>
      </c>
      <c r="D331" s="943" t="s">
        <v>45</v>
      </c>
      <c r="E331" s="432" t="s">
        <v>5712</v>
      </c>
      <c r="F331" s="434">
        <v>11</v>
      </c>
      <c r="G331" s="434">
        <v>9864677394</v>
      </c>
      <c r="I331" s="434">
        <v>30</v>
      </c>
      <c r="J331" s="434" t="s">
        <v>90</v>
      </c>
      <c r="K331" s="434" t="s">
        <v>5405</v>
      </c>
      <c r="M331" s="146" t="s">
        <v>119</v>
      </c>
      <c r="N331" s="730">
        <v>65291</v>
      </c>
      <c r="O331" s="730">
        <v>65291</v>
      </c>
      <c r="P331" s="459">
        <v>65300</v>
      </c>
      <c r="Q331" s="432" t="s">
        <v>51</v>
      </c>
    </row>
    <row r="332" spans="1:17">
      <c r="A332" s="509">
        <f t="shared" si="5"/>
        <v>331</v>
      </c>
      <c r="B332" s="1332" t="s">
        <v>43</v>
      </c>
      <c r="C332" s="943" t="s">
        <v>44</v>
      </c>
      <c r="D332" s="943" t="s">
        <v>45</v>
      </c>
      <c r="E332" s="432" t="s">
        <v>5713</v>
      </c>
      <c r="F332" s="434">
        <v>6</v>
      </c>
      <c r="G332" s="434">
        <v>9857821640</v>
      </c>
      <c r="I332" s="434">
        <v>40</v>
      </c>
      <c r="J332" s="120" t="s">
        <v>48</v>
      </c>
      <c r="K332" s="434" t="s">
        <v>5405</v>
      </c>
      <c r="M332" s="146" t="s">
        <v>119</v>
      </c>
      <c r="N332" s="730">
        <v>65291</v>
      </c>
      <c r="O332" s="730">
        <v>65291</v>
      </c>
      <c r="P332" s="459">
        <v>65300</v>
      </c>
      <c r="Q332" s="432" t="s">
        <v>51</v>
      </c>
    </row>
    <row r="333" spans="1:17">
      <c r="A333" s="509">
        <f t="shared" si="5"/>
        <v>332</v>
      </c>
      <c r="B333" s="1332" t="s">
        <v>43</v>
      </c>
      <c r="C333" s="943" t="s">
        <v>44</v>
      </c>
      <c r="D333" s="943" t="s">
        <v>45</v>
      </c>
      <c r="E333" s="432" t="s">
        <v>5714</v>
      </c>
      <c r="F333" s="434">
        <v>9</v>
      </c>
      <c r="G333" s="434">
        <v>9829579005</v>
      </c>
      <c r="I333" s="434">
        <v>26</v>
      </c>
      <c r="J333" s="434" t="s">
        <v>90</v>
      </c>
      <c r="K333" s="434" t="s">
        <v>5405</v>
      </c>
      <c r="M333" s="146" t="s">
        <v>119</v>
      </c>
      <c r="N333" s="730">
        <v>65291</v>
      </c>
      <c r="O333" s="730">
        <v>65291</v>
      </c>
      <c r="P333" s="459">
        <v>65300</v>
      </c>
      <c r="Q333" s="432" t="s">
        <v>51</v>
      </c>
    </row>
    <row r="334" spans="1:17">
      <c r="A334" s="509">
        <f t="shared" si="5"/>
        <v>333</v>
      </c>
      <c r="B334" s="1332" t="s">
        <v>43</v>
      </c>
      <c r="C334" s="943" t="s">
        <v>44</v>
      </c>
      <c r="D334" s="943" t="s">
        <v>45</v>
      </c>
      <c r="E334" s="432" t="s">
        <v>5715</v>
      </c>
      <c r="F334" s="434">
        <v>9</v>
      </c>
      <c r="G334" s="434">
        <v>9810862896</v>
      </c>
      <c r="I334" s="434">
        <v>23</v>
      </c>
      <c r="J334" s="434" t="s">
        <v>90</v>
      </c>
      <c r="K334" s="434" t="s">
        <v>5405</v>
      </c>
      <c r="M334" s="146" t="s">
        <v>119</v>
      </c>
      <c r="N334" s="730">
        <v>65291</v>
      </c>
      <c r="O334" s="730">
        <v>65291</v>
      </c>
      <c r="P334" s="459">
        <v>65300</v>
      </c>
      <c r="Q334" s="432" t="s">
        <v>51</v>
      </c>
    </row>
    <row r="335" spans="1:17">
      <c r="A335" s="509">
        <f t="shared" si="5"/>
        <v>334</v>
      </c>
      <c r="B335" s="1332" t="s">
        <v>43</v>
      </c>
      <c r="C335" s="943" t="s">
        <v>44</v>
      </c>
      <c r="D335" s="943" t="s">
        <v>45</v>
      </c>
      <c r="E335" s="432" t="s">
        <v>5716</v>
      </c>
      <c r="F335" s="434">
        <v>10</v>
      </c>
      <c r="G335" s="434">
        <v>9844948333</v>
      </c>
      <c r="H335" s="432" t="s">
        <v>5733</v>
      </c>
      <c r="I335" s="434">
        <v>33</v>
      </c>
      <c r="J335" s="434" t="s">
        <v>90</v>
      </c>
      <c r="K335" s="434" t="s">
        <v>5405</v>
      </c>
      <c r="M335" s="146" t="s">
        <v>119</v>
      </c>
      <c r="N335" s="730">
        <v>65291</v>
      </c>
      <c r="O335" s="730">
        <v>65291</v>
      </c>
      <c r="P335" s="459">
        <v>65300</v>
      </c>
      <c r="Q335" s="432" t="s">
        <v>51</v>
      </c>
    </row>
    <row r="336" spans="1:17">
      <c r="A336" s="509">
        <f t="shared" si="5"/>
        <v>335</v>
      </c>
      <c r="B336" s="1332" t="s">
        <v>43</v>
      </c>
      <c r="C336" s="943" t="s">
        <v>44</v>
      </c>
      <c r="D336" s="943" t="s">
        <v>45</v>
      </c>
      <c r="E336" s="432" t="s">
        <v>5717</v>
      </c>
      <c r="F336" s="434">
        <v>19</v>
      </c>
      <c r="G336" s="434">
        <v>9848545595</v>
      </c>
      <c r="I336" s="434">
        <v>22</v>
      </c>
      <c r="J336" s="120" t="s">
        <v>48</v>
      </c>
      <c r="K336" s="434" t="s">
        <v>5405</v>
      </c>
      <c r="M336" s="146" t="s">
        <v>119</v>
      </c>
      <c r="N336" s="730">
        <v>65291</v>
      </c>
      <c r="O336" s="730">
        <v>65291</v>
      </c>
      <c r="P336" s="459">
        <v>65300</v>
      </c>
      <c r="Q336" s="432" t="s">
        <v>51</v>
      </c>
    </row>
    <row r="337" spans="1:17">
      <c r="A337" s="509">
        <f t="shared" si="5"/>
        <v>336</v>
      </c>
      <c r="B337" s="1332" t="s">
        <v>43</v>
      </c>
      <c r="C337" s="943" t="s">
        <v>44</v>
      </c>
      <c r="D337" s="943" t="s">
        <v>45</v>
      </c>
      <c r="E337" s="432" t="s">
        <v>5718</v>
      </c>
      <c r="F337" s="434">
        <v>5</v>
      </c>
      <c r="G337" s="434">
        <v>9809735683</v>
      </c>
      <c r="I337" s="434">
        <v>27</v>
      </c>
      <c r="J337" s="434" t="s">
        <v>90</v>
      </c>
      <c r="K337" s="434" t="s">
        <v>5405</v>
      </c>
      <c r="M337" s="146" t="s">
        <v>119</v>
      </c>
      <c r="N337" s="730">
        <v>65291</v>
      </c>
      <c r="O337" s="730">
        <v>65291</v>
      </c>
      <c r="P337" s="459">
        <v>65300</v>
      </c>
      <c r="Q337" s="432" t="s">
        <v>51</v>
      </c>
    </row>
    <row r="338" spans="1:17">
      <c r="A338" s="509">
        <f t="shared" si="5"/>
        <v>337</v>
      </c>
      <c r="B338" s="1332" t="s">
        <v>43</v>
      </c>
      <c r="C338" s="943" t="s">
        <v>44</v>
      </c>
      <c r="D338" s="943" t="s">
        <v>45</v>
      </c>
      <c r="E338" s="432" t="s">
        <v>5719</v>
      </c>
      <c r="F338" s="434">
        <v>9</v>
      </c>
      <c r="G338" s="434">
        <v>9823356712</v>
      </c>
      <c r="I338" s="434">
        <v>24</v>
      </c>
      <c r="J338" s="120" t="s">
        <v>48</v>
      </c>
      <c r="K338" s="434" t="s">
        <v>5405</v>
      </c>
      <c r="M338" s="146" t="s">
        <v>119</v>
      </c>
      <c r="N338" s="730">
        <v>65291</v>
      </c>
      <c r="O338" s="730">
        <v>65291</v>
      </c>
      <c r="P338" s="459">
        <v>65300</v>
      </c>
      <c r="Q338" s="432" t="s">
        <v>51</v>
      </c>
    </row>
    <row r="339" spans="1:17">
      <c r="A339" s="509">
        <f t="shared" si="5"/>
        <v>338</v>
      </c>
      <c r="B339" s="1332" t="s">
        <v>43</v>
      </c>
      <c r="C339" s="943" t="s">
        <v>44</v>
      </c>
      <c r="D339" s="943" t="s">
        <v>45</v>
      </c>
      <c r="E339" s="432" t="s">
        <v>5720</v>
      </c>
      <c r="F339" s="434">
        <v>8</v>
      </c>
      <c r="G339" s="434">
        <v>9847842344</v>
      </c>
      <c r="I339" s="434">
        <v>52</v>
      </c>
      <c r="J339" s="434" t="s">
        <v>90</v>
      </c>
      <c r="K339" s="434" t="s">
        <v>5405</v>
      </c>
      <c r="M339" s="146" t="s">
        <v>119</v>
      </c>
      <c r="N339" s="730">
        <v>65291</v>
      </c>
      <c r="O339" s="730">
        <v>65291</v>
      </c>
      <c r="P339" s="459">
        <v>65300</v>
      </c>
      <c r="Q339" s="432" t="s">
        <v>51</v>
      </c>
    </row>
    <row r="340" spans="1:17">
      <c r="A340" s="509">
        <f t="shared" si="5"/>
        <v>339</v>
      </c>
      <c r="B340" s="1332" t="s">
        <v>43</v>
      </c>
      <c r="C340" s="943" t="s">
        <v>44</v>
      </c>
      <c r="D340" s="943" t="s">
        <v>45</v>
      </c>
      <c r="E340" s="432" t="s">
        <v>5721</v>
      </c>
      <c r="F340" s="434">
        <v>8</v>
      </c>
      <c r="G340" s="434">
        <v>9842685070</v>
      </c>
      <c r="I340" s="434">
        <v>21</v>
      </c>
      <c r="J340" s="434" t="s">
        <v>90</v>
      </c>
      <c r="K340" s="434" t="s">
        <v>5405</v>
      </c>
      <c r="M340" s="146" t="s">
        <v>119</v>
      </c>
      <c r="N340" s="730">
        <v>65291</v>
      </c>
      <c r="O340" s="730">
        <v>65291</v>
      </c>
      <c r="P340" s="459">
        <v>65300</v>
      </c>
      <c r="Q340" s="432" t="s">
        <v>51</v>
      </c>
    </row>
    <row r="341" spans="1:17">
      <c r="A341" s="509">
        <f t="shared" si="5"/>
        <v>340</v>
      </c>
      <c r="B341" s="1332" t="s">
        <v>43</v>
      </c>
      <c r="C341" s="943" t="s">
        <v>44</v>
      </c>
      <c r="D341" s="943" t="s">
        <v>45</v>
      </c>
      <c r="E341" s="432" t="s">
        <v>5722</v>
      </c>
      <c r="F341" s="434">
        <v>9</v>
      </c>
      <c r="G341" s="434">
        <v>9866171077</v>
      </c>
      <c r="I341" s="434">
        <v>22</v>
      </c>
      <c r="J341" s="120" t="s">
        <v>48</v>
      </c>
      <c r="K341" s="434" t="s">
        <v>5405</v>
      </c>
      <c r="M341" s="146" t="s">
        <v>119</v>
      </c>
      <c r="N341" s="730">
        <v>65291</v>
      </c>
      <c r="O341" s="730">
        <v>65291</v>
      </c>
      <c r="P341" s="459">
        <v>65300</v>
      </c>
      <c r="Q341" s="432" t="s">
        <v>51</v>
      </c>
    </row>
    <row r="342" spans="1:17">
      <c r="A342" s="509">
        <f t="shared" si="5"/>
        <v>341</v>
      </c>
      <c r="B342" s="1332" t="s">
        <v>43</v>
      </c>
      <c r="C342" s="943" t="s">
        <v>44</v>
      </c>
      <c r="D342" s="943" t="s">
        <v>45</v>
      </c>
      <c r="E342" s="432" t="s">
        <v>5723</v>
      </c>
      <c r="F342" s="434">
        <v>19</v>
      </c>
      <c r="G342" s="434">
        <v>9847861913</v>
      </c>
      <c r="I342" s="434">
        <v>53</v>
      </c>
      <c r="J342" s="120" t="s">
        <v>48</v>
      </c>
      <c r="K342" s="434" t="s">
        <v>5405</v>
      </c>
      <c r="M342" s="146" t="s">
        <v>119</v>
      </c>
      <c r="N342" s="730">
        <v>65291</v>
      </c>
      <c r="O342" s="730">
        <v>65291</v>
      </c>
      <c r="P342" s="459">
        <v>65300</v>
      </c>
      <c r="Q342" s="432" t="s">
        <v>51</v>
      </c>
    </row>
    <row r="343" spans="1:17">
      <c r="A343" s="509">
        <f t="shared" si="5"/>
        <v>342</v>
      </c>
      <c r="B343" s="1332" t="s">
        <v>43</v>
      </c>
      <c r="C343" s="943" t="s">
        <v>44</v>
      </c>
      <c r="D343" s="943" t="s">
        <v>45</v>
      </c>
      <c r="E343" s="432" t="s">
        <v>5724</v>
      </c>
      <c r="F343" s="434">
        <v>19</v>
      </c>
      <c r="G343" s="434">
        <v>9847831127</v>
      </c>
      <c r="I343" s="434">
        <v>79</v>
      </c>
      <c r="J343" s="120" t="s">
        <v>48</v>
      </c>
      <c r="K343" s="434" t="s">
        <v>5405</v>
      </c>
      <c r="M343" s="146" t="s">
        <v>119</v>
      </c>
      <c r="N343" s="730">
        <v>65291</v>
      </c>
      <c r="O343" s="730">
        <v>65291</v>
      </c>
      <c r="P343" s="459">
        <v>65300</v>
      </c>
      <c r="Q343" s="432" t="s">
        <v>51</v>
      </c>
    </row>
    <row r="344" spans="1:17">
      <c r="A344" s="509">
        <f t="shared" si="5"/>
        <v>343</v>
      </c>
      <c r="B344" s="1332" t="s">
        <v>43</v>
      </c>
      <c r="C344" s="943" t="s">
        <v>44</v>
      </c>
      <c r="D344" s="943" t="s">
        <v>45</v>
      </c>
      <c r="E344" s="432" t="s">
        <v>5725</v>
      </c>
      <c r="F344" s="434">
        <v>2</v>
      </c>
      <c r="G344" s="434">
        <v>9847836982</v>
      </c>
      <c r="I344" s="434">
        <v>37</v>
      </c>
      <c r="J344" s="434" t="s">
        <v>90</v>
      </c>
      <c r="K344" s="434" t="s">
        <v>5405</v>
      </c>
      <c r="M344" s="146" t="s">
        <v>119</v>
      </c>
      <c r="N344" s="730">
        <v>65291</v>
      </c>
      <c r="O344" s="730">
        <v>65291</v>
      </c>
      <c r="P344" s="459">
        <v>65300</v>
      </c>
      <c r="Q344" s="432" t="s">
        <v>51</v>
      </c>
    </row>
    <row r="345" spans="1:17">
      <c r="A345" s="509">
        <f t="shared" si="5"/>
        <v>344</v>
      </c>
      <c r="B345" s="1332" t="s">
        <v>43</v>
      </c>
      <c r="C345" s="943" t="s">
        <v>44</v>
      </c>
      <c r="D345" s="943" t="s">
        <v>45</v>
      </c>
      <c r="E345" s="432" t="s">
        <v>5726</v>
      </c>
      <c r="F345" s="434">
        <v>6</v>
      </c>
      <c r="G345" s="434">
        <v>9809723432</v>
      </c>
      <c r="I345" s="434">
        <v>15</v>
      </c>
      <c r="J345" s="434" t="s">
        <v>90</v>
      </c>
      <c r="K345" s="434" t="s">
        <v>5405</v>
      </c>
      <c r="M345" s="146" t="s">
        <v>119</v>
      </c>
      <c r="N345" s="730">
        <v>65291</v>
      </c>
      <c r="O345" s="730">
        <v>65291</v>
      </c>
      <c r="P345" s="459">
        <v>65300</v>
      </c>
      <c r="Q345" s="432" t="s">
        <v>51</v>
      </c>
    </row>
    <row r="346" spans="1:17">
      <c r="A346" s="509">
        <f t="shared" si="5"/>
        <v>345</v>
      </c>
      <c r="B346" s="1332" t="s">
        <v>43</v>
      </c>
      <c r="C346" s="943" t="s">
        <v>44</v>
      </c>
      <c r="D346" s="943" t="s">
        <v>45</v>
      </c>
      <c r="E346" s="432" t="s">
        <v>5727</v>
      </c>
      <c r="F346" s="434">
        <v>7</v>
      </c>
      <c r="G346" s="434">
        <v>9866853086</v>
      </c>
      <c r="I346" s="434">
        <v>28</v>
      </c>
      <c r="J346" s="434" t="s">
        <v>90</v>
      </c>
      <c r="K346" s="434" t="s">
        <v>5405</v>
      </c>
      <c r="M346" s="146" t="s">
        <v>119</v>
      </c>
      <c r="N346" s="730">
        <v>65291</v>
      </c>
      <c r="O346" s="730">
        <v>65291</v>
      </c>
      <c r="P346" s="459">
        <v>65300</v>
      </c>
      <c r="Q346" s="432" t="s">
        <v>51</v>
      </c>
    </row>
    <row r="347" spans="1:17">
      <c r="A347" s="509">
        <f t="shared" si="5"/>
        <v>346</v>
      </c>
      <c r="B347" s="1332" t="s">
        <v>43</v>
      </c>
      <c r="C347" s="943" t="s">
        <v>44</v>
      </c>
      <c r="D347" s="943" t="s">
        <v>45</v>
      </c>
      <c r="E347" s="432" t="s">
        <v>5728</v>
      </c>
      <c r="F347" s="434">
        <v>6</v>
      </c>
      <c r="G347" s="434">
        <v>9829810999</v>
      </c>
      <c r="I347" s="434">
        <v>30</v>
      </c>
      <c r="J347" s="120" t="s">
        <v>48</v>
      </c>
      <c r="K347" s="434" t="s">
        <v>5405</v>
      </c>
      <c r="M347" s="146" t="s">
        <v>119</v>
      </c>
      <c r="N347" s="730">
        <v>65291</v>
      </c>
      <c r="O347" s="730">
        <v>65291</v>
      </c>
      <c r="P347" s="459">
        <v>65300</v>
      </c>
      <c r="Q347" s="432" t="s">
        <v>51</v>
      </c>
    </row>
    <row r="348" spans="1:17">
      <c r="A348" s="509">
        <f t="shared" si="5"/>
        <v>347</v>
      </c>
      <c r="B348" s="1332" t="s">
        <v>43</v>
      </c>
      <c r="C348" s="943" t="s">
        <v>44</v>
      </c>
      <c r="D348" s="943" t="s">
        <v>45</v>
      </c>
      <c r="E348" s="432" t="s">
        <v>5729</v>
      </c>
      <c r="F348" s="434">
        <v>6</v>
      </c>
      <c r="G348" s="434">
        <v>9857823091</v>
      </c>
      <c r="I348" s="434">
        <v>57</v>
      </c>
      <c r="J348" s="434" t="s">
        <v>90</v>
      </c>
      <c r="K348" s="434" t="s">
        <v>5405</v>
      </c>
      <c r="M348" s="146" t="s">
        <v>119</v>
      </c>
      <c r="N348" s="730">
        <v>65291</v>
      </c>
      <c r="O348" s="730">
        <v>65291</v>
      </c>
      <c r="P348" s="459">
        <v>65300</v>
      </c>
      <c r="Q348" s="432" t="s">
        <v>51</v>
      </c>
    </row>
    <row r="349" spans="1:17">
      <c r="A349" s="509">
        <f t="shared" si="5"/>
        <v>348</v>
      </c>
      <c r="B349" s="1332" t="s">
        <v>43</v>
      </c>
      <c r="C349" s="943" t="s">
        <v>44</v>
      </c>
      <c r="D349" s="943" t="s">
        <v>45</v>
      </c>
      <c r="E349" s="432" t="s">
        <v>5730</v>
      </c>
      <c r="F349" s="434">
        <v>10</v>
      </c>
      <c r="G349" s="434">
        <v>9866838179</v>
      </c>
      <c r="I349" s="434">
        <v>23</v>
      </c>
      <c r="J349" s="120" t="s">
        <v>48</v>
      </c>
      <c r="K349" s="434" t="s">
        <v>5405</v>
      </c>
      <c r="M349" s="146" t="s">
        <v>119</v>
      </c>
      <c r="N349" s="730">
        <v>65291</v>
      </c>
      <c r="O349" s="730">
        <v>65291</v>
      </c>
      <c r="P349" s="459">
        <v>65300</v>
      </c>
      <c r="Q349" s="432" t="s">
        <v>51</v>
      </c>
    </row>
    <row r="350" spans="1:17">
      <c r="A350" s="509">
        <f t="shared" si="5"/>
        <v>349</v>
      </c>
      <c r="B350" s="1332" t="s">
        <v>43</v>
      </c>
      <c r="C350" s="943" t="s">
        <v>44</v>
      </c>
      <c r="D350" s="943" t="s">
        <v>45</v>
      </c>
      <c r="E350" s="432" t="s">
        <v>5731</v>
      </c>
      <c r="F350" s="434">
        <v>6</v>
      </c>
      <c r="G350" s="434">
        <v>9814515113</v>
      </c>
      <c r="I350" s="434">
        <v>21</v>
      </c>
      <c r="J350" s="120" t="s">
        <v>48</v>
      </c>
      <c r="K350" s="434" t="s">
        <v>5405</v>
      </c>
      <c r="M350" s="146" t="s">
        <v>119</v>
      </c>
      <c r="N350" s="730">
        <v>65291</v>
      </c>
      <c r="O350" s="730">
        <v>65291</v>
      </c>
      <c r="P350" s="459">
        <v>65300</v>
      </c>
      <c r="Q350" s="432" t="s">
        <v>51</v>
      </c>
    </row>
    <row r="351" spans="1:17">
      <c r="A351" s="509">
        <f t="shared" si="5"/>
        <v>350</v>
      </c>
      <c r="B351" s="1332" t="s">
        <v>43</v>
      </c>
      <c r="C351" s="943" t="s">
        <v>44</v>
      </c>
      <c r="D351" s="943" t="s">
        <v>45</v>
      </c>
      <c r="E351" s="432" t="s">
        <v>5732</v>
      </c>
      <c r="F351" s="434">
        <v>6</v>
      </c>
      <c r="G351" s="434">
        <v>9841096232</v>
      </c>
      <c r="I351" s="434">
        <v>35</v>
      </c>
      <c r="J351" s="120" t="s">
        <v>48</v>
      </c>
      <c r="K351" s="434" t="s">
        <v>5405</v>
      </c>
      <c r="M351" s="146" t="s">
        <v>119</v>
      </c>
      <c r="N351" s="730">
        <v>65291</v>
      </c>
      <c r="O351" s="730">
        <v>65291</v>
      </c>
      <c r="P351" s="459">
        <v>65300</v>
      </c>
      <c r="Q351" s="432" t="s">
        <v>51</v>
      </c>
    </row>
    <row r="352" spans="1:17">
      <c r="A352" s="509">
        <f t="shared" si="5"/>
        <v>351</v>
      </c>
      <c r="B352" s="1332" t="s">
        <v>43</v>
      </c>
      <c r="C352" s="943" t="s">
        <v>44</v>
      </c>
      <c r="D352" s="943" t="s">
        <v>45</v>
      </c>
      <c r="E352" s="432" t="s">
        <v>392</v>
      </c>
      <c r="F352" s="434">
        <v>8</v>
      </c>
      <c r="G352" s="434">
        <v>9843642689</v>
      </c>
      <c r="I352" s="434">
        <v>27</v>
      </c>
      <c r="J352" s="434" t="s">
        <v>90</v>
      </c>
      <c r="K352" s="434" t="s">
        <v>5405</v>
      </c>
      <c r="M352" s="146" t="s">
        <v>119</v>
      </c>
      <c r="N352" s="730">
        <v>65292</v>
      </c>
      <c r="O352" s="730">
        <v>65292</v>
      </c>
      <c r="P352" s="459">
        <v>65301</v>
      </c>
      <c r="Q352" s="432" t="s">
        <v>51</v>
      </c>
    </row>
    <row r="353" spans="1:17">
      <c r="A353" s="509">
        <f t="shared" si="5"/>
        <v>352</v>
      </c>
      <c r="B353" s="1332" t="s">
        <v>43</v>
      </c>
      <c r="C353" s="943" t="s">
        <v>44</v>
      </c>
      <c r="D353" s="943" t="s">
        <v>45</v>
      </c>
      <c r="E353" s="432" t="s">
        <v>5736</v>
      </c>
      <c r="F353" s="434">
        <v>16</v>
      </c>
      <c r="G353" s="434">
        <v>9806246972</v>
      </c>
      <c r="I353" s="434">
        <v>21</v>
      </c>
      <c r="J353" s="120" t="s">
        <v>48</v>
      </c>
      <c r="K353" s="434" t="s">
        <v>5405</v>
      </c>
      <c r="M353" s="146" t="s">
        <v>119</v>
      </c>
      <c r="N353" s="730">
        <v>65292</v>
      </c>
      <c r="O353" s="730">
        <v>65292</v>
      </c>
      <c r="P353" s="459">
        <v>65301</v>
      </c>
      <c r="Q353" s="432" t="s">
        <v>51</v>
      </c>
    </row>
    <row r="354" spans="1:17">
      <c r="A354" s="509">
        <f t="shared" si="5"/>
        <v>353</v>
      </c>
      <c r="B354" s="1332" t="s">
        <v>43</v>
      </c>
      <c r="C354" s="943" t="s">
        <v>44</v>
      </c>
      <c r="D354" s="943" t="s">
        <v>45</v>
      </c>
      <c r="E354" s="432" t="s">
        <v>5737</v>
      </c>
      <c r="F354" s="434">
        <v>6</v>
      </c>
      <c r="G354" s="434">
        <v>9845150882</v>
      </c>
      <c r="I354" s="434">
        <v>36</v>
      </c>
      <c r="J354" s="120" t="s">
        <v>48</v>
      </c>
      <c r="K354" s="434" t="s">
        <v>5405</v>
      </c>
      <c r="M354" s="146" t="s">
        <v>119</v>
      </c>
      <c r="N354" s="730">
        <v>65292</v>
      </c>
      <c r="O354" s="730">
        <v>65292</v>
      </c>
      <c r="P354" s="459">
        <v>65301</v>
      </c>
      <c r="Q354" s="432" t="s">
        <v>51</v>
      </c>
    </row>
    <row r="355" spans="1:17">
      <c r="A355" s="509">
        <f t="shared" si="5"/>
        <v>354</v>
      </c>
      <c r="B355" s="1332" t="s">
        <v>43</v>
      </c>
      <c r="C355" s="943" t="s">
        <v>44</v>
      </c>
      <c r="D355" s="943" t="s">
        <v>45</v>
      </c>
      <c r="E355" s="432" t="s">
        <v>5738</v>
      </c>
      <c r="F355" s="434">
        <v>2</v>
      </c>
      <c r="G355" s="434">
        <v>9847890078</v>
      </c>
      <c r="I355" s="434">
        <v>31</v>
      </c>
      <c r="J355" s="120" t="s">
        <v>48</v>
      </c>
      <c r="K355" s="434" t="s">
        <v>5405</v>
      </c>
      <c r="M355" s="146" t="s">
        <v>119</v>
      </c>
      <c r="N355" s="730">
        <v>65292</v>
      </c>
      <c r="O355" s="730">
        <v>65292</v>
      </c>
      <c r="P355" s="459">
        <v>65301</v>
      </c>
      <c r="Q355" s="432" t="s">
        <v>51</v>
      </c>
    </row>
    <row r="356" spans="1:17">
      <c r="A356" s="509">
        <f t="shared" si="5"/>
        <v>355</v>
      </c>
      <c r="B356" s="1332" t="s">
        <v>43</v>
      </c>
      <c r="C356" s="943" t="s">
        <v>44</v>
      </c>
      <c r="D356" s="943" t="s">
        <v>45</v>
      </c>
      <c r="E356" s="432" t="s">
        <v>5739</v>
      </c>
      <c r="F356" s="434">
        <v>9</v>
      </c>
      <c r="G356" s="434">
        <v>9857822776</v>
      </c>
      <c r="I356" s="434">
        <v>64</v>
      </c>
      <c r="J356" s="120" t="s">
        <v>48</v>
      </c>
      <c r="K356" s="434" t="s">
        <v>5405</v>
      </c>
      <c r="M356" s="146" t="s">
        <v>119</v>
      </c>
      <c r="N356" s="730">
        <v>65292</v>
      </c>
      <c r="O356" s="730">
        <v>65292</v>
      </c>
      <c r="P356" s="459">
        <v>65301</v>
      </c>
      <c r="Q356" s="432" t="s">
        <v>51</v>
      </c>
    </row>
    <row r="357" spans="1:17">
      <c r="A357" s="509">
        <f t="shared" si="5"/>
        <v>356</v>
      </c>
      <c r="B357" s="1332" t="s">
        <v>43</v>
      </c>
      <c r="C357" s="943" t="s">
        <v>44</v>
      </c>
      <c r="D357" s="943" t="s">
        <v>45</v>
      </c>
      <c r="E357" s="432" t="s">
        <v>5740</v>
      </c>
      <c r="F357" s="434">
        <v>5</v>
      </c>
      <c r="G357" s="434">
        <v>9847258308</v>
      </c>
      <c r="I357" s="434">
        <v>30</v>
      </c>
      <c r="J357" s="120" t="s">
        <v>48</v>
      </c>
      <c r="K357" s="434" t="s">
        <v>5405</v>
      </c>
      <c r="M357" s="146" t="s">
        <v>119</v>
      </c>
      <c r="N357" s="730">
        <v>65292</v>
      </c>
      <c r="O357" s="730">
        <v>65292</v>
      </c>
      <c r="P357" s="459">
        <v>65301</v>
      </c>
      <c r="Q357" s="432" t="s">
        <v>51</v>
      </c>
    </row>
    <row r="358" spans="1:17">
      <c r="A358" s="509">
        <f t="shared" si="5"/>
        <v>357</v>
      </c>
      <c r="B358" s="1332" t="s">
        <v>43</v>
      </c>
      <c r="C358" s="943" t="s">
        <v>44</v>
      </c>
      <c r="D358" s="943" t="s">
        <v>45</v>
      </c>
      <c r="E358" s="432" t="s">
        <v>5741</v>
      </c>
      <c r="F358" s="434">
        <v>5</v>
      </c>
      <c r="G358" s="434">
        <v>9847864289</v>
      </c>
      <c r="I358" s="434">
        <v>37</v>
      </c>
      <c r="J358" s="120" t="s">
        <v>48</v>
      </c>
      <c r="K358" s="434" t="s">
        <v>5405</v>
      </c>
      <c r="M358" s="146" t="s">
        <v>119</v>
      </c>
      <c r="N358" s="730">
        <v>65292</v>
      </c>
      <c r="O358" s="730">
        <v>65292</v>
      </c>
      <c r="P358" s="459">
        <v>65301</v>
      </c>
      <c r="Q358" s="432" t="s">
        <v>51</v>
      </c>
    </row>
    <row r="359" spans="1:17">
      <c r="A359" s="509">
        <f t="shared" si="5"/>
        <v>358</v>
      </c>
      <c r="B359" s="1332" t="s">
        <v>43</v>
      </c>
      <c r="C359" s="943" t="s">
        <v>44</v>
      </c>
      <c r="D359" s="943" t="s">
        <v>45</v>
      </c>
      <c r="E359" s="432" t="s">
        <v>5742</v>
      </c>
      <c r="F359" s="434">
        <v>8</v>
      </c>
      <c r="I359" s="434">
        <v>17</v>
      </c>
      <c r="J359" s="120" t="s">
        <v>48</v>
      </c>
      <c r="K359" s="434" t="s">
        <v>5405</v>
      </c>
      <c r="M359" s="146" t="s">
        <v>119</v>
      </c>
      <c r="N359" s="730">
        <v>65292</v>
      </c>
      <c r="O359" s="730">
        <v>65292</v>
      </c>
      <c r="P359" s="459">
        <v>65301</v>
      </c>
      <c r="Q359" s="432" t="s">
        <v>51</v>
      </c>
    </row>
    <row r="360" spans="1:17">
      <c r="A360" s="509">
        <f t="shared" si="5"/>
        <v>359</v>
      </c>
      <c r="B360" s="1332" t="s">
        <v>43</v>
      </c>
      <c r="C360" s="943" t="s">
        <v>44</v>
      </c>
      <c r="D360" s="943" t="s">
        <v>45</v>
      </c>
      <c r="E360" s="432" t="s">
        <v>5743</v>
      </c>
      <c r="F360" s="434">
        <v>11</v>
      </c>
      <c r="G360" s="434">
        <v>9822806563</v>
      </c>
      <c r="I360" s="434">
        <v>33</v>
      </c>
      <c r="J360" s="120" t="s">
        <v>48</v>
      </c>
      <c r="K360" s="434" t="s">
        <v>5405</v>
      </c>
      <c r="M360" s="146" t="s">
        <v>119</v>
      </c>
      <c r="N360" s="730">
        <v>65292</v>
      </c>
      <c r="O360" s="730">
        <v>65292</v>
      </c>
      <c r="P360" s="459">
        <v>65301</v>
      </c>
      <c r="Q360" s="432" t="s">
        <v>51</v>
      </c>
    </row>
    <row r="361" spans="1:17">
      <c r="A361" s="509">
        <f t="shared" si="5"/>
        <v>360</v>
      </c>
      <c r="B361" s="1332" t="s">
        <v>43</v>
      </c>
      <c r="C361" s="943" t="s">
        <v>44</v>
      </c>
      <c r="D361" s="943" t="s">
        <v>45</v>
      </c>
      <c r="E361" s="432" t="s">
        <v>5744</v>
      </c>
      <c r="F361" s="434">
        <v>5</v>
      </c>
      <c r="G361" s="434">
        <v>981281717</v>
      </c>
      <c r="I361" s="434">
        <v>56</v>
      </c>
      <c r="J361" s="120" t="s">
        <v>48</v>
      </c>
      <c r="K361" s="434" t="s">
        <v>5405</v>
      </c>
      <c r="M361" s="146" t="s">
        <v>119</v>
      </c>
      <c r="N361" s="730">
        <v>65292</v>
      </c>
      <c r="O361" s="730">
        <v>65292</v>
      </c>
      <c r="P361" s="459">
        <v>65301</v>
      </c>
      <c r="Q361" s="432" t="s">
        <v>51</v>
      </c>
    </row>
    <row r="362" spans="1:17">
      <c r="A362" s="509">
        <f t="shared" si="5"/>
        <v>361</v>
      </c>
      <c r="B362" s="1332" t="s">
        <v>43</v>
      </c>
      <c r="C362" s="943" t="s">
        <v>44</v>
      </c>
      <c r="D362" s="943" t="s">
        <v>45</v>
      </c>
      <c r="E362" s="432" t="s">
        <v>5745</v>
      </c>
      <c r="F362" s="434">
        <v>18</v>
      </c>
      <c r="G362" s="434">
        <v>9851121356</v>
      </c>
      <c r="I362" s="434">
        <v>50</v>
      </c>
      <c r="J362" s="120" t="s">
        <v>48</v>
      </c>
      <c r="K362" s="434" t="s">
        <v>5405</v>
      </c>
      <c r="M362" s="146" t="s">
        <v>119</v>
      </c>
      <c r="N362" s="730">
        <v>65292</v>
      </c>
      <c r="O362" s="730">
        <v>65292</v>
      </c>
      <c r="P362" s="459">
        <v>65301</v>
      </c>
      <c r="Q362" s="432" t="s">
        <v>51</v>
      </c>
    </row>
    <row r="363" spans="1:17">
      <c r="A363" s="509">
        <f t="shared" si="5"/>
        <v>362</v>
      </c>
      <c r="B363" s="1332" t="s">
        <v>43</v>
      </c>
      <c r="C363" s="943" t="s">
        <v>44</v>
      </c>
      <c r="D363" s="943" t="s">
        <v>45</v>
      </c>
      <c r="E363" s="432" t="s">
        <v>5746</v>
      </c>
      <c r="F363" s="434">
        <v>5</v>
      </c>
      <c r="G363" s="434">
        <v>9868190523</v>
      </c>
      <c r="I363" s="434">
        <v>20</v>
      </c>
      <c r="J363" s="120" t="s">
        <v>48</v>
      </c>
      <c r="K363" s="434" t="s">
        <v>5405</v>
      </c>
      <c r="M363" s="146" t="s">
        <v>119</v>
      </c>
      <c r="N363" s="730">
        <v>65292</v>
      </c>
      <c r="O363" s="730">
        <v>65292</v>
      </c>
      <c r="P363" s="459">
        <v>65301</v>
      </c>
      <c r="Q363" s="432" t="s">
        <v>51</v>
      </c>
    </row>
    <row r="364" spans="1:17">
      <c r="A364" s="509">
        <f t="shared" si="5"/>
        <v>363</v>
      </c>
      <c r="B364" s="1332" t="s">
        <v>43</v>
      </c>
      <c r="C364" s="943" t="s">
        <v>44</v>
      </c>
      <c r="D364" s="943" t="s">
        <v>45</v>
      </c>
      <c r="E364" s="432" t="s">
        <v>2645</v>
      </c>
      <c r="F364" s="434">
        <v>8</v>
      </c>
      <c r="G364" s="434">
        <v>9866539199</v>
      </c>
      <c r="I364" s="434">
        <v>38</v>
      </c>
      <c r="J364" s="434" t="s">
        <v>90</v>
      </c>
      <c r="K364" s="434" t="s">
        <v>5405</v>
      </c>
      <c r="M364" s="146" t="s">
        <v>119</v>
      </c>
      <c r="N364" s="730">
        <v>65292</v>
      </c>
      <c r="O364" s="730">
        <v>65292</v>
      </c>
      <c r="P364" s="459">
        <v>65301</v>
      </c>
      <c r="Q364" s="432" t="s">
        <v>51</v>
      </c>
    </row>
    <row r="365" spans="1:17">
      <c r="A365" s="509">
        <f t="shared" si="5"/>
        <v>364</v>
      </c>
      <c r="B365" s="1332" t="s">
        <v>43</v>
      </c>
      <c r="C365" s="943" t="s">
        <v>44</v>
      </c>
      <c r="D365" s="943" t="s">
        <v>45</v>
      </c>
      <c r="E365" s="432" t="s">
        <v>5747</v>
      </c>
      <c r="F365" s="434">
        <v>4</v>
      </c>
      <c r="G365" s="434">
        <v>9862722129</v>
      </c>
      <c r="I365" s="434">
        <v>21</v>
      </c>
      <c r="J365" s="434" t="s">
        <v>90</v>
      </c>
      <c r="K365" s="434" t="s">
        <v>5405</v>
      </c>
      <c r="M365" s="146" t="s">
        <v>119</v>
      </c>
      <c r="N365" s="730">
        <v>65292</v>
      </c>
      <c r="O365" s="730">
        <v>65292</v>
      </c>
      <c r="P365" s="459">
        <v>65301</v>
      </c>
      <c r="Q365" s="432" t="s">
        <v>51</v>
      </c>
    </row>
    <row r="366" spans="1:17">
      <c r="A366" s="509">
        <f t="shared" si="5"/>
        <v>365</v>
      </c>
      <c r="B366" s="1332" t="s">
        <v>43</v>
      </c>
      <c r="C366" s="943" t="s">
        <v>44</v>
      </c>
      <c r="D366" s="943" t="s">
        <v>45</v>
      </c>
      <c r="E366" s="432" t="s">
        <v>5749</v>
      </c>
      <c r="F366" s="434">
        <v>4</v>
      </c>
      <c r="G366" s="434">
        <v>9809896692</v>
      </c>
      <c r="I366" s="434">
        <v>71</v>
      </c>
      <c r="J366" s="120" t="s">
        <v>48</v>
      </c>
      <c r="K366" s="434" t="s">
        <v>5405</v>
      </c>
      <c r="M366" s="146" t="s">
        <v>119</v>
      </c>
      <c r="N366" s="730">
        <v>65292</v>
      </c>
      <c r="O366" s="730">
        <v>65292</v>
      </c>
      <c r="P366" s="459">
        <v>65301</v>
      </c>
      <c r="Q366" s="432" t="s">
        <v>51</v>
      </c>
    </row>
    <row r="367" spans="1:17">
      <c r="A367" s="509">
        <f t="shared" si="5"/>
        <v>366</v>
      </c>
      <c r="B367" s="1332" t="s">
        <v>43</v>
      </c>
      <c r="C367" s="943" t="s">
        <v>44</v>
      </c>
      <c r="D367" s="943" t="s">
        <v>45</v>
      </c>
      <c r="E367" s="432" t="s">
        <v>5750</v>
      </c>
      <c r="F367" s="434">
        <v>8</v>
      </c>
      <c r="I367" s="434">
        <v>75</v>
      </c>
      <c r="J367" s="434" t="s">
        <v>90</v>
      </c>
      <c r="K367" s="434" t="s">
        <v>5405</v>
      </c>
      <c r="M367" s="146" t="s">
        <v>119</v>
      </c>
      <c r="N367" s="730">
        <v>65292</v>
      </c>
      <c r="O367" s="730">
        <v>65292</v>
      </c>
      <c r="P367" s="459">
        <v>65301</v>
      </c>
      <c r="Q367" s="432" t="s">
        <v>51</v>
      </c>
    </row>
    <row r="368" spans="1:17">
      <c r="A368" s="509">
        <f t="shared" si="5"/>
        <v>367</v>
      </c>
      <c r="B368" s="1332" t="s">
        <v>43</v>
      </c>
      <c r="C368" s="943" t="s">
        <v>44</v>
      </c>
      <c r="D368" s="943" t="s">
        <v>45</v>
      </c>
      <c r="E368" s="432" t="s">
        <v>5751</v>
      </c>
      <c r="F368" s="434">
        <v>6</v>
      </c>
      <c r="G368" s="434">
        <v>9809512536</v>
      </c>
      <c r="I368" s="434">
        <v>40</v>
      </c>
      <c r="J368" s="120" t="s">
        <v>48</v>
      </c>
      <c r="K368" s="434" t="s">
        <v>5405</v>
      </c>
      <c r="M368" s="146" t="s">
        <v>119</v>
      </c>
      <c r="N368" s="730">
        <v>65292</v>
      </c>
      <c r="O368" s="730">
        <v>65292</v>
      </c>
      <c r="P368" s="459">
        <v>65301</v>
      </c>
      <c r="Q368" s="432" t="s">
        <v>51</v>
      </c>
    </row>
    <row r="369" spans="1:17">
      <c r="A369" s="509">
        <f t="shared" si="5"/>
        <v>368</v>
      </c>
      <c r="B369" s="1332" t="s">
        <v>43</v>
      </c>
      <c r="C369" s="943" t="s">
        <v>44</v>
      </c>
      <c r="D369" s="943" t="s">
        <v>45</v>
      </c>
      <c r="E369" s="432" t="s">
        <v>5752</v>
      </c>
      <c r="F369" s="434">
        <v>9</v>
      </c>
      <c r="G369" s="434">
        <v>9864864757</v>
      </c>
      <c r="I369" s="434">
        <v>59</v>
      </c>
      <c r="J369" s="120" t="s">
        <v>48</v>
      </c>
      <c r="K369" s="434" t="s">
        <v>5405</v>
      </c>
      <c r="M369" s="146" t="s">
        <v>119</v>
      </c>
      <c r="N369" s="730">
        <v>65292</v>
      </c>
      <c r="O369" s="730">
        <v>65292</v>
      </c>
      <c r="P369" s="459">
        <v>65301</v>
      </c>
      <c r="Q369" s="432" t="s">
        <v>51</v>
      </c>
    </row>
    <row r="370" spans="1:17">
      <c r="A370" s="509">
        <f t="shared" si="5"/>
        <v>369</v>
      </c>
      <c r="B370" s="1332" t="s">
        <v>43</v>
      </c>
      <c r="C370" s="943" t="s">
        <v>44</v>
      </c>
      <c r="D370" s="943" t="s">
        <v>45</v>
      </c>
      <c r="E370" s="432" t="s">
        <v>5753</v>
      </c>
      <c r="F370" s="434">
        <v>8</v>
      </c>
      <c r="G370" s="434">
        <v>9847833089</v>
      </c>
      <c r="I370" s="434">
        <v>29</v>
      </c>
      <c r="J370" s="434" t="s">
        <v>90</v>
      </c>
      <c r="K370" s="434" t="s">
        <v>5405</v>
      </c>
      <c r="M370" s="146" t="s">
        <v>119</v>
      </c>
      <c r="N370" s="730">
        <v>65292</v>
      </c>
      <c r="O370" s="730">
        <v>65292</v>
      </c>
      <c r="P370" s="459">
        <v>65301</v>
      </c>
      <c r="Q370" s="432" t="s">
        <v>51</v>
      </c>
    </row>
    <row r="371" spans="1:17">
      <c r="A371" s="509">
        <f t="shared" si="5"/>
        <v>370</v>
      </c>
      <c r="B371" s="1332" t="s">
        <v>43</v>
      </c>
      <c r="C371" s="943" t="s">
        <v>44</v>
      </c>
      <c r="D371" s="943" t="s">
        <v>45</v>
      </c>
      <c r="E371" s="432" t="s">
        <v>5754</v>
      </c>
      <c r="F371" s="434">
        <v>9</v>
      </c>
      <c r="G371" s="434">
        <v>9829806931</v>
      </c>
      <c r="I371" s="434">
        <v>18</v>
      </c>
      <c r="J371" s="434" t="s">
        <v>90</v>
      </c>
      <c r="K371" s="434" t="s">
        <v>5405</v>
      </c>
      <c r="M371" s="146" t="s">
        <v>119</v>
      </c>
      <c r="N371" s="730">
        <v>65292</v>
      </c>
      <c r="O371" s="730">
        <v>65292</v>
      </c>
      <c r="P371" s="459">
        <v>65301</v>
      </c>
      <c r="Q371" s="432" t="s">
        <v>51</v>
      </c>
    </row>
    <row r="372" spans="1:17">
      <c r="A372" s="509">
        <f t="shared" si="5"/>
        <v>371</v>
      </c>
      <c r="B372" s="1332" t="s">
        <v>43</v>
      </c>
      <c r="C372" s="943" t="s">
        <v>44</v>
      </c>
      <c r="D372" s="943" t="s">
        <v>45</v>
      </c>
      <c r="E372" s="432" t="s">
        <v>5755</v>
      </c>
      <c r="F372" s="434">
        <v>7</v>
      </c>
      <c r="G372" s="434">
        <v>9844936257</v>
      </c>
      <c r="I372" s="434">
        <v>40</v>
      </c>
      <c r="J372" s="120" t="s">
        <v>48</v>
      </c>
      <c r="K372" s="434" t="s">
        <v>5762</v>
      </c>
      <c r="M372" s="146" t="s">
        <v>119</v>
      </c>
      <c r="N372" s="730">
        <v>65292</v>
      </c>
      <c r="O372" s="730">
        <v>65292</v>
      </c>
      <c r="P372" s="459">
        <v>65301</v>
      </c>
      <c r="Q372" s="432" t="s">
        <v>51</v>
      </c>
    </row>
    <row r="373" spans="1:17">
      <c r="A373" s="509">
        <f t="shared" si="5"/>
        <v>372</v>
      </c>
      <c r="B373" s="1332" t="s">
        <v>43</v>
      </c>
      <c r="C373" s="943" t="s">
        <v>44</v>
      </c>
      <c r="D373" s="943" t="s">
        <v>45</v>
      </c>
      <c r="E373" s="432" t="s">
        <v>5756</v>
      </c>
      <c r="F373" s="434">
        <v>7</v>
      </c>
      <c r="G373" s="434">
        <v>9844936257</v>
      </c>
      <c r="I373" s="434">
        <v>18</v>
      </c>
      <c r="J373" s="434" t="s">
        <v>90</v>
      </c>
      <c r="K373" s="434" t="s">
        <v>5762</v>
      </c>
      <c r="M373" s="146" t="s">
        <v>119</v>
      </c>
      <c r="N373" s="730">
        <v>65292</v>
      </c>
      <c r="O373" s="730">
        <v>65292</v>
      </c>
      <c r="P373" s="459">
        <v>65301</v>
      </c>
      <c r="Q373" s="432" t="s">
        <v>51</v>
      </c>
    </row>
    <row r="374" spans="1:17">
      <c r="A374" s="509">
        <f t="shared" si="5"/>
        <v>373</v>
      </c>
      <c r="B374" s="1332" t="s">
        <v>43</v>
      </c>
      <c r="C374" s="943" t="s">
        <v>44</v>
      </c>
      <c r="D374" s="943" t="s">
        <v>45</v>
      </c>
      <c r="E374" s="432" t="s">
        <v>5757</v>
      </c>
      <c r="F374" s="434">
        <v>9</v>
      </c>
      <c r="G374" s="434">
        <v>9857820231</v>
      </c>
      <c r="I374" s="434">
        <v>50</v>
      </c>
      <c r="J374" s="120" t="s">
        <v>48</v>
      </c>
      <c r="K374" s="434" t="s">
        <v>5762</v>
      </c>
      <c r="M374" s="146" t="s">
        <v>119</v>
      </c>
      <c r="N374" s="730">
        <v>65292</v>
      </c>
      <c r="O374" s="730">
        <v>65292</v>
      </c>
      <c r="P374" s="459">
        <v>65301</v>
      </c>
      <c r="Q374" s="432" t="s">
        <v>51</v>
      </c>
    </row>
    <row r="375" spans="1:17">
      <c r="A375" s="509">
        <f t="shared" si="5"/>
        <v>374</v>
      </c>
      <c r="B375" s="1332" t="s">
        <v>43</v>
      </c>
      <c r="C375" s="943" t="s">
        <v>44</v>
      </c>
      <c r="D375" s="943" t="s">
        <v>45</v>
      </c>
      <c r="E375" s="432" t="s">
        <v>5758</v>
      </c>
      <c r="F375" s="434">
        <v>9</v>
      </c>
      <c r="G375" s="434">
        <v>9857820231</v>
      </c>
      <c r="I375" s="434">
        <v>38</v>
      </c>
      <c r="J375" s="434" t="s">
        <v>90</v>
      </c>
      <c r="K375" s="434" t="s">
        <v>5762</v>
      </c>
      <c r="M375" s="146" t="s">
        <v>119</v>
      </c>
      <c r="N375" s="730">
        <v>65292</v>
      </c>
      <c r="O375" s="730">
        <v>65292</v>
      </c>
      <c r="P375" s="459">
        <v>65301</v>
      </c>
      <c r="Q375" s="432" t="s">
        <v>51</v>
      </c>
    </row>
    <row r="376" spans="1:17">
      <c r="A376" s="509">
        <f t="shared" si="5"/>
        <v>375</v>
      </c>
      <c r="B376" s="1332" t="s">
        <v>43</v>
      </c>
      <c r="C376" s="943" t="s">
        <v>44</v>
      </c>
      <c r="D376" s="943" t="s">
        <v>45</v>
      </c>
      <c r="E376" s="432" t="s">
        <v>5759</v>
      </c>
      <c r="F376" s="434">
        <v>9</v>
      </c>
      <c r="G376" s="434">
        <v>9857820231</v>
      </c>
      <c r="I376" s="434">
        <v>13</v>
      </c>
      <c r="J376" s="434" t="s">
        <v>90</v>
      </c>
      <c r="K376" s="434" t="s">
        <v>5762</v>
      </c>
      <c r="M376" s="146" t="s">
        <v>119</v>
      </c>
      <c r="N376" s="730">
        <v>65292</v>
      </c>
      <c r="O376" s="730">
        <v>65292</v>
      </c>
      <c r="P376" s="459">
        <v>65301</v>
      </c>
      <c r="Q376" s="432" t="s">
        <v>51</v>
      </c>
    </row>
    <row r="377" spans="1:17">
      <c r="A377" s="509">
        <f t="shared" si="5"/>
        <v>376</v>
      </c>
      <c r="B377" s="1332" t="s">
        <v>43</v>
      </c>
      <c r="C377" s="943" t="s">
        <v>44</v>
      </c>
      <c r="D377" s="943" t="s">
        <v>45</v>
      </c>
      <c r="E377" s="432" t="s">
        <v>5760</v>
      </c>
      <c r="F377" s="434">
        <v>9</v>
      </c>
      <c r="G377" s="434">
        <v>9847815216</v>
      </c>
      <c r="I377" s="434">
        <v>65</v>
      </c>
      <c r="J377" s="434" t="s">
        <v>90</v>
      </c>
      <c r="K377" s="434" t="s">
        <v>5762</v>
      </c>
      <c r="M377" s="146" t="s">
        <v>119</v>
      </c>
      <c r="N377" s="730">
        <v>65292</v>
      </c>
      <c r="O377" s="730">
        <v>65292</v>
      </c>
      <c r="P377" s="459">
        <v>65301</v>
      </c>
      <c r="Q377" s="432" t="s">
        <v>51</v>
      </c>
    </row>
    <row r="378" spans="1:17">
      <c r="A378" s="509">
        <f t="shared" si="5"/>
        <v>377</v>
      </c>
      <c r="B378" s="1332" t="s">
        <v>43</v>
      </c>
      <c r="C378" s="943" t="s">
        <v>44</v>
      </c>
      <c r="D378" s="943" t="s">
        <v>45</v>
      </c>
      <c r="E378" s="432" t="s">
        <v>5761</v>
      </c>
      <c r="F378" s="434">
        <v>9</v>
      </c>
      <c r="G378" s="434">
        <v>9847815216</v>
      </c>
      <c r="I378" s="434">
        <v>45</v>
      </c>
      <c r="J378" s="434" t="s">
        <v>90</v>
      </c>
      <c r="K378" s="434" t="s">
        <v>5762</v>
      </c>
      <c r="M378" s="146" t="s">
        <v>119</v>
      </c>
      <c r="N378" s="730">
        <v>65292</v>
      </c>
      <c r="O378" s="730">
        <v>65292</v>
      </c>
      <c r="P378" s="459">
        <v>65301</v>
      </c>
      <c r="Q378" s="432" t="s">
        <v>51</v>
      </c>
    </row>
    <row r="379" spans="1:17">
      <c r="A379" s="509">
        <f t="shared" si="5"/>
        <v>378</v>
      </c>
      <c r="B379" s="1332" t="s">
        <v>43</v>
      </c>
      <c r="C379" s="943" t="s">
        <v>44</v>
      </c>
      <c r="D379" s="943" t="s">
        <v>45</v>
      </c>
      <c r="E379" s="432" t="s">
        <v>5763</v>
      </c>
      <c r="F379" s="434">
        <v>16</v>
      </c>
      <c r="G379" s="434">
        <v>9843946121</v>
      </c>
      <c r="I379" s="434">
        <v>38</v>
      </c>
      <c r="J379" s="434" t="s">
        <v>90</v>
      </c>
      <c r="K379" s="434" t="s">
        <v>3293</v>
      </c>
      <c r="M379" s="146" t="s">
        <v>119</v>
      </c>
      <c r="N379" s="730">
        <v>65292</v>
      </c>
      <c r="O379" s="730">
        <v>65292</v>
      </c>
      <c r="P379" s="459">
        <v>65301</v>
      </c>
      <c r="Q379" s="432" t="s">
        <v>51</v>
      </c>
    </row>
    <row r="380" spans="1:17">
      <c r="A380" s="509">
        <f t="shared" si="5"/>
        <v>379</v>
      </c>
      <c r="B380" s="1332" t="s">
        <v>43</v>
      </c>
      <c r="C380" s="943" t="s">
        <v>44</v>
      </c>
      <c r="D380" s="943" t="s">
        <v>45</v>
      </c>
      <c r="E380" s="432" t="s">
        <v>5764</v>
      </c>
      <c r="F380" s="434">
        <v>16</v>
      </c>
      <c r="G380" s="434">
        <v>9857842670</v>
      </c>
      <c r="I380" s="434">
        <v>42</v>
      </c>
      <c r="J380" s="120" t="s">
        <v>48</v>
      </c>
      <c r="K380" s="434" t="s">
        <v>3293</v>
      </c>
      <c r="M380" s="146" t="s">
        <v>119</v>
      </c>
      <c r="N380" s="730">
        <v>65292</v>
      </c>
      <c r="O380" s="730">
        <v>65292</v>
      </c>
      <c r="P380" s="459">
        <v>65301</v>
      </c>
      <c r="Q380" s="432" t="s">
        <v>51</v>
      </c>
    </row>
    <row r="381" spans="1:17">
      <c r="A381" s="509">
        <f t="shared" si="5"/>
        <v>380</v>
      </c>
      <c r="B381" s="1332" t="s">
        <v>43</v>
      </c>
      <c r="C381" s="943" t="s">
        <v>44</v>
      </c>
      <c r="D381" s="943" t="s">
        <v>45</v>
      </c>
      <c r="E381" s="432" t="s">
        <v>5765</v>
      </c>
      <c r="F381" s="434">
        <v>6</v>
      </c>
      <c r="G381" s="434">
        <v>9841028831</v>
      </c>
      <c r="I381" s="434">
        <v>30</v>
      </c>
      <c r="J381" s="434" t="s">
        <v>90</v>
      </c>
      <c r="K381" s="434" t="s">
        <v>3293</v>
      </c>
      <c r="M381" s="146" t="s">
        <v>119</v>
      </c>
      <c r="N381" s="730">
        <v>65292</v>
      </c>
      <c r="O381" s="730">
        <v>65292</v>
      </c>
      <c r="P381" s="459">
        <v>65301</v>
      </c>
      <c r="Q381" s="432" t="s">
        <v>51</v>
      </c>
    </row>
    <row r="382" spans="1:17">
      <c r="A382" s="509">
        <f t="shared" si="5"/>
        <v>381</v>
      </c>
      <c r="B382" s="1332" t="s">
        <v>43</v>
      </c>
      <c r="C382" s="943" t="s">
        <v>44</v>
      </c>
      <c r="D382" s="943" t="s">
        <v>45</v>
      </c>
      <c r="E382" s="432" t="s">
        <v>5766</v>
      </c>
      <c r="F382" s="434">
        <v>6</v>
      </c>
      <c r="G382" s="434">
        <v>9847855397</v>
      </c>
      <c r="I382" s="434">
        <v>41</v>
      </c>
      <c r="J382" s="434" t="s">
        <v>90</v>
      </c>
      <c r="K382" s="434" t="s">
        <v>3293</v>
      </c>
      <c r="M382" s="146" t="s">
        <v>119</v>
      </c>
      <c r="N382" s="730">
        <v>65292</v>
      </c>
      <c r="O382" s="730">
        <v>65292</v>
      </c>
      <c r="P382" s="459">
        <v>65301</v>
      </c>
      <c r="Q382" s="432" t="s">
        <v>51</v>
      </c>
    </row>
    <row r="383" spans="1:17">
      <c r="A383" s="509">
        <f t="shared" si="5"/>
        <v>382</v>
      </c>
      <c r="B383" s="1332" t="s">
        <v>43</v>
      </c>
      <c r="C383" s="943" t="s">
        <v>44</v>
      </c>
      <c r="D383" s="943" t="s">
        <v>45</v>
      </c>
      <c r="E383" s="432" t="s">
        <v>5767</v>
      </c>
      <c r="F383" s="434">
        <v>1</v>
      </c>
      <c r="G383" s="434">
        <v>9809891470</v>
      </c>
      <c r="I383" s="434">
        <v>29</v>
      </c>
      <c r="J383" s="434" t="s">
        <v>90</v>
      </c>
      <c r="K383" s="434" t="s">
        <v>3293</v>
      </c>
      <c r="M383" s="146" t="s">
        <v>119</v>
      </c>
      <c r="N383" s="730">
        <v>65292</v>
      </c>
      <c r="O383" s="730">
        <v>65292</v>
      </c>
      <c r="P383" s="459">
        <v>65301</v>
      </c>
      <c r="Q383" s="432" t="s">
        <v>51</v>
      </c>
    </row>
    <row r="384" spans="1:17">
      <c r="A384" s="509">
        <f t="shared" si="5"/>
        <v>383</v>
      </c>
      <c r="B384" s="1332" t="s">
        <v>43</v>
      </c>
      <c r="C384" s="943" t="s">
        <v>44</v>
      </c>
      <c r="D384" s="943" t="s">
        <v>45</v>
      </c>
      <c r="E384" s="432" t="s">
        <v>5369</v>
      </c>
      <c r="F384" s="434">
        <v>5</v>
      </c>
      <c r="G384" s="434">
        <v>9847134128</v>
      </c>
      <c r="I384" s="434">
        <v>28</v>
      </c>
      <c r="J384" s="434" t="s">
        <v>90</v>
      </c>
      <c r="K384" s="434" t="s">
        <v>3293</v>
      </c>
      <c r="M384" s="146" t="s">
        <v>119</v>
      </c>
      <c r="N384" s="730">
        <v>65293</v>
      </c>
      <c r="O384" s="730">
        <v>65293</v>
      </c>
      <c r="P384" s="459">
        <v>65302</v>
      </c>
      <c r="Q384" s="432" t="s">
        <v>51</v>
      </c>
    </row>
    <row r="385" spans="1:103">
      <c r="A385" s="509">
        <f t="shared" si="5"/>
        <v>384</v>
      </c>
      <c r="B385" s="1332" t="s">
        <v>43</v>
      </c>
      <c r="C385" s="943" t="s">
        <v>44</v>
      </c>
      <c r="D385" s="943" t="s">
        <v>45</v>
      </c>
      <c r="E385" s="432" t="s">
        <v>5768</v>
      </c>
      <c r="F385" s="434">
        <v>5</v>
      </c>
      <c r="G385" s="434">
        <v>9811945386</v>
      </c>
      <c r="I385" s="434">
        <v>23</v>
      </c>
      <c r="J385" s="120" t="s">
        <v>48</v>
      </c>
      <c r="K385" s="434" t="s">
        <v>3293</v>
      </c>
      <c r="M385" s="146" t="s">
        <v>119</v>
      </c>
      <c r="N385" s="730">
        <v>65293</v>
      </c>
      <c r="O385" s="730">
        <v>65293</v>
      </c>
      <c r="P385" s="459">
        <v>65302</v>
      </c>
      <c r="Q385" s="432" t="s">
        <v>51</v>
      </c>
    </row>
    <row r="386" spans="1:103">
      <c r="A386" s="509">
        <f t="shared" si="5"/>
        <v>385</v>
      </c>
      <c r="B386" s="1332" t="s">
        <v>43</v>
      </c>
      <c r="C386" s="943" t="s">
        <v>44</v>
      </c>
      <c r="D386" s="943" t="s">
        <v>45</v>
      </c>
      <c r="E386" s="432" t="s">
        <v>5769</v>
      </c>
      <c r="F386" s="434">
        <v>5</v>
      </c>
      <c r="G386" s="434">
        <v>9863133104</v>
      </c>
      <c r="I386" s="434">
        <v>61</v>
      </c>
      <c r="J386" s="434" t="s">
        <v>90</v>
      </c>
      <c r="K386" s="434" t="s">
        <v>3293</v>
      </c>
      <c r="M386" s="146" t="s">
        <v>119</v>
      </c>
      <c r="N386" s="730">
        <v>65293</v>
      </c>
      <c r="O386" s="730">
        <v>65293</v>
      </c>
      <c r="P386" s="459">
        <v>65302</v>
      </c>
      <c r="Q386" s="432" t="s">
        <v>51</v>
      </c>
    </row>
    <row r="387" spans="1:103">
      <c r="A387" s="509">
        <f t="shared" ref="A387:A450" si="6">A386+1</f>
        <v>386</v>
      </c>
      <c r="B387" s="1332" t="s">
        <v>43</v>
      </c>
      <c r="C387" s="943" t="s">
        <v>44</v>
      </c>
      <c r="D387" s="943" t="s">
        <v>45</v>
      </c>
      <c r="E387" s="432" t="s">
        <v>5770</v>
      </c>
      <c r="F387" s="434">
        <v>7</v>
      </c>
      <c r="G387" s="434">
        <v>9847875232</v>
      </c>
      <c r="I387" s="434">
        <v>38</v>
      </c>
      <c r="J387" s="120" t="s">
        <v>48</v>
      </c>
      <c r="K387" s="434" t="s">
        <v>3293</v>
      </c>
      <c r="M387" s="146" t="s">
        <v>119</v>
      </c>
      <c r="N387" s="730">
        <v>65293</v>
      </c>
      <c r="O387" s="730">
        <v>65293</v>
      </c>
      <c r="P387" s="459">
        <v>65302</v>
      </c>
      <c r="Q387" s="432" t="s">
        <v>51</v>
      </c>
    </row>
    <row r="388" spans="1:103">
      <c r="A388" s="509">
        <f t="shared" si="6"/>
        <v>387</v>
      </c>
      <c r="B388" s="1332" t="s">
        <v>43</v>
      </c>
      <c r="C388" s="943" t="s">
        <v>44</v>
      </c>
      <c r="D388" s="943" t="s">
        <v>45</v>
      </c>
      <c r="E388" s="432" t="s">
        <v>5771</v>
      </c>
      <c r="F388" s="434">
        <v>6</v>
      </c>
      <c r="G388" s="434">
        <v>9847938882</v>
      </c>
      <c r="I388" s="434">
        <v>53</v>
      </c>
      <c r="J388" s="120" t="s">
        <v>48</v>
      </c>
      <c r="K388" s="434" t="s">
        <v>3293</v>
      </c>
      <c r="M388" s="146" t="s">
        <v>119</v>
      </c>
      <c r="N388" s="730">
        <v>65293</v>
      </c>
      <c r="O388" s="730">
        <v>65293</v>
      </c>
      <c r="P388" s="459">
        <v>65302</v>
      </c>
      <c r="Q388" s="432" t="s">
        <v>51</v>
      </c>
    </row>
    <row r="389" spans="1:103">
      <c r="A389" s="509">
        <f t="shared" si="6"/>
        <v>388</v>
      </c>
      <c r="B389" s="1332" t="s">
        <v>43</v>
      </c>
      <c r="C389" s="943" t="s">
        <v>44</v>
      </c>
      <c r="D389" s="943" t="s">
        <v>45</v>
      </c>
      <c r="E389" s="432" t="s">
        <v>5772</v>
      </c>
      <c r="F389" s="434">
        <v>5</v>
      </c>
      <c r="G389" s="434">
        <v>9810813873</v>
      </c>
      <c r="I389" s="434">
        <v>30</v>
      </c>
      <c r="J389" s="120" t="s">
        <v>48</v>
      </c>
      <c r="K389" s="434" t="s">
        <v>3293</v>
      </c>
      <c r="M389" s="146" t="s">
        <v>119</v>
      </c>
      <c r="N389" s="730">
        <v>65293</v>
      </c>
      <c r="O389" s="730">
        <v>65293</v>
      </c>
      <c r="P389" s="459">
        <v>65302</v>
      </c>
      <c r="Q389" s="432" t="s">
        <v>51</v>
      </c>
    </row>
    <row r="390" spans="1:103">
      <c r="A390" s="509">
        <f t="shared" si="6"/>
        <v>389</v>
      </c>
      <c r="B390" s="1332" t="s">
        <v>43</v>
      </c>
      <c r="C390" s="943" t="s">
        <v>44</v>
      </c>
      <c r="D390" s="943" t="s">
        <v>45</v>
      </c>
      <c r="E390" s="432" t="s">
        <v>5773</v>
      </c>
      <c r="F390" s="434">
        <v>9</v>
      </c>
      <c r="G390" s="434">
        <v>9868661744</v>
      </c>
      <c r="I390" s="434">
        <v>32</v>
      </c>
      <c r="J390" s="434" t="s">
        <v>90</v>
      </c>
      <c r="K390" s="434" t="s">
        <v>3293</v>
      </c>
      <c r="M390" s="146" t="s">
        <v>119</v>
      </c>
      <c r="N390" s="730">
        <v>65293</v>
      </c>
      <c r="O390" s="730">
        <v>65293</v>
      </c>
      <c r="P390" s="459">
        <v>65302</v>
      </c>
      <c r="Q390" s="432" t="s">
        <v>51</v>
      </c>
    </row>
    <row r="391" spans="1:103">
      <c r="A391" s="509">
        <f t="shared" si="6"/>
        <v>390</v>
      </c>
      <c r="B391" s="1332" t="s">
        <v>43</v>
      </c>
      <c r="C391" s="943" t="s">
        <v>44</v>
      </c>
      <c r="D391" s="943" t="s">
        <v>45</v>
      </c>
      <c r="E391" s="432" t="s">
        <v>5774</v>
      </c>
      <c r="F391" s="434">
        <v>5</v>
      </c>
      <c r="G391" s="434">
        <v>9806298542</v>
      </c>
      <c r="I391" s="434">
        <v>30</v>
      </c>
      <c r="J391" s="120" t="s">
        <v>48</v>
      </c>
      <c r="K391" s="434" t="s">
        <v>3293</v>
      </c>
      <c r="M391" s="146" t="s">
        <v>119</v>
      </c>
      <c r="N391" s="730">
        <v>65293</v>
      </c>
      <c r="O391" s="730">
        <v>65293</v>
      </c>
      <c r="P391" s="459">
        <v>65302</v>
      </c>
      <c r="Q391" s="432" t="s">
        <v>51</v>
      </c>
    </row>
    <row r="392" spans="1:103">
      <c r="A392" s="509">
        <f t="shared" si="6"/>
        <v>391</v>
      </c>
      <c r="B392" s="1332" t="s">
        <v>43</v>
      </c>
      <c r="C392" s="943" t="s">
        <v>44</v>
      </c>
      <c r="D392" s="943" t="s">
        <v>45</v>
      </c>
      <c r="E392" s="432" t="s">
        <v>5775</v>
      </c>
      <c r="F392" s="434">
        <v>5</v>
      </c>
      <c r="G392" s="434">
        <v>9806298542</v>
      </c>
      <c r="I392" s="434">
        <v>20</v>
      </c>
      <c r="J392" s="434" t="s">
        <v>90</v>
      </c>
      <c r="K392" s="434" t="s">
        <v>3293</v>
      </c>
      <c r="M392" s="146" t="s">
        <v>119</v>
      </c>
      <c r="N392" s="730">
        <v>65293</v>
      </c>
      <c r="O392" s="730">
        <v>65293</v>
      </c>
      <c r="P392" s="459">
        <v>65302</v>
      </c>
      <c r="Q392" s="432" t="s">
        <v>51</v>
      </c>
    </row>
    <row r="393" spans="1:103">
      <c r="A393" s="509">
        <f t="shared" si="6"/>
        <v>392</v>
      </c>
      <c r="B393" s="1332" t="s">
        <v>43</v>
      </c>
      <c r="C393" s="943" t="s">
        <v>44</v>
      </c>
      <c r="D393" s="943" t="s">
        <v>45</v>
      </c>
      <c r="E393" s="432" t="s">
        <v>5776</v>
      </c>
      <c r="F393" s="434">
        <v>8</v>
      </c>
      <c r="G393" s="434">
        <v>9866988006</v>
      </c>
      <c r="I393" s="434">
        <v>30</v>
      </c>
      <c r="J393" s="434" t="s">
        <v>90</v>
      </c>
      <c r="K393" s="434" t="s">
        <v>3293</v>
      </c>
      <c r="M393" s="146" t="s">
        <v>119</v>
      </c>
      <c r="N393" s="730">
        <v>65293</v>
      </c>
      <c r="O393" s="730">
        <v>65293</v>
      </c>
      <c r="P393" s="459">
        <v>65302</v>
      </c>
      <c r="Q393" s="432" t="s">
        <v>51</v>
      </c>
    </row>
    <row r="394" spans="1:103">
      <c r="A394" s="509">
        <f t="shared" si="6"/>
        <v>393</v>
      </c>
      <c r="B394" s="1332" t="s">
        <v>43</v>
      </c>
      <c r="C394" s="943" t="s">
        <v>44</v>
      </c>
      <c r="D394" s="943" t="s">
        <v>45</v>
      </c>
      <c r="E394" s="432" t="s">
        <v>5777</v>
      </c>
      <c r="F394" s="434">
        <v>8</v>
      </c>
      <c r="G394" s="434">
        <v>9847855889</v>
      </c>
      <c r="I394" s="434">
        <v>78</v>
      </c>
      <c r="J394" s="120" t="s">
        <v>48</v>
      </c>
      <c r="K394" s="434" t="s">
        <v>5405</v>
      </c>
      <c r="M394" s="146" t="s">
        <v>119</v>
      </c>
      <c r="N394" s="730">
        <v>65293</v>
      </c>
      <c r="O394" s="730">
        <v>65293</v>
      </c>
      <c r="P394" s="459">
        <v>65302</v>
      </c>
      <c r="Q394" s="432" t="s">
        <v>51</v>
      </c>
    </row>
    <row r="395" spans="1:103">
      <c r="A395" s="509">
        <f t="shared" si="6"/>
        <v>394</v>
      </c>
      <c r="B395" s="1332" t="s">
        <v>43</v>
      </c>
      <c r="C395" s="943" t="s">
        <v>44</v>
      </c>
      <c r="D395" s="943" t="s">
        <v>45</v>
      </c>
      <c r="E395" s="432" t="s">
        <v>5778</v>
      </c>
      <c r="F395" s="434">
        <v>5</v>
      </c>
      <c r="G395" s="434">
        <v>9847836982</v>
      </c>
      <c r="I395" s="434">
        <v>48</v>
      </c>
      <c r="J395" s="434" t="s">
        <v>90</v>
      </c>
      <c r="K395" s="434" t="s">
        <v>5405</v>
      </c>
      <c r="M395" s="146" t="s">
        <v>119</v>
      </c>
      <c r="N395" s="730">
        <v>65293</v>
      </c>
      <c r="O395" s="730">
        <v>65293</v>
      </c>
      <c r="P395" s="459">
        <v>65302</v>
      </c>
      <c r="Q395" s="432" t="s">
        <v>51</v>
      </c>
    </row>
    <row r="396" spans="1:103">
      <c r="A396" s="509">
        <f t="shared" si="6"/>
        <v>395</v>
      </c>
      <c r="B396" s="1332" t="s">
        <v>43</v>
      </c>
      <c r="C396" s="943" t="s">
        <v>44</v>
      </c>
      <c r="D396" s="943" t="s">
        <v>45</v>
      </c>
      <c r="E396" s="432" t="s">
        <v>5779</v>
      </c>
      <c r="F396" s="434">
        <v>10</v>
      </c>
      <c r="G396" s="434">
        <v>9810908545</v>
      </c>
      <c r="I396" s="434">
        <v>29</v>
      </c>
      <c r="J396" s="120" t="s">
        <v>48</v>
      </c>
      <c r="K396" s="434" t="s">
        <v>5405</v>
      </c>
      <c r="M396" s="146" t="s">
        <v>119</v>
      </c>
      <c r="N396" s="730">
        <v>65293</v>
      </c>
      <c r="O396" s="730">
        <v>65293</v>
      </c>
      <c r="P396" s="459">
        <v>65302</v>
      </c>
      <c r="Q396" s="432" t="s">
        <v>51</v>
      </c>
    </row>
    <row r="397" spans="1:103">
      <c r="A397" s="509">
        <f t="shared" si="6"/>
        <v>396</v>
      </c>
      <c r="B397" s="1332" t="s">
        <v>43</v>
      </c>
      <c r="C397" s="943" t="s">
        <v>44</v>
      </c>
      <c r="D397" s="943" t="s">
        <v>45</v>
      </c>
      <c r="E397" s="432" t="s">
        <v>5780</v>
      </c>
      <c r="F397" s="434">
        <v>9</v>
      </c>
      <c r="G397" s="434">
        <v>9857850066</v>
      </c>
      <c r="I397" s="434">
        <v>40</v>
      </c>
      <c r="J397" s="120" t="s">
        <v>48</v>
      </c>
      <c r="K397" s="434" t="s">
        <v>5405</v>
      </c>
      <c r="M397" s="146" t="s">
        <v>119</v>
      </c>
      <c r="N397" s="730">
        <v>65293</v>
      </c>
      <c r="O397" s="730">
        <v>65293</v>
      </c>
      <c r="P397" s="459">
        <v>65302</v>
      </c>
      <c r="Q397" s="432" t="s">
        <v>51</v>
      </c>
    </row>
    <row r="398" spans="1:103" s="432" customFormat="1">
      <c r="A398" s="509">
        <f t="shared" si="6"/>
        <v>397</v>
      </c>
      <c r="B398" s="1332" t="s">
        <v>43</v>
      </c>
      <c r="C398" s="943" t="s">
        <v>44</v>
      </c>
      <c r="D398" s="943" t="s">
        <v>45</v>
      </c>
      <c r="E398" s="432" t="s">
        <v>5781</v>
      </c>
      <c r="F398" s="434">
        <v>6</v>
      </c>
      <c r="G398" s="434">
        <v>9848125118</v>
      </c>
      <c r="I398" s="434">
        <v>26</v>
      </c>
      <c r="J398" s="120" t="s">
        <v>48</v>
      </c>
      <c r="K398" s="434" t="s">
        <v>5405</v>
      </c>
      <c r="L398" s="434"/>
      <c r="M398" s="146" t="s">
        <v>119</v>
      </c>
      <c r="N398" s="730">
        <v>65293</v>
      </c>
      <c r="O398" s="730">
        <v>65293</v>
      </c>
      <c r="P398" s="459">
        <v>65302</v>
      </c>
      <c r="Q398" s="432" t="s">
        <v>51</v>
      </c>
      <c r="R398" s="322"/>
      <c r="S398" s="322"/>
      <c r="T398" s="322"/>
      <c r="U398" s="322"/>
      <c r="V398" s="322"/>
      <c r="W398" s="322"/>
      <c r="X398" s="322"/>
      <c r="Y398" s="322"/>
      <c r="Z398" s="322"/>
      <c r="AA398" s="322"/>
      <c r="AB398" s="322"/>
      <c r="AC398" s="322"/>
      <c r="AD398" s="322"/>
      <c r="AE398" s="322"/>
      <c r="AF398" s="322"/>
      <c r="AG398" s="322"/>
      <c r="AH398" s="322"/>
      <c r="AI398" s="322"/>
      <c r="AJ398" s="322"/>
      <c r="AK398" s="322"/>
      <c r="AL398" s="322"/>
      <c r="AM398" s="322"/>
      <c r="AN398" s="322"/>
      <c r="AO398" s="322"/>
      <c r="AP398" s="322"/>
      <c r="AQ398" s="322"/>
      <c r="AR398" s="322"/>
      <c r="AS398" s="322"/>
      <c r="AT398" s="322"/>
      <c r="AU398" s="322"/>
      <c r="AV398" s="322"/>
      <c r="AW398" s="322"/>
      <c r="AX398" s="322"/>
      <c r="AY398" s="322"/>
      <c r="AZ398" s="322"/>
      <c r="BA398" s="322"/>
      <c r="BB398" s="322"/>
      <c r="BC398" s="322"/>
      <c r="BD398" s="322"/>
      <c r="BE398" s="322"/>
      <c r="BF398" s="322"/>
      <c r="BG398" s="322"/>
      <c r="BH398" s="322"/>
      <c r="BI398" s="322"/>
      <c r="BJ398" s="322"/>
      <c r="BK398" s="322"/>
      <c r="BL398" s="322"/>
      <c r="BM398" s="322"/>
      <c r="BN398" s="322"/>
      <c r="BO398" s="322"/>
      <c r="BP398" s="322"/>
      <c r="BQ398" s="322"/>
      <c r="BR398" s="322"/>
      <c r="BS398" s="322"/>
      <c r="BT398" s="322"/>
      <c r="BU398" s="322"/>
      <c r="BV398" s="322"/>
      <c r="BW398" s="322"/>
      <c r="BX398" s="322"/>
      <c r="BY398" s="322"/>
      <c r="BZ398" s="322"/>
      <c r="CA398" s="322"/>
      <c r="CB398" s="322"/>
      <c r="CC398" s="322"/>
      <c r="CD398" s="322"/>
      <c r="CE398" s="322"/>
      <c r="CF398" s="322"/>
      <c r="CG398" s="322"/>
      <c r="CH398" s="322"/>
      <c r="CI398" s="322"/>
      <c r="CJ398" s="322"/>
      <c r="CK398" s="322"/>
      <c r="CL398" s="322"/>
      <c r="CM398" s="322"/>
      <c r="CN398" s="322"/>
      <c r="CO398" s="322"/>
      <c r="CP398" s="322"/>
      <c r="CQ398" s="322"/>
      <c r="CR398" s="322"/>
      <c r="CS398" s="322"/>
      <c r="CT398" s="322"/>
      <c r="CU398" s="322"/>
      <c r="CV398" s="322"/>
      <c r="CW398" s="322"/>
      <c r="CX398" s="322"/>
      <c r="CY398" s="322"/>
    </row>
    <row r="399" spans="1:103" s="432" customFormat="1">
      <c r="A399" s="509">
        <f t="shared" si="6"/>
        <v>398</v>
      </c>
      <c r="B399" s="1332" t="s">
        <v>43</v>
      </c>
      <c r="C399" s="943" t="s">
        <v>44</v>
      </c>
      <c r="D399" s="943" t="s">
        <v>45</v>
      </c>
      <c r="E399" s="432" t="s">
        <v>5782</v>
      </c>
      <c r="F399" s="434">
        <v>6</v>
      </c>
      <c r="G399" s="434">
        <v>9847235340</v>
      </c>
      <c r="I399" s="434">
        <v>35</v>
      </c>
      <c r="J399" s="120" t="s">
        <v>48</v>
      </c>
      <c r="K399" s="434" t="s">
        <v>5405</v>
      </c>
      <c r="L399" s="434"/>
      <c r="M399" s="146" t="s">
        <v>119</v>
      </c>
      <c r="N399" s="730">
        <v>65293</v>
      </c>
      <c r="O399" s="730">
        <v>65293</v>
      </c>
      <c r="P399" s="459">
        <v>65302</v>
      </c>
      <c r="Q399" s="432" t="s">
        <v>51</v>
      </c>
      <c r="R399" s="322"/>
      <c r="S399" s="322"/>
      <c r="T399" s="322"/>
      <c r="U399" s="322"/>
      <c r="V399" s="322"/>
      <c r="W399" s="322"/>
      <c r="X399" s="322"/>
      <c r="Y399" s="322"/>
      <c r="Z399" s="322"/>
      <c r="AA399" s="322"/>
      <c r="AB399" s="322"/>
      <c r="AC399" s="322"/>
      <c r="AD399" s="322"/>
      <c r="AE399" s="322"/>
      <c r="AF399" s="322"/>
      <c r="AG399" s="322"/>
      <c r="AH399" s="322"/>
      <c r="AI399" s="322"/>
      <c r="AJ399" s="322"/>
      <c r="AK399" s="322"/>
      <c r="AL399" s="322"/>
      <c r="AM399" s="322"/>
      <c r="AN399" s="322"/>
      <c r="AO399" s="322"/>
      <c r="AP399" s="322"/>
      <c r="AQ399" s="322"/>
      <c r="AR399" s="322"/>
      <c r="AS399" s="322"/>
      <c r="AT399" s="322"/>
      <c r="AU399" s="322"/>
      <c r="AV399" s="322"/>
      <c r="AW399" s="322"/>
      <c r="AX399" s="322"/>
      <c r="AY399" s="322"/>
      <c r="AZ399" s="322"/>
      <c r="BA399" s="322"/>
      <c r="BB399" s="322"/>
      <c r="BC399" s="322"/>
      <c r="BD399" s="322"/>
      <c r="BE399" s="322"/>
      <c r="BF399" s="322"/>
      <c r="BG399" s="322"/>
      <c r="BH399" s="322"/>
      <c r="BI399" s="322"/>
      <c r="BJ399" s="322"/>
      <c r="BK399" s="322"/>
      <c r="BL399" s="322"/>
      <c r="BM399" s="322"/>
      <c r="BN399" s="322"/>
      <c r="BO399" s="322"/>
      <c r="BP399" s="322"/>
      <c r="BQ399" s="322"/>
      <c r="BR399" s="322"/>
      <c r="BS399" s="322"/>
      <c r="BT399" s="322"/>
      <c r="BU399" s="322"/>
      <c r="BV399" s="322"/>
      <c r="BW399" s="322"/>
      <c r="BX399" s="322"/>
      <c r="BY399" s="322"/>
      <c r="BZ399" s="322"/>
      <c r="CA399" s="322"/>
      <c r="CB399" s="322"/>
      <c r="CC399" s="322"/>
      <c r="CD399" s="322"/>
      <c r="CE399" s="322"/>
      <c r="CF399" s="322"/>
      <c r="CG399" s="322"/>
      <c r="CH399" s="322"/>
      <c r="CI399" s="322"/>
      <c r="CJ399" s="322"/>
      <c r="CK399" s="322"/>
      <c r="CL399" s="322"/>
      <c r="CM399" s="322"/>
      <c r="CN399" s="322"/>
      <c r="CO399" s="322"/>
      <c r="CP399" s="322"/>
      <c r="CQ399" s="322"/>
      <c r="CR399" s="322"/>
      <c r="CS399" s="322"/>
      <c r="CT399" s="322"/>
      <c r="CU399" s="322"/>
      <c r="CV399" s="322"/>
      <c r="CW399" s="322"/>
      <c r="CX399" s="322"/>
      <c r="CY399" s="322"/>
    </row>
    <row r="400" spans="1:103" s="432" customFormat="1">
      <c r="A400" s="509">
        <f t="shared" si="6"/>
        <v>399</v>
      </c>
      <c r="B400" s="1332" t="s">
        <v>43</v>
      </c>
      <c r="C400" s="943" t="s">
        <v>44</v>
      </c>
      <c r="D400" s="943" t="s">
        <v>45</v>
      </c>
      <c r="E400" s="432" t="s">
        <v>5783</v>
      </c>
      <c r="F400" s="434">
        <v>18</v>
      </c>
      <c r="G400" s="434">
        <v>9847878614</v>
      </c>
      <c r="I400" s="434">
        <v>45</v>
      </c>
      <c r="J400" s="120" t="s">
        <v>48</v>
      </c>
      <c r="K400" s="434" t="s">
        <v>5405</v>
      </c>
      <c r="L400" s="434"/>
      <c r="M400" s="146" t="s">
        <v>119</v>
      </c>
      <c r="N400" s="730">
        <v>65293</v>
      </c>
      <c r="O400" s="730">
        <v>65293</v>
      </c>
      <c r="P400" s="459">
        <v>65302</v>
      </c>
      <c r="Q400" s="432" t="s">
        <v>51</v>
      </c>
      <c r="R400" s="322"/>
      <c r="S400" s="322"/>
      <c r="T400" s="322"/>
      <c r="U400" s="322"/>
      <c r="V400" s="322"/>
      <c r="W400" s="322"/>
      <c r="X400" s="322"/>
      <c r="Y400" s="322"/>
      <c r="Z400" s="322"/>
      <c r="AA400" s="322"/>
      <c r="AB400" s="322"/>
      <c r="AC400" s="322"/>
      <c r="AD400" s="322"/>
      <c r="AE400" s="322"/>
      <c r="AF400" s="322"/>
      <c r="AG400" s="322"/>
      <c r="AH400" s="322"/>
      <c r="AI400" s="322"/>
      <c r="AJ400" s="322"/>
      <c r="AK400" s="322"/>
      <c r="AL400" s="322"/>
      <c r="AM400" s="322"/>
      <c r="AN400" s="322"/>
      <c r="AO400" s="322"/>
      <c r="AP400" s="322"/>
      <c r="AQ400" s="322"/>
      <c r="AR400" s="322"/>
      <c r="AS400" s="322"/>
      <c r="AT400" s="322"/>
      <c r="AU400" s="322"/>
      <c r="AV400" s="322"/>
      <c r="AW400" s="322"/>
      <c r="AX400" s="322"/>
      <c r="AY400" s="322"/>
      <c r="AZ400" s="322"/>
      <c r="BA400" s="322"/>
      <c r="BB400" s="322"/>
      <c r="BC400" s="322"/>
      <c r="BD400" s="322"/>
      <c r="BE400" s="322"/>
      <c r="BF400" s="322"/>
      <c r="BG400" s="322"/>
      <c r="BH400" s="322"/>
      <c r="BI400" s="322"/>
      <c r="BJ400" s="322"/>
      <c r="BK400" s="322"/>
      <c r="BL400" s="322"/>
      <c r="BM400" s="322"/>
      <c r="BN400" s="322"/>
      <c r="BO400" s="322"/>
      <c r="BP400" s="322"/>
      <c r="BQ400" s="322"/>
      <c r="BR400" s="322"/>
      <c r="BS400" s="322"/>
      <c r="BT400" s="322"/>
      <c r="BU400" s="322"/>
      <c r="BV400" s="322"/>
      <c r="BW400" s="322"/>
      <c r="BX400" s="322"/>
      <c r="BY400" s="322"/>
      <c r="BZ400" s="322"/>
      <c r="CA400" s="322"/>
      <c r="CB400" s="322"/>
      <c r="CC400" s="322"/>
      <c r="CD400" s="322"/>
      <c r="CE400" s="322"/>
      <c r="CF400" s="322"/>
      <c r="CG400" s="322"/>
      <c r="CH400" s="322"/>
      <c r="CI400" s="322"/>
      <c r="CJ400" s="322"/>
      <c r="CK400" s="322"/>
      <c r="CL400" s="322"/>
      <c r="CM400" s="322"/>
      <c r="CN400" s="322"/>
      <c r="CO400" s="322"/>
      <c r="CP400" s="322"/>
      <c r="CQ400" s="322"/>
      <c r="CR400" s="322"/>
      <c r="CS400" s="322"/>
      <c r="CT400" s="322"/>
      <c r="CU400" s="322"/>
      <c r="CV400" s="322"/>
      <c r="CW400" s="322"/>
      <c r="CX400" s="322"/>
      <c r="CY400" s="322"/>
    </row>
    <row r="401" spans="1:103" s="432" customFormat="1">
      <c r="A401" s="509">
        <f t="shared" si="6"/>
        <v>400</v>
      </c>
      <c r="B401" s="1332" t="s">
        <v>43</v>
      </c>
      <c r="C401" s="943" t="s">
        <v>44</v>
      </c>
      <c r="D401" s="943" t="s">
        <v>45</v>
      </c>
      <c r="E401" s="432" t="s">
        <v>2220</v>
      </c>
      <c r="F401" s="434">
        <v>12</v>
      </c>
      <c r="G401" s="434">
        <v>9864730849</v>
      </c>
      <c r="I401" s="434">
        <v>30</v>
      </c>
      <c r="J401" s="120" t="s">
        <v>48</v>
      </c>
      <c r="K401" s="434" t="s">
        <v>5405</v>
      </c>
      <c r="L401" s="434"/>
      <c r="M401" s="146" t="s">
        <v>119</v>
      </c>
      <c r="N401" s="730">
        <v>65293</v>
      </c>
      <c r="O401" s="730">
        <v>65293</v>
      </c>
      <c r="P401" s="459">
        <v>65302</v>
      </c>
      <c r="Q401" s="432" t="s">
        <v>51</v>
      </c>
      <c r="R401" s="322"/>
      <c r="S401" s="322"/>
      <c r="T401" s="322"/>
      <c r="U401" s="322"/>
      <c r="V401" s="322"/>
      <c r="W401" s="322"/>
      <c r="X401" s="322"/>
      <c r="Y401" s="322"/>
      <c r="Z401" s="322"/>
      <c r="AA401" s="322"/>
      <c r="AB401" s="322"/>
      <c r="AC401" s="322"/>
      <c r="AD401" s="322"/>
      <c r="AE401" s="322"/>
      <c r="AF401" s="322"/>
      <c r="AG401" s="322"/>
      <c r="AH401" s="322"/>
      <c r="AI401" s="322"/>
      <c r="AJ401" s="322"/>
      <c r="AK401" s="322"/>
      <c r="AL401" s="322"/>
      <c r="AM401" s="322"/>
      <c r="AN401" s="322"/>
      <c r="AO401" s="322"/>
      <c r="AP401" s="322"/>
      <c r="AQ401" s="322"/>
      <c r="AR401" s="322"/>
      <c r="AS401" s="322"/>
      <c r="AT401" s="322"/>
      <c r="AU401" s="322"/>
      <c r="AV401" s="322"/>
      <c r="AW401" s="322"/>
      <c r="AX401" s="322"/>
      <c r="AY401" s="322"/>
      <c r="AZ401" s="322"/>
      <c r="BA401" s="322"/>
      <c r="BB401" s="322"/>
      <c r="BC401" s="322"/>
      <c r="BD401" s="322"/>
      <c r="BE401" s="322"/>
      <c r="BF401" s="322"/>
      <c r="BG401" s="322"/>
      <c r="BH401" s="322"/>
      <c r="BI401" s="322"/>
      <c r="BJ401" s="322"/>
      <c r="BK401" s="322"/>
      <c r="BL401" s="322"/>
      <c r="BM401" s="322"/>
      <c r="BN401" s="322"/>
      <c r="BO401" s="322"/>
      <c r="BP401" s="322"/>
      <c r="BQ401" s="322"/>
      <c r="BR401" s="322"/>
      <c r="BS401" s="322"/>
      <c r="BT401" s="322"/>
      <c r="BU401" s="322"/>
      <c r="BV401" s="322"/>
      <c r="BW401" s="322"/>
      <c r="BX401" s="322"/>
      <c r="BY401" s="322"/>
      <c r="BZ401" s="322"/>
      <c r="CA401" s="322"/>
      <c r="CB401" s="322"/>
      <c r="CC401" s="322"/>
      <c r="CD401" s="322"/>
      <c r="CE401" s="322"/>
      <c r="CF401" s="322"/>
      <c r="CG401" s="322"/>
      <c r="CH401" s="322"/>
      <c r="CI401" s="322"/>
      <c r="CJ401" s="322"/>
      <c r="CK401" s="322"/>
      <c r="CL401" s="322"/>
      <c r="CM401" s="322"/>
      <c r="CN401" s="322"/>
      <c r="CO401" s="322"/>
      <c r="CP401" s="322"/>
      <c r="CQ401" s="322"/>
      <c r="CR401" s="322"/>
      <c r="CS401" s="322"/>
      <c r="CT401" s="322"/>
      <c r="CU401" s="322"/>
      <c r="CV401" s="322"/>
      <c r="CW401" s="322"/>
      <c r="CX401" s="322"/>
      <c r="CY401" s="322"/>
    </row>
    <row r="402" spans="1:103" s="432" customFormat="1">
      <c r="A402" s="509">
        <f t="shared" si="6"/>
        <v>401</v>
      </c>
      <c r="B402" s="1332" t="s">
        <v>43</v>
      </c>
      <c r="C402" s="943" t="s">
        <v>44</v>
      </c>
      <c r="D402" s="943" t="s">
        <v>45</v>
      </c>
      <c r="E402" s="432" t="s">
        <v>5784</v>
      </c>
      <c r="F402" s="434">
        <v>9</v>
      </c>
      <c r="G402" s="434">
        <v>9864864757</v>
      </c>
      <c r="I402" s="434">
        <v>59</v>
      </c>
      <c r="J402" s="434" t="s">
        <v>90</v>
      </c>
      <c r="K402" s="434" t="s">
        <v>5405</v>
      </c>
      <c r="L402" s="434"/>
      <c r="M402" s="146" t="s">
        <v>119</v>
      </c>
      <c r="N402" s="730">
        <v>65293</v>
      </c>
      <c r="O402" s="730">
        <v>65293</v>
      </c>
      <c r="P402" s="459">
        <v>65302</v>
      </c>
      <c r="Q402" s="432" t="s">
        <v>51</v>
      </c>
      <c r="R402" s="322"/>
      <c r="S402" s="322"/>
      <c r="T402" s="322"/>
      <c r="U402" s="322"/>
      <c r="V402" s="322"/>
      <c r="W402" s="322"/>
      <c r="X402" s="322"/>
      <c r="Y402" s="322"/>
      <c r="Z402" s="322"/>
      <c r="AA402" s="322"/>
      <c r="AB402" s="322"/>
      <c r="AC402" s="322"/>
      <c r="AD402" s="322"/>
      <c r="AE402" s="322"/>
      <c r="AF402" s="322"/>
      <c r="AG402" s="322"/>
      <c r="AH402" s="322"/>
      <c r="AI402" s="322"/>
      <c r="AJ402" s="322"/>
      <c r="AK402" s="322"/>
      <c r="AL402" s="322"/>
      <c r="AM402" s="322"/>
      <c r="AN402" s="322"/>
      <c r="AO402" s="322"/>
      <c r="AP402" s="322"/>
      <c r="AQ402" s="322"/>
      <c r="AR402" s="322"/>
      <c r="AS402" s="322"/>
      <c r="AT402" s="322"/>
      <c r="AU402" s="322"/>
      <c r="AV402" s="322"/>
      <c r="AW402" s="322"/>
      <c r="AX402" s="322"/>
      <c r="AY402" s="322"/>
      <c r="AZ402" s="322"/>
      <c r="BA402" s="322"/>
      <c r="BB402" s="322"/>
      <c r="BC402" s="322"/>
      <c r="BD402" s="322"/>
      <c r="BE402" s="322"/>
      <c r="BF402" s="322"/>
      <c r="BG402" s="322"/>
      <c r="BH402" s="322"/>
      <c r="BI402" s="322"/>
      <c r="BJ402" s="322"/>
      <c r="BK402" s="322"/>
      <c r="BL402" s="322"/>
      <c r="BM402" s="322"/>
      <c r="BN402" s="322"/>
      <c r="BO402" s="322"/>
      <c r="BP402" s="322"/>
      <c r="BQ402" s="322"/>
      <c r="BR402" s="322"/>
      <c r="BS402" s="322"/>
      <c r="BT402" s="322"/>
      <c r="BU402" s="322"/>
      <c r="BV402" s="322"/>
      <c r="BW402" s="322"/>
      <c r="BX402" s="322"/>
      <c r="BY402" s="322"/>
      <c r="BZ402" s="322"/>
      <c r="CA402" s="322"/>
      <c r="CB402" s="322"/>
      <c r="CC402" s="322"/>
      <c r="CD402" s="322"/>
      <c r="CE402" s="322"/>
      <c r="CF402" s="322"/>
      <c r="CG402" s="322"/>
      <c r="CH402" s="322"/>
      <c r="CI402" s="322"/>
      <c r="CJ402" s="322"/>
      <c r="CK402" s="322"/>
      <c r="CL402" s="322"/>
      <c r="CM402" s="322"/>
      <c r="CN402" s="322"/>
      <c r="CO402" s="322"/>
      <c r="CP402" s="322"/>
      <c r="CQ402" s="322"/>
      <c r="CR402" s="322"/>
      <c r="CS402" s="322"/>
      <c r="CT402" s="322"/>
      <c r="CU402" s="322"/>
      <c r="CV402" s="322"/>
      <c r="CW402" s="322"/>
      <c r="CX402" s="322"/>
      <c r="CY402" s="322"/>
    </row>
    <row r="403" spans="1:103" s="432" customFormat="1">
      <c r="A403" s="509">
        <f t="shared" si="6"/>
        <v>402</v>
      </c>
      <c r="B403" s="1332" t="s">
        <v>43</v>
      </c>
      <c r="C403" s="943" t="s">
        <v>44</v>
      </c>
      <c r="D403" s="943" t="s">
        <v>45</v>
      </c>
      <c r="E403" s="432" t="s">
        <v>5785</v>
      </c>
      <c r="F403" s="434">
        <v>9</v>
      </c>
      <c r="G403" s="434">
        <v>9841992697</v>
      </c>
      <c r="I403" s="434">
        <v>45</v>
      </c>
      <c r="J403" s="120" t="s">
        <v>48</v>
      </c>
      <c r="K403" s="434" t="s">
        <v>5405</v>
      </c>
      <c r="L403" s="434"/>
      <c r="M403" s="146" t="s">
        <v>119</v>
      </c>
      <c r="N403" s="730">
        <v>65293</v>
      </c>
      <c r="O403" s="730">
        <v>65293</v>
      </c>
      <c r="P403" s="459">
        <v>65302</v>
      </c>
      <c r="Q403" s="432" t="s">
        <v>51</v>
      </c>
      <c r="R403" s="322"/>
      <c r="S403" s="322"/>
      <c r="T403" s="322"/>
      <c r="U403" s="322"/>
      <c r="V403" s="322"/>
      <c r="W403" s="322"/>
      <c r="X403" s="322"/>
      <c r="Y403" s="322"/>
      <c r="Z403" s="322"/>
      <c r="AA403" s="322"/>
      <c r="AB403" s="322"/>
      <c r="AC403" s="322"/>
      <c r="AD403" s="322"/>
      <c r="AE403" s="322"/>
      <c r="AF403" s="322"/>
      <c r="AG403" s="322"/>
      <c r="AH403" s="322"/>
      <c r="AI403" s="322"/>
      <c r="AJ403" s="322"/>
      <c r="AK403" s="322"/>
      <c r="AL403" s="322"/>
      <c r="AM403" s="322"/>
      <c r="AN403" s="322"/>
      <c r="AO403" s="322"/>
      <c r="AP403" s="322"/>
      <c r="AQ403" s="322"/>
      <c r="AR403" s="322"/>
      <c r="AS403" s="322"/>
      <c r="AT403" s="322"/>
      <c r="AU403" s="322"/>
      <c r="AV403" s="322"/>
      <c r="AW403" s="322"/>
      <c r="AX403" s="322"/>
      <c r="AY403" s="322"/>
      <c r="AZ403" s="322"/>
      <c r="BA403" s="322"/>
      <c r="BB403" s="322"/>
      <c r="BC403" s="322"/>
      <c r="BD403" s="322"/>
      <c r="BE403" s="322"/>
      <c r="BF403" s="322"/>
      <c r="BG403" s="322"/>
      <c r="BH403" s="322"/>
      <c r="BI403" s="322"/>
      <c r="BJ403" s="322"/>
      <c r="BK403" s="322"/>
      <c r="BL403" s="322"/>
      <c r="BM403" s="322"/>
      <c r="BN403" s="322"/>
      <c r="BO403" s="322"/>
      <c r="BP403" s="322"/>
      <c r="BQ403" s="322"/>
      <c r="BR403" s="322"/>
      <c r="BS403" s="322"/>
      <c r="BT403" s="322"/>
      <c r="BU403" s="322"/>
      <c r="BV403" s="322"/>
      <c r="BW403" s="322"/>
      <c r="BX403" s="322"/>
      <c r="BY403" s="322"/>
      <c r="BZ403" s="322"/>
      <c r="CA403" s="322"/>
      <c r="CB403" s="322"/>
      <c r="CC403" s="322"/>
      <c r="CD403" s="322"/>
      <c r="CE403" s="322"/>
      <c r="CF403" s="322"/>
      <c r="CG403" s="322"/>
      <c r="CH403" s="322"/>
      <c r="CI403" s="322"/>
      <c r="CJ403" s="322"/>
      <c r="CK403" s="322"/>
      <c r="CL403" s="322"/>
      <c r="CM403" s="322"/>
      <c r="CN403" s="322"/>
      <c r="CO403" s="322"/>
      <c r="CP403" s="322"/>
      <c r="CQ403" s="322"/>
      <c r="CR403" s="322"/>
      <c r="CS403" s="322"/>
      <c r="CT403" s="322"/>
      <c r="CU403" s="322"/>
      <c r="CV403" s="322"/>
      <c r="CW403" s="322"/>
      <c r="CX403" s="322"/>
      <c r="CY403" s="322"/>
    </row>
    <row r="404" spans="1:103" s="432" customFormat="1">
      <c r="A404" s="509">
        <f t="shared" si="6"/>
        <v>403</v>
      </c>
      <c r="B404" s="1332" t="s">
        <v>43</v>
      </c>
      <c r="C404" s="943" t="s">
        <v>44</v>
      </c>
      <c r="D404" s="943" t="s">
        <v>45</v>
      </c>
      <c r="E404" s="432" t="s">
        <v>5786</v>
      </c>
      <c r="F404" s="434">
        <v>5</v>
      </c>
      <c r="G404" s="434">
        <v>9812820111</v>
      </c>
      <c r="I404" s="434">
        <v>22</v>
      </c>
      <c r="J404" s="434" t="s">
        <v>90</v>
      </c>
      <c r="K404" s="434" t="s">
        <v>5405</v>
      </c>
      <c r="L404" s="434"/>
      <c r="M404" s="146" t="s">
        <v>119</v>
      </c>
      <c r="N404" s="730">
        <v>65293</v>
      </c>
      <c r="O404" s="730">
        <v>65293</v>
      </c>
      <c r="P404" s="459">
        <v>65302</v>
      </c>
      <c r="Q404" s="432" t="s">
        <v>51</v>
      </c>
      <c r="R404" s="322"/>
      <c r="S404" s="322"/>
      <c r="T404" s="322"/>
      <c r="U404" s="322"/>
      <c r="V404" s="322"/>
      <c r="W404" s="322"/>
      <c r="X404" s="322"/>
      <c r="Y404" s="322"/>
      <c r="Z404" s="322"/>
      <c r="AA404" s="322"/>
      <c r="AB404" s="322"/>
      <c r="AC404" s="322"/>
      <c r="AD404" s="322"/>
      <c r="AE404" s="322"/>
      <c r="AF404" s="322"/>
      <c r="AG404" s="322"/>
      <c r="AH404" s="322"/>
      <c r="AI404" s="322"/>
      <c r="AJ404" s="322"/>
      <c r="AK404" s="322"/>
      <c r="AL404" s="322"/>
      <c r="AM404" s="322"/>
      <c r="AN404" s="322"/>
      <c r="AO404" s="322"/>
      <c r="AP404" s="322"/>
      <c r="AQ404" s="322"/>
      <c r="AR404" s="322"/>
      <c r="AS404" s="322"/>
      <c r="AT404" s="322"/>
      <c r="AU404" s="322"/>
      <c r="AV404" s="322"/>
      <c r="AW404" s="322"/>
      <c r="AX404" s="322"/>
      <c r="AY404" s="322"/>
      <c r="AZ404" s="322"/>
      <c r="BA404" s="322"/>
      <c r="BB404" s="322"/>
      <c r="BC404" s="322"/>
      <c r="BD404" s="322"/>
      <c r="BE404" s="322"/>
      <c r="BF404" s="322"/>
      <c r="BG404" s="322"/>
      <c r="BH404" s="322"/>
      <c r="BI404" s="322"/>
      <c r="BJ404" s="322"/>
      <c r="BK404" s="322"/>
      <c r="BL404" s="322"/>
      <c r="BM404" s="322"/>
      <c r="BN404" s="322"/>
      <c r="BO404" s="322"/>
      <c r="BP404" s="322"/>
      <c r="BQ404" s="322"/>
      <c r="BR404" s="322"/>
      <c r="BS404" s="322"/>
      <c r="BT404" s="322"/>
      <c r="BU404" s="322"/>
      <c r="BV404" s="322"/>
      <c r="BW404" s="322"/>
      <c r="BX404" s="322"/>
      <c r="BY404" s="322"/>
      <c r="BZ404" s="322"/>
      <c r="CA404" s="322"/>
      <c r="CB404" s="322"/>
      <c r="CC404" s="322"/>
      <c r="CD404" s="322"/>
      <c r="CE404" s="322"/>
      <c r="CF404" s="322"/>
      <c r="CG404" s="322"/>
      <c r="CH404" s="322"/>
      <c r="CI404" s="322"/>
      <c r="CJ404" s="322"/>
      <c r="CK404" s="322"/>
      <c r="CL404" s="322"/>
      <c r="CM404" s="322"/>
      <c r="CN404" s="322"/>
      <c r="CO404" s="322"/>
      <c r="CP404" s="322"/>
      <c r="CQ404" s="322"/>
      <c r="CR404" s="322"/>
      <c r="CS404" s="322"/>
      <c r="CT404" s="322"/>
      <c r="CU404" s="322"/>
      <c r="CV404" s="322"/>
      <c r="CW404" s="322"/>
      <c r="CX404" s="322"/>
      <c r="CY404" s="322"/>
    </row>
    <row r="405" spans="1:103" s="432" customFormat="1">
      <c r="A405" s="509">
        <f t="shared" si="6"/>
        <v>404</v>
      </c>
      <c r="B405" s="1332" t="s">
        <v>43</v>
      </c>
      <c r="C405" s="943" t="s">
        <v>44</v>
      </c>
      <c r="D405" s="943" t="s">
        <v>45</v>
      </c>
      <c r="E405" s="432" t="s">
        <v>5787</v>
      </c>
      <c r="F405" s="434">
        <v>6</v>
      </c>
      <c r="G405" s="434">
        <v>9849635546</v>
      </c>
      <c r="I405" s="434">
        <v>40</v>
      </c>
      <c r="J405" s="120" t="s">
        <v>48</v>
      </c>
      <c r="K405" s="434" t="s">
        <v>5405</v>
      </c>
      <c r="L405" s="434"/>
      <c r="M405" s="146" t="s">
        <v>119</v>
      </c>
      <c r="N405" s="730">
        <v>65293</v>
      </c>
      <c r="O405" s="730">
        <v>65293</v>
      </c>
      <c r="P405" s="459">
        <v>65302</v>
      </c>
      <c r="Q405" s="432" t="s">
        <v>51</v>
      </c>
      <c r="R405" s="322"/>
      <c r="S405" s="322"/>
      <c r="T405" s="322"/>
      <c r="U405" s="322"/>
      <c r="V405" s="322"/>
      <c r="W405" s="322"/>
      <c r="X405" s="322"/>
      <c r="Y405" s="322"/>
      <c r="Z405" s="322"/>
      <c r="AA405" s="322"/>
      <c r="AB405" s="322"/>
      <c r="AC405" s="322"/>
      <c r="AD405" s="322"/>
      <c r="AE405" s="322"/>
      <c r="AF405" s="322"/>
      <c r="AG405" s="322"/>
      <c r="AH405" s="322"/>
      <c r="AI405" s="322"/>
      <c r="AJ405" s="322"/>
      <c r="AK405" s="322"/>
      <c r="AL405" s="322"/>
      <c r="AM405" s="322"/>
      <c r="AN405" s="322"/>
      <c r="AO405" s="322"/>
      <c r="AP405" s="322"/>
      <c r="AQ405" s="322"/>
      <c r="AR405" s="322"/>
      <c r="AS405" s="322"/>
      <c r="AT405" s="322"/>
      <c r="AU405" s="322"/>
      <c r="AV405" s="322"/>
      <c r="AW405" s="322"/>
      <c r="AX405" s="322"/>
      <c r="AY405" s="322"/>
      <c r="AZ405" s="322"/>
      <c r="BA405" s="322"/>
      <c r="BB405" s="322"/>
      <c r="BC405" s="322"/>
      <c r="BD405" s="322"/>
      <c r="BE405" s="322"/>
      <c r="BF405" s="322"/>
      <c r="BG405" s="322"/>
      <c r="BH405" s="322"/>
      <c r="BI405" s="322"/>
      <c r="BJ405" s="322"/>
      <c r="BK405" s="322"/>
      <c r="BL405" s="322"/>
      <c r="BM405" s="322"/>
      <c r="BN405" s="322"/>
      <c r="BO405" s="322"/>
      <c r="BP405" s="322"/>
      <c r="BQ405" s="322"/>
      <c r="BR405" s="322"/>
      <c r="BS405" s="322"/>
      <c r="BT405" s="322"/>
      <c r="BU405" s="322"/>
      <c r="BV405" s="322"/>
      <c r="BW405" s="322"/>
      <c r="BX405" s="322"/>
      <c r="BY405" s="322"/>
      <c r="BZ405" s="322"/>
      <c r="CA405" s="322"/>
      <c r="CB405" s="322"/>
      <c r="CC405" s="322"/>
      <c r="CD405" s="322"/>
      <c r="CE405" s="322"/>
      <c r="CF405" s="322"/>
      <c r="CG405" s="322"/>
      <c r="CH405" s="322"/>
      <c r="CI405" s="322"/>
      <c r="CJ405" s="322"/>
      <c r="CK405" s="322"/>
      <c r="CL405" s="322"/>
      <c r="CM405" s="322"/>
      <c r="CN405" s="322"/>
      <c r="CO405" s="322"/>
      <c r="CP405" s="322"/>
      <c r="CQ405" s="322"/>
      <c r="CR405" s="322"/>
      <c r="CS405" s="322"/>
      <c r="CT405" s="322"/>
      <c r="CU405" s="322"/>
      <c r="CV405" s="322"/>
      <c r="CW405" s="322"/>
      <c r="CX405" s="322"/>
      <c r="CY405" s="322"/>
    </row>
    <row r="406" spans="1:103" s="432" customFormat="1">
      <c r="A406" s="509">
        <f t="shared" si="6"/>
        <v>405</v>
      </c>
      <c r="B406" s="1332" t="s">
        <v>43</v>
      </c>
      <c r="C406" s="943" t="s">
        <v>44</v>
      </c>
      <c r="D406" s="943" t="s">
        <v>45</v>
      </c>
      <c r="E406" s="432" t="s">
        <v>5788</v>
      </c>
      <c r="F406" s="434">
        <v>6</v>
      </c>
      <c r="G406" s="434">
        <v>9847979963</v>
      </c>
      <c r="I406" s="434">
        <v>26</v>
      </c>
      <c r="J406" s="434" t="s">
        <v>90</v>
      </c>
      <c r="K406" s="434" t="s">
        <v>5405</v>
      </c>
      <c r="L406" s="434"/>
      <c r="M406" s="146" t="s">
        <v>119</v>
      </c>
      <c r="N406" s="730">
        <v>65293</v>
      </c>
      <c r="O406" s="730">
        <v>65293</v>
      </c>
      <c r="P406" s="459">
        <v>65302</v>
      </c>
      <c r="Q406" s="432" t="s">
        <v>51</v>
      </c>
      <c r="R406" s="322"/>
      <c r="S406" s="322"/>
      <c r="T406" s="322"/>
      <c r="U406" s="322"/>
      <c r="V406" s="322"/>
      <c r="W406" s="322"/>
      <c r="X406" s="322"/>
      <c r="Y406" s="322"/>
      <c r="Z406" s="322"/>
      <c r="AA406" s="322"/>
      <c r="AB406" s="322"/>
      <c r="AC406" s="322"/>
      <c r="AD406" s="322"/>
      <c r="AE406" s="322"/>
      <c r="AF406" s="322"/>
      <c r="AG406" s="322"/>
      <c r="AH406" s="322"/>
      <c r="AI406" s="322"/>
      <c r="AJ406" s="322"/>
      <c r="AK406" s="322"/>
      <c r="AL406" s="322"/>
      <c r="AM406" s="322"/>
      <c r="AN406" s="322"/>
      <c r="AO406" s="322"/>
      <c r="AP406" s="322"/>
      <c r="AQ406" s="322"/>
      <c r="AR406" s="322"/>
      <c r="AS406" s="322"/>
      <c r="AT406" s="322"/>
      <c r="AU406" s="322"/>
      <c r="AV406" s="322"/>
      <c r="AW406" s="322"/>
      <c r="AX406" s="322"/>
      <c r="AY406" s="322"/>
      <c r="AZ406" s="322"/>
      <c r="BA406" s="322"/>
      <c r="BB406" s="322"/>
      <c r="BC406" s="322"/>
      <c r="BD406" s="322"/>
      <c r="BE406" s="322"/>
      <c r="BF406" s="322"/>
      <c r="BG406" s="322"/>
      <c r="BH406" s="322"/>
      <c r="BI406" s="322"/>
      <c r="BJ406" s="322"/>
      <c r="BK406" s="322"/>
      <c r="BL406" s="322"/>
      <c r="BM406" s="322"/>
      <c r="BN406" s="322"/>
      <c r="BO406" s="322"/>
      <c r="BP406" s="322"/>
      <c r="BQ406" s="322"/>
      <c r="BR406" s="322"/>
      <c r="BS406" s="322"/>
      <c r="BT406" s="322"/>
      <c r="BU406" s="322"/>
      <c r="BV406" s="322"/>
      <c r="BW406" s="322"/>
      <c r="BX406" s="322"/>
      <c r="BY406" s="322"/>
      <c r="BZ406" s="322"/>
      <c r="CA406" s="322"/>
      <c r="CB406" s="322"/>
      <c r="CC406" s="322"/>
      <c r="CD406" s="322"/>
      <c r="CE406" s="322"/>
      <c r="CF406" s="322"/>
      <c r="CG406" s="322"/>
      <c r="CH406" s="322"/>
      <c r="CI406" s="322"/>
      <c r="CJ406" s="322"/>
      <c r="CK406" s="322"/>
      <c r="CL406" s="322"/>
      <c r="CM406" s="322"/>
      <c r="CN406" s="322"/>
      <c r="CO406" s="322"/>
      <c r="CP406" s="322"/>
      <c r="CQ406" s="322"/>
      <c r="CR406" s="322"/>
      <c r="CS406" s="322"/>
      <c r="CT406" s="322"/>
      <c r="CU406" s="322"/>
      <c r="CV406" s="322"/>
      <c r="CW406" s="322"/>
      <c r="CX406" s="322"/>
      <c r="CY406" s="322"/>
    </row>
    <row r="407" spans="1:103" s="432" customFormat="1">
      <c r="A407" s="509">
        <f t="shared" si="6"/>
        <v>406</v>
      </c>
      <c r="B407" s="1332" t="s">
        <v>43</v>
      </c>
      <c r="C407" s="943" t="s">
        <v>44</v>
      </c>
      <c r="D407" s="943" t="s">
        <v>45</v>
      </c>
      <c r="E407" s="432" t="s">
        <v>5789</v>
      </c>
      <c r="F407" s="434">
        <v>5</v>
      </c>
      <c r="G407" s="434">
        <v>9806235836</v>
      </c>
      <c r="I407" s="434">
        <v>31</v>
      </c>
      <c r="J407" s="434" t="s">
        <v>90</v>
      </c>
      <c r="K407" s="434" t="s">
        <v>5405</v>
      </c>
      <c r="L407" s="434"/>
      <c r="M407" s="146" t="s">
        <v>119</v>
      </c>
      <c r="N407" s="730">
        <v>65293</v>
      </c>
      <c r="O407" s="730">
        <v>65293</v>
      </c>
      <c r="P407" s="459">
        <v>65302</v>
      </c>
      <c r="Q407" s="432" t="s">
        <v>51</v>
      </c>
      <c r="R407" s="322"/>
      <c r="S407" s="322"/>
      <c r="T407" s="322"/>
      <c r="U407" s="322"/>
      <c r="V407" s="322"/>
      <c r="W407" s="322"/>
      <c r="X407" s="322"/>
      <c r="Y407" s="322"/>
      <c r="Z407" s="322"/>
      <c r="AA407" s="322"/>
      <c r="AB407" s="322"/>
      <c r="AC407" s="322"/>
      <c r="AD407" s="322"/>
      <c r="AE407" s="322"/>
      <c r="AF407" s="322"/>
      <c r="AG407" s="322"/>
      <c r="AH407" s="322"/>
      <c r="AI407" s="322"/>
      <c r="AJ407" s="322"/>
      <c r="AK407" s="322"/>
      <c r="AL407" s="322"/>
      <c r="AM407" s="322"/>
      <c r="AN407" s="322"/>
      <c r="AO407" s="322"/>
      <c r="AP407" s="322"/>
      <c r="AQ407" s="322"/>
      <c r="AR407" s="322"/>
      <c r="AS407" s="322"/>
      <c r="AT407" s="322"/>
      <c r="AU407" s="322"/>
      <c r="AV407" s="322"/>
      <c r="AW407" s="322"/>
      <c r="AX407" s="322"/>
      <c r="AY407" s="322"/>
      <c r="AZ407" s="322"/>
      <c r="BA407" s="322"/>
      <c r="BB407" s="322"/>
      <c r="BC407" s="322"/>
      <c r="BD407" s="322"/>
      <c r="BE407" s="322"/>
      <c r="BF407" s="322"/>
      <c r="BG407" s="322"/>
      <c r="BH407" s="322"/>
      <c r="BI407" s="322"/>
      <c r="BJ407" s="322"/>
      <c r="BK407" s="322"/>
      <c r="BL407" s="322"/>
      <c r="BM407" s="322"/>
      <c r="BN407" s="322"/>
      <c r="BO407" s="322"/>
      <c r="BP407" s="322"/>
      <c r="BQ407" s="322"/>
      <c r="BR407" s="322"/>
      <c r="BS407" s="322"/>
      <c r="BT407" s="322"/>
      <c r="BU407" s="322"/>
      <c r="BV407" s="322"/>
      <c r="BW407" s="322"/>
      <c r="BX407" s="322"/>
      <c r="BY407" s="322"/>
      <c r="BZ407" s="322"/>
      <c r="CA407" s="322"/>
      <c r="CB407" s="322"/>
      <c r="CC407" s="322"/>
      <c r="CD407" s="322"/>
      <c r="CE407" s="322"/>
      <c r="CF407" s="322"/>
      <c r="CG407" s="322"/>
      <c r="CH407" s="322"/>
      <c r="CI407" s="322"/>
      <c r="CJ407" s="322"/>
      <c r="CK407" s="322"/>
      <c r="CL407" s="322"/>
      <c r="CM407" s="322"/>
      <c r="CN407" s="322"/>
      <c r="CO407" s="322"/>
      <c r="CP407" s="322"/>
      <c r="CQ407" s="322"/>
      <c r="CR407" s="322"/>
      <c r="CS407" s="322"/>
      <c r="CT407" s="322"/>
      <c r="CU407" s="322"/>
      <c r="CV407" s="322"/>
      <c r="CW407" s="322"/>
      <c r="CX407" s="322"/>
      <c r="CY407" s="322"/>
    </row>
    <row r="408" spans="1:103" s="432" customFormat="1">
      <c r="A408" s="509">
        <f t="shared" si="6"/>
        <v>407</v>
      </c>
      <c r="B408" s="1332" t="s">
        <v>43</v>
      </c>
      <c r="C408" s="943" t="s">
        <v>44</v>
      </c>
      <c r="D408" s="943" t="s">
        <v>45</v>
      </c>
      <c r="E408" s="432" t="s">
        <v>5790</v>
      </c>
      <c r="F408" s="434">
        <v>8</v>
      </c>
      <c r="G408" s="434">
        <v>9810886125</v>
      </c>
      <c r="I408" s="434">
        <v>29</v>
      </c>
      <c r="J408" s="434" t="s">
        <v>90</v>
      </c>
      <c r="K408" s="434" t="s">
        <v>5405</v>
      </c>
      <c r="L408" s="434"/>
      <c r="M408" s="146" t="s">
        <v>119</v>
      </c>
      <c r="N408" s="730">
        <v>65293</v>
      </c>
      <c r="O408" s="730">
        <v>65293</v>
      </c>
      <c r="P408" s="459">
        <v>65302</v>
      </c>
      <c r="Q408" s="432" t="s">
        <v>51</v>
      </c>
      <c r="R408" s="322"/>
      <c r="S408" s="322"/>
      <c r="T408" s="322"/>
      <c r="U408" s="322"/>
      <c r="V408" s="322"/>
      <c r="W408" s="322"/>
      <c r="X408" s="322"/>
      <c r="Y408" s="322"/>
      <c r="Z408" s="322"/>
      <c r="AA408" s="322"/>
      <c r="AB408" s="322"/>
      <c r="AC408" s="322"/>
      <c r="AD408" s="322"/>
      <c r="AE408" s="322"/>
      <c r="AF408" s="322"/>
      <c r="AG408" s="322"/>
      <c r="AH408" s="322"/>
      <c r="AI408" s="322"/>
      <c r="AJ408" s="322"/>
      <c r="AK408" s="322"/>
      <c r="AL408" s="322"/>
      <c r="AM408" s="322"/>
      <c r="AN408" s="322"/>
      <c r="AO408" s="322"/>
      <c r="AP408" s="322"/>
      <c r="AQ408" s="322"/>
      <c r="AR408" s="322"/>
      <c r="AS408" s="322"/>
      <c r="AT408" s="322"/>
      <c r="AU408" s="322"/>
      <c r="AV408" s="322"/>
      <c r="AW408" s="322"/>
      <c r="AX408" s="322"/>
      <c r="AY408" s="322"/>
      <c r="AZ408" s="322"/>
      <c r="BA408" s="322"/>
      <c r="BB408" s="322"/>
      <c r="BC408" s="322"/>
      <c r="BD408" s="322"/>
      <c r="BE408" s="322"/>
      <c r="BF408" s="322"/>
      <c r="BG408" s="322"/>
      <c r="BH408" s="322"/>
      <c r="BI408" s="322"/>
      <c r="BJ408" s="322"/>
      <c r="BK408" s="322"/>
      <c r="BL408" s="322"/>
      <c r="BM408" s="322"/>
      <c r="BN408" s="322"/>
      <c r="BO408" s="322"/>
      <c r="BP408" s="322"/>
      <c r="BQ408" s="322"/>
      <c r="BR408" s="322"/>
      <c r="BS408" s="322"/>
      <c r="BT408" s="322"/>
      <c r="BU408" s="322"/>
      <c r="BV408" s="322"/>
      <c r="BW408" s="322"/>
      <c r="BX408" s="322"/>
      <c r="BY408" s="322"/>
      <c r="BZ408" s="322"/>
      <c r="CA408" s="322"/>
      <c r="CB408" s="322"/>
      <c r="CC408" s="322"/>
      <c r="CD408" s="322"/>
      <c r="CE408" s="322"/>
      <c r="CF408" s="322"/>
      <c r="CG408" s="322"/>
      <c r="CH408" s="322"/>
      <c r="CI408" s="322"/>
      <c r="CJ408" s="322"/>
      <c r="CK408" s="322"/>
      <c r="CL408" s="322"/>
      <c r="CM408" s="322"/>
      <c r="CN408" s="322"/>
      <c r="CO408" s="322"/>
      <c r="CP408" s="322"/>
      <c r="CQ408" s="322"/>
      <c r="CR408" s="322"/>
      <c r="CS408" s="322"/>
      <c r="CT408" s="322"/>
      <c r="CU408" s="322"/>
      <c r="CV408" s="322"/>
      <c r="CW408" s="322"/>
      <c r="CX408" s="322"/>
      <c r="CY408" s="322"/>
    </row>
    <row r="409" spans="1:103" s="432" customFormat="1">
      <c r="A409" s="509">
        <f t="shared" si="6"/>
        <v>408</v>
      </c>
      <c r="B409" s="1332" t="s">
        <v>43</v>
      </c>
      <c r="C409" s="943" t="s">
        <v>44</v>
      </c>
      <c r="D409" s="943" t="s">
        <v>45</v>
      </c>
      <c r="E409" s="432" t="s">
        <v>5791</v>
      </c>
      <c r="F409" s="434">
        <v>6</v>
      </c>
      <c r="G409" s="434">
        <v>98109800</v>
      </c>
      <c r="I409" s="434">
        <v>20</v>
      </c>
      <c r="J409" s="434" t="s">
        <v>90</v>
      </c>
      <c r="K409" s="434" t="s">
        <v>5405</v>
      </c>
      <c r="L409" s="434"/>
      <c r="M409" s="146" t="s">
        <v>119</v>
      </c>
      <c r="N409" s="730">
        <v>65293</v>
      </c>
      <c r="O409" s="730">
        <v>65293</v>
      </c>
      <c r="P409" s="459">
        <v>65302</v>
      </c>
      <c r="Q409" s="432" t="s">
        <v>51</v>
      </c>
      <c r="R409" s="322"/>
      <c r="S409" s="322"/>
      <c r="T409" s="322"/>
      <c r="U409" s="322"/>
      <c r="V409" s="322"/>
      <c r="W409" s="322"/>
      <c r="X409" s="322"/>
      <c r="Y409" s="322"/>
      <c r="Z409" s="322"/>
      <c r="AA409" s="322"/>
      <c r="AB409" s="322"/>
      <c r="AC409" s="322"/>
      <c r="AD409" s="322"/>
      <c r="AE409" s="322"/>
      <c r="AF409" s="322"/>
      <c r="AG409" s="322"/>
      <c r="AH409" s="322"/>
      <c r="AI409" s="322"/>
      <c r="AJ409" s="322"/>
      <c r="AK409" s="322"/>
      <c r="AL409" s="322"/>
      <c r="AM409" s="322"/>
      <c r="AN409" s="322"/>
      <c r="AO409" s="322"/>
      <c r="AP409" s="322"/>
      <c r="AQ409" s="322"/>
      <c r="AR409" s="322"/>
      <c r="AS409" s="322"/>
      <c r="AT409" s="322"/>
      <c r="AU409" s="322"/>
      <c r="AV409" s="322"/>
      <c r="AW409" s="322"/>
      <c r="AX409" s="322"/>
      <c r="AY409" s="322"/>
      <c r="AZ409" s="322"/>
      <c r="BA409" s="322"/>
      <c r="BB409" s="322"/>
      <c r="BC409" s="322"/>
      <c r="BD409" s="322"/>
      <c r="BE409" s="322"/>
      <c r="BF409" s="322"/>
      <c r="BG409" s="322"/>
      <c r="BH409" s="322"/>
      <c r="BI409" s="322"/>
      <c r="BJ409" s="322"/>
      <c r="BK409" s="322"/>
      <c r="BL409" s="322"/>
      <c r="BM409" s="322"/>
      <c r="BN409" s="322"/>
      <c r="BO409" s="322"/>
      <c r="BP409" s="322"/>
      <c r="BQ409" s="322"/>
      <c r="BR409" s="322"/>
      <c r="BS409" s="322"/>
      <c r="BT409" s="322"/>
      <c r="BU409" s="322"/>
      <c r="BV409" s="322"/>
      <c r="BW409" s="322"/>
      <c r="BX409" s="322"/>
      <c r="BY409" s="322"/>
      <c r="BZ409" s="322"/>
      <c r="CA409" s="322"/>
      <c r="CB409" s="322"/>
      <c r="CC409" s="322"/>
      <c r="CD409" s="322"/>
      <c r="CE409" s="322"/>
      <c r="CF409" s="322"/>
      <c r="CG409" s="322"/>
      <c r="CH409" s="322"/>
      <c r="CI409" s="322"/>
      <c r="CJ409" s="322"/>
      <c r="CK409" s="322"/>
      <c r="CL409" s="322"/>
      <c r="CM409" s="322"/>
      <c r="CN409" s="322"/>
      <c r="CO409" s="322"/>
      <c r="CP409" s="322"/>
      <c r="CQ409" s="322"/>
      <c r="CR409" s="322"/>
      <c r="CS409" s="322"/>
      <c r="CT409" s="322"/>
      <c r="CU409" s="322"/>
      <c r="CV409" s="322"/>
      <c r="CW409" s="322"/>
      <c r="CX409" s="322"/>
      <c r="CY409" s="322"/>
    </row>
    <row r="410" spans="1:103" s="432" customFormat="1">
      <c r="A410" s="509">
        <f t="shared" si="6"/>
        <v>409</v>
      </c>
      <c r="B410" s="1332" t="s">
        <v>43</v>
      </c>
      <c r="C410" s="943" t="s">
        <v>44</v>
      </c>
      <c r="D410" s="943" t="s">
        <v>45</v>
      </c>
      <c r="E410" s="432" t="s">
        <v>5792</v>
      </c>
      <c r="F410" s="434">
        <v>5</v>
      </c>
      <c r="G410" s="434">
        <v>98095</v>
      </c>
      <c r="I410" s="434">
        <v>70</v>
      </c>
      <c r="J410" s="434" t="s">
        <v>90</v>
      </c>
      <c r="K410" s="434" t="s">
        <v>5405</v>
      </c>
      <c r="L410" s="434"/>
      <c r="M410" s="146" t="s">
        <v>119</v>
      </c>
      <c r="N410" s="730">
        <v>65293</v>
      </c>
      <c r="O410" s="730">
        <v>65293</v>
      </c>
      <c r="P410" s="459">
        <v>65302</v>
      </c>
      <c r="Q410" s="432" t="s">
        <v>51</v>
      </c>
      <c r="R410" s="322"/>
      <c r="S410" s="322"/>
      <c r="T410" s="322"/>
      <c r="U410" s="322"/>
      <c r="V410" s="322"/>
      <c r="W410" s="322"/>
      <c r="X410" s="322"/>
      <c r="Y410" s="322"/>
      <c r="Z410" s="322"/>
      <c r="AA410" s="322"/>
      <c r="AB410" s="322"/>
      <c r="AC410" s="322"/>
      <c r="AD410" s="322"/>
      <c r="AE410" s="322"/>
      <c r="AF410" s="322"/>
      <c r="AG410" s="322"/>
      <c r="AH410" s="322"/>
      <c r="AI410" s="322"/>
      <c r="AJ410" s="322"/>
      <c r="AK410" s="322"/>
      <c r="AL410" s="322"/>
      <c r="AM410" s="322"/>
      <c r="AN410" s="322"/>
      <c r="AO410" s="322"/>
      <c r="AP410" s="322"/>
      <c r="AQ410" s="322"/>
      <c r="AR410" s="322"/>
      <c r="AS410" s="322"/>
      <c r="AT410" s="322"/>
      <c r="AU410" s="322"/>
      <c r="AV410" s="322"/>
      <c r="AW410" s="322"/>
      <c r="AX410" s="322"/>
      <c r="AY410" s="322"/>
      <c r="AZ410" s="322"/>
      <c r="BA410" s="322"/>
      <c r="BB410" s="322"/>
      <c r="BC410" s="322"/>
      <c r="BD410" s="322"/>
      <c r="BE410" s="322"/>
      <c r="BF410" s="322"/>
      <c r="BG410" s="322"/>
      <c r="BH410" s="322"/>
      <c r="BI410" s="322"/>
      <c r="BJ410" s="322"/>
      <c r="BK410" s="322"/>
      <c r="BL410" s="322"/>
      <c r="BM410" s="322"/>
      <c r="BN410" s="322"/>
      <c r="BO410" s="322"/>
      <c r="BP410" s="322"/>
      <c r="BQ410" s="322"/>
      <c r="BR410" s="322"/>
      <c r="BS410" s="322"/>
      <c r="BT410" s="322"/>
      <c r="BU410" s="322"/>
      <c r="BV410" s="322"/>
      <c r="BW410" s="322"/>
      <c r="BX410" s="322"/>
      <c r="BY410" s="322"/>
      <c r="BZ410" s="322"/>
      <c r="CA410" s="322"/>
      <c r="CB410" s="322"/>
      <c r="CC410" s="322"/>
      <c r="CD410" s="322"/>
      <c r="CE410" s="322"/>
      <c r="CF410" s="322"/>
      <c r="CG410" s="322"/>
      <c r="CH410" s="322"/>
      <c r="CI410" s="322"/>
      <c r="CJ410" s="322"/>
      <c r="CK410" s="322"/>
      <c r="CL410" s="322"/>
      <c r="CM410" s="322"/>
      <c r="CN410" s="322"/>
      <c r="CO410" s="322"/>
      <c r="CP410" s="322"/>
      <c r="CQ410" s="322"/>
      <c r="CR410" s="322"/>
      <c r="CS410" s="322"/>
      <c r="CT410" s="322"/>
      <c r="CU410" s="322"/>
      <c r="CV410" s="322"/>
      <c r="CW410" s="322"/>
      <c r="CX410" s="322"/>
      <c r="CY410" s="322"/>
    </row>
    <row r="411" spans="1:103" s="432" customFormat="1">
      <c r="A411" s="509">
        <f t="shared" si="6"/>
        <v>410</v>
      </c>
      <c r="B411" s="1332" t="s">
        <v>43</v>
      </c>
      <c r="C411" s="943" t="s">
        <v>44</v>
      </c>
      <c r="D411" s="943" t="s">
        <v>45</v>
      </c>
      <c r="E411" s="432" t="s">
        <v>5793</v>
      </c>
      <c r="F411" s="434">
        <v>5</v>
      </c>
      <c r="G411" s="434">
        <v>9810</v>
      </c>
      <c r="I411" s="434">
        <v>35</v>
      </c>
      <c r="J411" s="434" t="s">
        <v>90</v>
      </c>
      <c r="K411" s="434" t="s">
        <v>5405</v>
      </c>
      <c r="L411" s="434"/>
      <c r="M411" s="146" t="s">
        <v>119</v>
      </c>
      <c r="N411" s="730">
        <v>65293</v>
      </c>
      <c r="O411" s="730">
        <v>65293</v>
      </c>
      <c r="P411" s="459">
        <v>65302</v>
      </c>
      <c r="Q411" s="432" t="s">
        <v>51</v>
      </c>
      <c r="R411" s="322"/>
      <c r="S411" s="322"/>
      <c r="T411" s="322"/>
      <c r="U411" s="322"/>
      <c r="V411" s="322"/>
      <c r="W411" s="322"/>
      <c r="X411" s="322"/>
      <c r="Y411" s="322"/>
      <c r="Z411" s="322"/>
      <c r="AA411" s="322"/>
      <c r="AB411" s="322"/>
      <c r="AC411" s="322"/>
      <c r="AD411" s="322"/>
      <c r="AE411" s="322"/>
      <c r="AF411" s="322"/>
      <c r="AG411" s="322"/>
      <c r="AH411" s="322"/>
      <c r="AI411" s="322"/>
      <c r="AJ411" s="322"/>
      <c r="AK411" s="322"/>
      <c r="AL411" s="322"/>
      <c r="AM411" s="322"/>
      <c r="AN411" s="322"/>
      <c r="AO411" s="322"/>
      <c r="AP411" s="322"/>
      <c r="AQ411" s="322"/>
      <c r="AR411" s="322"/>
      <c r="AS411" s="322"/>
      <c r="AT411" s="322"/>
      <c r="AU411" s="322"/>
      <c r="AV411" s="322"/>
      <c r="AW411" s="322"/>
      <c r="AX411" s="322"/>
      <c r="AY411" s="322"/>
      <c r="AZ411" s="322"/>
      <c r="BA411" s="322"/>
      <c r="BB411" s="322"/>
      <c r="BC411" s="322"/>
      <c r="BD411" s="322"/>
      <c r="BE411" s="322"/>
      <c r="BF411" s="322"/>
      <c r="BG411" s="322"/>
      <c r="BH411" s="322"/>
      <c r="BI411" s="322"/>
      <c r="BJ411" s="322"/>
      <c r="BK411" s="322"/>
      <c r="BL411" s="322"/>
      <c r="BM411" s="322"/>
      <c r="BN411" s="322"/>
      <c r="BO411" s="322"/>
      <c r="BP411" s="322"/>
      <c r="BQ411" s="322"/>
      <c r="BR411" s="322"/>
      <c r="BS411" s="322"/>
      <c r="BT411" s="322"/>
      <c r="BU411" s="322"/>
      <c r="BV411" s="322"/>
      <c r="BW411" s="322"/>
      <c r="BX411" s="322"/>
      <c r="BY411" s="322"/>
      <c r="BZ411" s="322"/>
      <c r="CA411" s="322"/>
      <c r="CB411" s="322"/>
      <c r="CC411" s="322"/>
      <c r="CD411" s="322"/>
      <c r="CE411" s="322"/>
      <c r="CF411" s="322"/>
      <c r="CG411" s="322"/>
      <c r="CH411" s="322"/>
      <c r="CI411" s="322"/>
      <c r="CJ411" s="322"/>
      <c r="CK411" s="322"/>
      <c r="CL411" s="322"/>
      <c r="CM411" s="322"/>
      <c r="CN411" s="322"/>
      <c r="CO411" s="322"/>
      <c r="CP411" s="322"/>
      <c r="CQ411" s="322"/>
      <c r="CR411" s="322"/>
      <c r="CS411" s="322"/>
      <c r="CT411" s="322"/>
      <c r="CU411" s="322"/>
      <c r="CV411" s="322"/>
      <c r="CW411" s="322"/>
      <c r="CX411" s="322"/>
      <c r="CY411" s="322"/>
    </row>
    <row r="412" spans="1:103" s="432" customFormat="1">
      <c r="A412" s="509">
        <f t="shared" si="6"/>
        <v>411</v>
      </c>
      <c r="B412" s="1332" t="s">
        <v>43</v>
      </c>
      <c r="C412" s="943" t="s">
        <v>44</v>
      </c>
      <c r="D412" s="943" t="s">
        <v>45</v>
      </c>
      <c r="E412" s="432" t="s">
        <v>5794</v>
      </c>
      <c r="F412" s="434">
        <v>9</v>
      </c>
      <c r="G412" s="434">
        <v>9847832496</v>
      </c>
      <c r="I412" s="434">
        <v>45</v>
      </c>
      <c r="J412" s="120" t="s">
        <v>48</v>
      </c>
      <c r="K412" s="434" t="s">
        <v>5405</v>
      </c>
      <c r="L412" s="434"/>
      <c r="M412" s="146" t="s">
        <v>119</v>
      </c>
      <c r="N412" s="730">
        <v>65293</v>
      </c>
      <c r="O412" s="730">
        <v>65293</v>
      </c>
      <c r="P412" s="459">
        <v>65302</v>
      </c>
      <c r="Q412" s="432" t="s">
        <v>51</v>
      </c>
      <c r="R412" s="322"/>
      <c r="S412" s="322"/>
      <c r="T412" s="322"/>
      <c r="U412" s="322"/>
      <c r="V412" s="322"/>
      <c r="W412" s="322"/>
      <c r="X412" s="322"/>
      <c r="Y412" s="322"/>
      <c r="Z412" s="322"/>
      <c r="AA412" s="322"/>
      <c r="AB412" s="322"/>
      <c r="AC412" s="322"/>
      <c r="AD412" s="322"/>
      <c r="AE412" s="322"/>
      <c r="AF412" s="322"/>
      <c r="AG412" s="322"/>
      <c r="AH412" s="322"/>
      <c r="AI412" s="322"/>
      <c r="AJ412" s="322"/>
      <c r="AK412" s="322"/>
      <c r="AL412" s="322"/>
      <c r="AM412" s="322"/>
      <c r="AN412" s="322"/>
      <c r="AO412" s="322"/>
      <c r="AP412" s="322"/>
      <c r="AQ412" s="322"/>
      <c r="AR412" s="322"/>
      <c r="AS412" s="322"/>
      <c r="AT412" s="322"/>
      <c r="AU412" s="322"/>
      <c r="AV412" s="322"/>
      <c r="AW412" s="322"/>
      <c r="AX412" s="322"/>
      <c r="AY412" s="322"/>
      <c r="AZ412" s="322"/>
      <c r="BA412" s="322"/>
      <c r="BB412" s="322"/>
      <c r="BC412" s="322"/>
      <c r="BD412" s="322"/>
      <c r="BE412" s="322"/>
      <c r="BF412" s="322"/>
      <c r="BG412" s="322"/>
      <c r="BH412" s="322"/>
      <c r="BI412" s="322"/>
      <c r="BJ412" s="322"/>
      <c r="BK412" s="322"/>
      <c r="BL412" s="322"/>
      <c r="BM412" s="322"/>
      <c r="BN412" s="322"/>
      <c r="BO412" s="322"/>
      <c r="BP412" s="322"/>
      <c r="BQ412" s="322"/>
      <c r="BR412" s="322"/>
      <c r="BS412" s="322"/>
      <c r="BT412" s="322"/>
      <c r="BU412" s="322"/>
      <c r="BV412" s="322"/>
      <c r="BW412" s="322"/>
      <c r="BX412" s="322"/>
      <c r="BY412" s="322"/>
      <c r="BZ412" s="322"/>
      <c r="CA412" s="322"/>
      <c r="CB412" s="322"/>
      <c r="CC412" s="322"/>
      <c r="CD412" s="322"/>
      <c r="CE412" s="322"/>
      <c r="CF412" s="322"/>
      <c r="CG412" s="322"/>
      <c r="CH412" s="322"/>
      <c r="CI412" s="322"/>
      <c r="CJ412" s="322"/>
      <c r="CK412" s="322"/>
      <c r="CL412" s="322"/>
      <c r="CM412" s="322"/>
      <c r="CN412" s="322"/>
      <c r="CO412" s="322"/>
      <c r="CP412" s="322"/>
      <c r="CQ412" s="322"/>
      <c r="CR412" s="322"/>
      <c r="CS412" s="322"/>
      <c r="CT412" s="322"/>
      <c r="CU412" s="322"/>
      <c r="CV412" s="322"/>
      <c r="CW412" s="322"/>
      <c r="CX412" s="322"/>
      <c r="CY412" s="322"/>
    </row>
    <row r="413" spans="1:103" s="432" customFormat="1">
      <c r="A413" s="509">
        <f t="shared" si="6"/>
        <v>412</v>
      </c>
      <c r="B413" s="1332" t="s">
        <v>43</v>
      </c>
      <c r="C413" s="943" t="s">
        <v>44</v>
      </c>
      <c r="D413" s="943" t="s">
        <v>45</v>
      </c>
      <c r="E413" s="432" t="s">
        <v>5795</v>
      </c>
      <c r="F413" s="434">
        <v>8</v>
      </c>
      <c r="G413" s="434">
        <v>9847837229</v>
      </c>
      <c r="I413" s="434">
        <v>68</v>
      </c>
      <c r="J413" s="120" t="s">
        <v>48</v>
      </c>
      <c r="K413" s="434" t="s">
        <v>5405</v>
      </c>
      <c r="L413" s="434"/>
      <c r="M413" s="146" t="s">
        <v>119</v>
      </c>
      <c r="N413" s="730">
        <v>65293</v>
      </c>
      <c r="O413" s="730">
        <v>65293</v>
      </c>
      <c r="P413" s="459">
        <v>65302</v>
      </c>
      <c r="Q413" s="432" t="s">
        <v>51</v>
      </c>
      <c r="R413" s="322"/>
      <c r="S413" s="322"/>
      <c r="T413" s="322"/>
      <c r="U413" s="322"/>
      <c r="V413" s="322"/>
      <c r="W413" s="322"/>
      <c r="X413" s="322"/>
      <c r="Y413" s="322"/>
      <c r="Z413" s="322"/>
      <c r="AA413" s="322"/>
      <c r="AB413" s="322"/>
      <c r="AC413" s="322"/>
      <c r="AD413" s="322"/>
      <c r="AE413" s="322"/>
      <c r="AF413" s="322"/>
      <c r="AG413" s="322"/>
      <c r="AH413" s="322"/>
      <c r="AI413" s="322"/>
      <c r="AJ413" s="322"/>
      <c r="AK413" s="322"/>
      <c r="AL413" s="322"/>
      <c r="AM413" s="322"/>
      <c r="AN413" s="322"/>
      <c r="AO413" s="322"/>
      <c r="AP413" s="322"/>
      <c r="AQ413" s="322"/>
      <c r="AR413" s="322"/>
      <c r="AS413" s="322"/>
      <c r="AT413" s="322"/>
      <c r="AU413" s="322"/>
      <c r="AV413" s="322"/>
      <c r="AW413" s="322"/>
      <c r="AX413" s="322"/>
      <c r="AY413" s="322"/>
      <c r="AZ413" s="322"/>
      <c r="BA413" s="322"/>
      <c r="BB413" s="322"/>
      <c r="BC413" s="322"/>
      <c r="BD413" s="322"/>
      <c r="BE413" s="322"/>
      <c r="BF413" s="322"/>
      <c r="BG413" s="322"/>
      <c r="BH413" s="322"/>
      <c r="BI413" s="322"/>
      <c r="BJ413" s="322"/>
      <c r="BK413" s="322"/>
      <c r="BL413" s="322"/>
      <c r="BM413" s="322"/>
      <c r="BN413" s="322"/>
      <c r="BO413" s="322"/>
      <c r="BP413" s="322"/>
      <c r="BQ413" s="322"/>
      <c r="BR413" s="322"/>
      <c r="BS413" s="322"/>
      <c r="BT413" s="322"/>
      <c r="BU413" s="322"/>
      <c r="BV413" s="322"/>
      <c r="BW413" s="322"/>
      <c r="BX413" s="322"/>
      <c r="BY413" s="322"/>
      <c r="BZ413" s="322"/>
      <c r="CA413" s="322"/>
      <c r="CB413" s="322"/>
      <c r="CC413" s="322"/>
      <c r="CD413" s="322"/>
      <c r="CE413" s="322"/>
      <c r="CF413" s="322"/>
      <c r="CG413" s="322"/>
      <c r="CH413" s="322"/>
      <c r="CI413" s="322"/>
      <c r="CJ413" s="322"/>
      <c r="CK413" s="322"/>
      <c r="CL413" s="322"/>
      <c r="CM413" s="322"/>
      <c r="CN413" s="322"/>
      <c r="CO413" s="322"/>
      <c r="CP413" s="322"/>
      <c r="CQ413" s="322"/>
      <c r="CR413" s="322"/>
      <c r="CS413" s="322"/>
      <c r="CT413" s="322"/>
      <c r="CU413" s="322"/>
      <c r="CV413" s="322"/>
      <c r="CW413" s="322"/>
      <c r="CX413" s="322"/>
      <c r="CY413" s="322"/>
    </row>
    <row r="414" spans="1:103" s="432" customFormat="1">
      <c r="A414" s="509">
        <f t="shared" si="6"/>
        <v>413</v>
      </c>
      <c r="B414" s="1332" t="s">
        <v>43</v>
      </c>
      <c r="C414" s="943" t="s">
        <v>44</v>
      </c>
      <c r="D414" s="943" t="s">
        <v>45</v>
      </c>
      <c r="E414" s="432" t="s">
        <v>5796</v>
      </c>
      <c r="F414" s="434">
        <v>6</v>
      </c>
      <c r="G414" s="434">
        <v>9847836321</v>
      </c>
      <c r="I414" s="434">
        <v>63</v>
      </c>
      <c r="J414" s="120" t="s">
        <v>48</v>
      </c>
      <c r="K414" s="434" t="s">
        <v>5405</v>
      </c>
      <c r="L414" s="434"/>
      <c r="M414" s="146" t="s">
        <v>119</v>
      </c>
      <c r="N414" s="730">
        <v>65293</v>
      </c>
      <c r="O414" s="730">
        <v>65293</v>
      </c>
      <c r="P414" s="459">
        <v>65302</v>
      </c>
      <c r="Q414" s="432" t="s">
        <v>51</v>
      </c>
      <c r="R414" s="322"/>
      <c r="S414" s="322"/>
      <c r="T414" s="322"/>
      <c r="U414" s="322"/>
      <c r="V414" s="322"/>
      <c r="W414" s="322"/>
      <c r="X414" s="322"/>
      <c r="Y414" s="322"/>
      <c r="Z414" s="322"/>
      <c r="AA414" s="322"/>
      <c r="AB414" s="322"/>
      <c r="AC414" s="322"/>
      <c r="AD414" s="322"/>
      <c r="AE414" s="322"/>
      <c r="AF414" s="322"/>
      <c r="AG414" s="322"/>
      <c r="AH414" s="322"/>
      <c r="AI414" s="322"/>
      <c r="AJ414" s="322"/>
      <c r="AK414" s="322"/>
      <c r="AL414" s="322"/>
      <c r="AM414" s="322"/>
      <c r="AN414" s="322"/>
      <c r="AO414" s="322"/>
      <c r="AP414" s="322"/>
      <c r="AQ414" s="322"/>
      <c r="AR414" s="322"/>
      <c r="AS414" s="322"/>
      <c r="AT414" s="322"/>
      <c r="AU414" s="322"/>
      <c r="AV414" s="322"/>
      <c r="AW414" s="322"/>
      <c r="AX414" s="322"/>
      <c r="AY414" s="322"/>
      <c r="AZ414" s="322"/>
      <c r="BA414" s="322"/>
      <c r="BB414" s="322"/>
      <c r="BC414" s="322"/>
      <c r="BD414" s="322"/>
      <c r="BE414" s="322"/>
      <c r="BF414" s="322"/>
      <c r="BG414" s="322"/>
      <c r="BH414" s="322"/>
      <c r="BI414" s="322"/>
      <c r="BJ414" s="322"/>
      <c r="BK414" s="322"/>
      <c r="BL414" s="322"/>
      <c r="BM414" s="322"/>
      <c r="BN414" s="322"/>
      <c r="BO414" s="322"/>
      <c r="BP414" s="322"/>
      <c r="BQ414" s="322"/>
      <c r="BR414" s="322"/>
      <c r="BS414" s="322"/>
      <c r="BT414" s="322"/>
      <c r="BU414" s="322"/>
      <c r="BV414" s="322"/>
      <c r="BW414" s="322"/>
      <c r="BX414" s="322"/>
      <c r="BY414" s="322"/>
      <c r="BZ414" s="322"/>
      <c r="CA414" s="322"/>
      <c r="CB414" s="322"/>
      <c r="CC414" s="322"/>
      <c r="CD414" s="322"/>
      <c r="CE414" s="322"/>
      <c r="CF414" s="322"/>
      <c r="CG414" s="322"/>
      <c r="CH414" s="322"/>
      <c r="CI414" s="322"/>
      <c r="CJ414" s="322"/>
      <c r="CK414" s="322"/>
      <c r="CL414" s="322"/>
      <c r="CM414" s="322"/>
      <c r="CN414" s="322"/>
      <c r="CO414" s="322"/>
      <c r="CP414" s="322"/>
      <c r="CQ414" s="322"/>
      <c r="CR414" s="322"/>
      <c r="CS414" s="322"/>
      <c r="CT414" s="322"/>
      <c r="CU414" s="322"/>
      <c r="CV414" s="322"/>
      <c r="CW414" s="322"/>
      <c r="CX414" s="322"/>
      <c r="CY414" s="322"/>
    </row>
    <row r="415" spans="1:103" s="432" customFormat="1">
      <c r="A415" s="509">
        <f t="shared" si="6"/>
        <v>414</v>
      </c>
      <c r="B415" s="1332" t="s">
        <v>43</v>
      </c>
      <c r="C415" s="943" t="s">
        <v>44</v>
      </c>
      <c r="D415" s="943" t="s">
        <v>45</v>
      </c>
      <c r="E415" s="432" t="s">
        <v>5797</v>
      </c>
      <c r="F415" s="434">
        <v>6</v>
      </c>
      <c r="G415" s="434">
        <v>9847838463</v>
      </c>
      <c r="I415" s="434">
        <v>33</v>
      </c>
      <c r="J415" s="120" t="s">
        <v>48</v>
      </c>
      <c r="K415" s="434" t="s">
        <v>5405</v>
      </c>
      <c r="L415" s="434"/>
      <c r="M415" s="146" t="s">
        <v>119</v>
      </c>
      <c r="N415" s="730">
        <v>65293</v>
      </c>
      <c r="O415" s="730">
        <v>65293</v>
      </c>
      <c r="P415" s="459">
        <v>65302</v>
      </c>
      <c r="Q415" s="432" t="s">
        <v>51</v>
      </c>
      <c r="R415" s="322"/>
      <c r="S415" s="322"/>
      <c r="T415" s="322"/>
      <c r="U415" s="322"/>
      <c r="V415" s="322"/>
      <c r="W415" s="322"/>
      <c r="X415" s="322"/>
      <c r="Y415" s="322"/>
      <c r="Z415" s="322"/>
      <c r="AA415" s="322"/>
      <c r="AB415" s="322"/>
      <c r="AC415" s="322"/>
      <c r="AD415" s="322"/>
      <c r="AE415" s="322"/>
      <c r="AF415" s="322"/>
      <c r="AG415" s="322"/>
      <c r="AH415" s="322"/>
      <c r="AI415" s="322"/>
      <c r="AJ415" s="322"/>
      <c r="AK415" s="322"/>
      <c r="AL415" s="322"/>
      <c r="AM415" s="322"/>
      <c r="AN415" s="322"/>
      <c r="AO415" s="322"/>
      <c r="AP415" s="322"/>
      <c r="AQ415" s="322"/>
      <c r="AR415" s="322"/>
      <c r="AS415" s="322"/>
      <c r="AT415" s="322"/>
      <c r="AU415" s="322"/>
      <c r="AV415" s="322"/>
      <c r="AW415" s="322"/>
      <c r="AX415" s="322"/>
      <c r="AY415" s="322"/>
      <c r="AZ415" s="322"/>
      <c r="BA415" s="322"/>
      <c r="BB415" s="322"/>
      <c r="BC415" s="322"/>
      <c r="BD415" s="322"/>
      <c r="BE415" s="322"/>
      <c r="BF415" s="322"/>
      <c r="BG415" s="322"/>
      <c r="BH415" s="322"/>
      <c r="BI415" s="322"/>
      <c r="BJ415" s="322"/>
      <c r="BK415" s="322"/>
      <c r="BL415" s="322"/>
      <c r="BM415" s="322"/>
      <c r="BN415" s="322"/>
      <c r="BO415" s="322"/>
      <c r="BP415" s="322"/>
      <c r="BQ415" s="322"/>
      <c r="BR415" s="322"/>
      <c r="BS415" s="322"/>
      <c r="BT415" s="322"/>
      <c r="BU415" s="322"/>
      <c r="BV415" s="322"/>
      <c r="BW415" s="322"/>
      <c r="BX415" s="322"/>
      <c r="BY415" s="322"/>
      <c r="BZ415" s="322"/>
      <c r="CA415" s="322"/>
      <c r="CB415" s="322"/>
      <c r="CC415" s="322"/>
      <c r="CD415" s="322"/>
      <c r="CE415" s="322"/>
      <c r="CF415" s="322"/>
      <c r="CG415" s="322"/>
      <c r="CH415" s="322"/>
      <c r="CI415" s="322"/>
      <c r="CJ415" s="322"/>
      <c r="CK415" s="322"/>
      <c r="CL415" s="322"/>
      <c r="CM415" s="322"/>
      <c r="CN415" s="322"/>
      <c r="CO415" s="322"/>
      <c r="CP415" s="322"/>
      <c r="CQ415" s="322"/>
      <c r="CR415" s="322"/>
      <c r="CS415" s="322"/>
      <c r="CT415" s="322"/>
      <c r="CU415" s="322"/>
      <c r="CV415" s="322"/>
      <c r="CW415" s="322"/>
      <c r="CX415" s="322"/>
      <c r="CY415" s="322"/>
    </row>
    <row r="416" spans="1:103" s="432" customFormat="1">
      <c r="A416" s="509">
        <f t="shared" si="6"/>
        <v>415</v>
      </c>
      <c r="B416" s="1332" t="s">
        <v>43</v>
      </c>
      <c r="C416" s="943" t="s">
        <v>44</v>
      </c>
      <c r="D416" s="943" t="s">
        <v>45</v>
      </c>
      <c r="E416" s="432" t="s">
        <v>5798</v>
      </c>
      <c r="F416" s="434">
        <v>8</v>
      </c>
      <c r="G416" s="434"/>
      <c r="I416" s="434">
        <v>40</v>
      </c>
      <c r="J416" s="434" t="s">
        <v>90</v>
      </c>
      <c r="K416" s="434" t="s">
        <v>5405</v>
      </c>
      <c r="L416" s="434"/>
      <c r="M416" s="146" t="s">
        <v>119</v>
      </c>
      <c r="N416" s="730">
        <v>65293</v>
      </c>
      <c r="O416" s="730">
        <v>65293</v>
      </c>
      <c r="P416" s="459">
        <v>65302</v>
      </c>
      <c r="Q416" s="432" t="s">
        <v>51</v>
      </c>
      <c r="R416" s="322"/>
      <c r="S416" s="322"/>
      <c r="T416" s="322"/>
      <c r="U416" s="322"/>
      <c r="V416" s="322"/>
      <c r="W416" s="322"/>
      <c r="X416" s="322"/>
      <c r="Y416" s="322"/>
      <c r="Z416" s="322"/>
      <c r="AA416" s="322"/>
      <c r="AB416" s="322"/>
      <c r="AC416" s="322"/>
      <c r="AD416" s="322"/>
      <c r="AE416" s="322"/>
      <c r="AF416" s="322"/>
      <c r="AG416" s="322"/>
      <c r="AH416" s="322"/>
      <c r="AI416" s="322"/>
      <c r="AJ416" s="322"/>
      <c r="AK416" s="322"/>
      <c r="AL416" s="322"/>
      <c r="AM416" s="322"/>
      <c r="AN416" s="322"/>
      <c r="AO416" s="322"/>
      <c r="AP416" s="322"/>
      <c r="AQ416" s="322"/>
      <c r="AR416" s="322"/>
      <c r="AS416" s="322"/>
      <c r="AT416" s="322"/>
      <c r="AU416" s="322"/>
      <c r="AV416" s="322"/>
      <c r="AW416" s="322"/>
      <c r="AX416" s="322"/>
      <c r="AY416" s="322"/>
      <c r="AZ416" s="322"/>
      <c r="BA416" s="322"/>
      <c r="BB416" s="322"/>
      <c r="BC416" s="322"/>
      <c r="BD416" s="322"/>
      <c r="BE416" s="322"/>
      <c r="BF416" s="322"/>
      <c r="BG416" s="322"/>
      <c r="BH416" s="322"/>
      <c r="BI416" s="322"/>
      <c r="BJ416" s="322"/>
      <c r="BK416" s="322"/>
      <c r="BL416" s="322"/>
      <c r="BM416" s="322"/>
      <c r="BN416" s="322"/>
      <c r="BO416" s="322"/>
      <c r="BP416" s="322"/>
      <c r="BQ416" s="322"/>
      <c r="BR416" s="322"/>
      <c r="BS416" s="322"/>
      <c r="BT416" s="322"/>
      <c r="BU416" s="322"/>
      <c r="BV416" s="322"/>
      <c r="BW416" s="322"/>
      <c r="BX416" s="322"/>
      <c r="BY416" s="322"/>
      <c r="BZ416" s="322"/>
      <c r="CA416" s="322"/>
      <c r="CB416" s="322"/>
      <c r="CC416" s="322"/>
      <c r="CD416" s="322"/>
      <c r="CE416" s="322"/>
      <c r="CF416" s="322"/>
      <c r="CG416" s="322"/>
      <c r="CH416" s="322"/>
      <c r="CI416" s="322"/>
      <c r="CJ416" s="322"/>
      <c r="CK416" s="322"/>
      <c r="CL416" s="322"/>
      <c r="CM416" s="322"/>
      <c r="CN416" s="322"/>
      <c r="CO416" s="322"/>
      <c r="CP416" s="322"/>
      <c r="CQ416" s="322"/>
      <c r="CR416" s="322"/>
      <c r="CS416" s="322"/>
      <c r="CT416" s="322"/>
      <c r="CU416" s="322"/>
      <c r="CV416" s="322"/>
      <c r="CW416" s="322"/>
      <c r="CX416" s="322"/>
      <c r="CY416" s="322"/>
    </row>
    <row r="417" spans="1:103" s="432" customFormat="1">
      <c r="A417" s="509">
        <f t="shared" si="6"/>
        <v>416</v>
      </c>
      <c r="B417" s="1332" t="s">
        <v>43</v>
      </c>
      <c r="C417" s="943" t="s">
        <v>44</v>
      </c>
      <c r="D417" s="943" t="s">
        <v>45</v>
      </c>
      <c r="E417" s="432" t="s">
        <v>5799</v>
      </c>
      <c r="F417" s="434">
        <v>19</v>
      </c>
      <c r="G417" s="434">
        <v>9849662692</v>
      </c>
      <c r="I417" s="434">
        <v>34</v>
      </c>
      <c r="J417" s="120" t="s">
        <v>48</v>
      </c>
      <c r="K417" s="434" t="s">
        <v>5405</v>
      </c>
      <c r="L417" s="434"/>
      <c r="M417" s="146" t="s">
        <v>119</v>
      </c>
      <c r="N417" s="730">
        <v>65293</v>
      </c>
      <c r="O417" s="730">
        <v>65293</v>
      </c>
      <c r="P417" s="459">
        <v>65302</v>
      </c>
      <c r="Q417" s="432" t="s">
        <v>51</v>
      </c>
      <c r="R417" s="322"/>
      <c r="S417" s="322"/>
      <c r="T417" s="322"/>
      <c r="U417" s="322"/>
      <c r="V417" s="322"/>
      <c r="W417" s="322"/>
      <c r="X417" s="322"/>
      <c r="Y417" s="322"/>
      <c r="Z417" s="322"/>
      <c r="AA417" s="322"/>
      <c r="AB417" s="322"/>
      <c r="AC417" s="322"/>
      <c r="AD417" s="322"/>
      <c r="AE417" s="322"/>
      <c r="AF417" s="322"/>
      <c r="AG417" s="322"/>
      <c r="AH417" s="322"/>
      <c r="AI417" s="322"/>
      <c r="AJ417" s="322"/>
      <c r="AK417" s="322"/>
      <c r="AL417" s="322"/>
      <c r="AM417" s="322"/>
      <c r="AN417" s="322"/>
      <c r="AO417" s="322"/>
      <c r="AP417" s="322"/>
      <c r="AQ417" s="322"/>
      <c r="AR417" s="322"/>
      <c r="AS417" s="322"/>
      <c r="AT417" s="322"/>
      <c r="AU417" s="322"/>
      <c r="AV417" s="322"/>
      <c r="AW417" s="322"/>
      <c r="AX417" s="322"/>
      <c r="AY417" s="322"/>
      <c r="AZ417" s="322"/>
      <c r="BA417" s="322"/>
      <c r="BB417" s="322"/>
      <c r="BC417" s="322"/>
      <c r="BD417" s="322"/>
      <c r="BE417" s="322"/>
      <c r="BF417" s="322"/>
      <c r="BG417" s="322"/>
      <c r="BH417" s="322"/>
      <c r="BI417" s="322"/>
      <c r="BJ417" s="322"/>
      <c r="BK417" s="322"/>
      <c r="BL417" s="322"/>
      <c r="BM417" s="322"/>
      <c r="BN417" s="322"/>
      <c r="BO417" s="322"/>
      <c r="BP417" s="322"/>
      <c r="BQ417" s="322"/>
      <c r="BR417" s="322"/>
      <c r="BS417" s="322"/>
      <c r="BT417" s="322"/>
      <c r="BU417" s="322"/>
      <c r="BV417" s="322"/>
      <c r="BW417" s="322"/>
      <c r="BX417" s="322"/>
      <c r="BY417" s="322"/>
      <c r="BZ417" s="322"/>
      <c r="CA417" s="322"/>
      <c r="CB417" s="322"/>
      <c r="CC417" s="322"/>
      <c r="CD417" s="322"/>
      <c r="CE417" s="322"/>
      <c r="CF417" s="322"/>
      <c r="CG417" s="322"/>
      <c r="CH417" s="322"/>
      <c r="CI417" s="322"/>
      <c r="CJ417" s="322"/>
      <c r="CK417" s="322"/>
      <c r="CL417" s="322"/>
      <c r="CM417" s="322"/>
      <c r="CN417" s="322"/>
      <c r="CO417" s="322"/>
      <c r="CP417" s="322"/>
      <c r="CQ417" s="322"/>
      <c r="CR417" s="322"/>
      <c r="CS417" s="322"/>
      <c r="CT417" s="322"/>
      <c r="CU417" s="322"/>
      <c r="CV417" s="322"/>
      <c r="CW417" s="322"/>
      <c r="CX417" s="322"/>
      <c r="CY417" s="322"/>
    </row>
    <row r="418" spans="1:103" s="432" customFormat="1">
      <c r="A418" s="509">
        <f t="shared" si="6"/>
        <v>417</v>
      </c>
      <c r="B418" s="1332" t="s">
        <v>43</v>
      </c>
      <c r="C418" s="943" t="s">
        <v>44</v>
      </c>
      <c r="D418" s="943" t="s">
        <v>45</v>
      </c>
      <c r="E418" s="432" t="s">
        <v>5800</v>
      </c>
      <c r="F418" s="434">
        <v>10</v>
      </c>
      <c r="G418" s="434">
        <v>9866970316</v>
      </c>
      <c r="I418" s="434">
        <v>38</v>
      </c>
      <c r="J418" s="120" t="s">
        <v>48</v>
      </c>
      <c r="K418" s="434" t="s">
        <v>5405</v>
      </c>
      <c r="L418" s="434"/>
      <c r="M418" s="146" t="s">
        <v>119</v>
      </c>
      <c r="N418" s="730">
        <v>65293</v>
      </c>
      <c r="O418" s="730">
        <v>65293</v>
      </c>
      <c r="P418" s="459">
        <v>65302</v>
      </c>
      <c r="Q418" s="432" t="s">
        <v>51</v>
      </c>
      <c r="R418" s="322"/>
      <c r="S418" s="322"/>
      <c r="T418" s="322"/>
      <c r="U418" s="322"/>
      <c r="V418" s="322"/>
      <c r="W418" s="322"/>
      <c r="X418" s="322"/>
      <c r="Y418" s="322"/>
      <c r="Z418" s="322"/>
      <c r="AA418" s="322"/>
      <c r="AB418" s="322"/>
      <c r="AC418" s="322"/>
      <c r="AD418" s="322"/>
      <c r="AE418" s="322"/>
      <c r="AF418" s="322"/>
      <c r="AG418" s="322"/>
      <c r="AH418" s="322"/>
      <c r="AI418" s="322"/>
      <c r="AJ418" s="322"/>
      <c r="AK418" s="322"/>
      <c r="AL418" s="322"/>
      <c r="AM418" s="322"/>
      <c r="AN418" s="322"/>
      <c r="AO418" s="322"/>
      <c r="AP418" s="322"/>
      <c r="AQ418" s="322"/>
      <c r="AR418" s="322"/>
      <c r="AS418" s="322"/>
      <c r="AT418" s="322"/>
      <c r="AU418" s="322"/>
      <c r="AV418" s="322"/>
      <c r="AW418" s="322"/>
      <c r="AX418" s="322"/>
      <c r="AY418" s="322"/>
      <c r="AZ418" s="322"/>
      <c r="BA418" s="322"/>
      <c r="BB418" s="322"/>
      <c r="BC418" s="322"/>
      <c r="BD418" s="322"/>
      <c r="BE418" s="322"/>
      <c r="BF418" s="322"/>
      <c r="BG418" s="322"/>
      <c r="BH418" s="322"/>
      <c r="BI418" s="322"/>
      <c r="BJ418" s="322"/>
      <c r="BK418" s="322"/>
      <c r="BL418" s="322"/>
      <c r="BM418" s="322"/>
      <c r="BN418" s="322"/>
      <c r="BO418" s="322"/>
      <c r="BP418" s="322"/>
      <c r="BQ418" s="322"/>
      <c r="BR418" s="322"/>
      <c r="BS418" s="322"/>
      <c r="BT418" s="322"/>
      <c r="BU418" s="322"/>
      <c r="BV418" s="322"/>
      <c r="BW418" s="322"/>
      <c r="BX418" s="322"/>
      <c r="BY418" s="322"/>
      <c r="BZ418" s="322"/>
      <c r="CA418" s="322"/>
      <c r="CB418" s="322"/>
      <c r="CC418" s="322"/>
      <c r="CD418" s="322"/>
      <c r="CE418" s="322"/>
      <c r="CF418" s="322"/>
      <c r="CG418" s="322"/>
      <c r="CH418" s="322"/>
      <c r="CI418" s="322"/>
      <c r="CJ418" s="322"/>
      <c r="CK418" s="322"/>
      <c r="CL418" s="322"/>
      <c r="CM418" s="322"/>
      <c r="CN418" s="322"/>
      <c r="CO418" s="322"/>
      <c r="CP418" s="322"/>
      <c r="CQ418" s="322"/>
      <c r="CR418" s="322"/>
      <c r="CS418" s="322"/>
      <c r="CT418" s="322"/>
      <c r="CU418" s="322"/>
      <c r="CV418" s="322"/>
      <c r="CW418" s="322"/>
      <c r="CX418" s="322"/>
      <c r="CY418" s="322"/>
    </row>
    <row r="419" spans="1:103" s="432" customFormat="1">
      <c r="A419" s="509">
        <f t="shared" si="6"/>
        <v>418</v>
      </c>
      <c r="B419" s="1332" t="s">
        <v>43</v>
      </c>
      <c r="C419" s="943" t="s">
        <v>44</v>
      </c>
      <c r="D419" s="943" t="s">
        <v>45</v>
      </c>
      <c r="E419" s="432" t="s">
        <v>5801</v>
      </c>
      <c r="F419" s="434">
        <v>10</v>
      </c>
      <c r="G419" s="434">
        <v>9866970316</v>
      </c>
      <c r="I419" s="434">
        <v>12</v>
      </c>
      <c r="J419" s="434" t="s">
        <v>90</v>
      </c>
      <c r="K419" s="434" t="s">
        <v>5405</v>
      </c>
      <c r="L419" s="434"/>
      <c r="M419" s="146" t="s">
        <v>119</v>
      </c>
      <c r="N419" s="730">
        <v>65293</v>
      </c>
      <c r="O419" s="730">
        <v>65293</v>
      </c>
      <c r="P419" s="459">
        <v>65302</v>
      </c>
      <c r="Q419" s="432" t="s">
        <v>51</v>
      </c>
      <c r="R419" s="322"/>
      <c r="S419" s="322"/>
      <c r="T419" s="322"/>
      <c r="U419" s="322"/>
      <c r="V419" s="322"/>
      <c r="W419" s="322"/>
      <c r="X419" s="322"/>
      <c r="Y419" s="322"/>
      <c r="Z419" s="322"/>
      <c r="AA419" s="322"/>
      <c r="AB419" s="322"/>
      <c r="AC419" s="322"/>
      <c r="AD419" s="322"/>
      <c r="AE419" s="322"/>
      <c r="AF419" s="322"/>
      <c r="AG419" s="322"/>
      <c r="AH419" s="322"/>
      <c r="AI419" s="322"/>
      <c r="AJ419" s="322"/>
      <c r="AK419" s="322"/>
      <c r="AL419" s="322"/>
      <c r="AM419" s="322"/>
      <c r="AN419" s="322"/>
      <c r="AO419" s="322"/>
      <c r="AP419" s="322"/>
      <c r="AQ419" s="322"/>
      <c r="AR419" s="322"/>
      <c r="AS419" s="322"/>
      <c r="AT419" s="322"/>
      <c r="AU419" s="322"/>
      <c r="AV419" s="322"/>
      <c r="AW419" s="322"/>
      <c r="AX419" s="322"/>
      <c r="AY419" s="322"/>
      <c r="AZ419" s="322"/>
      <c r="BA419" s="322"/>
      <c r="BB419" s="322"/>
      <c r="BC419" s="322"/>
      <c r="BD419" s="322"/>
      <c r="BE419" s="322"/>
      <c r="BF419" s="322"/>
      <c r="BG419" s="322"/>
      <c r="BH419" s="322"/>
      <c r="BI419" s="322"/>
      <c r="BJ419" s="322"/>
      <c r="BK419" s="322"/>
      <c r="BL419" s="322"/>
      <c r="BM419" s="322"/>
      <c r="BN419" s="322"/>
      <c r="BO419" s="322"/>
      <c r="BP419" s="322"/>
      <c r="BQ419" s="322"/>
      <c r="BR419" s="322"/>
      <c r="BS419" s="322"/>
      <c r="BT419" s="322"/>
      <c r="BU419" s="322"/>
      <c r="BV419" s="322"/>
      <c r="BW419" s="322"/>
      <c r="BX419" s="322"/>
      <c r="BY419" s="322"/>
      <c r="BZ419" s="322"/>
      <c r="CA419" s="322"/>
      <c r="CB419" s="322"/>
      <c r="CC419" s="322"/>
      <c r="CD419" s="322"/>
      <c r="CE419" s="322"/>
      <c r="CF419" s="322"/>
      <c r="CG419" s="322"/>
      <c r="CH419" s="322"/>
      <c r="CI419" s="322"/>
      <c r="CJ419" s="322"/>
      <c r="CK419" s="322"/>
      <c r="CL419" s="322"/>
      <c r="CM419" s="322"/>
      <c r="CN419" s="322"/>
      <c r="CO419" s="322"/>
      <c r="CP419" s="322"/>
      <c r="CQ419" s="322"/>
      <c r="CR419" s="322"/>
      <c r="CS419" s="322"/>
      <c r="CT419" s="322"/>
      <c r="CU419" s="322"/>
      <c r="CV419" s="322"/>
      <c r="CW419" s="322"/>
      <c r="CX419" s="322"/>
      <c r="CY419" s="322"/>
    </row>
    <row r="420" spans="1:103" s="432" customFormat="1">
      <c r="A420" s="509">
        <f t="shared" si="6"/>
        <v>419</v>
      </c>
      <c r="B420" s="1332" t="s">
        <v>43</v>
      </c>
      <c r="C420" s="943" t="s">
        <v>44</v>
      </c>
      <c r="D420" s="943" t="s">
        <v>45</v>
      </c>
      <c r="E420" s="432" t="s">
        <v>5802</v>
      </c>
      <c r="F420" s="434">
        <v>5</v>
      </c>
      <c r="G420" s="434">
        <v>9847864772</v>
      </c>
      <c r="I420" s="434">
        <v>50</v>
      </c>
      <c r="J420" s="434" t="s">
        <v>90</v>
      </c>
      <c r="K420" s="434" t="s">
        <v>5405</v>
      </c>
      <c r="L420" s="434"/>
      <c r="M420" s="146" t="s">
        <v>119</v>
      </c>
      <c r="N420" s="730">
        <v>65293</v>
      </c>
      <c r="O420" s="730">
        <v>65293</v>
      </c>
      <c r="P420" s="459">
        <v>65302</v>
      </c>
      <c r="Q420" s="432" t="s">
        <v>51</v>
      </c>
      <c r="R420" s="322"/>
      <c r="S420" s="322"/>
      <c r="T420" s="322"/>
      <c r="U420" s="322"/>
      <c r="V420" s="322"/>
      <c r="W420" s="322"/>
      <c r="X420" s="322"/>
      <c r="Y420" s="322"/>
      <c r="Z420" s="322"/>
      <c r="AA420" s="322"/>
      <c r="AB420" s="322"/>
      <c r="AC420" s="322"/>
      <c r="AD420" s="322"/>
      <c r="AE420" s="322"/>
      <c r="AF420" s="322"/>
      <c r="AG420" s="322"/>
      <c r="AH420" s="322"/>
      <c r="AI420" s="322"/>
      <c r="AJ420" s="322"/>
      <c r="AK420" s="322"/>
      <c r="AL420" s="322"/>
      <c r="AM420" s="322"/>
      <c r="AN420" s="322"/>
      <c r="AO420" s="322"/>
      <c r="AP420" s="322"/>
      <c r="AQ420" s="322"/>
      <c r="AR420" s="322"/>
      <c r="AS420" s="322"/>
      <c r="AT420" s="322"/>
      <c r="AU420" s="322"/>
      <c r="AV420" s="322"/>
      <c r="AW420" s="322"/>
      <c r="AX420" s="322"/>
      <c r="AY420" s="322"/>
      <c r="AZ420" s="322"/>
      <c r="BA420" s="322"/>
      <c r="BB420" s="322"/>
      <c r="BC420" s="322"/>
      <c r="BD420" s="322"/>
      <c r="BE420" s="322"/>
      <c r="BF420" s="322"/>
      <c r="BG420" s="322"/>
      <c r="BH420" s="322"/>
      <c r="BI420" s="322"/>
      <c r="BJ420" s="322"/>
      <c r="BK420" s="322"/>
      <c r="BL420" s="322"/>
      <c r="BM420" s="322"/>
      <c r="BN420" s="322"/>
      <c r="BO420" s="322"/>
      <c r="BP420" s="322"/>
      <c r="BQ420" s="322"/>
      <c r="BR420" s="322"/>
      <c r="BS420" s="322"/>
      <c r="BT420" s="322"/>
      <c r="BU420" s="322"/>
      <c r="BV420" s="322"/>
      <c r="BW420" s="322"/>
      <c r="BX420" s="322"/>
      <c r="BY420" s="322"/>
      <c r="BZ420" s="322"/>
      <c r="CA420" s="322"/>
      <c r="CB420" s="322"/>
      <c r="CC420" s="322"/>
      <c r="CD420" s="322"/>
      <c r="CE420" s="322"/>
      <c r="CF420" s="322"/>
      <c r="CG420" s="322"/>
      <c r="CH420" s="322"/>
      <c r="CI420" s="322"/>
      <c r="CJ420" s="322"/>
      <c r="CK420" s="322"/>
      <c r="CL420" s="322"/>
      <c r="CM420" s="322"/>
      <c r="CN420" s="322"/>
      <c r="CO420" s="322"/>
      <c r="CP420" s="322"/>
      <c r="CQ420" s="322"/>
      <c r="CR420" s="322"/>
      <c r="CS420" s="322"/>
      <c r="CT420" s="322"/>
      <c r="CU420" s="322"/>
      <c r="CV420" s="322"/>
      <c r="CW420" s="322"/>
      <c r="CX420" s="322"/>
      <c r="CY420" s="322"/>
    </row>
    <row r="421" spans="1:103" s="432" customFormat="1">
      <c r="A421" s="509">
        <f t="shared" si="6"/>
        <v>420</v>
      </c>
      <c r="B421" s="1332" t="s">
        <v>43</v>
      </c>
      <c r="C421" s="943" t="s">
        <v>44</v>
      </c>
      <c r="D421" s="943" t="s">
        <v>45</v>
      </c>
      <c r="E421" s="432" t="s">
        <v>5805</v>
      </c>
      <c r="F421" s="434">
        <v>6</v>
      </c>
      <c r="G421" s="434">
        <v>9848371265</v>
      </c>
      <c r="I421" s="434">
        <v>27</v>
      </c>
      <c r="J421" s="434" t="s">
        <v>90</v>
      </c>
      <c r="K421" s="434" t="s">
        <v>5405</v>
      </c>
      <c r="L421" s="434"/>
      <c r="M421" s="146" t="s">
        <v>119</v>
      </c>
      <c r="N421" s="730">
        <v>65293</v>
      </c>
      <c r="O421" s="730">
        <v>65293</v>
      </c>
      <c r="P421" s="459">
        <v>65302</v>
      </c>
      <c r="Q421" s="432" t="s">
        <v>51</v>
      </c>
      <c r="R421" s="322"/>
      <c r="S421" s="322"/>
      <c r="T421" s="322"/>
      <c r="U421" s="322"/>
      <c r="V421" s="322"/>
      <c r="W421" s="322"/>
      <c r="X421" s="322"/>
      <c r="Y421" s="322"/>
      <c r="Z421" s="322"/>
      <c r="AA421" s="322"/>
      <c r="AB421" s="322"/>
      <c r="AC421" s="322"/>
      <c r="AD421" s="322"/>
      <c r="AE421" s="322"/>
      <c r="AF421" s="322"/>
      <c r="AG421" s="322"/>
      <c r="AH421" s="322"/>
      <c r="AI421" s="322"/>
      <c r="AJ421" s="322"/>
      <c r="AK421" s="322"/>
      <c r="AL421" s="322"/>
      <c r="AM421" s="322"/>
      <c r="AN421" s="322"/>
      <c r="AO421" s="322"/>
      <c r="AP421" s="322"/>
      <c r="AQ421" s="322"/>
      <c r="AR421" s="322"/>
      <c r="AS421" s="322"/>
      <c r="AT421" s="322"/>
      <c r="AU421" s="322"/>
      <c r="AV421" s="322"/>
      <c r="AW421" s="322"/>
      <c r="AX421" s="322"/>
      <c r="AY421" s="322"/>
      <c r="AZ421" s="322"/>
      <c r="BA421" s="322"/>
      <c r="BB421" s="322"/>
      <c r="BC421" s="322"/>
      <c r="BD421" s="322"/>
      <c r="BE421" s="322"/>
      <c r="BF421" s="322"/>
      <c r="BG421" s="322"/>
      <c r="BH421" s="322"/>
      <c r="BI421" s="322"/>
      <c r="BJ421" s="322"/>
      <c r="BK421" s="322"/>
      <c r="BL421" s="322"/>
      <c r="BM421" s="322"/>
      <c r="BN421" s="322"/>
      <c r="BO421" s="322"/>
      <c r="BP421" s="322"/>
      <c r="BQ421" s="322"/>
      <c r="BR421" s="322"/>
      <c r="BS421" s="322"/>
      <c r="BT421" s="322"/>
      <c r="BU421" s="322"/>
      <c r="BV421" s="322"/>
      <c r="BW421" s="322"/>
      <c r="BX421" s="322"/>
      <c r="BY421" s="322"/>
      <c r="BZ421" s="322"/>
      <c r="CA421" s="322"/>
      <c r="CB421" s="322"/>
      <c r="CC421" s="322"/>
      <c r="CD421" s="322"/>
      <c r="CE421" s="322"/>
      <c r="CF421" s="322"/>
      <c r="CG421" s="322"/>
      <c r="CH421" s="322"/>
      <c r="CI421" s="322"/>
      <c r="CJ421" s="322"/>
      <c r="CK421" s="322"/>
      <c r="CL421" s="322"/>
      <c r="CM421" s="322"/>
      <c r="CN421" s="322"/>
      <c r="CO421" s="322"/>
      <c r="CP421" s="322"/>
      <c r="CQ421" s="322"/>
      <c r="CR421" s="322"/>
      <c r="CS421" s="322"/>
      <c r="CT421" s="322"/>
      <c r="CU421" s="322"/>
      <c r="CV421" s="322"/>
      <c r="CW421" s="322"/>
      <c r="CX421" s="322"/>
      <c r="CY421" s="322"/>
    </row>
    <row r="422" spans="1:103" s="432" customFormat="1">
      <c r="A422" s="509">
        <f t="shared" si="6"/>
        <v>421</v>
      </c>
      <c r="B422" s="1332" t="s">
        <v>43</v>
      </c>
      <c r="C422" s="943" t="s">
        <v>44</v>
      </c>
      <c r="D422" s="943" t="s">
        <v>45</v>
      </c>
      <c r="E422" s="432" t="s">
        <v>5803</v>
      </c>
      <c r="F422" s="434">
        <v>9</v>
      </c>
      <c r="G422" s="434">
        <v>9844965574</v>
      </c>
      <c r="I422" s="434">
        <v>30</v>
      </c>
      <c r="J422" s="120" t="s">
        <v>48</v>
      </c>
      <c r="K422" s="434" t="s">
        <v>5405</v>
      </c>
      <c r="L422" s="434"/>
      <c r="M422" s="146" t="s">
        <v>119</v>
      </c>
      <c r="N422" s="730">
        <v>65293</v>
      </c>
      <c r="O422" s="730">
        <v>65293</v>
      </c>
      <c r="P422" s="459">
        <v>65302</v>
      </c>
      <c r="Q422" s="432" t="s">
        <v>51</v>
      </c>
      <c r="R422" s="322"/>
      <c r="S422" s="322"/>
      <c r="T422" s="322"/>
      <c r="U422" s="322"/>
      <c r="V422" s="322"/>
      <c r="W422" s="322"/>
      <c r="X422" s="322"/>
      <c r="Y422" s="322"/>
      <c r="Z422" s="322"/>
      <c r="AA422" s="322"/>
      <c r="AB422" s="322"/>
      <c r="AC422" s="322"/>
      <c r="AD422" s="322"/>
      <c r="AE422" s="322"/>
      <c r="AF422" s="322"/>
      <c r="AG422" s="322"/>
      <c r="AH422" s="322"/>
      <c r="AI422" s="322"/>
      <c r="AJ422" s="322"/>
      <c r="AK422" s="322"/>
      <c r="AL422" s="322"/>
      <c r="AM422" s="322"/>
      <c r="AN422" s="322"/>
      <c r="AO422" s="322"/>
      <c r="AP422" s="322"/>
      <c r="AQ422" s="322"/>
      <c r="AR422" s="322"/>
      <c r="AS422" s="322"/>
      <c r="AT422" s="322"/>
      <c r="AU422" s="322"/>
      <c r="AV422" s="322"/>
      <c r="AW422" s="322"/>
      <c r="AX422" s="322"/>
      <c r="AY422" s="322"/>
      <c r="AZ422" s="322"/>
      <c r="BA422" s="322"/>
      <c r="BB422" s="322"/>
      <c r="BC422" s="322"/>
      <c r="BD422" s="322"/>
      <c r="BE422" s="322"/>
      <c r="BF422" s="322"/>
      <c r="BG422" s="322"/>
      <c r="BH422" s="322"/>
      <c r="BI422" s="322"/>
      <c r="BJ422" s="322"/>
      <c r="BK422" s="322"/>
      <c r="BL422" s="322"/>
      <c r="BM422" s="322"/>
      <c r="BN422" s="322"/>
      <c r="BO422" s="322"/>
      <c r="BP422" s="322"/>
      <c r="BQ422" s="322"/>
      <c r="BR422" s="322"/>
      <c r="BS422" s="322"/>
      <c r="BT422" s="322"/>
      <c r="BU422" s="322"/>
      <c r="BV422" s="322"/>
      <c r="BW422" s="322"/>
      <c r="BX422" s="322"/>
      <c r="BY422" s="322"/>
      <c r="BZ422" s="322"/>
      <c r="CA422" s="322"/>
      <c r="CB422" s="322"/>
      <c r="CC422" s="322"/>
      <c r="CD422" s="322"/>
      <c r="CE422" s="322"/>
      <c r="CF422" s="322"/>
      <c r="CG422" s="322"/>
      <c r="CH422" s="322"/>
      <c r="CI422" s="322"/>
      <c r="CJ422" s="322"/>
      <c r="CK422" s="322"/>
      <c r="CL422" s="322"/>
      <c r="CM422" s="322"/>
      <c r="CN422" s="322"/>
      <c r="CO422" s="322"/>
      <c r="CP422" s="322"/>
      <c r="CQ422" s="322"/>
      <c r="CR422" s="322"/>
      <c r="CS422" s="322"/>
      <c r="CT422" s="322"/>
      <c r="CU422" s="322"/>
      <c r="CV422" s="322"/>
      <c r="CW422" s="322"/>
      <c r="CX422" s="322"/>
      <c r="CY422" s="322"/>
    </row>
    <row r="423" spans="1:103" s="432" customFormat="1">
      <c r="A423" s="509">
        <f t="shared" si="6"/>
        <v>422</v>
      </c>
      <c r="B423" s="1332" t="s">
        <v>43</v>
      </c>
      <c r="C423" s="943" t="s">
        <v>44</v>
      </c>
      <c r="D423" s="943" t="s">
        <v>45</v>
      </c>
      <c r="E423" s="432" t="s">
        <v>5804</v>
      </c>
      <c r="F423" s="434">
        <v>5</v>
      </c>
      <c r="G423" s="434">
        <v>9809541554</v>
      </c>
      <c r="I423" s="434">
        <v>18</v>
      </c>
      <c r="J423" s="120" t="s">
        <v>48</v>
      </c>
      <c r="K423" s="434" t="s">
        <v>5405</v>
      </c>
      <c r="L423" s="434"/>
      <c r="M423" s="146" t="s">
        <v>119</v>
      </c>
      <c r="N423" s="730">
        <v>65293</v>
      </c>
      <c r="O423" s="730">
        <v>65293</v>
      </c>
      <c r="P423" s="459">
        <v>65302</v>
      </c>
      <c r="Q423" s="432" t="s">
        <v>51</v>
      </c>
      <c r="R423" s="322"/>
      <c r="S423" s="322"/>
      <c r="T423" s="322"/>
      <c r="U423" s="322"/>
      <c r="V423" s="322"/>
      <c r="W423" s="322"/>
      <c r="X423" s="322"/>
      <c r="Y423" s="322"/>
      <c r="Z423" s="322"/>
      <c r="AA423" s="322"/>
      <c r="AB423" s="322"/>
      <c r="AC423" s="322"/>
      <c r="AD423" s="322"/>
      <c r="AE423" s="322"/>
      <c r="AF423" s="322"/>
      <c r="AG423" s="322"/>
      <c r="AH423" s="322"/>
      <c r="AI423" s="322"/>
      <c r="AJ423" s="322"/>
      <c r="AK423" s="322"/>
      <c r="AL423" s="322"/>
      <c r="AM423" s="322"/>
      <c r="AN423" s="322"/>
      <c r="AO423" s="322"/>
      <c r="AP423" s="322"/>
      <c r="AQ423" s="322"/>
      <c r="AR423" s="322"/>
      <c r="AS423" s="322"/>
      <c r="AT423" s="322"/>
      <c r="AU423" s="322"/>
      <c r="AV423" s="322"/>
      <c r="AW423" s="322"/>
      <c r="AX423" s="322"/>
      <c r="AY423" s="322"/>
      <c r="AZ423" s="322"/>
      <c r="BA423" s="322"/>
      <c r="BB423" s="322"/>
      <c r="BC423" s="322"/>
      <c r="BD423" s="322"/>
      <c r="BE423" s="322"/>
      <c r="BF423" s="322"/>
      <c r="BG423" s="322"/>
      <c r="BH423" s="322"/>
      <c r="BI423" s="322"/>
      <c r="BJ423" s="322"/>
      <c r="BK423" s="322"/>
      <c r="BL423" s="322"/>
      <c r="BM423" s="322"/>
      <c r="BN423" s="322"/>
      <c r="BO423" s="322"/>
      <c r="BP423" s="322"/>
      <c r="BQ423" s="322"/>
      <c r="BR423" s="322"/>
      <c r="BS423" s="322"/>
      <c r="BT423" s="322"/>
      <c r="BU423" s="322"/>
      <c r="BV423" s="322"/>
      <c r="BW423" s="322"/>
      <c r="BX423" s="322"/>
      <c r="BY423" s="322"/>
      <c r="BZ423" s="322"/>
      <c r="CA423" s="322"/>
      <c r="CB423" s="322"/>
      <c r="CC423" s="322"/>
      <c r="CD423" s="322"/>
      <c r="CE423" s="322"/>
      <c r="CF423" s="322"/>
      <c r="CG423" s="322"/>
      <c r="CH423" s="322"/>
      <c r="CI423" s="322"/>
      <c r="CJ423" s="322"/>
      <c r="CK423" s="322"/>
      <c r="CL423" s="322"/>
      <c r="CM423" s="322"/>
      <c r="CN423" s="322"/>
      <c r="CO423" s="322"/>
      <c r="CP423" s="322"/>
      <c r="CQ423" s="322"/>
      <c r="CR423" s="322"/>
      <c r="CS423" s="322"/>
      <c r="CT423" s="322"/>
      <c r="CU423" s="322"/>
      <c r="CV423" s="322"/>
      <c r="CW423" s="322"/>
      <c r="CX423" s="322"/>
      <c r="CY423" s="322"/>
    </row>
    <row r="424" spans="1:103" s="432" customFormat="1">
      <c r="A424" s="509">
        <f t="shared" si="6"/>
        <v>423</v>
      </c>
      <c r="B424" s="1332" t="s">
        <v>43</v>
      </c>
      <c r="C424" s="943" t="s">
        <v>44</v>
      </c>
      <c r="D424" s="943" t="s">
        <v>45</v>
      </c>
      <c r="E424" s="432" t="s">
        <v>5806</v>
      </c>
      <c r="F424" s="434">
        <v>18</v>
      </c>
      <c r="G424" s="434">
        <v>9847824824</v>
      </c>
      <c r="I424" s="434">
        <v>67</v>
      </c>
      <c r="J424" s="120" t="s">
        <v>48</v>
      </c>
      <c r="K424" s="434" t="s">
        <v>5405</v>
      </c>
      <c r="L424" s="434"/>
      <c r="M424" s="434" t="s">
        <v>1764</v>
      </c>
      <c r="N424" s="730">
        <v>65294</v>
      </c>
      <c r="O424" s="730">
        <v>65294</v>
      </c>
      <c r="P424" s="459">
        <v>65302</v>
      </c>
      <c r="Q424" s="432" t="s">
        <v>51</v>
      </c>
      <c r="R424" s="322"/>
      <c r="S424" s="322"/>
      <c r="T424" s="322"/>
      <c r="U424" s="322"/>
      <c r="V424" s="322"/>
      <c r="W424" s="322"/>
      <c r="X424" s="322"/>
      <c r="Y424" s="322"/>
      <c r="Z424" s="322"/>
      <c r="AA424" s="322"/>
      <c r="AB424" s="322"/>
      <c r="AC424" s="322"/>
      <c r="AD424" s="322"/>
      <c r="AE424" s="322"/>
      <c r="AF424" s="322"/>
      <c r="AG424" s="322"/>
      <c r="AH424" s="322"/>
      <c r="AI424" s="322"/>
      <c r="AJ424" s="322"/>
      <c r="AK424" s="322"/>
      <c r="AL424" s="322"/>
      <c r="AM424" s="322"/>
      <c r="AN424" s="322"/>
      <c r="AO424" s="322"/>
      <c r="AP424" s="322"/>
      <c r="AQ424" s="322"/>
      <c r="AR424" s="322"/>
      <c r="AS424" s="322"/>
      <c r="AT424" s="322"/>
      <c r="AU424" s="322"/>
      <c r="AV424" s="322"/>
      <c r="AW424" s="322"/>
      <c r="AX424" s="322"/>
      <c r="AY424" s="322"/>
      <c r="AZ424" s="322"/>
      <c r="BA424" s="322"/>
      <c r="BB424" s="322"/>
      <c r="BC424" s="322"/>
      <c r="BD424" s="322"/>
      <c r="BE424" s="322"/>
      <c r="BF424" s="322"/>
      <c r="BG424" s="322"/>
      <c r="BH424" s="322"/>
      <c r="BI424" s="322"/>
      <c r="BJ424" s="322"/>
      <c r="BK424" s="322"/>
      <c r="BL424" s="322"/>
      <c r="BM424" s="322"/>
      <c r="BN424" s="322"/>
      <c r="BO424" s="322"/>
      <c r="BP424" s="322"/>
      <c r="BQ424" s="322"/>
      <c r="BR424" s="322"/>
      <c r="BS424" s="322"/>
      <c r="BT424" s="322"/>
      <c r="BU424" s="322"/>
      <c r="BV424" s="322"/>
      <c r="BW424" s="322"/>
      <c r="BX424" s="322"/>
      <c r="BY424" s="322"/>
      <c r="BZ424" s="322"/>
      <c r="CA424" s="322"/>
      <c r="CB424" s="322"/>
      <c r="CC424" s="322"/>
      <c r="CD424" s="322"/>
      <c r="CE424" s="322"/>
      <c r="CF424" s="322"/>
      <c r="CG424" s="322"/>
      <c r="CH424" s="322"/>
      <c r="CI424" s="322"/>
      <c r="CJ424" s="322"/>
      <c r="CK424" s="322"/>
      <c r="CL424" s="322"/>
      <c r="CM424" s="322"/>
      <c r="CN424" s="322"/>
      <c r="CO424" s="322"/>
      <c r="CP424" s="322"/>
      <c r="CQ424" s="322"/>
      <c r="CR424" s="322"/>
      <c r="CS424" s="322"/>
      <c r="CT424" s="322"/>
      <c r="CU424" s="322"/>
      <c r="CV424" s="322"/>
      <c r="CW424" s="322"/>
      <c r="CX424" s="322"/>
      <c r="CY424" s="322"/>
    </row>
    <row r="425" spans="1:103" s="432" customFormat="1">
      <c r="A425" s="509">
        <f t="shared" si="6"/>
        <v>424</v>
      </c>
      <c r="B425" s="1332" t="s">
        <v>43</v>
      </c>
      <c r="C425" s="943" t="s">
        <v>44</v>
      </c>
      <c r="D425" s="943" t="s">
        <v>45</v>
      </c>
      <c r="E425" s="432" t="s">
        <v>5807</v>
      </c>
      <c r="F425" s="434">
        <v>5</v>
      </c>
      <c r="G425" s="434">
        <v>9848925072</v>
      </c>
      <c r="I425" s="434">
        <v>30</v>
      </c>
      <c r="J425" s="120" t="s">
        <v>48</v>
      </c>
      <c r="K425" s="434" t="s">
        <v>5405</v>
      </c>
      <c r="L425" s="434"/>
      <c r="M425" s="434" t="s">
        <v>1764</v>
      </c>
      <c r="N425" s="730">
        <v>65294</v>
      </c>
      <c r="O425" s="730">
        <v>65294</v>
      </c>
      <c r="P425" s="459">
        <v>65302</v>
      </c>
      <c r="Q425" s="432" t="s">
        <v>51</v>
      </c>
      <c r="R425" s="322"/>
      <c r="S425" s="322"/>
      <c r="T425" s="322"/>
      <c r="U425" s="322"/>
      <c r="V425" s="322"/>
      <c r="W425" s="322"/>
      <c r="X425" s="322"/>
      <c r="Y425" s="322"/>
      <c r="Z425" s="322"/>
      <c r="AA425" s="322"/>
      <c r="AB425" s="322"/>
      <c r="AC425" s="322"/>
      <c r="AD425" s="322"/>
      <c r="AE425" s="322"/>
      <c r="AF425" s="322"/>
      <c r="AG425" s="322"/>
      <c r="AH425" s="322"/>
      <c r="AI425" s="322"/>
      <c r="AJ425" s="322"/>
      <c r="AK425" s="322"/>
      <c r="AL425" s="322"/>
      <c r="AM425" s="322"/>
      <c r="AN425" s="322"/>
      <c r="AO425" s="322"/>
      <c r="AP425" s="322"/>
      <c r="AQ425" s="322"/>
      <c r="AR425" s="322"/>
      <c r="AS425" s="322"/>
      <c r="AT425" s="322"/>
      <c r="AU425" s="322"/>
      <c r="AV425" s="322"/>
      <c r="AW425" s="322"/>
      <c r="AX425" s="322"/>
      <c r="AY425" s="322"/>
      <c r="AZ425" s="322"/>
      <c r="BA425" s="322"/>
      <c r="BB425" s="322"/>
      <c r="BC425" s="322"/>
      <c r="BD425" s="322"/>
      <c r="BE425" s="322"/>
      <c r="BF425" s="322"/>
      <c r="BG425" s="322"/>
      <c r="BH425" s="322"/>
      <c r="BI425" s="322"/>
      <c r="BJ425" s="322"/>
      <c r="BK425" s="322"/>
      <c r="BL425" s="322"/>
      <c r="BM425" s="322"/>
      <c r="BN425" s="322"/>
      <c r="BO425" s="322"/>
      <c r="BP425" s="322"/>
      <c r="BQ425" s="322"/>
      <c r="BR425" s="322"/>
      <c r="BS425" s="322"/>
      <c r="BT425" s="322"/>
      <c r="BU425" s="322"/>
      <c r="BV425" s="322"/>
      <c r="BW425" s="322"/>
      <c r="BX425" s="322"/>
      <c r="BY425" s="322"/>
      <c r="BZ425" s="322"/>
      <c r="CA425" s="322"/>
      <c r="CB425" s="322"/>
      <c r="CC425" s="322"/>
      <c r="CD425" s="322"/>
      <c r="CE425" s="322"/>
      <c r="CF425" s="322"/>
      <c r="CG425" s="322"/>
      <c r="CH425" s="322"/>
      <c r="CI425" s="322"/>
      <c r="CJ425" s="322"/>
      <c r="CK425" s="322"/>
      <c r="CL425" s="322"/>
      <c r="CM425" s="322"/>
      <c r="CN425" s="322"/>
      <c r="CO425" s="322"/>
      <c r="CP425" s="322"/>
      <c r="CQ425" s="322"/>
      <c r="CR425" s="322"/>
      <c r="CS425" s="322"/>
      <c r="CT425" s="322"/>
      <c r="CU425" s="322"/>
      <c r="CV425" s="322"/>
      <c r="CW425" s="322"/>
      <c r="CX425" s="322"/>
      <c r="CY425" s="322"/>
    </row>
    <row r="426" spans="1:103" s="432" customFormat="1">
      <c r="A426" s="509">
        <f t="shared" si="6"/>
        <v>425</v>
      </c>
      <c r="B426" s="1332" t="s">
        <v>43</v>
      </c>
      <c r="C426" s="943" t="s">
        <v>44</v>
      </c>
      <c r="D426" s="943" t="s">
        <v>45</v>
      </c>
      <c r="E426" s="432" t="s">
        <v>5808</v>
      </c>
      <c r="F426" s="434">
        <v>11</v>
      </c>
      <c r="G426" s="434">
        <v>9845848447</v>
      </c>
      <c r="I426" s="434">
        <v>38</v>
      </c>
      <c r="J426" s="434" t="s">
        <v>90</v>
      </c>
      <c r="K426" s="434" t="s">
        <v>5405</v>
      </c>
      <c r="L426" s="434"/>
      <c r="M426" s="434" t="s">
        <v>1764</v>
      </c>
      <c r="N426" s="730">
        <v>65294</v>
      </c>
      <c r="O426" s="730">
        <v>65294</v>
      </c>
      <c r="P426" s="459">
        <v>65302</v>
      </c>
      <c r="Q426" s="432" t="s">
        <v>51</v>
      </c>
      <c r="R426" s="322"/>
      <c r="S426" s="322"/>
      <c r="T426" s="322"/>
      <c r="U426" s="322"/>
      <c r="V426" s="322"/>
      <c r="W426" s="322"/>
      <c r="X426" s="322"/>
      <c r="Y426" s="322"/>
      <c r="Z426" s="322"/>
      <c r="AA426" s="322"/>
      <c r="AB426" s="322"/>
      <c r="AC426" s="322"/>
      <c r="AD426" s="322"/>
      <c r="AE426" s="322"/>
      <c r="AF426" s="322"/>
      <c r="AG426" s="322"/>
      <c r="AH426" s="322"/>
      <c r="AI426" s="322"/>
      <c r="AJ426" s="322"/>
      <c r="AK426" s="322"/>
      <c r="AL426" s="322"/>
      <c r="AM426" s="322"/>
      <c r="AN426" s="322"/>
      <c r="AO426" s="322"/>
      <c r="AP426" s="322"/>
      <c r="AQ426" s="322"/>
      <c r="AR426" s="322"/>
      <c r="AS426" s="322"/>
      <c r="AT426" s="322"/>
      <c r="AU426" s="322"/>
      <c r="AV426" s="322"/>
      <c r="AW426" s="322"/>
      <c r="AX426" s="322"/>
      <c r="AY426" s="322"/>
      <c r="AZ426" s="322"/>
      <c r="BA426" s="322"/>
      <c r="BB426" s="322"/>
      <c r="BC426" s="322"/>
      <c r="BD426" s="322"/>
      <c r="BE426" s="322"/>
      <c r="BF426" s="322"/>
      <c r="BG426" s="322"/>
      <c r="BH426" s="322"/>
      <c r="BI426" s="322"/>
      <c r="BJ426" s="322"/>
      <c r="BK426" s="322"/>
      <c r="BL426" s="322"/>
      <c r="BM426" s="322"/>
      <c r="BN426" s="322"/>
      <c r="BO426" s="322"/>
      <c r="BP426" s="322"/>
      <c r="BQ426" s="322"/>
      <c r="BR426" s="322"/>
      <c r="BS426" s="322"/>
      <c r="BT426" s="322"/>
      <c r="BU426" s="322"/>
      <c r="BV426" s="322"/>
      <c r="BW426" s="322"/>
      <c r="BX426" s="322"/>
      <c r="BY426" s="322"/>
      <c r="BZ426" s="322"/>
      <c r="CA426" s="322"/>
      <c r="CB426" s="322"/>
      <c r="CC426" s="322"/>
      <c r="CD426" s="322"/>
      <c r="CE426" s="322"/>
      <c r="CF426" s="322"/>
      <c r="CG426" s="322"/>
      <c r="CH426" s="322"/>
      <c r="CI426" s="322"/>
      <c r="CJ426" s="322"/>
      <c r="CK426" s="322"/>
      <c r="CL426" s="322"/>
      <c r="CM426" s="322"/>
      <c r="CN426" s="322"/>
      <c r="CO426" s="322"/>
      <c r="CP426" s="322"/>
      <c r="CQ426" s="322"/>
      <c r="CR426" s="322"/>
      <c r="CS426" s="322"/>
      <c r="CT426" s="322"/>
      <c r="CU426" s="322"/>
      <c r="CV426" s="322"/>
      <c r="CW426" s="322"/>
      <c r="CX426" s="322"/>
      <c r="CY426" s="322"/>
    </row>
    <row r="427" spans="1:103" s="432" customFormat="1">
      <c r="A427" s="509">
        <f t="shared" si="6"/>
        <v>426</v>
      </c>
      <c r="B427" s="1332" t="s">
        <v>43</v>
      </c>
      <c r="C427" s="943" t="s">
        <v>44</v>
      </c>
      <c r="D427" s="943" t="s">
        <v>45</v>
      </c>
      <c r="E427" s="432" t="s">
        <v>5809</v>
      </c>
      <c r="F427" s="434">
        <v>3</v>
      </c>
      <c r="G427" s="434">
        <v>9847651531</v>
      </c>
      <c r="I427" s="434">
        <v>36</v>
      </c>
      <c r="J427" s="120" t="s">
        <v>48</v>
      </c>
      <c r="K427" s="434" t="s">
        <v>5405</v>
      </c>
      <c r="L427" s="434"/>
      <c r="M427" s="434" t="s">
        <v>1764</v>
      </c>
      <c r="N427" s="730">
        <v>65294</v>
      </c>
      <c r="O427" s="730">
        <v>65294</v>
      </c>
      <c r="P427" s="459">
        <v>65302</v>
      </c>
      <c r="Q427" s="432" t="s">
        <v>51</v>
      </c>
      <c r="R427" s="322"/>
      <c r="S427" s="322"/>
      <c r="T427" s="322"/>
      <c r="U427" s="322"/>
      <c r="V427" s="322"/>
      <c r="W427" s="322"/>
      <c r="X427" s="322"/>
      <c r="Y427" s="322"/>
      <c r="Z427" s="322"/>
      <c r="AA427" s="322"/>
      <c r="AB427" s="322"/>
      <c r="AC427" s="322"/>
      <c r="AD427" s="322"/>
      <c r="AE427" s="322"/>
      <c r="AF427" s="322"/>
      <c r="AG427" s="322"/>
      <c r="AH427" s="322"/>
      <c r="AI427" s="322"/>
      <c r="AJ427" s="322"/>
      <c r="AK427" s="322"/>
      <c r="AL427" s="322"/>
      <c r="AM427" s="322"/>
      <c r="AN427" s="322"/>
      <c r="AO427" s="322"/>
      <c r="AP427" s="322"/>
      <c r="AQ427" s="322"/>
      <c r="AR427" s="322"/>
      <c r="AS427" s="322"/>
      <c r="AT427" s="322"/>
      <c r="AU427" s="322"/>
      <c r="AV427" s="322"/>
      <c r="AW427" s="322"/>
      <c r="AX427" s="322"/>
      <c r="AY427" s="322"/>
      <c r="AZ427" s="322"/>
      <c r="BA427" s="322"/>
      <c r="BB427" s="322"/>
      <c r="BC427" s="322"/>
      <c r="BD427" s="322"/>
      <c r="BE427" s="322"/>
      <c r="BF427" s="322"/>
      <c r="BG427" s="322"/>
      <c r="BH427" s="322"/>
      <c r="BI427" s="322"/>
      <c r="BJ427" s="322"/>
      <c r="BK427" s="322"/>
      <c r="BL427" s="322"/>
      <c r="BM427" s="322"/>
      <c r="BN427" s="322"/>
      <c r="BO427" s="322"/>
      <c r="BP427" s="322"/>
      <c r="BQ427" s="322"/>
      <c r="BR427" s="322"/>
      <c r="BS427" s="322"/>
      <c r="BT427" s="322"/>
      <c r="BU427" s="322"/>
      <c r="BV427" s="322"/>
      <c r="BW427" s="322"/>
      <c r="BX427" s="322"/>
      <c r="BY427" s="322"/>
      <c r="BZ427" s="322"/>
      <c r="CA427" s="322"/>
      <c r="CB427" s="322"/>
      <c r="CC427" s="322"/>
      <c r="CD427" s="322"/>
      <c r="CE427" s="322"/>
      <c r="CF427" s="322"/>
      <c r="CG427" s="322"/>
      <c r="CH427" s="322"/>
      <c r="CI427" s="322"/>
      <c r="CJ427" s="322"/>
      <c r="CK427" s="322"/>
      <c r="CL427" s="322"/>
      <c r="CM427" s="322"/>
      <c r="CN427" s="322"/>
      <c r="CO427" s="322"/>
      <c r="CP427" s="322"/>
      <c r="CQ427" s="322"/>
      <c r="CR427" s="322"/>
      <c r="CS427" s="322"/>
      <c r="CT427" s="322"/>
      <c r="CU427" s="322"/>
      <c r="CV427" s="322"/>
      <c r="CW427" s="322"/>
      <c r="CX427" s="322"/>
      <c r="CY427" s="322"/>
    </row>
    <row r="428" spans="1:103" s="432" customFormat="1">
      <c r="A428" s="509">
        <f t="shared" si="6"/>
        <v>427</v>
      </c>
      <c r="B428" s="1332" t="s">
        <v>43</v>
      </c>
      <c r="C428" s="943" t="s">
        <v>44</v>
      </c>
      <c r="D428" s="943" t="s">
        <v>45</v>
      </c>
      <c r="E428" s="432" t="s">
        <v>5810</v>
      </c>
      <c r="F428" s="434">
        <v>5</v>
      </c>
      <c r="G428" s="434">
        <v>9822827112</v>
      </c>
      <c r="I428" s="434">
        <v>50</v>
      </c>
      <c r="J428" s="434" t="s">
        <v>90</v>
      </c>
      <c r="K428" s="434" t="s">
        <v>5405</v>
      </c>
      <c r="L428" s="434"/>
      <c r="M428" s="434" t="s">
        <v>1764</v>
      </c>
      <c r="N428" s="730">
        <v>65294</v>
      </c>
      <c r="O428" s="730">
        <v>65294</v>
      </c>
      <c r="P428" s="459">
        <v>65302</v>
      </c>
      <c r="Q428" s="432" t="s">
        <v>51</v>
      </c>
      <c r="R428" s="322"/>
      <c r="S428" s="322"/>
      <c r="T428" s="322"/>
      <c r="U428" s="322"/>
      <c r="V428" s="322"/>
      <c r="W428" s="322"/>
      <c r="X428" s="322"/>
      <c r="Y428" s="322"/>
      <c r="Z428" s="322"/>
      <c r="AA428" s="322"/>
      <c r="AB428" s="322"/>
      <c r="AC428" s="322"/>
      <c r="AD428" s="322"/>
      <c r="AE428" s="322"/>
      <c r="AF428" s="322"/>
      <c r="AG428" s="322"/>
      <c r="AH428" s="322"/>
      <c r="AI428" s="322"/>
      <c r="AJ428" s="322"/>
      <c r="AK428" s="322"/>
      <c r="AL428" s="322"/>
      <c r="AM428" s="322"/>
      <c r="AN428" s="322"/>
      <c r="AO428" s="322"/>
      <c r="AP428" s="322"/>
      <c r="AQ428" s="322"/>
      <c r="AR428" s="322"/>
      <c r="AS428" s="322"/>
      <c r="AT428" s="322"/>
      <c r="AU428" s="322"/>
      <c r="AV428" s="322"/>
      <c r="AW428" s="322"/>
      <c r="AX428" s="322"/>
      <c r="AY428" s="322"/>
      <c r="AZ428" s="322"/>
      <c r="BA428" s="322"/>
      <c r="BB428" s="322"/>
      <c r="BC428" s="322"/>
      <c r="BD428" s="322"/>
      <c r="BE428" s="322"/>
      <c r="BF428" s="322"/>
      <c r="BG428" s="322"/>
      <c r="BH428" s="322"/>
      <c r="BI428" s="322"/>
      <c r="BJ428" s="322"/>
      <c r="BK428" s="322"/>
      <c r="BL428" s="322"/>
      <c r="BM428" s="322"/>
      <c r="BN428" s="322"/>
      <c r="BO428" s="322"/>
      <c r="BP428" s="322"/>
      <c r="BQ428" s="322"/>
      <c r="BR428" s="322"/>
      <c r="BS428" s="322"/>
      <c r="BT428" s="322"/>
      <c r="BU428" s="322"/>
      <c r="BV428" s="322"/>
      <c r="BW428" s="322"/>
      <c r="BX428" s="322"/>
      <c r="BY428" s="322"/>
      <c r="BZ428" s="322"/>
      <c r="CA428" s="322"/>
      <c r="CB428" s="322"/>
      <c r="CC428" s="322"/>
      <c r="CD428" s="322"/>
      <c r="CE428" s="322"/>
      <c r="CF428" s="322"/>
      <c r="CG428" s="322"/>
      <c r="CH428" s="322"/>
      <c r="CI428" s="322"/>
      <c r="CJ428" s="322"/>
      <c r="CK428" s="322"/>
      <c r="CL428" s="322"/>
      <c r="CM428" s="322"/>
      <c r="CN428" s="322"/>
      <c r="CO428" s="322"/>
      <c r="CP428" s="322"/>
      <c r="CQ428" s="322"/>
      <c r="CR428" s="322"/>
      <c r="CS428" s="322"/>
      <c r="CT428" s="322"/>
      <c r="CU428" s="322"/>
      <c r="CV428" s="322"/>
      <c r="CW428" s="322"/>
      <c r="CX428" s="322"/>
      <c r="CY428" s="322"/>
    </row>
    <row r="429" spans="1:103" s="432" customFormat="1">
      <c r="A429" s="509">
        <f t="shared" si="6"/>
        <v>428</v>
      </c>
      <c r="B429" s="1332" t="s">
        <v>43</v>
      </c>
      <c r="C429" s="943" t="s">
        <v>44</v>
      </c>
      <c r="D429" s="943" t="s">
        <v>45</v>
      </c>
      <c r="E429" s="432" t="s">
        <v>5811</v>
      </c>
      <c r="F429" s="434">
        <v>10</v>
      </c>
      <c r="G429" s="434">
        <v>9866901634</v>
      </c>
      <c r="I429" s="434">
        <v>24</v>
      </c>
      <c r="J429" s="120" t="s">
        <v>48</v>
      </c>
      <c r="K429" s="434" t="s">
        <v>5405</v>
      </c>
      <c r="L429" s="434"/>
      <c r="M429" s="434" t="s">
        <v>1764</v>
      </c>
      <c r="N429" s="730">
        <v>65294</v>
      </c>
      <c r="O429" s="730">
        <v>65294</v>
      </c>
      <c r="P429" s="459">
        <v>65302</v>
      </c>
      <c r="Q429" s="432" t="s">
        <v>51</v>
      </c>
      <c r="R429" s="322"/>
      <c r="S429" s="322"/>
      <c r="T429" s="322"/>
      <c r="U429" s="322"/>
      <c r="V429" s="322"/>
      <c r="W429" s="322"/>
      <c r="X429" s="322"/>
      <c r="Y429" s="322"/>
      <c r="Z429" s="322"/>
      <c r="AA429" s="322"/>
      <c r="AB429" s="322"/>
      <c r="AC429" s="322"/>
      <c r="AD429" s="322"/>
      <c r="AE429" s="322"/>
      <c r="AF429" s="322"/>
      <c r="AG429" s="322"/>
      <c r="AH429" s="322"/>
      <c r="AI429" s="322"/>
      <c r="AJ429" s="322"/>
      <c r="AK429" s="322"/>
      <c r="AL429" s="322"/>
      <c r="AM429" s="322"/>
      <c r="AN429" s="322"/>
      <c r="AO429" s="322"/>
      <c r="AP429" s="322"/>
      <c r="AQ429" s="322"/>
      <c r="AR429" s="322"/>
      <c r="AS429" s="322"/>
      <c r="AT429" s="322"/>
      <c r="AU429" s="322"/>
      <c r="AV429" s="322"/>
      <c r="AW429" s="322"/>
      <c r="AX429" s="322"/>
      <c r="AY429" s="322"/>
      <c r="AZ429" s="322"/>
      <c r="BA429" s="322"/>
      <c r="BB429" s="322"/>
      <c r="BC429" s="322"/>
      <c r="BD429" s="322"/>
      <c r="BE429" s="322"/>
      <c r="BF429" s="322"/>
      <c r="BG429" s="322"/>
      <c r="BH429" s="322"/>
      <c r="BI429" s="322"/>
      <c r="BJ429" s="322"/>
      <c r="BK429" s="322"/>
      <c r="BL429" s="322"/>
      <c r="BM429" s="322"/>
      <c r="BN429" s="322"/>
      <c r="BO429" s="322"/>
      <c r="BP429" s="322"/>
      <c r="BQ429" s="322"/>
      <c r="BR429" s="322"/>
      <c r="BS429" s="322"/>
      <c r="BT429" s="322"/>
      <c r="BU429" s="322"/>
      <c r="BV429" s="322"/>
      <c r="BW429" s="322"/>
      <c r="BX429" s="322"/>
      <c r="BY429" s="322"/>
      <c r="BZ429" s="322"/>
      <c r="CA429" s="322"/>
      <c r="CB429" s="322"/>
      <c r="CC429" s="322"/>
      <c r="CD429" s="322"/>
      <c r="CE429" s="322"/>
      <c r="CF429" s="322"/>
      <c r="CG429" s="322"/>
      <c r="CH429" s="322"/>
      <c r="CI429" s="322"/>
      <c r="CJ429" s="322"/>
      <c r="CK429" s="322"/>
      <c r="CL429" s="322"/>
      <c r="CM429" s="322"/>
      <c r="CN429" s="322"/>
      <c r="CO429" s="322"/>
      <c r="CP429" s="322"/>
      <c r="CQ429" s="322"/>
      <c r="CR429" s="322"/>
      <c r="CS429" s="322"/>
      <c r="CT429" s="322"/>
      <c r="CU429" s="322"/>
      <c r="CV429" s="322"/>
      <c r="CW429" s="322"/>
      <c r="CX429" s="322"/>
      <c r="CY429" s="322"/>
    </row>
    <row r="430" spans="1:103" s="432" customFormat="1">
      <c r="A430" s="509">
        <f t="shared" si="6"/>
        <v>429</v>
      </c>
      <c r="B430" s="1332" t="s">
        <v>43</v>
      </c>
      <c r="C430" s="943" t="s">
        <v>44</v>
      </c>
      <c r="D430" s="943" t="s">
        <v>45</v>
      </c>
      <c r="E430" s="432" t="s">
        <v>5812</v>
      </c>
      <c r="F430" s="434">
        <v>5</v>
      </c>
      <c r="G430" s="434">
        <v>9857823564</v>
      </c>
      <c r="I430" s="434">
        <v>38</v>
      </c>
      <c r="J430" s="120" t="s">
        <v>48</v>
      </c>
      <c r="K430" s="434" t="s">
        <v>5405</v>
      </c>
      <c r="L430" s="434"/>
      <c r="M430" s="434" t="s">
        <v>1764</v>
      </c>
      <c r="N430" s="730">
        <v>65294</v>
      </c>
      <c r="O430" s="730">
        <v>65294</v>
      </c>
      <c r="P430" s="459">
        <v>65302</v>
      </c>
      <c r="Q430" s="432" t="s">
        <v>51</v>
      </c>
      <c r="R430" s="322"/>
      <c r="S430" s="322"/>
      <c r="T430" s="322"/>
      <c r="U430" s="322"/>
      <c r="V430" s="322"/>
      <c r="W430" s="322"/>
      <c r="X430" s="322"/>
      <c r="Y430" s="322"/>
      <c r="Z430" s="322"/>
      <c r="AA430" s="322"/>
      <c r="AB430" s="322"/>
      <c r="AC430" s="322"/>
      <c r="AD430" s="322"/>
      <c r="AE430" s="322"/>
      <c r="AF430" s="322"/>
      <c r="AG430" s="322"/>
      <c r="AH430" s="322"/>
      <c r="AI430" s="322"/>
      <c r="AJ430" s="322"/>
      <c r="AK430" s="322"/>
      <c r="AL430" s="322"/>
      <c r="AM430" s="322"/>
      <c r="AN430" s="322"/>
      <c r="AO430" s="322"/>
      <c r="AP430" s="322"/>
      <c r="AQ430" s="322"/>
      <c r="AR430" s="322"/>
      <c r="AS430" s="322"/>
      <c r="AT430" s="322"/>
      <c r="AU430" s="322"/>
      <c r="AV430" s="322"/>
      <c r="AW430" s="322"/>
      <c r="AX430" s="322"/>
      <c r="AY430" s="322"/>
      <c r="AZ430" s="322"/>
      <c r="BA430" s="322"/>
      <c r="BB430" s="322"/>
      <c r="BC430" s="322"/>
      <c r="BD430" s="322"/>
      <c r="BE430" s="322"/>
      <c r="BF430" s="322"/>
      <c r="BG430" s="322"/>
      <c r="BH430" s="322"/>
      <c r="BI430" s="322"/>
      <c r="BJ430" s="322"/>
      <c r="BK430" s="322"/>
      <c r="BL430" s="322"/>
      <c r="BM430" s="322"/>
      <c r="BN430" s="322"/>
      <c r="BO430" s="322"/>
      <c r="BP430" s="322"/>
      <c r="BQ430" s="322"/>
      <c r="BR430" s="322"/>
      <c r="BS430" s="322"/>
      <c r="BT430" s="322"/>
      <c r="BU430" s="322"/>
      <c r="BV430" s="322"/>
      <c r="BW430" s="322"/>
      <c r="BX430" s="322"/>
      <c r="BY430" s="322"/>
      <c r="BZ430" s="322"/>
      <c r="CA430" s="322"/>
      <c r="CB430" s="322"/>
      <c r="CC430" s="322"/>
      <c r="CD430" s="322"/>
      <c r="CE430" s="322"/>
      <c r="CF430" s="322"/>
      <c r="CG430" s="322"/>
      <c r="CH430" s="322"/>
      <c r="CI430" s="322"/>
      <c r="CJ430" s="322"/>
      <c r="CK430" s="322"/>
      <c r="CL430" s="322"/>
      <c r="CM430" s="322"/>
      <c r="CN430" s="322"/>
      <c r="CO430" s="322"/>
      <c r="CP430" s="322"/>
      <c r="CQ430" s="322"/>
      <c r="CR430" s="322"/>
      <c r="CS430" s="322"/>
      <c r="CT430" s="322"/>
      <c r="CU430" s="322"/>
      <c r="CV430" s="322"/>
      <c r="CW430" s="322"/>
      <c r="CX430" s="322"/>
      <c r="CY430" s="322"/>
    </row>
    <row r="431" spans="1:103" s="432" customFormat="1">
      <c r="A431" s="509">
        <f t="shared" si="6"/>
        <v>430</v>
      </c>
      <c r="B431" s="1332" t="s">
        <v>43</v>
      </c>
      <c r="C431" s="943" t="s">
        <v>44</v>
      </c>
      <c r="D431" s="943" t="s">
        <v>45</v>
      </c>
      <c r="E431" s="432" t="s">
        <v>5813</v>
      </c>
      <c r="F431" s="434">
        <v>5</v>
      </c>
      <c r="G431" s="434">
        <v>9857823564</v>
      </c>
      <c r="I431" s="434">
        <v>35</v>
      </c>
      <c r="J431" s="434" t="s">
        <v>90</v>
      </c>
      <c r="K431" s="434" t="s">
        <v>5405</v>
      </c>
      <c r="L431" s="434"/>
      <c r="M431" s="434" t="s">
        <v>1764</v>
      </c>
      <c r="N431" s="730">
        <v>65294</v>
      </c>
      <c r="O431" s="730">
        <v>65294</v>
      </c>
      <c r="P431" s="459">
        <v>65302</v>
      </c>
      <c r="Q431" s="432" t="s">
        <v>51</v>
      </c>
      <c r="R431" s="322"/>
      <c r="S431" s="322"/>
      <c r="T431" s="322"/>
      <c r="U431" s="322"/>
      <c r="V431" s="322"/>
      <c r="W431" s="322"/>
      <c r="X431" s="322"/>
      <c r="Y431" s="322"/>
      <c r="Z431" s="322"/>
      <c r="AA431" s="322"/>
      <c r="AB431" s="322"/>
      <c r="AC431" s="322"/>
      <c r="AD431" s="322"/>
      <c r="AE431" s="322"/>
      <c r="AF431" s="322"/>
      <c r="AG431" s="322"/>
      <c r="AH431" s="322"/>
      <c r="AI431" s="322"/>
      <c r="AJ431" s="322"/>
      <c r="AK431" s="322"/>
      <c r="AL431" s="322"/>
      <c r="AM431" s="322"/>
      <c r="AN431" s="322"/>
      <c r="AO431" s="322"/>
      <c r="AP431" s="322"/>
      <c r="AQ431" s="322"/>
      <c r="AR431" s="322"/>
      <c r="AS431" s="322"/>
      <c r="AT431" s="322"/>
      <c r="AU431" s="322"/>
      <c r="AV431" s="322"/>
      <c r="AW431" s="322"/>
      <c r="AX431" s="322"/>
      <c r="AY431" s="322"/>
      <c r="AZ431" s="322"/>
      <c r="BA431" s="322"/>
      <c r="BB431" s="322"/>
      <c r="BC431" s="322"/>
      <c r="BD431" s="322"/>
      <c r="BE431" s="322"/>
      <c r="BF431" s="322"/>
      <c r="BG431" s="322"/>
      <c r="BH431" s="322"/>
      <c r="BI431" s="322"/>
      <c r="BJ431" s="322"/>
      <c r="BK431" s="322"/>
      <c r="BL431" s="322"/>
      <c r="BM431" s="322"/>
      <c r="BN431" s="322"/>
      <c r="BO431" s="322"/>
      <c r="BP431" s="322"/>
      <c r="BQ431" s="322"/>
      <c r="BR431" s="322"/>
      <c r="BS431" s="322"/>
      <c r="BT431" s="322"/>
      <c r="BU431" s="322"/>
      <c r="BV431" s="322"/>
      <c r="BW431" s="322"/>
      <c r="BX431" s="322"/>
      <c r="BY431" s="322"/>
      <c r="BZ431" s="322"/>
      <c r="CA431" s="322"/>
      <c r="CB431" s="322"/>
      <c r="CC431" s="322"/>
      <c r="CD431" s="322"/>
      <c r="CE431" s="322"/>
      <c r="CF431" s="322"/>
      <c r="CG431" s="322"/>
      <c r="CH431" s="322"/>
      <c r="CI431" s="322"/>
      <c r="CJ431" s="322"/>
      <c r="CK431" s="322"/>
      <c r="CL431" s="322"/>
      <c r="CM431" s="322"/>
      <c r="CN431" s="322"/>
      <c r="CO431" s="322"/>
      <c r="CP431" s="322"/>
      <c r="CQ431" s="322"/>
      <c r="CR431" s="322"/>
      <c r="CS431" s="322"/>
      <c r="CT431" s="322"/>
      <c r="CU431" s="322"/>
      <c r="CV431" s="322"/>
      <c r="CW431" s="322"/>
      <c r="CX431" s="322"/>
      <c r="CY431" s="322"/>
    </row>
    <row r="432" spans="1:103" s="432" customFormat="1">
      <c r="A432" s="509">
        <f t="shared" si="6"/>
        <v>431</v>
      </c>
      <c r="B432" s="1332" t="s">
        <v>43</v>
      </c>
      <c r="C432" s="943" t="s">
        <v>44</v>
      </c>
      <c r="D432" s="943" t="s">
        <v>45</v>
      </c>
      <c r="E432" s="432" t="s">
        <v>5814</v>
      </c>
      <c r="F432" s="434">
        <v>4</v>
      </c>
      <c r="G432" s="434">
        <v>9847851036</v>
      </c>
      <c r="I432" s="434">
        <v>34</v>
      </c>
      <c r="J432" s="434" t="s">
        <v>90</v>
      </c>
      <c r="K432" s="434" t="s">
        <v>5405</v>
      </c>
      <c r="L432" s="434"/>
      <c r="M432" s="434" t="s">
        <v>1764</v>
      </c>
      <c r="N432" s="730">
        <v>65294</v>
      </c>
      <c r="O432" s="730">
        <v>65294</v>
      </c>
      <c r="P432" s="459">
        <v>65302</v>
      </c>
      <c r="Q432" s="432" t="s">
        <v>51</v>
      </c>
      <c r="R432" s="322"/>
      <c r="S432" s="322"/>
      <c r="T432" s="322"/>
      <c r="U432" s="322"/>
      <c r="V432" s="322"/>
      <c r="W432" s="322"/>
      <c r="X432" s="322"/>
      <c r="Y432" s="322"/>
      <c r="Z432" s="322"/>
      <c r="AA432" s="322"/>
      <c r="AB432" s="322"/>
      <c r="AC432" s="322"/>
      <c r="AD432" s="322"/>
      <c r="AE432" s="322"/>
      <c r="AF432" s="322"/>
      <c r="AG432" s="322"/>
      <c r="AH432" s="322"/>
      <c r="AI432" s="322"/>
      <c r="AJ432" s="322"/>
      <c r="AK432" s="322"/>
      <c r="AL432" s="322"/>
      <c r="AM432" s="322"/>
      <c r="AN432" s="322"/>
      <c r="AO432" s="322"/>
      <c r="AP432" s="322"/>
      <c r="AQ432" s="322"/>
      <c r="AR432" s="322"/>
      <c r="AS432" s="322"/>
      <c r="AT432" s="322"/>
      <c r="AU432" s="322"/>
      <c r="AV432" s="322"/>
      <c r="AW432" s="322"/>
      <c r="AX432" s="322"/>
      <c r="AY432" s="322"/>
      <c r="AZ432" s="322"/>
      <c r="BA432" s="322"/>
      <c r="BB432" s="322"/>
      <c r="BC432" s="322"/>
      <c r="BD432" s="322"/>
      <c r="BE432" s="322"/>
      <c r="BF432" s="322"/>
      <c r="BG432" s="322"/>
      <c r="BH432" s="322"/>
      <c r="BI432" s="322"/>
      <c r="BJ432" s="322"/>
      <c r="BK432" s="322"/>
      <c r="BL432" s="322"/>
      <c r="BM432" s="322"/>
      <c r="BN432" s="322"/>
      <c r="BO432" s="322"/>
      <c r="BP432" s="322"/>
      <c r="BQ432" s="322"/>
      <c r="BR432" s="322"/>
      <c r="BS432" s="322"/>
      <c r="BT432" s="322"/>
      <c r="BU432" s="322"/>
      <c r="BV432" s="322"/>
      <c r="BW432" s="322"/>
      <c r="BX432" s="322"/>
      <c r="BY432" s="322"/>
      <c r="BZ432" s="322"/>
      <c r="CA432" s="322"/>
      <c r="CB432" s="322"/>
      <c r="CC432" s="322"/>
      <c r="CD432" s="322"/>
      <c r="CE432" s="322"/>
      <c r="CF432" s="322"/>
      <c r="CG432" s="322"/>
      <c r="CH432" s="322"/>
      <c r="CI432" s="322"/>
      <c r="CJ432" s="322"/>
      <c r="CK432" s="322"/>
      <c r="CL432" s="322"/>
      <c r="CM432" s="322"/>
      <c r="CN432" s="322"/>
      <c r="CO432" s="322"/>
      <c r="CP432" s="322"/>
      <c r="CQ432" s="322"/>
      <c r="CR432" s="322"/>
      <c r="CS432" s="322"/>
      <c r="CT432" s="322"/>
      <c r="CU432" s="322"/>
      <c r="CV432" s="322"/>
      <c r="CW432" s="322"/>
      <c r="CX432" s="322"/>
      <c r="CY432" s="322"/>
    </row>
    <row r="433" spans="1:103" s="432" customFormat="1">
      <c r="A433" s="509">
        <f t="shared" si="6"/>
        <v>432</v>
      </c>
      <c r="B433" s="1332" t="s">
        <v>43</v>
      </c>
      <c r="C433" s="943" t="s">
        <v>44</v>
      </c>
      <c r="D433" s="943" t="s">
        <v>45</v>
      </c>
      <c r="E433" s="432" t="s">
        <v>5815</v>
      </c>
      <c r="F433" s="434">
        <v>7</v>
      </c>
      <c r="G433" s="434"/>
      <c r="I433" s="434">
        <v>26</v>
      </c>
      <c r="J433" s="434" t="s">
        <v>90</v>
      </c>
      <c r="K433" s="434" t="s">
        <v>5405</v>
      </c>
      <c r="L433" s="434"/>
      <c r="M433" s="434" t="s">
        <v>1764</v>
      </c>
      <c r="N433" s="730">
        <v>65294</v>
      </c>
      <c r="O433" s="730">
        <v>65294</v>
      </c>
      <c r="P433" s="459">
        <v>65302</v>
      </c>
      <c r="Q433" s="432" t="s">
        <v>51</v>
      </c>
      <c r="R433" s="322"/>
      <c r="S433" s="322"/>
      <c r="T433" s="322"/>
      <c r="U433" s="322"/>
      <c r="V433" s="322"/>
      <c r="W433" s="322"/>
      <c r="X433" s="322"/>
      <c r="Y433" s="322"/>
      <c r="Z433" s="322"/>
      <c r="AA433" s="322"/>
      <c r="AB433" s="322"/>
      <c r="AC433" s="322"/>
      <c r="AD433" s="322"/>
      <c r="AE433" s="322"/>
      <c r="AF433" s="322"/>
      <c r="AG433" s="322"/>
      <c r="AH433" s="322"/>
      <c r="AI433" s="322"/>
      <c r="AJ433" s="322"/>
      <c r="AK433" s="322"/>
      <c r="AL433" s="322"/>
      <c r="AM433" s="322"/>
      <c r="AN433" s="322"/>
      <c r="AO433" s="322"/>
      <c r="AP433" s="322"/>
      <c r="AQ433" s="322"/>
      <c r="AR433" s="322"/>
      <c r="AS433" s="322"/>
      <c r="AT433" s="322"/>
      <c r="AU433" s="322"/>
      <c r="AV433" s="322"/>
      <c r="AW433" s="322"/>
      <c r="AX433" s="322"/>
      <c r="AY433" s="322"/>
      <c r="AZ433" s="322"/>
      <c r="BA433" s="322"/>
      <c r="BB433" s="322"/>
      <c r="BC433" s="322"/>
      <c r="BD433" s="322"/>
      <c r="BE433" s="322"/>
      <c r="BF433" s="322"/>
      <c r="BG433" s="322"/>
      <c r="BH433" s="322"/>
      <c r="BI433" s="322"/>
      <c r="BJ433" s="322"/>
      <c r="BK433" s="322"/>
      <c r="BL433" s="322"/>
      <c r="BM433" s="322"/>
      <c r="BN433" s="322"/>
      <c r="BO433" s="322"/>
      <c r="BP433" s="322"/>
      <c r="BQ433" s="322"/>
      <c r="BR433" s="322"/>
      <c r="BS433" s="322"/>
      <c r="BT433" s="322"/>
      <c r="BU433" s="322"/>
      <c r="BV433" s="322"/>
      <c r="BW433" s="322"/>
      <c r="BX433" s="322"/>
      <c r="BY433" s="322"/>
      <c r="BZ433" s="322"/>
      <c r="CA433" s="322"/>
      <c r="CB433" s="322"/>
      <c r="CC433" s="322"/>
      <c r="CD433" s="322"/>
      <c r="CE433" s="322"/>
      <c r="CF433" s="322"/>
      <c r="CG433" s="322"/>
      <c r="CH433" s="322"/>
      <c r="CI433" s="322"/>
      <c r="CJ433" s="322"/>
      <c r="CK433" s="322"/>
      <c r="CL433" s="322"/>
      <c r="CM433" s="322"/>
      <c r="CN433" s="322"/>
      <c r="CO433" s="322"/>
      <c r="CP433" s="322"/>
      <c r="CQ433" s="322"/>
      <c r="CR433" s="322"/>
      <c r="CS433" s="322"/>
      <c r="CT433" s="322"/>
      <c r="CU433" s="322"/>
      <c r="CV433" s="322"/>
      <c r="CW433" s="322"/>
      <c r="CX433" s="322"/>
      <c r="CY433" s="322"/>
    </row>
    <row r="434" spans="1:103" s="432" customFormat="1">
      <c r="A434" s="509">
        <f t="shared" si="6"/>
        <v>433</v>
      </c>
      <c r="B434" s="1332" t="s">
        <v>43</v>
      </c>
      <c r="C434" s="943" t="s">
        <v>44</v>
      </c>
      <c r="D434" s="943" t="s">
        <v>45</v>
      </c>
      <c r="E434" s="432" t="s">
        <v>5816</v>
      </c>
      <c r="F434" s="434">
        <v>7</v>
      </c>
      <c r="G434" s="434"/>
      <c r="I434" s="434">
        <v>72</v>
      </c>
      <c r="J434" s="120" t="s">
        <v>48</v>
      </c>
      <c r="K434" s="434" t="s">
        <v>5405</v>
      </c>
      <c r="L434" s="434"/>
      <c r="M434" s="434" t="s">
        <v>1764</v>
      </c>
      <c r="N434" s="730">
        <v>65294</v>
      </c>
      <c r="O434" s="730">
        <v>65294</v>
      </c>
      <c r="P434" s="459">
        <v>65302</v>
      </c>
      <c r="Q434" s="432" t="s">
        <v>51</v>
      </c>
      <c r="R434" s="322"/>
      <c r="S434" s="322"/>
      <c r="T434" s="322"/>
      <c r="U434" s="322"/>
      <c r="V434" s="322"/>
      <c r="W434" s="322"/>
      <c r="X434" s="322"/>
      <c r="Y434" s="322"/>
      <c r="Z434" s="322"/>
      <c r="AA434" s="322"/>
      <c r="AB434" s="322"/>
      <c r="AC434" s="322"/>
      <c r="AD434" s="322"/>
      <c r="AE434" s="322"/>
      <c r="AF434" s="322"/>
      <c r="AG434" s="322"/>
      <c r="AH434" s="322"/>
      <c r="AI434" s="322"/>
      <c r="AJ434" s="322"/>
      <c r="AK434" s="322"/>
      <c r="AL434" s="322"/>
      <c r="AM434" s="322"/>
      <c r="AN434" s="322"/>
      <c r="AO434" s="322"/>
      <c r="AP434" s="322"/>
      <c r="AQ434" s="322"/>
      <c r="AR434" s="322"/>
      <c r="AS434" s="322"/>
      <c r="AT434" s="322"/>
      <c r="AU434" s="322"/>
      <c r="AV434" s="322"/>
      <c r="AW434" s="322"/>
      <c r="AX434" s="322"/>
      <c r="AY434" s="322"/>
      <c r="AZ434" s="322"/>
      <c r="BA434" s="322"/>
      <c r="BB434" s="322"/>
      <c r="BC434" s="322"/>
      <c r="BD434" s="322"/>
      <c r="BE434" s="322"/>
      <c r="BF434" s="322"/>
      <c r="BG434" s="322"/>
      <c r="BH434" s="322"/>
      <c r="BI434" s="322"/>
      <c r="BJ434" s="322"/>
      <c r="BK434" s="322"/>
      <c r="BL434" s="322"/>
      <c r="BM434" s="322"/>
      <c r="BN434" s="322"/>
      <c r="BO434" s="322"/>
      <c r="BP434" s="322"/>
      <c r="BQ434" s="322"/>
      <c r="BR434" s="322"/>
      <c r="BS434" s="322"/>
      <c r="BT434" s="322"/>
      <c r="BU434" s="322"/>
      <c r="BV434" s="322"/>
      <c r="BW434" s="322"/>
      <c r="BX434" s="322"/>
      <c r="BY434" s="322"/>
      <c r="BZ434" s="322"/>
      <c r="CA434" s="322"/>
      <c r="CB434" s="322"/>
      <c r="CC434" s="322"/>
      <c r="CD434" s="322"/>
      <c r="CE434" s="322"/>
      <c r="CF434" s="322"/>
      <c r="CG434" s="322"/>
      <c r="CH434" s="322"/>
      <c r="CI434" s="322"/>
      <c r="CJ434" s="322"/>
      <c r="CK434" s="322"/>
      <c r="CL434" s="322"/>
      <c r="CM434" s="322"/>
      <c r="CN434" s="322"/>
      <c r="CO434" s="322"/>
      <c r="CP434" s="322"/>
      <c r="CQ434" s="322"/>
      <c r="CR434" s="322"/>
      <c r="CS434" s="322"/>
      <c r="CT434" s="322"/>
      <c r="CU434" s="322"/>
      <c r="CV434" s="322"/>
      <c r="CW434" s="322"/>
      <c r="CX434" s="322"/>
      <c r="CY434" s="322"/>
    </row>
    <row r="435" spans="1:103" s="432" customFormat="1">
      <c r="A435" s="509">
        <f t="shared" si="6"/>
        <v>434</v>
      </c>
      <c r="B435" s="1332" t="s">
        <v>43</v>
      </c>
      <c r="C435" s="943" t="s">
        <v>44</v>
      </c>
      <c r="D435" s="943" t="s">
        <v>45</v>
      </c>
      <c r="E435" s="432" t="s">
        <v>5817</v>
      </c>
      <c r="F435" s="434">
        <v>8</v>
      </c>
      <c r="G435" s="434">
        <v>9809597117</v>
      </c>
      <c r="I435" s="434">
        <v>23</v>
      </c>
      <c r="J435" s="120" t="s">
        <v>48</v>
      </c>
      <c r="K435" s="434" t="s">
        <v>5405</v>
      </c>
      <c r="L435" s="434"/>
      <c r="M435" s="434" t="s">
        <v>1764</v>
      </c>
      <c r="N435" s="730">
        <v>65294</v>
      </c>
      <c r="O435" s="730">
        <v>65294</v>
      </c>
      <c r="P435" s="459">
        <v>65302</v>
      </c>
      <c r="Q435" s="432" t="s">
        <v>51</v>
      </c>
      <c r="R435" s="322"/>
      <c r="S435" s="322"/>
      <c r="T435" s="322"/>
      <c r="U435" s="322"/>
      <c r="V435" s="322"/>
      <c r="W435" s="322"/>
      <c r="X435" s="322"/>
      <c r="Y435" s="322"/>
      <c r="Z435" s="322"/>
      <c r="AA435" s="322"/>
      <c r="AB435" s="322"/>
      <c r="AC435" s="322"/>
      <c r="AD435" s="322"/>
      <c r="AE435" s="322"/>
      <c r="AF435" s="322"/>
      <c r="AG435" s="322"/>
      <c r="AH435" s="322"/>
      <c r="AI435" s="322"/>
      <c r="AJ435" s="322"/>
      <c r="AK435" s="322"/>
      <c r="AL435" s="322"/>
      <c r="AM435" s="322"/>
      <c r="AN435" s="322"/>
      <c r="AO435" s="322"/>
      <c r="AP435" s="322"/>
      <c r="AQ435" s="322"/>
      <c r="AR435" s="322"/>
      <c r="AS435" s="322"/>
      <c r="AT435" s="322"/>
      <c r="AU435" s="322"/>
      <c r="AV435" s="322"/>
      <c r="AW435" s="322"/>
      <c r="AX435" s="322"/>
      <c r="AY435" s="322"/>
      <c r="AZ435" s="322"/>
      <c r="BA435" s="322"/>
      <c r="BB435" s="322"/>
      <c r="BC435" s="322"/>
      <c r="BD435" s="322"/>
      <c r="BE435" s="322"/>
      <c r="BF435" s="322"/>
      <c r="BG435" s="322"/>
      <c r="BH435" s="322"/>
      <c r="BI435" s="322"/>
      <c r="BJ435" s="322"/>
      <c r="BK435" s="322"/>
      <c r="BL435" s="322"/>
      <c r="BM435" s="322"/>
      <c r="BN435" s="322"/>
      <c r="BO435" s="322"/>
      <c r="BP435" s="322"/>
      <c r="BQ435" s="322"/>
      <c r="BR435" s="322"/>
      <c r="BS435" s="322"/>
      <c r="BT435" s="322"/>
      <c r="BU435" s="322"/>
      <c r="BV435" s="322"/>
      <c r="BW435" s="322"/>
      <c r="BX435" s="322"/>
      <c r="BY435" s="322"/>
      <c r="BZ435" s="322"/>
      <c r="CA435" s="322"/>
      <c r="CB435" s="322"/>
      <c r="CC435" s="322"/>
      <c r="CD435" s="322"/>
      <c r="CE435" s="322"/>
      <c r="CF435" s="322"/>
      <c r="CG435" s="322"/>
      <c r="CH435" s="322"/>
      <c r="CI435" s="322"/>
      <c r="CJ435" s="322"/>
      <c r="CK435" s="322"/>
      <c r="CL435" s="322"/>
      <c r="CM435" s="322"/>
      <c r="CN435" s="322"/>
      <c r="CO435" s="322"/>
      <c r="CP435" s="322"/>
      <c r="CQ435" s="322"/>
      <c r="CR435" s="322"/>
      <c r="CS435" s="322"/>
      <c r="CT435" s="322"/>
      <c r="CU435" s="322"/>
      <c r="CV435" s="322"/>
      <c r="CW435" s="322"/>
      <c r="CX435" s="322"/>
      <c r="CY435" s="322"/>
    </row>
    <row r="436" spans="1:103" s="432" customFormat="1">
      <c r="A436" s="509">
        <f t="shared" si="6"/>
        <v>435</v>
      </c>
      <c r="B436" s="1332" t="s">
        <v>43</v>
      </c>
      <c r="C436" s="943" t="s">
        <v>44</v>
      </c>
      <c r="D436" s="943" t="s">
        <v>45</v>
      </c>
      <c r="E436" s="432" t="s">
        <v>5818</v>
      </c>
      <c r="F436" s="434">
        <v>5</v>
      </c>
      <c r="G436" s="434">
        <v>98478</v>
      </c>
      <c r="I436" s="434">
        <v>83</v>
      </c>
      <c r="J436" s="120" t="s">
        <v>48</v>
      </c>
      <c r="K436" s="434" t="s">
        <v>5405</v>
      </c>
      <c r="L436" s="434"/>
      <c r="M436" s="434" t="s">
        <v>1764</v>
      </c>
      <c r="N436" s="730">
        <v>65294</v>
      </c>
      <c r="O436" s="730">
        <v>65294</v>
      </c>
      <c r="P436" s="459">
        <v>65302</v>
      </c>
      <c r="Q436" s="432" t="s">
        <v>51</v>
      </c>
      <c r="R436" s="322"/>
      <c r="S436" s="322"/>
      <c r="T436" s="322"/>
      <c r="U436" s="322"/>
      <c r="V436" s="322"/>
      <c r="W436" s="322"/>
      <c r="X436" s="322"/>
      <c r="Y436" s="322"/>
      <c r="Z436" s="322"/>
      <c r="AA436" s="322"/>
      <c r="AB436" s="322"/>
      <c r="AC436" s="322"/>
      <c r="AD436" s="322"/>
      <c r="AE436" s="322"/>
      <c r="AF436" s="322"/>
      <c r="AG436" s="322"/>
      <c r="AH436" s="322"/>
      <c r="AI436" s="322"/>
      <c r="AJ436" s="322"/>
      <c r="AK436" s="322"/>
      <c r="AL436" s="322"/>
      <c r="AM436" s="322"/>
      <c r="AN436" s="322"/>
      <c r="AO436" s="322"/>
      <c r="AP436" s="322"/>
      <c r="AQ436" s="322"/>
      <c r="AR436" s="322"/>
      <c r="AS436" s="322"/>
      <c r="AT436" s="322"/>
      <c r="AU436" s="322"/>
      <c r="AV436" s="322"/>
      <c r="AW436" s="322"/>
      <c r="AX436" s="322"/>
      <c r="AY436" s="322"/>
      <c r="AZ436" s="322"/>
      <c r="BA436" s="322"/>
      <c r="BB436" s="322"/>
      <c r="BC436" s="322"/>
      <c r="BD436" s="322"/>
      <c r="BE436" s="322"/>
      <c r="BF436" s="322"/>
      <c r="BG436" s="322"/>
      <c r="BH436" s="322"/>
      <c r="BI436" s="322"/>
      <c r="BJ436" s="322"/>
      <c r="BK436" s="322"/>
      <c r="BL436" s="322"/>
      <c r="BM436" s="322"/>
      <c r="BN436" s="322"/>
      <c r="BO436" s="322"/>
      <c r="BP436" s="322"/>
      <c r="BQ436" s="322"/>
      <c r="BR436" s="322"/>
      <c r="BS436" s="322"/>
      <c r="BT436" s="322"/>
      <c r="BU436" s="322"/>
      <c r="BV436" s="322"/>
      <c r="BW436" s="322"/>
      <c r="BX436" s="322"/>
      <c r="BY436" s="322"/>
      <c r="BZ436" s="322"/>
      <c r="CA436" s="322"/>
      <c r="CB436" s="322"/>
      <c r="CC436" s="322"/>
      <c r="CD436" s="322"/>
      <c r="CE436" s="322"/>
      <c r="CF436" s="322"/>
      <c r="CG436" s="322"/>
      <c r="CH436" s="322"/>
      <c r="CI436" s="322"/>
      <c r="CJ436" s="322"/>
      <c r="CK436" s="322"/>
      <c r="CL436" s="322"/>
      <c r="CM436" s="322"/>
      <c r="CN436" s="322"/>
      <c r="CO436" s="322"/>
      <c r="CP436" s="322"/>
      <c r="CQ436" s="322"/>
      <c r="CR436" s="322"/>
      <c r="CS436" s="322"/>
      <c r="CT436" s="322"/>
      <c r="CU436" s="322"/>
      <c r="CV436" s="322"/>
      <c r="CW436" s="322"/>
      <c r="CX436" s="322"/>
      <c r="CY436" s="322"/>
    </row>
    <row r="437" spans="1:103" s="432" customFormat="1">
      <c r="A437" s="509">
        <f t="shared" si="6"/>
        <v>436</v>
      </c>
      <c r="B437" s="1332" t="s">
        <v>43</v>
      </c>
      <c r="C437" s="943" t="s">
        <v>44</v>
      </c>
      <c r="D437" s="943" t="s">
        <v>45</v>
      </c>
      <c r="E437" s="432" t="s">
        <v>5819</v>
      </c>
      <c r="F437" s="434">
        <v>9</v>
      </c>
      <c r="G437" s="434">
        <v>9844905744</v>
      </c>
      <c r="I437" s="434">
        <v>41</v>
      </c>
      <c r="J437" s="120" t="s">
        <v>48</v>
      </c>
      <c r="K437" s="434" t="s">
        <v>5405</v>
      </c>
      <c r="L437" s="434"/>
      <c r="M437" s="434" t="s">
        <v>1764</v>
      </c>
      <c r="N437" s="730">
        <v>65294</v>
      </c>
      <c r="O437" s="730">
        <v>65294</v>
      </c>
      <c r="P437" s="459">
        <v>65302</v>
      </c>
      <c r="Q437" s="432" t="s">
        <v>51</v>
      </c>
      <c r="R437" s="322"/>
      <c r="S437" s="322"/>
      <c r="T437" s="322"/>
      <c r="U437" s="322"/>
      <c r="V437" s="322"/>
      <c r="W437" s="322"/>
      <c r="X437" s="322"/>
      <c r="Y437" s="322"/>
      <c r="Z437" s="322"/>
      <c r="AA437" s="322"/>
      <c r="AB437" s="322"/>
      <c r="AC437" s="322"/>
      <c r="AD437" s="322"/>
      <c r="AE437" s="322"/>
      <c r="AF437" s="322"/>
      <c r="AG437" s="322"/>
      <c r="AH437" s="322"/>
      <c r="AI437" s="322"/>
      <c r="AJ437" s="322"/>
      <c r="AK437" s="322"/>
      <c r="AL437" s="322"/>
      <c r="AM437" s="322"/>
      <c r="AN437" s="322"/>
      <c r="AO437" s="322"/>
      <c r="AP437" s="322"/>
      <c r="AQ437" s="322"/>
      <c r="AR437" s="322"/>
      <c r="AS437" s="322"/>
      <c r="AT437" s="322"/>
      <c r="AU437" s="322"/>
      <c r="AV437" s="322"/>
      <c r="AW437" s="322"/>
      <c r="AX437" s="322"/>
      <c r="AY437" s="322"/>
      <c r="AZ437" s="322"/>
      <c r="BA437" s="322"/>
      <c r="BB437" s="322"/>
      <c r="BC437" s="322"/>
      <c r="BD437" s="322"/>
      <c r="BE437" s="322"/>
      <c r="BF437" s="322"/>
      <c r="BG437" s="322"/>
      <c r="BH437" s="322"/>
      <c r="BI437" s="322"/>
      <c r="BJ437" s="322"/>
      <c r="BK437" s="322"/>
      <c r="BL437" s="322"/>
      <c r="BM437" s="322"/>
      <c r="BN437" s="322"/>
      <c r="BO437" s="322"/>
      <c r="BP437" s="322"/>
      <c r="BQ437" s="322"/>
      <c r="BR437" s="322"/>
      <c r="BS437" s="322"/>
      <c r="BT437" s="322"/>
      <c r="BU437" s="322"/>
      <c r="BV437" s="322"/>
      <c r="BW437" s="322"/>
      <c r="BX437" s="322"/>
      <c r="BY437" s="322"/>
      <c r="BZ437" s="322"/>
      <c r="CA437" s="322"/>
      <c r="CB437" s="322"/>
      <c r="CC437" s="322"/>
      <c r="CD437" s="322"/>
      <c r="CE437" s="322"/>
      <c r="CF437" s="322"/>
      <c r="CG437" s="322"/>
      <c r="CH437" s="322"/>
      <c r="CI437" s="322"/>
      <c r="CJ437" s="322"/>
      <c r="CK437" s="322"/>
      <c r="CL437" s="322"/>
      <c r="CM437" s="322"/>
      <c r="CN437" s="322"/>
      <c r="CO437" s="322"/>
      <c r="CP437" s="322"/>
      <c r="CQ437" s="322"/>
      <c r="CR437" s="322"/>
      <c r="CS437" s="322"/>
      <c r="CT437" s="322"/>
      <c r="CU437" s="322"/>
      <c r="CV437" s="322"/>
      <c r="CW437" s="322"/>
      <c r="CX437" s="322"/>
      <c r="CY437" s="322"/>
    </row>
    <row r="438" spans="1:103" s="432" customFormat="1">
      <c r="A438" s="509">
        <f t="shared" si="6"/>
        <v>437</v>
      </c>
      <c r="B438" s="1332" t="s">
        <v>43</v>
      </c>
      <c r="C438" s="943" t="s">
        <v>44</v>
      </c>
      <c r="D438" s="943" t="s">
        <v>45</v>
      </c>
      <c r="E438" s="432" t="s">
        <v>5820</v>
      </c>
      <c r="F438" s="434">
        <v>7</v>
      </c>
      <c r="G438" s="434">
        <v>9849246939</v>
      </c>
      <c r="I438" s="434">
        <v>32</v>
      </c>
      <c r="J438" s="434" t="s">
        <v>90</v>
      </c>
      <c r="K438" s="434" t="s">
        <v>5405</v>
      </c>
      <c r="L438" s="434"/>
      <c r="M438" s="434" t="s">
        <v>1764</v>
      </c>
      <c r="N438" s="730">
        <v>65294</v>
      </c>
      <c r="O438" s="730">
        <v>65294</v>
      </c>
      <c r="P438" s="459">
        <v>65302</v>
      </c>
      <c r="Q438" s="432" t="s">
        <v>51</v>
      </c>
      <c r="R438" s="322"/>
      <c r="S438" s="322"/>
      <c r="T438" s="322"/>
      <c r="U438" s="322"/>
      <c r="V438" s="322"/>
      <c r="W438" s="322"/>
      <c r="X438" s="322"/>
      <c r="Y438" s="322"/>
      <c r="Z438" s="322"/>
      <c r="AA438" s="322"/>
      <c r="AB438" s="322"/>
      <c r="AC438" s="322"/>
      <c r="AD438" s="322"/>
      <c r="AE438" s="322"/>
      <c r="AF438" s="322"/>
      <c r="AG438" s="322"/>
      <c r="AH438" s="322"/>
      <c r="AI438" s="322"/>
      <c r="AJ438" s="322"/>
      <c r="AK438" s="322"/>
      <c r="AL438" s="322"/>
      <c r="AM438" s="322"/>
      <c r="AN438" s="322"/>
      <c r="AO438" s="322"/>
      <c r="AP438" s="322"/>
      <c r="AQ438" s="322"/>
      <c r="AR438" s="322"/>
      <c r="AS438" s="322"/>
      <c r="AT438" s="322"/>
      <c r="AU438" s="322"/>
      <c r="AV438" s="322"/>
      <c r="AW438" s="322"/>
      <c r="AX438" s="322"/>
      <c r="AY438" s="322"/>
      <c r="AZ438" s="322"/>
      <c r="BA438" s="322"/>
      <c r="BB438" s="322"/>
      <c r="BC438" s="322"/>
      <c r="BD438" s="322"/>
      <c r="BE438" s="322"/>
      <c r="BF438" s="322"/>
      <c r="BG438" s="322"/>
      <c r="BH438" s="322"/>
      <c r="BI438" s="322"/>
      <c r="BJ438" s="322"/>
      <c r="BK438" s="322"/>
      <c r="BL438" s="322"/>
      <c r="BM438" s="322"/>
      <c r="BN438" s="322"/>
      <c r="BO438" s="322"/>
      <c r="BP438" s="322"/>
      <c r="BQ438" s="322"/>
      <c r="BR438" s="322"/>
      <c r="BS438" s="322"/>
      <c r="BT438" s="322"/>
      <c r="BU438" s="322"/>
      <c r="BV438" s="322"/>
      <c r="BW438" s="322"/>
      <c r="BX438" s="322"/>
      <c r="BY438" s="322"/>
      <c r="BZ438" s="322"/>
      <c r="CA438" s="322"/>
      <c r="CB438" s="322"/>
      <c r="CC438" s="322"/>
      <c r="CD438" s="322"/>
      <c r="CE438" s="322"/>
      <c r="CF438" s="322"/>
      <c r="CG438" s="322"/>
      <c r="CH438" s="322"/>
      <c r="CI438" s="322"/>
      <c r="CJ438" s="322"/>
      <c r="CK438" s="322"/>
      <c r="CL438" s="322"/>
      <c r="CM438" s="322"/>
      <c r="CN438" s="322"/>
      <c r="CO438" s="322"/>
      <c r="CP438" s="322"/>
      <c r="CQ438" s="322"/>
      <c r="CR438" s="322"/>
      <c r="CS438" s="322"/>
      <c r="CT438" s="322"/>
      <c r="CU438" s="322"/>
      <c r="CV438" s="322"/>
      <c r="CW438" s="322"/>
      <c r="CX438" s="322"/>
      <c r="CY438" s="322"/>
    </row>
    <row r="439" spans="1:103" s="432" customFormat="1">
      <c r="A439" s="509">
        <f t="shared" si="6"/>
        <v>438</v>
      </c>
      <c r="B439" s="1332" t="s">
        <v>43</v>
      </c>
      <c r="C439" s="943" t="s">
        <v>44</v>
      </c>
      <c r="D439" s="943" t="s">
        <v>45</v>
      </c>
      <c r="E439" s="432" t="s">
        <v>5821</v>
      </c>
      <c r="F439" s="434">
        <v>6</v>
      </c>
      <c r="G439" s="434">
        <v>9846343303</v>
      </c>
      <c r="I439" s="434">
        <v>34</v>
      </c>
      <c r="J439" s="120" t="s">
        <v>48</v>
      </c>
      <c r="K439" s="434" t="s">
        <v>3293</v>
      </c>
      <c r="L439" s="434"/>
      <c r="M439" s="434" t="s">
        <v>1764</v>
      </c>
      <c r="N439" s="730">
        <v>65294</v>
      </c>
      <c r="O439" s="730">
        <v>65294</v>
      </c>
      <c r="P439" s="459">
        <v>65302</v>
      </c>
      <c r="Q439" s="432" t="s">
        <v>51</v>
      </c>
      <c r="R439" s="322"/>
      <c r="S439" s="322"/>
      <c r="T439" s="322"/>
      <c r="U439" s="322"/>
      <c r="V439" s="322"/>
      <c r="W439" s="322"/>
      <c r="X439" s="322"/>
      <c r="Y439" s="322"/>
      <c r="Z439" s="322"/>
      <c r="AA439" s="322"/>
      <c r="AB439" s="322"/>
      <c r="AC439" s="322"/>
      <c r="AD439" s="322"/>
      <c r="AE439" s="322"/>
      <c r="AF439" s="322"/>
      <c r="AG439" s="322"/>
      <c r="AH439" s="322"/>
      <c r="AI439" s="322"/>
      <c r="AJ439" s="322"/>
      <c r="AK439" s="322"/>
      <c r="AL439" s="322"/>
      <c r="AM439" s="322"/>
      <c r="AN439" s="322"/>
      <c r="AO439" s="322"/>
      <c r="AP439" s="322"/>
      <c r="AQ439" s="322"/>
      <c r="AR439" s="322"/>
      <c r="AS439" s="322"/>
      <c r="AT439" s="322"/>
      <c r="AU439" s="322"/>
      <c r="AV439" s="322"/>
      <c r="AW439" s="322"/>
      <c r="AX439" s="322"/>
      <c r="AY439" s="322"/>
      <c r="AZ439" s="322"/>
      <c r="BA439" s="322"/>
      <c r="BB439" s="322"/>
      <c r="BC439" s="322"/>
      <c r="BD439" s="322"/>
      <c r="BE439" s="322"/>
      <c r="BF439" s="322"/>
      <c r="BG439" s="322"/>
      <c r="BH439" s="322"/>
      <c r="BI439" s="322"/>
      <c r="BJ439" s="322"/>
      <c r="BK439" s="322"/>
      <c r="BL439" s="322"/>
      <c r="BM439" s="322"/>
      <c r="BN439" s="322"/>
      <c r="BO439" s="322"/>
      <c r="BP439" s="322"/>
      <c r="BQ439" s="322"/>
      <c r="BR439" s="322"/>
      <c r="BS439" s="322"/>
      <c r="BT439" s="322"/>
      <c r="BU439" s="322"/>
      <c r="BV439" s="322"/>
      <c r="BW439" s="322"/>
      <c r="BX439" s="322"/>
      <c r="BY439" s="322"/>
      <c r="BZ439" s="322"/>
      <c r="CA439" s="322"/>
      <c r="CB439" s="322"/>
      <c r="CC439" s="322"/>
      <c r="CD439" s="322"/>
      <c r="CE439" s="322"/>
      <c r="CF439" s="322"/>
      <c r="CG439" s="322"/>
      <c r="CH439" s="322"/>
      <c r="CI439" s="322"/>
      <c r="CJ439" s="322"/>
      <c r="CK439" s="322"/>
      <c r="CL439" s="322"/>
      <c r="CM439" s="322"/>
      <c r="CN439" s="322"/>
      <c r="CO439" s="322"/>
      <c r="CP439" s="322"/>
      <c r="CQ439" s="322"/>
      <c r="CR439" s="322"/>
      <c r="CS439" s="322"/>
      <c r="CT439" s="322"/>
      <c r="CU439" s="322"/>
      <c r="CV439" s="322"/>
      <c r="CW439" s="322"/>
      <c r="CX439" s="322"/>
      <c r="CY439" s="322"/>
    </row>
    <row r="440" spans="1:103" s="432" customFormat="1">
      <c r="A440" s="509">
        <f t="shared" si="6"/>
        <v>439</v>
      </c>
      <c r="B440" s="1332" t="s">
        <v>43</v>
      </c>
      <c r="C440" s="943" t="s">
        <v>44</v>
      </c>
      <c r="D440" s="943" t="s">
        <v>45</v>
      </c>
      <c r="E440" s="432" t="s">
        <v>5822</v>
      </c>
      <c r="F440" s="434">
        <v>19</v>
      </c>
      <c r="G440" s="434">
        <v>9847884437</v>
      </c>
      <c r="I440" s="434">
        <v>42</v>
      </c>
      <c r="J440" s="434" t="s">
        <v>90</v>
      </c>
      <c r="K440" s="434" t="s">
        <v>3293</v>
      </c>
      <c r="L440" s="434"/>
      <c r="M440" s="434" t="s">
        <v>1764</v>
      </c>
      <c r="N440" s="730">
        <v>65294</v>
      </c>
      <c r="O440" s="730">
        <v>65294</v>
      </c>
      <c r="P440" s="459">
        <v>65302</v>
      </c>
      <c r="Q440" s="432" t="s">
        <v>51</v>
      </c>
      <c r="R440" s="322"/>
      <c r="S440" s="322"/>
      <c r="T440" s="322"/>
      <c r="U440" s="322"/>
      <c r="V440" s="322"/>
      <c r="W440" s="322"/>
      <c r="X440" s="322"/>
      <c r="Y440" s="322"/>
      <c r="Z440" s="322"/>
      <c r="AA440" s="322"/>
      <c r="AB440" s="322"/>
      <c r="AC440" s="322"/>
      <c r="AD440" s="322"/>
      <c r="AE440" s="322"/>
      <c r="AF440" s="322"/>
      <c r="AG440" s="322"/>
      <c r="AH440" s="322"/>
      <c r="AI440" s="322"/>
      <c r="AJ440" s="322"/>
      <c r="AK440" s="322"/>
      <c r="AL440" s="322"/>
      <c r="AM440" s="322"/>
      <c r="AN440" s="322"/>
      <c r="AO440" s="322"/>
      <c r="AP440" s="322"/>
      <c r="AQ440" s="322"/>
      <c r="AR440" s="322"/>
      <c r="AS440" s="322"/>
      <c r="AT440" s="322"/>
      <c r="AU440" s="322"/>
      <c r="AV440" s="322"/>
      <c r="AW440" s="322"/>
      <c r="AX440" s="322"/>
      <c r="AY440" s="322"/>
      <c r="AZ440" s="322"/>
      <c r="BA440" s="322"/>
      <c r="BB440" s="322"/>
      <c r="BC440" s="322"/>
      <c r="BD440" s="322"/>
      <c r="BE440" s="322"/>
      <c r="BF440" s="322"/>
      <c r="BG440" s="322"/>
      <c r="BH440" s="322"/>
      <c r="BI440" s="322"/>
      <c r="BJ440" s="322"/>
      <c r="BK440" s="322"/>
      <c r="BL440" s="322"/>
      <c r="BM440" s="322"/>
      <c r="BN440" s="322"/>
      <c r="BO440" s="322"/>
      <c r="BP440" s="322"/>
      <c r="BQ440" s="322"/>
      <c r="BR440" s="322"/>
      <c r="BS440" s="322"/>
      <c r="BT440" s="322"/>
      <c r="BU440" s="322"/>
      <c r="BV440" s="322"/>
      <c r="BW440" s="322"/>
      <c r="BX440" s="322"/>
      <c r="BY440" s="322"/>
      <c r="BZ440" s="322"/>
      <c r="CA440" s="322"/>
      <c r="CB440" s="322"/>
      <c r="CC440" s="322"/>
      <c r="CD440" s="322"/>
      <c r="CE440" s="322"/>
      <c r="CF440" s="322"/>
      <c r="CG440" s="322"/>
      <c r="CH440" s="322"/>
      <c r="CI440" s="322"/>
      <c r="CJ440" s="322"/>
      <c r="CK440" s="322"/>
      <c r="CL440" s="322"/>
      <c r="CM440" s="322"/>
      <c r="CN440" s="322"/>
      <c r="CO440" s="322"/>
      <c r="CP440" s="322"/>
      <c r="CQ440" s="322"/>
      <c r="CR440" s="322"/>
      <c r="CS440" s="322"/>
      <c r="CT440" s="322"/>
      <c r="CU440" s="322"/>
      <c r="CV440" s="322"/>
      <c r="CW440" s="322"/>
      <c r="CX440" s="322"/>
      <c r="CY440" s="322"/>
    </row>
    <row r="441" spans="1:103" s="432" customFormat="1">
      <c r="A441" s="509">
        <f t="shared" si="6"/>
        <v>440</v>
      </c>
      <c r="B441" s="1332" t="s">
        <v>43</v>
      </c>
      <c r="C441" s="943" t="s">
        <v>44</v>
      </c>
      <c r="D441" s="943" t="s">
        <v>45</v>
      </c>
      <c r="E441" s="432" t="s">
        <v>5823</v>
      </c>
      <c r="F441" s="434">
        <v>6</v>
      </c>
      <c r="G441" s="434">
        <v>9857844733</v>
      </c>
      <c r="I441" s="434">
        <v>28</v>
      </c>
      <c r="J441" s="434" t="s">
        <v>90</v>
      </c>
      <c r="K441" s="434" t="s">
        <v>3293</v>
      </c>
      <c r="L441" s="434"/>
      <c r="M441" s="434" t="s">
        <v>1764</v>
      </c>
      <c r="N441" s="730">
        <v>65294</v>
      </c>
      <c r="O441" s="730">
        <v>65294</v>
      </c>
      <c r="P441" s="459">
        <v>65302</v>
      </c>
      <c r="Q441" s="432" t="s">
        <v>51</v>
      </c>
      <c r="R441" s="322"/>
      <c r="S441" s="322"/>
      <c r="T441" s="322"/>
      <c r="U441" s="322"/>
      <c r="V441" s="322"/>
      <c r="W441" s="322"/>
      <c r="X441" s="322"/>
      <c r="Y441" s="322"/>
      <c r="Z441" s="322"/>
      <c r="AA441" s="322"/>
      <c r="AB441" s="322"/>
      <c r="AC441" s="322"/>
      <c r="AD441" s="322"/>
      <c r="AE441" s="322"/>
      <c r="AF441" s="322"/>
      <c r="AG441" s="322"/>
      <c r="AH441" s="322"/>
      <c r="AI441" s="322"/>
      <c r="AJ441" s="322"/>
      <c r="AK441" s="322"/>
      <c r="AL441" s="322"/>
      <c r="AM441" s="322"/>
      <c r="AN441" s="322"/>
      <c r="AO441" s="322"/>
      <c r="AP441" s="322"/>
      <c r="AQ441" s="322"/>
      <c r="AR441" s="322"/>
      <c r="AS441" s="322"/>
      <c r="AT441" s="322"/>
      <c r="AU441" s="322"/>
      <c r="AV441" s="322"/>
      <c r="AW441" s="322"/>
      <c r="AX441" s="322"/>
      <c r="AY441" s="322"/>
      <c r="AZ441" s="322"/>
      <c r="BA441" s="322"/>
      <c r="BB441" s="322"/>
      <c r="BC441" s="322"/>
      <c r="BD441" s="322"/>
      <c r="BE441" s="322"/>
      <c r="BF441" s="322"/>
      <c r="BG441" s="322"/>
      <c r="BH441" s="322"/>
      <c r="BI441" s="322"/>
      <c r="BJ441" s="322"/>
      <c r="BK441" s="322"/>
      <c r="BL441" s="322"/>
      <c r="BM441" s="322"/>
      <c r="BN441" s="322"/>
      <c r="BO441" s="322"/>
      <c r="BP441" s="322"/>
      <c r="BQ441" s="322"/>
      <c r="BR441" s="322"/>
      <c r="BS441" s="322"/>
      <c r="BT441" s="322"/>
      <c r="BU441" s="322"/>
      <c r="BV441" s="322"/>
      <c r="BW441" s="322"/>
      <c r="BX441" s="322"/>
      <c r="BY441" s="322"/>
      <c r="BZ441" s="322"/>
      <c r="CA441" s="322"/>
      <c r="CB441" s="322"/>
      <c r="CC441" s="322"/>
      <c r="CD441" s="322"/>
      <c r="CE441" s="322"/>
      <c r="CF441" s="322"/>
      <c r="CG441" s="322"/>
      <c r="CH441" s="322"/>
      <c r="CI441" s="322"/>
      <c r="CJ441" s="322"/>
      <c r="CK441" s="322"/>
      <c r="CL441" s="322"/>
      <c r="CM441" s="322"/>
      <c r="CN441" s="322"/>
      <c r="CO441" s="322"/>
      <c r="CP441" s="322"/>
      <c r="CQ441" s="322"/>
      <c r="CR441" s="322"/>
      <c r="CS441" s="322"/>
      <c r="CT441" s="322"/>
      <c r="CU441" s="322"/>
      <c r="CV441" s="322"/>
      <c r="CW441" s="322"/>
      <c r="CX441" s="322"/>
      <c r="CY441" s="322"/>
    </row>
    <row r="442" spans="1:103" s="432" customFormat="1">
      <c r="A442" s="509">
        <f t="shared" si="6"/>
        <v>441</v>
      </c>
      <c r="B442" s="1332" t="s">
        <v>43</v>
      </c>
      <c r="C442" s="943" t="s">
        <v>44</v>
      </c>
      <c r="D442" s="943" t="s">
        <v>45</v>
      </c>
      <c r="E442" s="432" t="s">
        <v>5824</v>
      </c>
      <c r="F442" s="434">
        <v>5</v>
      </c>
      <c r="G442" s="434">
        <v>9863133104</v>
      </c>
      <c r="I442" s="434">
        <v>6</v>
      </c>
      <c r="J442" s="434" t="s">
        <v>90</v>
      </c>
      <c r="K442" s="434" t="s">
        <v>3293</v>
      </c>
      <c r="L442" s="434"/>
      <c r="M442" s="434" t="s">
        <v>1764</v>
      </c>
      <c r="N442" s="730">
        <v>65294</v>
      </c>
      <c r="O442" s="730">
        <v>65294</v>
      </c>
      <c r="P442" s="459">
        <v>65302</v>
      </c>
      <c r="Q442" s="432" t="s">
        <v>51</v>
      </c>
      <c r="R442" s="322"/>
      <c r="S442" s="322"/>
      <c r="T442" s="322"/>
      <c r="U442" s="322"/>
      <c r="V442" s="322"/>
      <c r="W442" s="322"/>
      <c r="X442" s="322"/>
      <c r="Y442" s="322"/>
      <c r="Z442" s="322"/>
      <c r="AA442" s="322"/>
      <c r="AB442" s="322"/>
      <c r="AC442" s="322"/>
      <c r="AD442" s="322"/>
      <c r="AE442" s="322"/>
      <c r="AF442" s="322"/>
      <c r="AG442" s="322"/>
      <c r="AH442" s="322"/>
      <c r="AI442" s="322"/>
      <c r="AJ442" s="322"/>
      <c r="AK442" s="322"/>
      <c r="AL442" s="322"/>
      <c r="AM442" s="322"/>
      <c r="AN442" s="322"/>
      <c r="AO442" s="322"/>
      <c r="AP442" s="322"/>
      <c r="AQ442" s="322"/>
      <c r="AR442" s="322"/>
      <c r="AS442" s="322"/>
      <c r="AT442" s="322"/>
      <c r="AU442" s="322"/>
      <c r="AV442" s="322"/>
      <c r="AW442" s="322"/>
      <c r="AX442" s="322"/>
      <c r="AY442" s="322"/>
      <c r="AZ442" s="322"/>
      <c r="BA442" s="322"/>
      <c r="BB442" s="322"/>
      <c r="BC442" s="322"/>
      <c r="BD442" s="322"/>
      <c r="BE442" s="322"/>
      <c r="BF442" s="322"/>
      <c r="BG442" s="322"/>
      <c r="BH442" s="322"/>
      <c r="BI442" s="322"/>
      <c r="BJ442" s="322"/>
      <c r="BK442" s="322"/>
      <c r="BL442" s="322"/>
      <c r="BM442" s="322"/>
      <c r="BN442" s="322"/>
      <c r="BO442" s="322"/>
      <c r="BP442" s="322"/>
      <c r="BQ442" s="322"/>
      <c r="BR442" s="322"/>
      <c r="BS442" s="322"/>
      <c r="BT442" s="322"/>
      <c r="BU442" s="322"/>
      <c r="BV442" s="322"/>
      <c r="BW442" s="322"/>
      <c r="BX442" s="322"/>
      <c r="BY442" s="322"/>
      <c r="BZ442" s="322"/>
      <c r="CA442" s="322"/>
      <c r="CB442" s="322"/>
      <c r="CC442" s="322"/>
      <c r="CD442" s="322"/>
      <c r="CE442" s="322"/>
      <c r="CF442" s="322"/>
      <c r="CG442" s="322"/>
      <c r="CH442" s="322"/>
      <c r="CI442" s="322"/>
      <c r="CJ442" s="322"/>
      <c r="CK442" s="322"/>
      <c r="CL442" s="322"/>
      <c r="CM442" s="322"/>
      <c r="CN442" s="322"/>
      <c r="CO442" s="322"/>
      <c r="CP442" s="322"/>
      <c r="CQ442" s="322"/>
      <c r="CR442" s="322"/>
      <c r="CS442" s="322"/>
      <c r="CT442" s="322"/>
      <c r="CU442" s="322"/>
      <c r="CV442" s="322"/>
      <c r="CW442" s="322"/>
      <c r="CX442" s="322"/>
      <c r="CY442" s="322"/>
    </row>
    <row r="443" spans="1:103" s="432" customFormat="1">
      <c r="A443" s="509">
        <f t="shared" si="6"/>
        <v>442</v>
      </c>
      <c r="B443" s="1332" t="s">
        <v>43</v>
      </c>
      <c r="C443" s="943" t="s">
        <v>44</v>
      </c>
      <c r="D443" s="943" t="s">
        <v>45</v>
      </c>
      <c r="E443" s="432" t="s">
        <v>5825</v>
      </c>
      <c r="F443" s="434">
        <v>5</v>
      </c>
      <c r="G443" s="434">
        <v>9810949060</v>
      </c>
      <c r="I443" s="434">
        <v>29</v>
      </c>
      <c r="J443" s="434" t="s">
        <v>90</v>
      </c>
      <c r="K443" s="434" t="s">
        <v>3293</v>
      </c>
      <c r="L443" s="434"/>
      <c r="M443" s="434" t="s">
        <v>1764</v>
      </c>
      <c r="N443" s="730">
        <v>65294</v>
      </c>
      <c r="O443" s="730">
        <v>65294</v>
      </c>
      <c r="P443" s="459">
        <v>65302</v>
      </c>
      <c r="Q443" s="432" t="s">
        <v>51</v>
      </c>
      <c r="R443" s="322"/>
      <c r="S443" s="322"/>
      <c r="T443" s="322"/>
      <c r="U443" s="322"/>
      <c r="V443" s="322"/>
      <c r="W443" s="322"/>
      <c r="X443" s="322"/>
      <c r="Y443" s="322"/>
      <c r="Z443" s="322"/>
      <c r="AA443" s="322"/>
      <c r="AB443" s="322"/>
      <c r="AC443" s="322"/>
      <c r="AD443" s="322"/>
      <c r="AE443" s="322"/>
      <c r="AF443" s="322"/>
      <c r="AG443" s="322"/>
      <c r="AH443" s="322"/>
      <c r="AI443" s="322"/>
      <c r="AJ443" s="322"/>
      <c r="AK443" s="322"/>
      <c r="AL443" s="322"/>
      <c r="AM443" s="322"/>
      <c r="AN443" s="322"/>
      <c r="AO443" s="322"/>
      <c r="AP443" s="322"/>
      <c r="AQ443" s="322"/>
      <c r="AR443" s="322"/>
      <c r="AS443" s="322"/>
      <c r="AT443" s="322"/>
      <c r="AU443" s="322"/>
      <c r="AV443" s="322"/>
      <c r="AW443" s="322"/>
      <c r="AX443" s="322"/>
      <c r="AY443" s="322"/>
      <c r="AZ443" s="322"/>
      <c r="BA443" s="322"/>
      <c r="BB443" s="322"/>
      <c r="BC443" s="322"/>
      <c r="BD443" s="322"/>
      <c r="BE443" s="322"/>
      <c r="BF443" s="322"/>
      <c r="BG443" s="322"/>
      <c r="BH443" s="322"/>
      <c r="BI443" s="322"/>
      <c r="BJ443" s="322"/>
      <c r="BK443" s="322"/>
      <c r="BL443" s="322"/>
      <c r="BM443" s="322"/>
      <c r="BN443" s="322"/>
      <c r="BO443" s="322"/>
      <c r="BP443" s="322"/>
      <c r="BQ443" s="322"/>
      <c r="BR443" s="322"/>
      <c r="BS443" s="322"/>
      <c r="BT443" s="322"/>
      <c r="BU443" s="322"/>
      <c r="BV443" s="322"/>
      <c r="BW443" s="322"/>
      <c r="BX443" s="322"/>
      <c r="BY443" s="322"/>
      <c r="BZ443" s="322"/>
      <c r="CA443" s="322"/>
      <c r="CB443" s="322"/>
      <c r="CC443" s="322"/>
      <c r="CD443" s="322"/>
      <c r="CE443" s="322"/>
      <c r="CF443" s="322"/>
      <c r="CG443" s="322"/>
      <c r="CH443" s="322"/>
      <c r="CI443" s="322"/>
      <c r="CJ443" s="322"/>
      <c r="CK443" s="322"/>
      <c r="CL443" s="322"/>
      <c r="CM443" s="322"/>
      <c r="CN443" s="322"/>
      <c r="CO443" s="322"/>
      <c r="CP443" s="322"/>
      <c r="CQ443" s="322"/>
      <c r="CR443" s="322"/>
      <c r="CS443" s="322"/>
      <c r="CT443" s="322"/>
      <c r="CU443" s="322"/>
      <c r="CV443" s="322"/>
      <c r="CW443" s="322"/>
      <c r="CX443" s="322"/>
      <c r="CY443" s="322"/>
    </row>
    <row r="444" spans="1:103" s="432" customFormat="1">
      <c r="A444" s="509">
        <f t="shared" si="6"/>
        <v>443</v>
      </c>
      <c r="B444" s="1332" t="s">
        <v>43</v>
      </c>
      <c r="C444" s="943" t="s">
        <v>44</v>
      </c>
      <c r="D444" s="943" t="s">
        <v>45</v>
      </c>
      <c r="E444" s="432" t="s">
        <v>5826</v>
      </c>
      <c r="F444" s="434">
        <v>6</v>
      </c>
      <c r="G444" s="434">
        <v>9857858100</v>
      </c>
      <c r="I444" s="434">
        <v>23</v>
      </c>
      <c r="J444" s="120" t="s">
        <v>48</v>
      </c>
      <c r="K444" s="434" t="s">
        <v>3293</v>
      </c>
      <c r="L444" s="434"/>
      <c r="M444" s="434" t="s">
        <v>1764</v>
      </c>
      <c r="N444" s="730">
        <v>65294</v>
      </c>
      <c r="O444" s="730">
        <v>65294</v>
      </c>
      <c r="P444" s="459">
        <v>65302</v>
      </c>
      <c r="Q444" s="432" t="s">
        <v>51</v>
      </c>
      <c r="R444" s="322"/>
      <c r="S444" s="322"/>
      <c r="T444" s="322"/>
      <c r="U444" s="322"/>
      <c r="V444" s="322"/>
      <c r="W444" s="322"/>
      <c r="X444" s="322"/>
      <c r="Y444" s="322"/>
      <c r="Z444" s="322"/>
      <c r="AA444" s="322"/>
      <c r="AB444" s="322"/>
      <c r="AC444" s="322"/>
      <c r="AD444" s="322"/>
      <c r="AE444" s="322"/>
      <c r="AF444" s="322"/>
      <c r="AG444" s="322"/>
      <c r="AH444" s="322"/>
      <c r="AI444" s="322"/>
      <c r="AJ444" s="322"/>
      <c r="AK444" s="322"/>
      <c r="AL444" s="322"/>
      <c r="AM444" s="322"/>
      <c r="AN444" s="322"/>
      <c r="AO444" s="322"/>
      <c r="AP444" s="322"/>
      <c r="AQ444" s="322"/>
      <c r="AR444" s="322"/>
      <c r="AS444" s="322"/>
      <c r="AT444" s="322"/>
      <c r="AU444" s="322"/>
      <c r="AV444" s="322"/>
      <c r="AW444" s="322"/>
      <c r="AX444" s="322"/>
      <c r="AY444" s="322"/>
      <c r="AZ444" s="322"/>
      <c r="BA444" s="322"/>
      <c r="BB444" s="322"/>
      <c r="BC444" s="322"/>
      <c r="BD444" s="322"/>
      <c r="BE444" s="322"/>
      <c r="BF444" s="322"/>
      <c r="BG444" s="322"/>
      <c r="BH444" s="322"/>
      <c r="BI444" s="322"/>
      <c r="BJ444" s="322"/>
      <c r="BK444" s="322"/>
      <c r="BL444" s="322"/>
      <c r="BM444" s="322"/>
      <c r="BN444" s="322"/>
      <c r="BO444" s="322"/>
      <c r="BP444" s="322"/>
      <c r="BQ444" s="322"/>
      <c r="BR444" s="322"/>
      <c r="BS444" s="322"/>
      <c r="BT444" s="322"/>
      <c r="BU444" s="322"/>
      <c r="BV444" s="322"/>
      <c r="BW444" s="322"/>
      <c r="BX444" s="322"/>
      <c r="BY444" s="322"/>
      <c r="BZ444" s="322"/>
      <c r="CA444" s="322"/>
      <c r="CB444" s="322"/>
      <c r="CC444" s="322"/>
      <c r="CD444" s="322"/>
      <c r="CE444" s="322"/>
      <c r="CF444" s="322"/>
      <c r="CG444" s="322"/>
      <c r="CH444" s="322"/>
      <c r="CI444" s="322"/>
      <c r="CJ444" s="322"/>
      <c r="CK444" s="322"/>
      <c r="CL444" s="322"/>
      <c r="CM444" s="322"/>
      <c r="CN444" s="322"/>
      <c r="CO444" s="322"/>
      <c r="CP444" s="322"/>
      <c r="CQ444" s="322"/>
      <c r="CR444" s="322"/>
      <c r="CS444" s="322"/>
      <c r="CT444" s="322"/>
      <c r="CU444" s="322"/>
      <c r="CV444" s="322"/>
      <c r="CW444" s="322"/>
      <c r="CX444" s="322"/>
      <c r="CY444" s="322"/>
    </row>
    <row r="445" spans="1:103" s="432" customFormat="1">
      <c r="A445" s="509">
        <f t="shared" si="6"/>
        <v>444</v>
      </c>
      <c r="B445" s="1332" t="s">
        <v>43</v>
      </c>
      <c r="C445" s="943" t="s">
        <v>44</v>
      </c>
      <c r="D445" s="943" t="s">
        <v>45</v>
      </c>
      <c r="E445" s="432" t="s">
        <v>5827</v>
      </c>
      <c r="F445" s="434">
        <v>5</v>
      </c>
      <c r="G445" s="434">
        <v>9847993712</v>
      </c>
      <c r="I445" s="434">
        <v>43</v>
      </c>
      <c r="J445" s="120" t="s">
        <v>48</v>
      </c>
      <c r="K445" s="434" t="s">
        <v>3293</v>
      </c>
      <c r="L445" s="434"/>
      <c r="M445" s="434" t="s">
        <v>1764</v>
      </c>
      <c r="N445" s="730">
        <v>65294</v>
      </c>
      <c r="O445" s="730">
        <v>65294</v>
      </c>
      <c r="P445" s="459">
        <v>65302</v>
      </c>
      <c r="Q445" s="432" t="s">
        <v>51</v>
      </c>
      <c r="R445" s="322"/>
      <c r="S445" s="322"/>
      <c r="T445" s="322"/>
      <c r="U445" s="322"/>
      <c r="V445" s="322"/>
      <c r="W445" s="322"/>
      <c r="X445" s="322"/>
      <c r="Y445" s="322"/>
      <c r="Z445" s="322"/>
      <c r="AA445" s="322"/>
      <c r="AB445" s="322"/>
      <c r="AC445" s="322"/>
      <c r="AD445" s="322"/>
      <c r="AE445" s="322"/>
      <c r="AF445" s="322"/>
      <c r="AG445" s="322"/>
      <c r="AH445" s="322"/>
      <c r="AI445" s="322"/>
      <c r="AJ445" s="322"/>
      <c r="AK445" s="322"/>
      <c r="AL445" s="322"/>
      <c r="AM445" s="322"/>
      <c r="AN445" s="322"/>
      <c r="AO445" s="322"/>
      <c r="AP445" s="322"/>
      <c r="AQ445" s="322"/>
      <c r="AR445" s="322"/>
      <c r="AS445" s="322"/>
      <c r="AT445" s="322"/>
      <c r="AU445" s="322"/>
      <c r="AV445" s="322"/>
      <c r="AW445" s="322"/>
      <c r="AX445" s="322"/>
      <c r="AY445" s="322"/>
      <c r="AZ445" s="322"/>
      <c r="BA445" s="322"/>
      <c r="BB445" s="322"/>
      <c r="BC445" s="322"/>
      <c r="BD445" s="322"/>
      <c r="BE445" s="322"/>
      <c r="BF445" s="322"/>
      <c r="BG445" s="322"/>
      <c r="BH445" s="322"/>
      <c r="BI445" s="322"/>
      <c r="BJ445" s="322"/>
      <c r="BK445" s="322"/>
      <c r="BL445" s="322"/>
      <c r="BM445" s="322"/>
      <c r="BN445" s="322"/>
      <c r="BO445" s="322"/>
      <c r="BP445" s="322"/>
      <c r="BQ445" s="322"/>
      <c r="BR445" s="322"/>
      <c r="BS445" s="322"/>
      <c r="BT445" s="322"/>
      <c r="BU445" s="322"/>
      <c r="BV445" s="322"/>
      <c r="BW445" s="322"/>
      <c r="BX445" s="322"/>
      <c r="BY445" s="322"/>
      <c r="BZ445" s="322"/>
      <c r="CA445" s="322"/>
      <c r="CB445" s="322"/>
      <c r="CC445" s="322"/>
      <c r="CD445" s="322"/>
      <c r="CE445" s="322"/>
      <c r="CF445" s="322"/>
      <c r="CG445" s="322"/>
      <c r="CH445" s="322"/>
      <c r="CI445" s="322"/>
      <c r="CJ445" s="322"/>
      <c r="CK445" s="322"/>
      <c r="CL445" s="322"/>
      <c r="CM445" s="322"/>
      <c r="CN445" s="322"/>
      <c r="CO445" s="322"/>
      <c r="CP445" s="322"/>
      <c r="CQ445" s="322"/>
      <c r="CR445" s="322"/>
      <c r="CS445" s="322"/>
      <c r="CT445" s="322"/>
      <c r="CU445" s="322"/>
      <c r="CV445" s="322"/>
      <c r="CW445" s="322"/>
      <c r="CX445" s="322"/>
      <c r="CY445" s="322"/>
    </row>
    <row r="446" spans="1:103" s="432" customFormat="1">
      <c r="A446" s="509">
        <f t="shared" si="6"/>
        <v>445</v>
      </c>
      <c r="B446" s="1332" t="s">
        <v>43</v>
      </c>
      <c r="C446" s="943" t="s">
        <v>44</v>
      </c>
      <c r="D446" s="943" t="s">
        <v>45</v>
      </c>
      <c r="E446" s="432" t="s">
        <v>5828</v>
      </c>
      <c r="F446" s="434">
        <v>8</v>
      </c>
      <c r="G446" s="434">
        <v>9809510783</v>
      </c>
      <c r="I446" s="434">
        <v>13</v>
      </c>
      <c r="J446" s="434" t="s">
        <v>90</v>
      </c>
      <c r="K446" s="434" t="s">
        <v>5405</v>
      </c>
      <c r="L446" s="434"/>
      <c r="M446" s="434" t="s">
        <v>1764</v>
      </c>
      <c r="N446" s="730">
        <v>65295</v>
      </c>
      <c r="O446" s="730">
        <v>65295</v>
      </c>
      <c r="P446" s="459">
        <v>65305</v>
      </c>
      <c r="Q446" s="432" t="s">
        <v>51</v>
      </c>
      <c r="R446" s="322"/>
      <c r="S446" s="322"/>
      <c r="T446" s="322"/>
      <c r="U446" s="322"/>
      <c r="V446" s="322"/>
      <c r="W446" s="322"/>
      <c r="X446" s="322"/>
      <c r="Y446" s="322"/>
      <c r="Z446" s="322"/>
      <c r="AA446" s="322"/>
      <c r="AB446" s="322"/>
      <c r="AC446" s="322"/>
      <c r="AD446" s="322"/>
      <c r="AE446" s="322"/>
      <c r="AF446" s="322"/>
      <c r="AG446" s="322"/>
      <c r="AH446" s="322"/>
      <c r="AI446" s="322"/>
      <c r="AJ446" s="322"/>
      <c r="AK446" s="322"/>
      <c r="AL446" s="322"/>
      <c r="AM446" s="322"/>
      <c r="AN446" s="322"/>
      <c r="AO446" s="322"/>
      <c r="AP446" s="322"/>
      <c r="AQ446" s="322"/>
      <c r="AR446" s="322"/>
      <c r="AS446" s="322"/>
      <c r="AT446" s="322"/>
      <c r="AU446" s="322"/>
      <c r="AV446" s="322"/>
      <c r="AW446" s="322"/>
      <c r="AX446" s="322"/>
      <c r="AY446" s="322"/>
      <c r="AZ446" s="322"/>
      <c r="BA446" s="322"/>
      <c r="BB446" s="322"/>
      <c r="BC446" s="322"/>
      <c r="BD446" s="322"/>
      <c r="BE446" s="322"/>
      <c r="BF446" s="322"/>
      <c r="BG446" s="322"/>
      <c r="BH446" s="322"/>
      <c r="BI446" s="322"/>
      <c r="BJ446" s="322"/>
      <c r="BK446" s="322"/>
      <c r="BL446" s="322"/>
      <c r="BM446" s="322"/>
      <c r="BN446" s="322"/>
      <c r="BO446" s="322"/>
      <c r="BP446" s="322"/>
      <c r="BQ446" s="322"/>
      <c r="BR446" s="322"/>
      <c r="BS446" s="322"/>
      <c r="BT446" s="322"/>
      <c r="BU446" s="322"/>
      <c r="BV446" s="322"/>
      <c r="BW446" s="322"/>
      <c r="BX446" s="322"/>
      <c r="BY446" s="322"/>
      <c r="BZ446" s="322"/>
      <c r="CA446" s="322"/>
      <c r="CB446" s="322"/>
      <c r="CC446" s="322"/>
      <c r="CD446" s="322"/>
      <c r="CE446" s="322"/>
      <c r="CF446" s="322"/>
      <c r="CG446" s="322"/>
      <c r="CH446" s="322"/>
      <c r="CI446" s="322"/>
      <c r="CJ446" s="322"/>
      <c r="CK446" s="322"/>
      <c r="CL446" s="322"/>
      <c r="CM446" s="322"/>
      <c r="CN446" s="322"/>
      <c r="CO446" s="322"/>
      <c r="CP446" s="322"/>
      <c r="CQ446" s="322"/>
      <c r="CR446" s="322"/>
      <c r="CS446" s="322"/>
      <c r="CT446" s="322"/>
      <c r="CU446" s="322"/>
      <c r="CV446" s="322"/>
      <c r="CW446" s="322"/>
      <c r="CX446" s="322"/>
      <c r="CY446" s="322"/>
    </row>
    <row r="447" spans="1:103" s="432" customFormat="1">
      <c r="A447" s="509">
        <f t="shared" si="6"/>
        <v>446</v>
      </c>
      <c r="B447" s="1332" t="s">
        <v>43</v>
      </c>
      <c r="C447" s="943" t="s">
        <v>44</v>
      </c>
      <c r="D447" s="943" t="s">
        <v>45</v>
      </c>
      <c r="E447" s="432" t="s">
        <v>5829</v>
      </c>
      <c r="F447" s="434">
        <v>1</v>
      </c>
      <c r="G447" s="434">
        <v>9806277933</v>
      </c>
      <c r="I447" s="434">
        <v>72</v>
      </c>
      <c r="J447" s="434" t="s">
        <v>90</v>
      </c>
      <c r="K447" s="434" t="s">
        <v>5405</v>
      </c>
      <c r="L447" s="434"/>
      <c r="M447" s="434" t="s">
        <v>1764</v>
      </c>
      <c r="N447" s="730">
        <v>65295</v>
      </c>
      <c r="O447" s="730">
        <v>65295</v>
      </c>
      <c r="P447" s="459">
        <v>65305</v>
      </c>
      <c r="Q447" s="432" t="s">
        <v>51</v>
      </c>
      <c r="R447" s="322"/>
      <c r="S447" s="322"/>
      <c r="T447" s="322"/>
      <c r="U447" s="322"/>
      <c r="V447" s="322"/>
      <c r="W447" s="322"/>
      <c r="X447" s="322"/>
      <c r="Y447" s="322"/>
      <c r="Z447" s="322"/>
      <c r="AA447" s="322"/>
      <c r="AB447" s="322"/>
      <c r="AC447" s="322"/>
      <c r="AD447" s="322"/>
      <c r="AE447" s="322"/>
      <c r="AF447" s="322"/>
      <c r="AG447" s="322"/>
      <c r="AH447" s="322"/>
      <c r="AI447" s="322"/>
      <c r="AJ447" s="322"/>
      <c r="AK447" s="322"/>
      <c r="AL447" s="322"/>
      <c r="AM447" s="322"/>
      <c r="AN447" s="322"/>
      <c r="AO447" s="322"/>
      <c r="AP447" s="322"/>
      <c r="AQ447" s="322"/>
      <c r="AR447" s="322"/>
      <c r="AS447" s="322"/>
      <c r="AT447" s="322"/>
      <c r="AU447" s="322"/>
      <c r="AV447" s="322"/>
      <c r="AW447" s="322"/>
      <c r="AX447" s="322"/>
      <c r="AY447" s="322"/>
      <c r="AZ447" s="322"/>
      <c r="BA447" s="322"/>
      <c r="BB447" s="322"/>
      <c r="BC447" s="322"/>
      <c r="BD447" s="322"/>
      <c r="BE447" s="322"/>
      <c r="BF447" s="322"/>
      <c r="BG447" s="322"/>
      <c r="BH447" s="322"/>
      <c r="BI447" s="322"/>
      <c r="BJ447" s="322"/>
      <c r="BK447" s="322"/>
      <c r="BL447" s="322"/>
      <c r="BM447" s="322"/>
      <c r="BN447" s="322"/>
      <c r="BO447" s="322"/>
      <c r="BP447" s="322"/>
      <c r="BQ447" s="322"/>
      <c r="BR447" s="322"/>
      <c r="BS447" s="322"/>
      <c r="BT447" s="322"/>
      <c r="BU447" s="322"/>
      <c r="BV447" s="322"/>
      <c r="BW447" s="322"/>
      <c r="BX447" s="322"/>
      <c r="BY447" s="322"/>
      <c r="BZ447" s="322"/>
      <c r="CA447" s="322"/>
      <c r="CB447" s="322"/>
      <c r="CC447" s="322"/>
      <c r="CD447" s="322"/>
      <c r="CE447" s="322"/>
      <c r="CF447" s="322"/>
      <c r="CG447" s="322"/>
      <c r="CH447" s="322"/>
      <c r="CI447" s="322"/>
      <c r="CJ447" s="322"/>
      <c r="CK447" s="322"/>
      <c r="CL447" s="322"/>
      <c r="CM447" s="322"/>
      <c r="CN447" s="322"/>
      <c r="CO447" s="322"/>
      <c r="CP447" s="322"/>
      <c r="CQ447" s="322"/>
      <c r="CR447" s="322"/>
      <c r="CS447" s="322"/>
      <c r="CT447" s="322"/>
      <c r="CU447" s="322"/>
      <c r="CV447" s="322"/>
      <c r="CW447" s="322"/>
      <c r="CX447" s="322"/>
      <c r="CY447" s="322"/>
    </row>
    <row r="448" spans="1:103" s="432" customFormat="1">
      <c r="A448" s="509">
        <f t="shared" si="6"/>
        <v>447</v>
      </c>
      <c r="B448" s="1332" t="s">
        <v>43</v>
      </c>
      <c r="C448" s="943" t="s">
        <v>44</v>
      </c>
      <c r="D448" s="943" t="s">
        <v>45</v>
      </c>
      <c r="E448" s="432" t="s">
        <v>5830</v>
      </c>
      <c r="F448" s="434">
        <v>6</v>
      </c>
      <c r="G448" s="434">
        <v>9857850112</v>
      </c>
      <c r="I448" s="434">
        <v>23</v>
      </c>
      <c r="J448" s="434" t="s">
        <v>90</v>
      </c>
      <c r="K448" s="434" t="s">
        <v>5405</v>
      </c>
      <c r="L448" s="434"/>
      <c r="M448" s="434" t="s">
        <v>1764</v>
      </c>
      <c r="N448" s="730">
        <v>65295</v>
      </c>
      <c r="O448" s="730">
        <v>65295</v>
      </c>
      <c r="P448" s="459">
        <v>65305</v>
      </c>
      <c r="Q448" s="432" t="s">
        <v>51</v>
      </c>
      <c r="R448" s="322"/>
      <c r="S448" s="322"/>
      <c r="T448" s="322"/>
      <c r="U448" s="322"/>
      <c r="V448" s="322"/>
      <c r="W448" s="322"/>
      <c r="X448" s="322"/>
      <c r="Y448" s="322"/>
      <c r="Z448" s="322"/>
      <c r="AA448" s="322"/>
      <c r="AB448" s="322"/>
      <c r="AC448" s="322"/>
      <c r="AD448" s="322"/>
      <c r="AE448" s="322"/>
      <c r="AF448" s="322"/>
      <c r="AG448" s="322"/>
      <c r="AH448" s="322"/>
      <c r="AI448" s="322"/>
      <c r="AJ448" s="322"/>
      <c r="AK448" s="322"/>
      <c r="AL448" s="322"/>
      <c r="AM448" s="322"/>
      <c r="AN448" s="322"/>
      <c r="AO448" s="322"/>
      <c r="AP448" s="322"/>
      <c r="AQ448" s="322"/>
      <c r="AR448" s="322"/>
      <c r="AS448" s="322"/>
      <c r="AT448" s="322"/>
      <c r="AU448" s="322"/>
      <c r="AV448" s="322"/>
      <c r="AW448" s="322"/>
      <c r="AX448" s="322"/>
      <c r="AY448" s="322"/>
      <c r="AZ448" s="322"/>
      <c r="BA448" s="322"/>
      <c r="BB448" s="322"/>
      <c r="BC448" s="322"/>
      <c r="BD448" s="322"/>
      <c r="BE448" s="322"/>
      <c r="BF448" s="322"/>
      <c r="BG448" s="322"/>
      <c r="BH448" s="322"/>
      <c r="BI448" s="322"/>
      <c r="BJ448" s="322"/>
      <c r="BK448" s="322"/>
      <c r="BL448" s="322"/>
      <c r="BM448" s="322"/>
      <c r="BN448" s="322"/>
      <c r="BO448" s="322"/>
      <c r="BP448" s="322"/>
      <c r="BQ448" s="322"/>
      <c r="BR448" s="322"/>
      <c r="BS448" s="322"/>
      <c r="BT448" s="322"/>
      <c r="BU448" s="322"/>
      <c r="BV448" s="322"/>
      <c r="BW448" s="322"/>
      <c r="BX448" s="322"/>
      <c r="BY448" s="322"/>
      <c r="BZ448" s="322"/>
      <c r="CA448" s="322"/>
      <c r="CB448" s="322"/>
      <c r="CC448" s="322"/>
      <c r="CD448" s="322"/>
      <c r="CE448" s="322"/>
      <c r="CF448" s="322"/>
      <c r="CG448" s="322"/>
      <c r="CH448" s="322"/>
      <c r="CI448" s="322"/>
      <c r="CJ448" s="322"/>
      <c r="CK448" s="322"/>
      <c r="CL448" s="322"/>
      <c r="CM448" s="322"/>
      <c r="CN448" s="322"/>
      <c r="CO448" s="322"/>
      <c r="CP448" s="322"/>
      <c r="CQ448" s="322"/>
      <c r="CR448" s="322"/>
      <c r="CS448" s="322"/>
      <c r="CT448" s="322"/>
      <c r="CU448" s="322"/>
      <c r="CV448" s="322"/>
      <c r="CW448" s="322"/>
      <c r="CX448" s="322"/>
      <c r="CY448" s="322"/>
    </row>
    <row r="449" spans="1:103" s="432" customFormat="1">
      <c r="A449" s="509">
        <f t="shared" si="6"/>
        <v>448</v>
      </c>
      <c r="B449" s="1332" t="s">
        <v>43</v>
      </c>
      <c r="C449" s="943" t="s">
        <v>44</v>
      </c>
      <c r="D449" s="943" t="s">
        <v>45</v>
      </c>
      <c r="E449" s="432" t="s">
        <v>5831</v>
      </c>
      <c r="F449" s="434">
        <v>6</v>
      </c>
      <c r="G449" s="434">
        <v>9847940077</v>
      </c>
      <c r="I449" s="434">
        <v>31</v>
      </c>
      <c r="J449" s="434" t="s">
        <v>90</v>
      </c>
      <c r="K449" s="434" t="s">
        <v>5405</v>
      </c>
      <c r="L449" s="434"/>
      <c r="M449" s="434" t="s">
        <v>1764</v>
      </c>
      <c r="N449" s="730">
        <v>65295</v>
      </c>
      <c r="O449" s="730">
        <v>65295</v>
      </c>
      <c r="P449" s="459">
        <v>65305</v>
      </c>
      <c r="Q449" s="432" t="s">
        <v>51</v>
      </c>
      <c r="R449" s="322"/>
      <c r="S449" s="322"/>
      <c r="T449" s="322"/>
      <c r="U449" s="322"/>
      <c r="V449" s="322"/>
      <c r="W449" s="322"/>
      <c r="X449" s="322"/>
      <c r="Y449" s="322"/>
      <c r="Z449" s="322"/>
      <c r="AA449" s="322"/>
      <c r="AB449" s="322"/>
      <c r="AC449" s="322"/>
      <c r="AD449" s="322"/>
      <c r="AE449" s="322"/>
      <c r="AF449" s="322"/>
      <c r="AG449" s="322"/>
      <c r="AH449" s="322"/>
      <c r="AI449" s="322"/>
      <c r="AJ449" s="322"/>
      <c r="AK449" s="322"/>
      <c r="AL449" s="322"/>
      <c r="AM449" s="322"/>
      <c r="AN449" s="322"/>
      <c r="AO449" s="322"/>
      <c r="AP449" s="322"/>
      <c r="AQ449" s="322"/>
      <c r="AR449" s="322"/>
      <c r="AS449" s="322"/>
      <c r="AT449" s="322"/>
      <c r="AU449" s="322"/>
      <c r="AV449" s="322"/>
      <c r="AW449" s="322"/>
      <c r="AX449" s="322"/>
      <c r="AY449" s="322"/>
      <c r="AZ449" s="322"/>
      <c r="BA449" s="322"/>
      <c r="BB449" s="322"/>
      <c r="BC449" s="322"/>
      <c r="BD449" s="322"/>
      <c r="BE449" s="322"/>
      <c r="BF449" s="322"/>
      <c r="BG449" s="322"/>
      <c r="BH449" s="322"/>
      <c r="BI449" s="322"/>
      <c r="BJ449" s="322"/>
      <c r="BK449" s="322"/>
      <c r="BL449" s="322"/>
      <c r="BM449" s="322"/>
      <c r="BN449" s="322"/>
      <c r="BO449" s="322"/>
      <c r="BP449" s="322"/>
      <c r="BQ449" s="322"/>
      <c r="BR449" s="322"/>
      <c r="BS449" s="322"/>
      <c r="BT449" s="322"/>
      <c r="BU449" s="322"/>
      <c r="BV449" s="322"/>
      <c r="BW449" s="322"/>
      <c r="BX449" s="322"/>
      <c r="BY449" s="322"/>
      <c r="BZ449" s="322"/>
      <c r="CA449" s="322"/>
      <c r="CB449" s="322"/>
      <c r="CC449" s="322"/>
      <c r="CD449" s="322"/>
      <c r="CE449" s="322"/>
      <c r="CF449" s="322"/>
      <c r="CG449" s="322"/>
      <c r="CH449" s="322"/>
      <c r="CI449" s="322"/>
      <c r="CJ449" s="322"/>
      <c r="CK449" s="322"/>
      <c r="CL449" s="322"/>
      <c r="CM449" s="322"/>
      <c r="CN449" s="322"/>
      <c r="CO449" s="322"/>
      <c r="CP449" s="322"/>
      <c r="CQ449" s="322"/>
      <c r="CR449" s="322"/>
      <c r="CS449" s="322"/>
      <c r="CT449" s="322"/>
      <c r="CU449" s="322"/>
      <c r="CV449" s="322"/>
      <c r="CW449" s="322"/>
      <c r="CX449" s="322"/>
      <c r="CY449" s="322"/>
    </row>
    <row r="450" spans="1:103" s="432" customFormat="1">
      <c r="A450" s="509">
        <f t="shared" si="6"/>
        <v>449</v>
      </c>
      <c r="B450" s="1332" t="s">
        <v>43</v>
      </c>
      <c r="C450" s="943" t="s">
        <v>44</v>
      </c>
      <c r="D450" s="943" t="s">
        <v>45</v>
      </c>
      <c r="E450" s="432" t="s">
        <v>5832</v>
      </c>
      <c r="F450" s="434">
        <v>7</v>
      </c>
      <c r="G450" s="434">
        <v>9857878373</v>
      </c>
      <c r="I450" s="434">
        <v>81</v>
      </c>
      <c r="J450" s="120" t="s">
        <v>48</v>
      </c>
      <c r="K450" s="434" t="s">
        <v>5405</v>
      </c>
      <c r="L450" s="434"/>
      <c r="M450" s="434" t="s">
        <v>1764</v>
      </c>
      <c r="N450" s="730">
        <v>65295</v>
      </c>
      <c r="O450" s="730">
        <v>65295</v>
      </c>
      <c r="P450" s="459">
        <v>65305</v>
      </c>
      <c r="Q450" s="432" t="s">
        <v>51</v>
      </c>
      <c r="R450" s="322"/>
      <c r="S450" s="322"/>
      <c r="T450" s="322"/>
      <c r="U450" s="322"/>
      <c r="V450" s="322"/>
      <c r="W450" s="322"/>
      <c r="X450" s="322"/>
      <c r="Y450" s="322"/>
      <c r="Z450" s="322"/>
      <c r="AA450" s="322"/>
      <c r="AB450" s="322"/>
      <c r="AC450" s="322"/>
      <c r="AD450" s="322"/>
      <c r="AE450" s="322"/>
      <c r="AF450" s="322"/>
      <c r="AG450" s="322"/>
      <c r="AH450" s="322"/>
      <c r="AI450" s="322"/>
      <c r="AJ450" s="322"/>
      <c r="AK450" s="322"/>
      <c r="AL450" s="322"/>
      <c r="AM450" s="322"/>
      <c r="AN450" s="322"/>
      <c r="AO450" s="322"/>
      <c r="AP450" s="322"/>
      <c r="AQ450" s="322"/>
      <c r="AR450" s="322"/>
      <c r="AS450" s="322"/>
      <c r="AT450" s="322"/>
      <c r="AU450" s="322"/>
      <c r="AV450" s="322"/>
      <c r="AW450" s="322"/>
      <c r="AX450" s="322"/>
      <c r="AY450" s="322"/>
      <c r="AZ450" s="322"/>
      <c r="BA450" s="322"/>
      <c r="BB450" s="322"/>
      <c r="BC450" s="322"/>
      <c r="BD450" s="322"/>
      <c r="BE450" s="322"/>
      <c r="BF450" s="322"/>
      <c r="BG450" s="322"/>
      <c r="BH450" s="322"/>
      <c r="BI450" s="322"/>
      <c r="BJ450" s="322"/>
      <c r="BK450" s="322"/>
      <c r="BL450" s="322"/>
      <c r="BM450" s="322"/>
      <c r="BN450" s="322"/>
      <c r="BO450" s="322"/>
      <c r="BP450" s="322"/>
      <c r="BQ450" s="322"/>
      <c r="BR450" s="322"/>
      <c r="BS450" s="322"/>
      <c r="BT450" s="322"/>
      <c r="BU450" s="322"/>
      <c r="BV450" s="322"/>
      <c r="BW450" s="322"/>
      <c r="BX450" s="322"/>
      <c r="BY450" s="322"/>
      <c r="BZ450" s="322"/>
      <c r="CA450" s="322"/>
      <c r="CB450" s="322"/>
      <c r="CC450" s="322"/>
      <c r="CD450" s="322"/>
      <c r="CE450" s="322"/>
      <c r="CF450" s="322"/>
      <c r="CG450" s="322"/>
      <c r="CH450" s="322"/>
      <c r="CI450" s="322"/>
      <c r="CJ450" s="322"/>
      <c r="CK450" s="322"/>
      <c r="CL450" s="322"/>
      <c r="CM450" s="322"/>
      <c r="CN450" s="322"/>
      <c r="CO450" s="322"/>
      <c r="CP450" s="322"/>
      <c r="CQ450" s="322"/>
      <c r="CR450" s="322"/>
      <c r="CS450" s="322"/>
      <c r="CT450" s="322"/>
      <c r="CU450" s="322"/>
      <c r="CV450" s="322"/>
      <c r="CW450" s="322"/>
      <c r="CX450" s="322"/>
      <c r="CY450" s="322"/>
    </row>
    <row r="451" spans="1:103" s="432" customFormat="1">
      <c r="A451" s="509">
        <f t="shared" ref="A451:A514" si="7">A450+1</f>
        <v>450</v>
      </c>
      <c r="B451" s="1332" t="s">
        <v>43</v>
      </c>
      <c r="C451" s="943" t="s">
        <v>44</v>
      </c>
      <c r="D451" s="943" t="s">
        <v>45</v>
      </c>
      <c r="E451" s="432" t="s">
        <v>5833</v>
      </c>
      <c r="F451" s="434">
        <v>7</v>
      </c>
      <c r="G451" s="434">
        <v>9847824103</v>
      </c>
      <c r="I451" s="434">
        <v>52</v>
      </c>
      <c r="J451" s="120" t="s">
        <v>48</v>
      </c>
      <c r="K451" s="434" t="s">
        <v>5405</v>
      </c>
      <c r="L451" s="434"/>
      <c r="M451" s="434" t="s">
        <v>1764</v>
      </c>
      <c r="N451" s="730">
        <v>65295</v>
      </c>
      <c r="O451" s="730">
        <v>65295</v>
      </c>
      <c r="P451" s="459">
        <v>65305</v>
      </c>
      <c r="Q451" s="432" t="s">
        <v>51</v>
      </c>
      <c r="R451" s="322"/>
      <c r="S451" s="322"/>
      <c r="T451" s="322"/>
      <c r="U451" s="322"/>
      <c r="V451" s="322"/>
      <c r="W451" s="322"/>
      <c r="X451" s="322"/>
      <c r="Y451" s="322"/>
      <c r="Z451" s="322"/>
      <c r="AA451" s="322"/>
      <c r="AB451" s="322"/>
      <c r="AC451" s="322"/>
      <c r="AD451" s="322"/>
      <c r="AE451" s="322"/>
      <c r="AF451" s="322"/>
      <c r="AG451" s="322"/>
      <c r="AH451" s="322"/>
      <c r="AI451" s="322"/>
      <c r="AJ451" s="322"/>
      <c r="AK451" s="322"/>
      <c r="AL451" s="322"/>
      <c r="AM451" s="322"/>
      <c r="AN451" s="322"/>
      <c r="AO451" s="322"/>
      <c r="AP451" s="322"/>
      <c r="AQ451" s="322"/>
      <c r="AR451" s="322"/>
      <c r="AS451" s="322"/>
      <c r="AT451" s="322"/>
      <c r="AU451" s="322"/>
      <c r="AV451" s="322"/>
      <c r="AW451" s="322"/>
      <c r="AX451" s="322"/>
      <c r="AY451" s="322"/>
      <c r="AZ451" s="322"/>
      <c r="BA451" s="322"/>
      <c r="BB451" s="322"/>
      <c r="BC451" s="322"/>
      <c r="BD451" s="322"/>
      <c r="BE451" s="322"/>
      <c r="BF451" s="322"/>
      <c r="BG451" s="322"/>
      <c r="BH451" s="322"/>
      <c r="BI451" s="322"/>
      <c r="BJ451" s="322"/>
      <c r="BK451" s="322"/>
      <c r="BL451" s="322"/>
      <c r="BM451" s="322"/>
      <c r="BN451" s="322"/>
      <c r="BO451" s="322"/>
      <c r="BP451" s="322"/>
      <c r="BQ451" s="322"/>
      <c r="BR451" s="322"/>
      <c r="BS451" s="322"/>
      <c r="BT451" s="322"/>
      <c r="BU451" s="322"/>
      <c r="BV451" s="322"/>
      <c r="BW451" s="322"/>
      <c r="BX451" s="322"/>
      <c r="BY451" s="322"/>
      <c r="BZ451" s="322"/>
      <c r="CA451" s="322"/>
      <c r="CB451" s="322"/>
      <c r="CC451" s="322"/>
      <c r="CD451" s="322"/>
      <c r="CE451" s="322"/>
      <c r="CF451" s="322"/>
      <c r="CG451" s="322"/>
      <c r="CH451" s="322"/>
      <c r="CI451" s="322"/>
      <c r="CJ451" s="322"/>
      <c r="CK451" s="322"/>
      <c r="CL451" s="322"/>
      <c r="CM451" s="322"/>
      <c r="CN451" s="322"/>
      <c r="CO451" s="322"/>
      <c r="CP451" s="322"/>
      <c r="CQ451" s="322"/>
      <c r="CR451" s="322"/>
      <c r="CS451" s="322"/>
      <c r="CT451" s="322"/>
      <c r="CU451" s="322"/>
      <c r="CV451" s="322"/>
      <c r="CW451" s="322"/>
      <c r="CX451" s="322"/>
      <c r="CY451" s="322"/>
    </row>
    <row r="452" spans="1:103" s="432" customFormat="1">
      <c r="A452" s="509">
        <f t="shared" si="7"/>
        <v>451</v>
      </c>
      <c r="B452" s="1332" t="s">
        <v>43</v>
      </c>
      <c r="C452" s="943" t="s">
        <v>44</v>
      </c>
      <c r="D452" s="943" t="s">
        <v>45</v>
      </c>
      <c r="E452" s="432" t="s">
        <v>5834</v>
      </c>
      <c r="F452" s="434">
        <v>6</v>
      </c>
      <c r="G452" s="434">
        <v>9847943246</v>
      </c>
      <c r="I452" s="434">
        <v>51</v>
      </c>
      <c r="J452" s="120" t="s">
        <v>48</v>
      </c>
      <c r="K452" s="434" t="s">
        <v>5405</v>
      </c>
      <c r="L452" s="434"/>
      <c r="M452" s="434" t="s">
        <v>1764</v>
      </c>
      <c r="N452" s="730">
        <v>65295</v>
      </c>
      <c r="O452" s="730">
        <v>65295</v>
      </c>
      <c r="P452" s="459">
        <v>65305</v>
      </c>
      <c r="Q452" s="432" t="s">
        <v>51</v>
      </c>
      <c r="R452" s="322"/>
      <c r="S452" s="322"/>
      <c r="T452" s="322"/>
      <c r="U452" s="322"/>
      <c r="V452" s="322"/>
      <c r="W452" s="322"/>
      <c r="X452" s="322"/>
      <c r="Y452" s="322"/>
      <c r="Z452" s="322"/>
      <c r="AA452" s="322"/>
      <c r="AB452" s="322"/>
      <c r="AC452" s="322"/>
      <c r="AD452" s="322"/>
      <c r="AE452" s="322"/>
      <c r="AF452" s="322"/>
      <c r="AG452" s="322"/>
      <c r="AH452" s="322"/>
      <c r="AI452" s="322"/>
      <c r="AJ452" s="322"/>
      <c r="AK452" s="322"/>
      <c r="AL452" s="322"/>
      <c r="AM452" s="322"/>
      <c r="AN452" s="322"/>
      <c r="AO452" s="322"/>
      <c r="AP452" s="322"/>
      <c r="AQ452" s="322"/>
      <c r="AR452" s="322"/>
      <c r="AS452" s="322"/>
      <c r="AT452" s="322"/>
      <c r="AU452" s="322"/>
      <c r="AV452" s="322"/>
      <c r="AW452" s="322"/>
      <c r="AX452" s="322"/>
      <c r="AY452" s="322"/>
      <c r="AZ452" s="322"/>
      <c r="BA452" s="322"/>
      <c r="BB452" s="322"/>
      <c r="BC452" s="322"/>
      <c r="BD452" s="322"/>
      <c r="BE452" s="322"/>
      <c r="BF452" s="322"/>
      <c r="BG452" s="322"/>
      <c r="BH452" s="322"/>
      <c r="BI452" s="322"/>
      <c r="BJ452" s="322"/>
      <c r="BK452" s="322"/>
      <c r="BL452" s="322"/>
      <c r="BM452" s="322"/>
      <c r="BN452" s="322"/>
      <c r="BO452" s="322"/>
      <c r="BP452" s="322"/>
      <c r="BQ452" s="322"/>
      <c r="BR452" s="322"/>
      <c r="BS452" s="322"/>
      <c r="BT452" s="322"/>
      <c r="BU452" s="322"/>
      <c r="BV452" s="322"/>
      <c r="BW452" s="322"/>
      <c r="BX452" s="322"/>
      <c r="BY452" s="322"/>
      <c r="BZ452" s="322"/>
      <c r="CA452" s="322"/>
      <c r="CB452" s="322"/>
      <c r="CC452" s="322"/>
      <c r="CD452" s="322"/>
      <c r="CE452" s="322"/>
      <c r="CF452" s="322"/>
      <c r="CG452" s="322"/>
      <c r="CH452" s="322"/>
      <c r="CI452" s="322"/>
      <c r="CJ452" s="322"/>
      <c r="CK452" s="322"/>
      <c r="CL452" s="322"/>
      <c r="CM452" s="322"/>
      <c r="CN452" s="322"/>
      <c r="CO452" s="322"/>
      <c r="CP452" s="322"/>
      <c r="CQ452" s="322"/>
      <c r="CR452" s="322"/>
      <c r="CS452" s="322"/>
      <c r="CT452" s="322"/>
      <c r="CU452" s="322"/>
      <c r="CV452" s="322"/>
      <c r="CW452" s="322"/>
      <c r="CX452" s="322"/>
      <c r="CY452" s="322"/>
    </row>
    <row r="453" spans="1:103" s="432" customFormat="1">
      <c r="A453" s="509">
        <f t="shared" si="7"/>
        <v>452</v>
      </c>
      <c r="B453" s="1332" t="s">
        <v>43</v>
      </c>
      <c r="C453" s="943" t="s">
        <v>44</v>
      </c>
      <c r="D453" s="943" t="s">
        <v>45</v>
      </c>
      <c r="E453" s="432" t="s">
        <v>5835</v>
      </c>
      <c r="F453" s="434">
        <v>5</v>
      </c>
      <c r="G453" s="434">
        <v>9842316661</v>
      </c>
      <c r="I453" s="434">
        <v>24</v>
      </c>
      <c r="J453" s="120" t="s">
        <v>48</v>
      </c>
      <c r="K453" s="434" t="s">
        <v>5405</v>
      </c>
      <c r="L453" s="434"/>
      <c r="M453" s="434" t="s">
        <v>1764</v>
      </c>
      <c r="N453" s="730">
        <v>65295</v>
      </c>
      <c r="O453" s="730">
        <v>65295</v>
      </c>
      <c r="P453" s="459">
        <v>65305</v>
      </c>
      <c r="Q453" s="432" t="s">
        <v>51</v>
      </c>
      <c r="R453" s="322"/>
      <c r="S453" s="322"/>
      <c r="T453" s="322"/>
      <c r="U453" s="322"/>
      <c r="V453" s="322"/>
      <c r="W453" s="322"/>
      <c r="X453" s="322"/>
      <c r="Y453" s="322"/>
      <c r="Z453" s="322"/>
      <c r="AA453" s="322"/>
      <c r="AB453" s="322"/>
      <c r="AC453" s="322"/>
      <c r="AD453" s="322"/>
      <c r="AE453" s="322"/>
      <c r="AF453" s="322"/>
      <c r="AG453" s="322"/>
      <c r="AH453" s="322"/>
      <c r="AI453" s="322"/>
      <c r="AJ453" s="322"/>
      <c r="AK453" s="322"/>
      <c r="AL453" s="322"/>
      <c r="AM453" s="322"/>
      <c r="AN453" s="322"/>
      <c r="AO453" s="322"/>
      <c r="AP453" s="322"/>
      <c r="AQ453" s="322"/>
      <c r="AR453" s="322"/>
      <c r="AS453" s="322"/>
      <c r="AT453" s="322"/>
      <c r="AU453" s="322"/>
      <c r="AV453" s="322"/>
      <c r="AW453" s="322"/>
      <c r="AX453" s="322"/>
      <c r="AY453" s="322"/>
      <c r="AZ453" s="322"/>
      <c r="BA453" s="322"/>
      <c r="BB453" s="322"/>
      <c r="BC453" s="322"/>
      <c r="BD453" s="322"/>
      <c r="BE453" s="322"/>
      <c r="BF453" s="322"/>
      <c r="BG453" s="322"/>
      <c r="BH453" s="322"/>
      <c r="BI453" s="322"/>
      <c r="BJ453" s="322"/>
      <c r="BK453" s="322"/>
      <c r="BL453" s="322"/>
      <c r="BM453" s="322"/>
      <c r="BN453" s="322"/>
      <c r="BO453" s="322"/>
      <c r="BP453" s="322"/>
      <c r="BQ453" s="322"/>
      <c r="BR453" s="322"/>
      <c r="BS453" s="322"/>
      <c r="BT453" s="322"/>
      <c r="BU453" s="322"/>
      <c r="BV453" s="322"/>
      <c r="BW453" s="322"/>
      <c r="BX453" s="322"/>
      <c r="BY453" s="322"/>
      <c r="BZ453" s="322"/>
      <c r="CA453" s="322"/>
      <c r="CB453" s="322"/>
      <c r="CC453" s="322"/>
      <c r="CD453" s="322"/>
      <c r="CE453" s="322"/>
      <c r="CF453" s="322"/>
      <c r="CG453" s="322"/>
      <c r="CH453" s="322"/>
      <c r="CI453" s="322"/>
      <c r="CJ453" s="322"/>
      <c r="CK453" s="322"/>
      <c r="CL453" s="322"/>
      <c r="CM453" s="322"/>
      <c r="CN453" s="322"/>
      <c r="CO453" s="322"/>
      <c r="CP453" s="322"/>
      <c r="CQ453" s="322"/>
      <c r="CR453" s="322"/>
      <c r="CS453" s="322"/>
      <c r="CT453" s="322"/>
      <c r="CU453" s="322"/>
      <c r="CV453" s="322"/>
      <c r="CW453" s="322"/>
      <c r="CX453" s="322"/>
      <c r="CY453" s="322"/>
    </row>
    <row r="454" spans="1:103" s="432" customFormat="1">
      <c r="A454" s="509">
        <f t="shared" si="7"/>
        <v>453</v>
      </c>
      <c r="B454" s="1332" t="s">
        <v>43</v>
      </c>
      <c r="C454" s="943" t="s">
        <v>44</v>
      </c>
      <c r="D454" s="943" t="s">
        <v>45</v>
      </c>
      <c r="E454" s="432" t="s">
        <v>5836</v>
      </c>
      <c r="F454" s="434">
        <v>5</v>
      </c>
      <c r="G454" s="434">
        <v>9857825288</v>
      </c>
      <c r="I454" s="434">
        <v>32</v>
      </c>
      <c r="J454" s="120" t="s">
        <v>48</v>
      </c>
      <c r="K454" s="434" t="s">
        <v>5405</v>
      </c>
      <c r="L454" s="434"/>
      <c r="M454" s="434" t="s">
        <v>1764</v>
      </c>
      <c r="N454" s="730">
        <v>65295</v>
      </c>
      <c r="O454" s="730">
        <v>65295</v>
      </c>
      <c r="P454" s="459">
        <v>65305</v>
      </c>
      <c r="Q454" s="432" t="s">
        <v>51</v>
      </c>
      <c r="R454" s="322"/>
      <c r="S454" s="322"/>
      <c r="T454" s="322"/>
      <c r="U454" s="322"/>
      <c r="V454" s="322"/>
      <c r="W454" s="322"/>
      <c r="X454" s="322"/>
      <c r="Y454" s="322"/>
      <c r="Z454" s="322"/>
      <c r="AA454" s="322"/>
      <c r="AB454" s="322"/>
      <c r="AC454" s="322"/>
      <c r="AD454" s="322"/>
      <c r="AE454" s="322"/>
      <c r="AF454" s="322"/>
      <c r="AG454" s="322"/>
      <c r="AH454" s="322"/>
      <c r="AI454" s="322"/>
      <c r="AJ454" s="322"/>
      <c r="AK454" s="322"/>
      <c r="AL454" s="322"/>
      <c r="AM454" s="322"/>
      <c r="AN454" s="322"/>
      <c r="AO454" s="322"/>
      <c r="AP454" s="322"/>
      <c r="AQ454" s="322"/>
      <c r="AR454" s="322"/>
      <c r="AS454" s="322"/>
      <c r="AT454" s="322"/>
      <c r="AU454" s="322"/>
      <c r="AV454" s="322"/>
      <c r="AW454" s="322"/>
      <c r="AX454" s="322"/>
      <c r="AY454" s="322"/>
      <c r="AZ454" s="322"/>
      <c r="BA454" s="322"/>
      <c r="BB454" s="322"/>
      <c r="BC454" s="322"/>
      <c r="BD454" s="322"/>
      <c r="BE454" s="322"/>
      <c r="BF454" s="322"/>
      <c r="BG454" s="322"/>
      <c r="BH454" s="322"/>
      <c r="BI454" s="322"/>
      <c r="BJ454" s="322"/>
      <c r="BK454" s="322"/>
      <c r="BL454" s="322"/>
      <c r="BM454" s="322"/>
      <c r="BN454" s="322"/>
      <c r="BO454" s="322"/>
      <c r="BP454" s="322"/>
      <c r="BQ454" s="322"/>
      <c r="BR454" s="322"/>
      <c r="BS454" s="322"/>
      <c r="BT454" s="322"/>
      <c r="BU454" s="322"/>
      <c r="BV454" s="322"/>
      <c r="BW454" s="322"/>
      <c r="BX454" s="322"/>
      <c r="BY454" s="322"/>
      <c r="BZ454" s="322"/>
      <c r="CA454" s="322"/>
      <c r="CB454" s="322"/>
      <c r="CC454" s="322"/>
      <c r="CD454" s="322"/>
      <c r="CE454" s="322"/>
      <c r="CF454" s="322"/>
      <c r="CG454" s="322"/>
      <c r="CH454" s="322"/>
      <c r="CI454" s="322"/>
      <c r="CJ454" s="322"/>
      <c r="CK454" s="322"/>
      <c r="CL454" s="322"/>
      <c r="CM454" s="322"/>
      <c r="CN454" s="322"/>
      <c r="CO454" s="322"/>
      <c r="CP454" s="322"/>
      <c r="CQ454" s="322"/>
      <c r="CR454" s="322"/>
      <c r="CS454" s="322"/>
      <c r="CT454" s="322"/>
      <c r="CU454" s="322"/>
      <c r="CV454" s="322"/>
      <c r="CW454" s="322"/>
      <c r="CX454" s="322"/>
      <c r="CY454" s="322"/>
    </row>
    <row r="455" spans="1:103" s="432" customFormat="1">
      <c r="A455" s="509">
        <f t="shared" si="7"/>
        <v>454</v>
      </c>
      <c r="B455" s="1332" t="s">
        <v>43</v>
      </c>
      <c r="C455" s="943" t="s">
        <v>44</v>
      </c>
      <c r="D455" s="943" t="s">
        <v>45</v>
      </c>
      <c r="E455" s="432" t="s">
        <v>5837</v>
      </c>
      <c r="F455" s="434">
        <v>2</v>
      </c>
      <c r="G455" s="434">
        <v>9857825288</v>
      </c>
      <c r="I455" s="434">
        <v>38</v>
      </c>
      <c r="J455" s="434" t="s">
        <v>90</v>
      </c>
      <c r="K455" s="434" t="s">
        <v>5405</v>
      </c>
      <c r="L455" s="434"/>
      <c r="M455" s="434" t="s">
        <v>1764</v>
      </c>
      <c r="N455" s="730">
        <v>65295</v>
      </c>
      <c r="O455" s="730">
        <v>65295</v>
      </c>
      <c r="P455" s="459">
        <v>65305</v>
      </c>
      <c r="Q455" s="432" t="s">
        <v>51</v>
      </c>
      <c r="R455" s="322"/>
      <c r="S455" s="322"/>
      <c r="T455" s="322"/>
      <c r="U455" s="322"/>
      <c r="V455" s="322"/>
      <c r="W455" s="322"/>
      <c r="X455" s="322"/>
      <c r="Y455" s="322"/>
      <c r="Z455" s="322"/>
      <c r="AA455" s="322"/>
      <c r="AB455" s="322"/>
      <c r="AC455" s="322"/>
      <c r="AD455" s="322"/>
      <c r="AE455" s="322"/>
      <c r="AF455" s="322"/>
      <c r="AG455" s="322"/>
      <c r="AH455" s="322"/>
      <c r="AI455" s="322"/>
      <c r="AJ455" s="322"/>
      <c r="AK455" s="322"/>
      <c r="AL455" s="322"/>
      <c r="AM455" s="322"/>
      <c r="AN455" s="322"/>
      <c r="AO455" s="322"/>
      <c r="AP455" s="322"/>
      <c r="AQ455" s="322"/>
      <c r="AR455" s="322"/>
      <c r="AS455" s="322"/>
      <c r="AT455" s="322"/>
      <c r="AU455" s="322"/>
      <c r="AV455" s="322"/>
      <c r="AW455" s="322"/>
      <c r="AX455" s="322"/>
      <c r="AY455" s="322"/>
      <c r="AZ455" s="322"/>
      <c r="BA455" s="322"/>
      <c r="BB455" s="322"/>
      <c r="BC455" s="322"/>
      <c r="BD455" s="322"/>
      <c r="BE455" s="322"/>
      <c r="BF455" s="322"/>
      <c r="BG455" s="322"/>
      <c r="BH455" s="322"/>
      <c r="BI455" s="322"/>
      <c r="BJ455" s="322"/>
      <c r="BK455" s="322"/>
      <c r="BL455" s="322"/>
      <c r="BM455" s="322"/>
      <c r="BN455" s="322"/>
      <c r="BO455" s="322"/>
      <c r="BP455" s="322"/>
      <c r="BQ455" s="322"/>
      <c r="BR455" s="322"/>
      <c r="BS455" s="322"/>
      <c r="BT455" s="322"/>
      <c r="BU455" s="322"/>
      <c r="BV455" s="322"/>
      <c r="BW455" s="322"/>
      <c r="BX455" s="322"/>
      <c r="BY455" s="322"/>
      <c r="BZ455" s="322"/>
      <c r="CA455" s="322"/>
      <c r="CB455" s="322"/>
      <c r="CC455" s="322"/>
      <c r="CD455" s="322"/>
      <c r="CE455" s="322"/>
      <c r="CF455" s="322"/>
      <c r="CG455" s="322"/>
      <c r="CH455" s="322"/>
      <c r="CI455" s="322"/>
      <c r="CJ455" s="322"/>
      <c r="CK455" s="322"/>
      <c r="CL455" s="322"/>
      <c r="CM455" s="322"/>
      <c r="CN455" s="322"/>
      <c r="CO455" s="322"/>
      <c r="CP455" s="322"/>
      <c r="CQ455" s="322"/>
      <c r="CR455" s="322"/>
      <c r="CS455" s="322"/>
      <c r="CT455" s="322"/>
      <c r="CU455" s="322"/>
      <c r="CV455" s="322"/>
      <c r="CW455" s="322"/>
      <c r="CX455" s="322"/>
      <c r="CY455" s="322"/>
    </row>
    <row r="456" spans="1:103" s="432" customFormat="1">
      <c r="A456" s="509">
        <f t="shared" si="7"/>
        <v>455</v>
      </c>
      <c r="B456" s="1332" t="s">
        <v>43</v>
      </c>
      <c r="C456" s="943" t="s">
        <v>44</v>
      </c>
      <c r="D456" s="943" t="s">
        <v>45</v>
      </c>
      <c r="E456" s="432" t="s">
        <v>5838</v>
      </c>
      <c r="F456" s="434">
        <v>2</v>
      </c>
      <c r="G456" s="434">
        <v>9847836982</v>
      </c>
      <c r="I456" s="434">
        <v>37</v>
      </c>
      <c r="J456" s="434" t="s">
        <v>90</v>
      </c>
      <c r="K456" s="434" t="s">
        <v>5405</v>
      </c>
      <c r="L456" s="434"/>
      <c r="M456" s="434" t="s">
        <v>1764</v>
      </c>
      <c r="N456" s="730">
        <v>65295</v>
      </c>
      <c r="O456" s="730">
        <v>65295</v>
      </c>
      <c r="P456" s="459">
        <v>65305</v>
      </c>
      <c r="Q456" s="432" t="s">
        <v>51</v>
      </c>
      <c r="R456" s="322"/>
      <c r="S456" s="322"/>
      <c r="T456" s="322"/>
      <c r="U456" s="322"/>
      <c r="V456" s="322"/>
      <c r="W456" s="322"/>
      <c r="X456" s="322"/>
      <c r="Y456" s="322"/>
      <c r="Z456" s="322"/>
      <c r="AA456" s="322"/>
      <c r="AB456" s="322"/>
      <c r="AC456" s="322"/>
      <c r="AD456" s="322"/>
      <c r="AE456" s="322"/>
      <c r="AF456" s="322"/>
      <c r="AG456" s="322"/>
      <c r="AH456" s="322"/>
      <c r="AI456" s="322"/>
      <c r="AJ456" s="322"/>
      <c r="AK456" s="322"/>
      <c r="AL456" s="322"/>
      <c r="AM456" s="322"/>
      <c r="AN456" s="322"/>
      <c r="AO456" s="322"/>
      <c r="AP456" s="322"/>
      <c r="AQ456" s="322"/>
      <c r="AR456" s="322"/>
      <c r="AS456" s="322"/>
      <c r="AT456" s="322"/>
      <c r="AU456" s="322"/>
      <c r="AV456" s="322"/>
      <c r="AW456" s="322"/>
      <c r="AX456" s="322"/>
      <c r="AY456" s="322"/>
      <c r="AZ456" s="322"/>
      <c r="BA456" s="322"/>
      <c r="BB456" s="322"/>
      <c r="BC456" s="322"/>
      <c r="BD456" s="322"/>
      <c r="BE456" s="322"/>
      <c r="BF456" s="322"/>
      <c r="BG456" s="322"/>
      <c r="BH456" s="322"/>
      <c r="BI456" s="322"/>
      <c r="BJ456" s="322"/>
      <c r="BK456" s="322"/>
      <c r="BL456" s="322"/>
      <c r="BM456" s="322"/>
      <c r="BN456" s="322"/>
      <c r="BO456" s="322"/>
      <c r="BP456" s="322"/>
      <c r="BQ456" s="322"/>
      <c r="BR456" s="322"/>
      <c r="BS456" s="322"/>
      <c r="BT456" s="322"/>
      <c r="BU456" s="322"/>
      <c r="BV456" s="322"/>
      <c r="BW456" s="322"/>
      <c r="BX456" s="322"/>
      <c r="BY456" s="322"/>
      <c r="BZ456" s="322"/>
      <c r="CA456" s="322"/>
      <c r="CB456" s="322"/>
      <c r="CC456" s="322"/>
      <c r="CD456" s="322"/>
      <c r="CE456" s="322"/>
      <c r="CF456" s="322"/>
      <c r="CG456" s="322"/>
      <c r="CH456" s="322"/>
      <c r="CI456" s="322"/>
      <c r="CJ456" s="322"/>
      <c r="CK456" s="322"/>
      <c r="CL456" s="322"/>
      <c r="CM456" s="322"/>
      <c r="CN456" s="322"/>
      <c r="CO456" s="322"/>
      <c r="CP456" s="322"/>
      <c r="CQ456" s="322"/>
      <c r="CR456" s="322"/>
      <c r="CS456" s="322"/>
      <c r="CT456" s="322"/>
      <c r="CU456" s="322"/>
      <c r="CV456" s="322"/>
      <c r="CW456" s="322"/>
      <c r="CX456" s="322"/>
      <c r="CY456" s="322"/>
    </row>
    <row r="457" spans="1:103" s="432" customFormat="1">
      <c r="A457" s="509">
        <f t="shared" si="7"/>
        <v>456</v>
      </c>
      <c r="B457" s="1332" t="s">
        <v>43</v>
      </c>
      <c r="C457" s="943" t="s">
        <v>44</v>
      </c>
      <c r="D457" s="943" t="s">
        <v>45</v>
      </c>
      <c r="E457" s="432" t="s">
        <v>5839</v>
      </c>
      <c r="F457" s="434">
        <v>17</v>
      </c>
      <c r="G457" s="434">
        <v>9809872597</v>
      </c>
      <c r="I457" s="434">
        <v>34</v>
      </c>
      <c r="J457" s="120" t="s">
        <v>48</v>
      </c>
      <c r="K457" s="434" t="s">
        <v>5405</v>
      </c>
      <c r="L457" s="434"/>
      <c r="M457" s="434" t="s">
        <v>1764</v>
      </c>
      <c r="N457" s="730">
        <v>65295</v>
      </c>
      <c r="O457" s="730">
        <v>65295</v>
      </c>
      <c r="P457" s="459">
        <v>65305</v>
      </c>
      <c r="Q457" s="432" t="s">
        <v>51</v>
      </c>
      <c r="R457" s="322"/>
      <c r="S457" s="322"/>
      <c r="T457" s="322"/>
      <c r="U457" s="322"/>
      <c r="V457" s="322"/>
      <c r="W457" s="322"/>
      <c r="X457" s="322"/>
      <c r="Y457" s="322"/>
      <c r="Z457" s="322"/>
      <c r="AA457" s="322"/>
      <c r="AB457" s="322"/>
      <c r="AC457" s="322"/>
      <c r="AD457" s="322"/>
      <c r="AE457" s="322"/>
      <c r="AF457" s="322"/>
      <c r="AG457" s="322"/>
      <c r="AH457" s="322"/>
      <c r="AI457" s="322"/>
      <c r="AJ457" s="322"/>
      <c r="AK457" s="322"/>
      <c r="AL457" s="322"/>
      <c r="AM457" s="322"/>
      <c r="AN457" s="322"/>
      <c r="AO457" s="322"/>
      <c r="AP457" s="322"/>
      <c r="AQ457" s="322"/>
      <c r="AR457" s="322"/>
      <c r="AS457" s="322"/>
      <c r="AT457" s="322"/>
      <c r="AU457" s="322"/>
      <c r="AV457" s="322"/>
      <c r="AW457" s="322"/>
      <c r="AX457" s="322"/>
      <c r="AY457" s="322"/>
      <c r="AZ457" s="322"/>
      <c r="BA457" s="322"/>
      <c r="BB457" s="322"/>
      <c r="BC457" s="322"/>
      <c r="BD457" s="322"/>
      <c r="BE457" s="322"/>
      <c r="BF457" s="322"/>
      <c r="BG457" s="322"/>
      <c r="BH457" s="322"/>
      <c r="BI457" s="322"/>
      <c r="BJ457" s="322"/>
      <c r="BK457" s="322"/>
      <c r="BL457" s="322"/>
      <c r="BM457" s="322"/>
      <c r="BN457" s="322"/>
      <c r="BO457" s="322"/>
      <c r="BP457" s="322"/>
      <c r="BQ457" s="322"/>
      <c r="BR457" s="322"/>
      <c r="BS457" s="322"/>
      <c r="BT457" s="322"/>
      <c r="BU457" s="322"/>
      <c r="BV457" s="322"/>
      <c r="BW457" s="322"/>
      <c r="BX457" s="322"/>
      <c r="BY457" s="322"/>
      <c r="BZ457" s="322"/>
      <c r="CA457" s="322"/>
      <c r="CB457" s="322"/>
      <c r="CC457" s="322"/>
      <c r="CD457" s="322"/>
      <c r="CE457" s="322"/>
      <c r="CF457" s="322"/>
      <c r="CG457" s="322"/>
      <c r="CH457" s="322"/>
      <c r="CI457" s="322"/>
      <c r="CJ457" s="322"/>
      <c r="CK457" s="322"/>
      <c r="CL457" s="322"/>
      <c r="CM457" s="322"/>
      <c r="CN457" s="322"/>
      <c r="CO457" s="322"/>
      <c r="CP457" s="322"/>
      <c r="CQ457" s="322"/>
      <c r="CR457" s="322"/>
      <c r="CS457" s="322"/>
      <c r="CT457" s="322"/>
      <c r="CU457" s="322"/>
      <c r="CV457" s="322"/>
      <c r="CW457" s="322"/>
      <c r="CX457" s="322"/>
      <c r="CY457" s="322"/>
    </row>
    <row r="458" spans="1:103" s="432" customFormat="1">
      <c r="A458" s="509">
        <f t="shared" si="7"/>
        <v>457</v>
      </c>
      <c r="B458" s="1332" t="s">
        <v>43</v>
      </c>
      <c r="C458" s="943" t="s">
        <v>44</v>
      </c>
      <c r="D458" s="943" t="s">
        <v>45</v>
      </c>
      <c r="E458" s="432" t="s">
        <v>5840</v>
      </c>
      <c r="F458" s="434">
        <v>9</v>
      </c>
      <c r="G458" s="434">
        <v>9809554400</v>
      </c>
      <c r="I458" s="434">
        <v>21</v>
      </c>
      <c r="J458" s="434" t="s">
        <v>90</v>
      </c>
      <c r="K458" s="434" t="s">
        <v>5405</v>
      </c>
      <c r="L458" s="434"/>
      <c r="M458" s="434" t="s">
        <v>1764</v>
      </c>
      <c r="N458" s="730">
        <v>65295</v>
      </c>
      <c r="O458" s="730">
        <v>65295</v>
      </c>
      <c r="P458" s="459">
        <v>65305</v>
      </c>
      <c r="Q458" s="432" t="s">
        <v>51</v>
      </c>
      <c r="R458" s="322"/>
      <c r="S458" s="322"/>
      <c r="T458" s="322"/>
      <c r="U458" s="322"/>
      <c r="V458" s="322"/>
      <c r="W458" s="322"/>
      <c r="X458" s="322"/>
      <c r="Y458" s="322"/>
      <c r="Z458" s="322"/>
      <c r="AA458" s="322"/>
      <c r="AB458" s="322"/>
      <c r="AC458" s="322"/>
      <c r="AD458" s="322"/>
      <c r="AE458" s="322"/>
      <c r="AF458" s="322"/>
      <c r="AG458" s="322"/>
      <c r="AH458" s="322"/>
      <c r="AI458" s="322"/>
      <c r="AJ458" s="322"/>
      <c r="AK458" s="322"/>
      <c r="AL458" s="322"/>
      <c r="AM458" s="322"/>
      <c r="AN458" s="322"/>
      <c r="AO458" s="322"/>
      <c r="AP458" s="322"/>
      <c r="AQ458" s="322"/>
      <c r="AR458" s="322"/>
      <c r="AS458" s="322"/>
      <c r="AT458" s="322"/>
      <c r="AU458" s="322"/>
      <c r="AV458" s="322"/>
      <c r="AW458" s="322"/>
      <c r="AX458" s="322"/>
      <c r="AY458" s="322"/>
      <c r="AZ458" s="322"/>
      <c r="BA458" s="322"/>
      <c r="BB458" s="322"/>
      <c r="BC458" s="322"/>
      <c r="BD458" s="322"/>
      <c r="BE458" s="322"/>
      <c r="BF458" s="322"/>
      <c r="BG458" s="322"/>
      <c r="BH458" s="322"/>
      <c r="BI458" s="322"/>
      <c r="BJ458" s="322"/>
      <c r="BK458" s="322"/>
      <c r="BL458" s="322"/>
      <c r="BM458" s="322"/>
      <c r="BN458" s="322"/>
      <c r="BO458" s="322"/>
      <c r="BP458" s="322"/>
      <c r="BQ458" s="322"/>
      <c r="BR458" s="322"/>
      <c r="BS458" s="322"/>
      <c r="BT458" s="322"/>
      <c r="BU458" s="322"/>
      <c r="BV458" s="322"/>
      <c r="BW458" s="322"/>
      <c r="BX458" s="322"/>
      <c r="BY458" s="322"/>
      <c r="BZ458" s="322"/>
      <c r="CA458" s="322"/>
      <c r="CB458" s="322"/>
      <c r="CC458" s="322"/>
      <c r="CD458" s="322"/>
      <c r="CE458" s="322"/>
      <c r="CF458" s="322"/>
      <c r="CG458" s="322"/>
      <c r="CH458" s="322"/>
      <c r="CI458" s="322"/>
      <c r="CJ458" s="322"/>
      <c r="CK458" s="322"/>
      <c r="CL458" s="322"/>
      <c r="CM458" s="322"/>
      <c r="CN458" s="322"/>
      <c r="CO458" s="322"/>
      <c r="CP458" s="322"/>
      <c r="CQ458" s="322"/>
      <c r="CR458" s="322"/>
      <c r="CS458" s="322"/>
      <c r="CT458" s="322"/>
      <c r="CU458" s="322"/>
      <c r="CV458" s="322"/>
      <c r="CW458" s="322"/>
      <c r="CX458" s="322"/>
      <c r="CY458" s="322"/>
    </row>
    <row r="459" spans="1:103" s="432" customFormat="1">
      <c r="A459" s="509">
        <f t="shared" si="7"/>
        <v>458</v>
      </c>
      <c r="B459" s="1332" t="s">
        <v>43</v>
      </c>
      <c r="C459" s="943" t="s">
        <v>44</v>
      </c>
      <c r="D459" s="943" t="s">
        <v>45</v>
      </c>
      <c r="E459" s="432" t="s">
        <v>5841</v>
      </c>
      <c r="F459" s="434">
        <v>8</v>
      </c>
      <c r="G459" s="434">
        <v>9818807200</v>
      </c>
      <c r="I459" s="434">
        <v>30</v>
      </c>
      <c r="J459" s="434" t="s">
        <v>90</v>
      </c>
      <c r="K459" s="434" t="s">
        <v>5405</v>
      </c>
      <c r="L459" s="434"/>
      <c r="M459" s="434" t="s">
        <v>1764</v>
      </c>
      <c r="N459" s="730">
        <v>65295</v>
      </c>
      <c r="O459" s="730">
        <v>65295</v>
      </c>
      <c r="P459" s="459">
        <v>65305</v>
      </c>
      <c r="Q459" s="432" t="s">
        <v>51</v>
      </c>
      <c r="R459" s="322"/>
      <c r="S459" s="322"/>
      <c r="T459" s="322"/>
      <c r="U459" s="322"/>
      <c r="V459" s="322"/>
      <c r="W459" s="322"/>
      <c r="X459" s="322"/>
      <c r="Y459" s="322"/>
      <c r="Z459" s="322"/>
      <c r="AA459" s="322"/>
      <c r="AB459" s="322"/>
      <c r="AC459" s="322"/>
      <c r="AD459" s="322"/>
      <c r="AE459" s="322"/>
      <c r="AF459" s="322"/>
      <c r="AG459" s="322"/>
      <c r="AH459" s="322"/>
      <c r="AI459" s="322"/>
      <c r="AJ459" s="322"/>
      <c r="AK459" s="322"/>
      <c r="AL459" s="322"/>
      <c r="AM459" s="322"/>
      <c r="AN459" s="322"/>
      <c r="AO459" s="322"/>
      <c r="AP459" s="322"/>
      <c r="AQ459" s="322"/>
      <c r="AR459" s="322"/>
      <c r="AS459" s="322"/>
      <c r="AT459" s="322"/>
      <c r="AU459" s="322"/>
      <c r="AV459" s="322"/>
      <c r="AW459" s="322"/>
      <c r="AX459" s="322"/>
      <c r="AY459" s="322"/>
      <c r="AZ459" s="322"/>
      <c r="BA459" s="322"/>
      <c r="BB459" s="322"/>
      <c r="BC459" s="322"/>
      <c r="BD459" s="322"/>
      <c r="BE459" s="322"/>
      <c r="BF459" s="322"/>
      <c r="BG459" s="322"/>
      <c r="BH459" s="322"/>
      <c r="BI459" s="322"/>
      <c r="BJ459" s="322"/>
      <c r="BK459" s="322"/>
      <c r="BL459" s="322"/>
      <c r="BM459" s="322"/>
      <c r="BN459" s="322"/>
      <c r="BO459" s="322"/>
      <c r="BP459" s="322"/>
      <c r="BQ459" s="322"/>
      <c r="BR459" s="322"/>
      <c r="BS459" s="322"/>
      <c r="BT459" s="322"/>
      <c r="BU459" s="322"/>
      <c r="BV459" s="322"/>
      <c r="BW459" s="322"/>
      <c r="BX459" s="322"/>
      <c r="BY459" s="322"/>
      <c r="BZ459" s="322"/>
      <c r="CA459" s="322"/>
      <c r="CB459" s="322"/>
      <c r="CC459" s="322"/>
      <c r="CD459" s="322"/>
      <c r="CE459" s="322"/>
      <c r="CF459" s="322"/>
      <c r="CG459" s="322"/>
      <c r="CH459" s="322"/>
      <c r="CI459" s="322"/>
      <c r="CJ459" s="322"/>
      <c r="CK459" s="322"/>
      <c r="CL459" s="322"/>
      <c r="CM459" s="322"/>
      <c r="CN459" s="322"/>
      <c r="CO459" s="322"/>
      <c r="CP459" s="322"/>
      <c r="CQ459" s="322"/>
      <c r="CR459" s="322"/>
      <c r="CS459" s="322"/>
      <c r="CT459" s="322"/>
      <c r="CU459" s="322"/>
      <c r="CV459" s="322"/>
      <c r="CW459" s="322"/>
      <c r="CX459" s="322"/>
      <c r="CY459" s="322"/>
    </row>
    <row r="460" spans="1:103" s="432" customFormat="1">
      <c r="A460" s="509">
        <f t="shared" si="7"/>
        <v>459</v>
      </c>
      <c r="B460" s="1332" t="s">
        <v>43</v>
      </c>
      <c r="C460" s="943" t="s">
        <v>44</v>
      </c>
      <c r="D460" s="943" t="s">
        <v>45</v>
      </c>
      <c r="E460" s="432" t="s">
        <v>5842</v>
      </c>
      <c r="F460" s="434">
        <v>9</v>
      </c>
      <c r="G460" s="434">
        <v>9857821673</v>
      </c>
      <c r="I460" s="434">
        <v>31</v>
      </c>
      <c r="J460" s="120" t="s">
        <v>48</v>
      </c>
      <c r="K460" s="434" t="s">
        <v>5405</v>
      </c>
      <c r="L460" s="434"/>
      <c r="M460" s="434" t="s">
        <v>1764</v>
      </c>
      <c r="N460" s="730">
        <v>65295</v>
      </c>
      <c r="O460" s="730">
        <v>65295</v>
      </c>
      <c r="P460" s="459">
        <v>65305</v>
      </c>
      <c r="Q460" s="432" t="s">
        <v>51</v>
      </c>
      <c r="R460" s="322"/>
      <c r="S460" s="322"/>
      <c r="T460" s="322"/>
      <c r="U460" s="322"/>
      <c r="V460" s="322"/>
      <c r="W460" s="322"/>
      <c r="X460" s="322"/>
      <c r="Y460" s="322"/>
      <c r="Z460" s="322"/>
      <c r="AA460" s="322"/>
      <c r="AB460" s="322"/>
      <c r="AC460" s="322"/>
      <c r="AD460" s="322"/>
      <c r="AE460" s="322"/>
      <c r="AF460" s="322"/>
      <c r="AG460" s="322"/>
      <c r="AH460" s="322"/>
      <c r="AI460" s="322"/>
      <c r="AJ460" s="322"/>
      <c r="AK460" s="322"/>
      <c r="AL460" s="322"/>
      <c r="AM460" s="322"/>
      <c r="AN460" s="322"/>
      <c r="AO460" s="322"/>
      <c r="AP460" s="322"/>
      <c r="AQ460" s="322"/>
      <c r="AR460" s="322"/>
      <c r="AS460" s="322"/>
      <c r="AT460" s="322"/>
      <c r="AU460" s="322"/>
      <c r="AV460" s="322"/>
      <c r="AW460" s="322"/>
      <c r="AX460" s="322"/>
      <c r="AY460" s="322"/>
      <c r="AZ460" s="322"/>
      <c r="BA460" s="322"/>
      <c r="BB460" s="322"/>
      <c r="BC460" s="322"/>
      <c r="BD460" s="322"/>
      <c r="BE460" s="322"/>
      <c r="BF460" s="322"/>
      <c r="BG460" s="322"/>
      <c r="BH460" s="322"/>
      <c r="BI460" s="322"/>
      <c r="BJ460" s="322"/>
      <c r="BK460" s="322"/>
      <c r="BL460" s="322"/>
      <c r="BM460" s="322"/>
      <c r="BN460" s="322"/>
      <c r="BO460" s="322"/>
      <c r="BP460" s="322"/>
      <c r="BQ460" s="322"/>
      <c r="BR460" s="322"/>
      <c r="BS460" s="322"/>
      <c r="BT460" s="322"/>
      <c r="BU460" s="322"/>
      <c r="BV460" s="322"/>
      <c r="BW460" s="322"/>
      <c r="BX460" s="322"/>
      <c r="BY460" s="322"/>
      <c r="BZ460" s="322"/>
      <c r="CA460" s="322"/>
      <c r="CB460" s="322"/>
      <c r="CC460" s="322"/>
      <c r="CD460" s="322"/>
      <c r="CE460" s="322"/>
      <c r="CF460" s="322"/>
      <c r="CG460" s="322"/>
      <c r="CH460" s="322"/>
      <c r="CI460" s="322"/>
      <c r="CJ460" s="322"/>
      <c r="CK460" s="322"/>
      <c r="CL460" s="322"/>
      <c r="CM460" s="322"/>
      <c r="CN460" s="322"/>
      <c r="CO460" s="322"/>
      <c r="CP460" s="322"/>
      <c r="CQ460" s="322"/>
      <c r="CR460" s="322"/>
      <c r="CS460" s="322"/>
      <c r="CT460" s="322"/>
      <c r="CU460" s="322"/>
      <c r="CV460" s="322"/>
      <c r="CW460" s="322"/>
      <c r="CX460" s="322"/>
      <c r="CY460" s="322"/>
    </row>
    <row r="461" spans="1:103" s="432" customFormat="1">
      <c r="A461" s="509">
        <f t="shared" si="7"/>
        <v>460</v>
      </c>
      <c r="B461" s="1332" t="s">
        <v>43</v>
      </c>
      <c r="C461" s="943" t="s">
        <v>44</v>
      </c>
      <c r="D461" s="943" t="s">
        <v>45</v>
      </c>
      <c r="E461" s="432" t="s">
        <v>5843</v>
      </c>
      <c r="F461" s="434">
        <v>2</v>
      </c>
      <c r="G461" s="434">
        <v>9864354524</v>
      </c>
      <c r="I461" s="434">
        <v>40</v>
      </c>
      <c r="J461" s="120" t="s">
        <v>48</v>
      </c>
      <c r="K461" s="434" t="s">
        <v>5405</v>
      </c>
      <c r="L461" s="434"/>
      <c r="M461" s="434" t="s">
        <v>1764</v>
      </c>
      <c r="N461" s="730">
        <v>65295</v>
      </c>
      <c r="O461" s="730">
        <v>65295</v>
      </c>
      <c r="P461" s="459">
        <v>65305</v>
      </c>
      <c r="Q461" s="432" t="s">
        <v>51</v>
      </c>
      <c r="R461" s="322"/>
      <c r="S461" s="322"/>
      <c r="T461" s="322"/>
      <c r="U461" s="322"/>
      <c r="V461" s="322"/>
      <c r="W461" s="322"/>
      <c r="X461" s="322"/>
      <c r="Y461" s="322"/>
      <c r="Z461" s="322"/>
      <c r="AA461" s="322"/>
      <c r="AB461" s="322"/>
      <c r="AC461" s="322"/>
      <c r="AD461" s="322"/>
      <c r="AE461" s="322"/>
      <c r="AF461" s="322"/>
      <c r="AG461" s="322"/>
      <c r="AH461" s="322"/>
      <c r="AI461" s="322"/>
      <c r="AJ461" s="322"/>
      <c r="AK461" s="322"/>
      <c r="AL461" s="322"/>
      <c r="AM461" s="322"/>
      <c r="AN461" s="322"/>
      <c r="AO461" s="322"/>
      <c r="AP461" s="322"/>
      <c r="AQ461" s="322"/>
      <c r="AR461" s="322"/>
      <c r="AS461" s="322"/>
      <c r="AT461" s="322"/>
      <c r="AU461" s="322"/>
      <c r="AV461" s="322"/>
      <c r="AW461" s="322"/>
      <c r="AX461" s="322"/>
      <c r="AY461" s="322"/>
      <c r="AZ461" s="322"/>
      <c r="BA461" s="322"/>
      <c r="BB461" s="322"/>
      <c r="BC461" s="322"/>
      <c r="BD461" s="322"/>
      <c r="BE461" s="322"/>
      <c r="BF461" s="322"/>
      <c r="BG461" s="322"/>
      <c r="BH461" s="322"/>
      <c r="BI461" s="322"/>
      <c r="BJ461" s="322"/>
      <c r="BK461" s="322"/>
      <c r="BL461" s="322"/>
      <c r="BM461" s="322"/>
      <c r="BN461" s="322"/>
      <c r="BO461" s="322"/>
      <c r="BP461" s="322"/>
      <c r="BQ461" s="322"/>
      <c r="BR461" s="322"/>
      <c r="BS461" s="322"/>
      <c r="BT461" s="322"/>
      <c r="BU461" s="322"/>
      <c r="BV461" s="322"/>
      <c r="BW461" s="322"/>
      <c r="BX461" s="322"/>
      <c r="BY461" s="322"/>
      <c r="BZ461" s="322"/>
      <c r="CA461" s="322"/>
      <c r="CB461" s="322"/>
      <c r="CC461" s="322"/>
      <c r="CD461" s="322"/>
      <c r="CE461" s="322"/>
      <c r="CF461" s="322"/>
      <c r="CG461" s="322"/>
      <c r="CH461" s="322"/>
      <c r="CI461" s="322"/>
      <c r="CJ461" s="322"/>
      <c r="CK461" s="322"/>
      <c r="CL461" s="322"/>
      <c r="CM461" s="322"/>
      <c r="CN461" s="322"/>
      <c r="CO461" s="322"/>
      <c r="CP461" s="322"/>
      <c r="CQ461" s="322"/>
      <c r="CR461" s="322"/>
      <c r="CS461" s="322"/>
      <c r="CT461" s="322"/>
      <c r="CU461" s="322"/>
      <c r="CV461" s="322"/>
      <c r="CW461" s="322"/>
      <c r="CX461" s="322"/>
      <c r="CY461" s="322"/>
    </row>
    <row r="462" spans="1:103" s="432" customFormat="1">
      <c r="A462" s="509">
        <f t="shared" si="7"/>
        <v>461</v>
      </c>
      <c r="B462" s="1332" t="s">
        <v>43</v>
      </c>
      <c r="C462" s="943" t="s">
        <v>44</v>
      </c>
      <c r="D462" s="943" t="s">
        <v>45</v>
      </c>
      <c r="E462" s="432" t="s">
        <v>5844</v>
      </c>
      <c r="F462" s="434">
        <v>6</v>
      </c>
      <c r="G462" s="434">
        <v>9847909399</v>
      </c>
      <c r="I462" s="434">
        <v>23</v>
      </c>
      <c r="J462" s="120" t="s">
        <v>48</v>
      </c>
      <c r="K462" s="434" t="s">
        <v>5405</v>
      </c>
      <c r="L462" s="434"/>
      <c r="M462" s="434" t="s">
        <v>1764</v>
      </c>
      <c r="N462" s="730">
        <v>65295</v>
      </c>
      <c r="O462" s="730">
        <v>65295</v>
      </c>
      <c r="P462" s="459">
        <v>65305</v>
      </c>
      <c r="Q462" s="432" t="s">
        <v>51</v>
      </c>
      <c r="R462" s="322"/>
      <c r="S462" s="322"/>
      <c r="T462" s="322"/>
      <c r="U462" s="322"/>
      <c r="V462" s="322"/>
      <c r="W462" s="322"/>
      <c r="X462" s="322"/>
      <c r="Y462" s="322"/>
      <c r="Z462" s="322"/>
      <c r="AA462" s="322"/>
      <c r="AB462" s="322"/>
      <c r="AC462" s="322"/>
      <c r="AD462" s="322"/>
      <c r="AE462" s="322"/>
      <c r="AF462" s="322"/>
      <c r="AG462" s="322"/>
      <c r="AH462" s="322"/>
      <c r="AI462" s="322"/>
      <c r="AJ462" s="322"/>
      <c r="AK462" s="322"/>
      <c r="AL462" s="322"/>
      <c r="AM462" s="322"/>
      <c r="AN462" s="322"/>
      <c r="AO462" s="322"/>
      <c r="AP462" s="322"/>
      <c r="AQ462" s="322"/>
      <c r="AR462" s="322"/>
      <c r="AS462" s="322"/>
      <c r="AT462" s="322"/>
      <c r="AU462" s="322"/>
      <c r="AV462" s="322"/>
      <c r="AW462" s="322"/>
      <c r="AX462" s="322"/>
      <c r="AY462" s="322"/>
      <c r="AZ462" s="322"/>
      <c r="BA462" s="322"/>
      <c r="BB462" s="322"/>
      <c r="BC462" s="322"/>
      <c r="BD462" s="322"/>
      <c r="BE462" s="322"/>
      <c r="BF462" s="322"/>
      <c r="BG462" s="322"/>
      <c r="BH462" s="322"/>
      <c r="BI462" s="322"/>
      <c r="BJ462" s="322"/>
      <c r="BK462" s="322"/>
      <c r="BL462" s="322"/>
      <c r="BM462" s="322"/>
      <c r="BN462" s="322"/>
      <c r="BO462" s="322"/>
      <c r="BP462" s="322"/>
      <c r="BQ462" s="322"/>
      <c r="BR462" s="322"/>
      <c r="BS462" s="322"/>
      <c r="BT462" s="322"/>
      <c r="BU462" s="322"/>
      <c r="BV462" s="322"/>
      <c r="BW462" s="322"/>
      <c r="BX462" s="322"/>
      <c r="BY462" s="322"/>
      <c r="BZ462" s="322"/>
      <c r="CA462" s="322"/>
      <c r="CB462" s="322"/>
      <c r="CC462" s="322"/>
      <c r="CD462" s="322"/>
      <c r="CE462" s="322"/>
      <c r="CF462" s="322"/>
      <c r="CG462" s="322"/>
      <c r="CH462" s="322"/>
      <c r="CI462" s="322"/>
      <c r="CJ462" s="322"/>
      <c r="CK462" s="322"/>
      <c r="CL462" s="322"/>
      <c r="CM462" s="322"/>
      <c r="CN462" s="322"/>
      <c r="CO462" s="322"/>
      <c r="CP462" s="322"/>
      <c r="CQ462" s="322"/>
      <c r="CR462" s="322"/>
      <c r="CS462" s="322"/>
      <c r="CT462" s="322"/>
      <c r="CU462" s="322"/>
      <c r="CV462" s="322"/>
      <c r="CW462" s="322"/>
      <c r="CX462" s="322"/>
      <c r="CY462" s="322"/>
    </row>
    <row r="463" spans="1:103" s="432" customFormat="1">
      <c r="A463" s="509">
        <f t="shared" si="7"/>
        <v>462</v>
      </c>
      <c r="B463" s="1332" t="s">
        <v>43</v>
      </c>
      <c r="C463" s="943" t="s">
        <v>44</v>
      </c>
      <c r="D463" s="943" t="s">
        <v>45</v>
      </c>
      <c r="E463" s="432" t="s">
        <v>5845</v>
      </c>
      <c r="F463" s="434">
        <v>6</v>
      </c>
      <c r="G463" s="434">
        <v>9847832692</v>
      </c>
      <c r="I463" s="434">
        <v>63</v>
      </c>
      <c r="J463" s="434" t="s">
        <v>90</v>
      </c>
      <c r="K463" s="434" t="s">
        <v>5405</v>
      </c>
      <c r="L463" s="434"/>
      <c r="M463" s="434" t="s">
        <v>1764</v>
      </c>
      <c r="N463" s="730">
        <v>65295</v>
      </c>
      <c r="O463" s="730">
        <v>65295</v>
      </c>
      <c r="P463" s="459">
        <v>65305</v>
      </c>
      <c r="Q463" s="432" t="s">
        <v>51</v>
      </c>
      <c r="R463" s="322"/>
      <c r="S463" s="322"/>
      <c r="T463" s="322"/>
      <c r="U463" s="322"/>
      <c r="V463" s="322"/>
      <c r="W463" s="322"/>
      <c r="X463" s="322"/>
      <c r="Y463" s="322"/>
      <c r="Z463" s="322"/>
      <c r="AA463" s="322"/>
      <c r="AB463" s="322"/>
      <c r="AC463" s="322"/>
      <c r="AD463" s="322"/>
      <c r="AE463" s="322"/>
      <c r="AF463" s="322"/>
      <c r="AG463" s="322"/>
      <c r="AH463" s="322"/>
      <c r="AI463" s="322"/>
      <c r="AJ463" s="322"/>
      <c r="AK463" s="322"/>
      <c r="AL463" s="322"/>
      <c r="AM463" s="322"/>
      <c r="AN463" s="322"/>
      <c r="AO463" s="322"/>
      <c r="AP463" s="322"/>
      <c r="AQ463" s="322"/>
      <c r="AR463" s="322"/>
      <c r="AS463" s="322"/>
      <c r="AT463" s="322"/>
      <c r="AU463" s="322"/>
      <c r="AV463" s="322"/>
      <c r="AW463" s="322"/>
      <c r="AX463" s="322"/>
      <c r="AY463" s="322"/>
      <c r="AZ463" s="322"/>
      <c r="BA463" s="322"/>
      <c r="BB463" s="322"/>
      <c r="BC463" s="322"/>
      <c r="BD463" s="322"/>
      <c r="BE463" s="322"/>
      <c r="BF463" s="322"/>
      <c r="BG463" s="322"/>
      <c r="BH463" s="322"/>
      <c r="BI463" s="322"/>
      <c r="BJ463" s="322"/>
      <c r="BK463" s="322"/>
      <c r="BL463" s="322"/>
      <c r="BM463" s="322"/>
      <c r="BN463" s="322"/>
      <c r="BO463" s="322"/>
      <c r="BP463" s="322"/>
      <c r="BQ463" s="322"/>
      <c r="BR463" s="322"/>
      <c r="BS463" s="322"/>
      <c r="BT463" s="322"/>
      <c r="BU463" s="322"/>
      <c r="BV463" s="322"/>
      <c r="BW463" s="322"/>
      <c r="BX463" s="322"/>
      <c r="BY463" s="322"/>
      <c r="BZ463" s="322"/>
      <c r="CA463" s="322"/>
      <c r="CB463" s="322"/>
      <c r="CC463" s="322"/>
      <c r="CD463" s="322"/>
      <c r="CE463" s="322"/>
      <c r="CF463" s="322"/>
      <c r="CG463" s="322"/>
      <c r="CH463" s="322"/>
      <c r="CI463" s="322"/>
      <c r="CJ463" s="322"/>
      <c r="CK463" s="322"/>
      <c r="CL463" s="322"/>
      <c r="CM463" s="322"/>
      <c r="CN463" s="322"/>
      <c r="CO463" s="322"/>
      <c r="CP463" s="322"/>
      <c r="CQ463" s="322"/>
      <c r="CR463" s="322"/>
      <c r="CS463" s="322"/>
      <c r="CT463" s="322"/>
      <c r="CU463" s="322"/>
      <c r="CV463" s="322"/>
      <c r="CW463" s="322"/>
      <c r="CX463" s="322"/>
      <c r="CY463" s="322"/>
    </row>
    <row r="464" spans="1:103" s="432" customFormat="1">
      <c r="A464" s="509">
        <f t="shared" si="7"/>
        <v>463</v>
      </c>
      <c r="B464" s="1332" t="s">
        <v>43</v>
      </c>
      <c r="C464" s="943" t="s">
        <v>44</v>
      </c>
      <c r="D464" s="943" t="s">
        <v>45</v>
      </c>
      <c r="E464" s="432" t="s">
        <v>5846</v>
      </c>
      <c r="F464" s="434">
        <v>8</v>
      </c>
      <c r="G464" s="434">
        <v>9869863864</v>
      </c>
      <c r="I464" s="434">
        <v>58</v>
      </c>
      <c r="J464" s="434" t="s">
        <v>90</v>
      </c>
      <c r="K464" s="434" t="s">
        <v>5405</v>
      </c>
      <c r="L464" s="434"/>
      <c r="M464" s="434" t="s">
        <v>1764</v>
      </c>
      <c r="N464" s="730">
        <v>65295</v>
      </c>
      <c r="O464" s="730">
        <v>65295</v>
      </c>
      <c r="P464" s="459">
        <v>65305</v>
      </c>
      <c r="Q464" s="432" t="s">
        <v>51</v>
      </c>
      <c r="R464" s="322"/>
      <c r="S464" s="322"/>
      <c r="T464" s="322"/>
      <c r="U464" s="322"/>
      <c r="V464" s="322"/>
      <c r="W464" s="322"/>
      <c r="X464" s="322"/>
      <c r="Y464" s="322"/>
      <c r="Z464" s="322"/>
      <c r="AA464" s="322"/>
      <c r="AB464" s="322"/>
      <c r="AC464" s="322"/>
      <c r="AD464" s="322"/>
      <c r="AE464" s="322"/>
      <c r="AF464" s="322"/>
      <c r="AG464" s="322"/>
      <c r="AH464" s="322"/>
      <c r="AI464" s="322"/>
      <c r="AJ464" s="322"/>
      <c r="AK464" s="322"/>
      <c r="AL464" s="322"/>
      <c r="AM464" s="322"/>
      <c r="AN464" s="322"/>
      <c r="AO464" s="322"/>
      <c r="AP464" s="322"/>
      <c r="AQ464" s="322"/>
      <c r="AR464" s="322"/>
      <c r="AS464" s="322"/>
      <c r="AT464" s="322"/>
      <c r="AU464" s="322"/>
      <c r="AV464" s="322"/>
      <c r="AW464" s="322"/>
      <c r="AX464" s="322"/>
      <c r="AY464" s="322"/>
      <c r="AZ464" s="322"/>
      <c r="BA464" s="322"/>
      <c r="BB464" s="322"/>
      <c r="BC464" s="322"/>
      <c r="BD464" s="322"/>
      <c r="BE464" s="322"/>
      <c r="BF464" s="322"/>
      <c r="BG464" s="322"/>
      <c r="BH464" s="322"/>
      <c r="BI464" s="322"/>
      <c r="BJ464" s="322"/>
      <c r="BK464" s="322"/>
      <c r="BL464" s="322"/>
      <c r="BM464" s="322"/>
      <c r="BN464" s="322"/>
      <c r="BO464" s="322"/>
      <c r="BP464" s="322"/>
      <c r="BQ464" s="322"/>
      <c r="BR464" s="322"/>
      <c r="BS464" s="322"/>
      <c r="BT464" s="322"/>
      <c r="BU464" s="322"/>
      <c r="BV464" s="322"/>
      <c r="BW464" s="322"/>
      <c r="BX464" s="322"/>
      <c r="BY464" s="322"/>
      <c r="BZ464" s="322"/>
      <c r="CA464" s="322"/>
      <c r="CB464" s="322"/>
      <c r="CC464" s="322"/>
      <c r="CD464" s="322"/>
      <c r="CE464" s="322"/>
      <c r="CF464" s="322"/>
      <c r="CG464" s="322"/>
      <c r="CH464" s="322"/>
      <c r="CI464" s="322"/>
      <c r="CJ464" s="322"/>
      <c r="CK464" s="322"/>
      <c r="CL464" s="322"/>
      <c r="CM464" s="322"/>
      <c r="CN464" s="322"/>
      <c r="CO464" s="322"/>
      <c r="CP464" s="322"/>
      <c r="CQ464" s="322"/>
      <c r="CR464" s="322"/>
      <c r="CS464" s="322"/>
      <c r="CT464" s="322"/>
      <c r="CU464" s="322"/>
      <c r="CV464" s="322"/>
      <c r="CW464" s="322"/>
      <c r="CX464" s="322"/>
      <c r="CY464" s="322"/>
    </row>
    <row r="465" spans="1:103" s="432" customFormat="1">
      <c r="A465" s="509">
        <f t="shared" si="7"/>
        <v>464</v>
      </c>
      <c r="B465" s="1332" t="s">
        <v>43</v>
      </c>
      <c r="C465" s="943" t="s">
        <v>44</v>
      </c>
      <c r="D465" s="943" t="s">
        <v>45</v>
      </c>
      <c r="E465" s="432" t="s">
        <v>5847</v>
      </c>
      <c r="F465" s="434">
        <v>8</v>
      </c>
      <c r="G465" s="434">
        <v>9866977703</v>
      </c>
      <c r="I465" s="434">
        <v>44</v>
      </c>
      <c r="J465" s="434" t="s">
        <v>90</v>
      </c>
      <c r="K465" s="434" t="s">
        <v>5405</v>
      </c>
      <c r="L465" s="434"/>
      <c r="M465" s="434" t="s">
        <v>1764</v>
      </c>
      <c r="N465" s="730">
        <v>65295</v>
      </c>
      <c r="O465" s="730">
        <v>65295</v>
      </c>
      <c r="P465" s="459">
        <v>65305</v>
      </c>
      <c r="Q465" s="432" t="s">
        <v>51</v>
      </c>
      <c r="R465" s="322"/>
      <c r="S465" s="322"/>
      <c r="T465" s="322"/>
      <c r="U465" s="322"/>
      <c r="V465" s="322"/>
      <c r="W465" s="322"/>
      <c r="X465" s="322"/>
      <c r="Y465" s="322"/>
      <c r="Z465" s="322"/>
      <c r="AA465" s="322"/>
      <c r="AB465" s="322"/>
      <c r="AC465" s="322"/>
      <c r="AD465" s="322"/>
      <c r="AE465" s="322"/>
      <c r="AF465" s="322"/>
      <c r="AG465" s="322"/>
      <c r="AH465" s="322"/>
      <c r="AI465" s="322"/>
      <c r="AJ465" s="322"/>
      <c r="AK465" s="322"/>
      <c r="AL465" s="322"/>
      <c r="AM465" s="322"/>
      <c r="AN465" s="322"/>
      <c r="AO465" s="322"/>
      <c r="AP465" s="322"/>
      <c r="AQ465" s="322"/>
      <c r="AR465" s="322"/>
      <c r="AS465" s="322"/>
      <c r="AT465" s="322"/>
      <c r="AU465" s="322"/>
      <c r="AV465" s="322"/>
      <c r="AW465" s="322"/>
      <c r="AX465" s="322"/>
      <c r="AY465" s="322"/>
      <c r="AZ465" s="322"/>
      <c r="BA465" s="322"/>
      <c r="BB465" s="322"/>
      <c r="BC465" s="322"/>
      <c r="BD465" s="322"/>
      <c r="BE465" s="322"/>
      <c r="BF465" s="322"/>
      <c r="BG465" s="322"/>
      <c r="BH465" s="322"/>
      <c r="BI465" s="322"/>
      <c r="BJ465" s="322"/>
      <c r="BK465" s="322"/>
      <c r="BL465" s="322"/>
      <c r="BM465" s="322"/>
      <c r="BN465" s="322"/>
      <c r="BO465" s="322"/>
      <c r="BP465" s="322"/>
      <c r="BQ465" s="322"/>
      <c r="BR465" s="322"/>
      <c r="BS465" s="322"/>
      <c r="BT465" s="322"/>
      <c r="BU465" s="322"/>
      <c r="BV465" s="322"/>
      <c r="BW465" s="322"/>
      <c r="BX465" s="322"/>
      <c r="BY465" s="322"/>
      <c r="BZ465" s="322"/>
      <c r="CA465" s="322"/>
      <c r="CB465" s="322"/>
      <c r="CC465" s="322"/>
      <c r="CD465" s="322"/>
      <c r="CE465" s="322"/>
      <c r="CF465" s="322"/>
      <c r="CG465" s="322"/>
      <c r="CH465" s="322"/>
      <c r="CI465" s="322"/>
      <c r="CJ465" s="322"/>
      <c r="CK465" s="322"/>
      <c r="CL465" s="322"/>
      <c r="CM465" s="322"/>
      <c r="CN465" s="322"/>
      <c r="CO465" s="322"/>
      <c r="CP465" s="322"/>
      <c r="CQ465" s="322"/>
      <c r="CR465" s="322"/>
      <c r="CS465" s="322"/>
      <c r="CT465" s="322"/>
      <c r="CU465" s="322"/>
      <c r="CV465" s="322"/>
      <c r="CW465" s="322"/>
      <c r="CX465" s="322"/>
      <c r="CY465" s="322"/>
    </row>
    <row r="466" spans="1:103" s="432" customFormat="1">
      <c r="A466" s="509">
        <f t="shared" si="7"/>
        <v>465</v>
      </c>
      <c r="B466" s="1332" t="s">
        <v>43</v>
      </c>
      <c r="C466" s="943" t="s">
        <v>44</v>
      </c>
      <c r="D466" s="943" t="s">
        <v>45</v>
      </c>
      <c r="E466" s="432" t="s">
        <v>1327</v>
      </c>
      <c r="F466" s="434">
        <v>2</v>
      </c>
      <c r="G466" s="434">
        <v>9864815710</v>
      </c>
      <c r="I466" s="434">
        <v>30</v>
      </c>
      <c r="J466" s="434" t="s">
        <v>90</v>
      </c>
      <c r="K466" s="434" t="s">
        <v>5405</v>
      </c>
      <c r="L466" s="434"/>
      <c r="M466" s="434" t="s">
        <v>1764</v>
      </c>
      <c r="N466" s="730">
        <v>65295</v>
      </c>
      <c r="O466" s="730">
        <v>65295</v>
      </c>
      <c r="P466" s="459">
        <v>65305</v>
      </c>
      <c r="Q466" s="432" t="s">
        <v>51</v>
      </c>
      <c r="R466" s="322"/>
      <c r="S466" s="322"/>
      <c r="T466" s="322"/>
      <c r="U466" s="322"/>
      <c r="V466" s="322"/>
      <c r="W466" s="322"/>
      <c r="X466" s="322"/>
      <c r="Y466" s="322"/>
      <c r="Z466" s="322"/>
      <c r="AA466" s="322"/>
      <c r="AB466" s="322"/>
      <c r="AC466" s="322"/>
      <c r="AD466" s="322"/>
      <c r="AE466" s="322"/>
      <c r="AF466" s="322"/>
      <c r="AG466" s="322"/>
      <c r="AH466" s="322"/>
      <c r="AI466" s="322"/>
      <c r="AJ466" s="322"/>
      <c r="AK466" s="322"/>
      <c r="AL466" s="322"/>
      <c r="AM466" s="322"/>
      <c r="AN466" s="322"/>
      <c r="AO466" s="322"/>
      <c r="AP466" s="322"/>
      <c r="AQ466" s="322"/>
      <c r="AR466" s="322"/>
      <c r="AS466" s="322"/>
      <c r="AT466" s="322"/>
      <c r="AU466" s="322"/>
      <c r="AV466" s="322"/>
      <c r="AW466" s="322"/>
      <c r="AX466" s="322"/>
      <c r="AY466" s="322"/>
      <c r="AZ466" s="322"/>
      <c r="BA466" s="322"/>
      <c r="BB466" s="322"/>
      <c r="BC466" s="322"/>
      <c r="BD466" s="322"/>
      <c r="BE466" s="322"/>
      <c r="BF466" s="322"/>
      <c r="BG466" s="322"/>
      <c r="BH466" s="322"/>
      <c r="BI466" s="322"/>
      <c r="BJ466" s="322"/>
      <c r="BK466" s="322"/>
      <c r="BL466" s="322"/>
      <c r="BM466" s="322"/>
      <c r="BN466" s="322"/>
      <c r="BO466" s="322"/>
      <c r="BP466" s="322"/>
      <c r="BQ466" s="322"/>
      <c r="BR466" s="322"/>
      <c r="BS466" s="322"/>
      <c r="BT466" s="322"/>
      <c r="BU466" s="322"/>
      <c r="BV466" s="322"/>
      <c r="BW466" s="322"/>
      <c r="BX466" s="322"/>
      <c r="BY466" s="322"/>
      <c r="BZ466" s="322"/>
      <c r="CA466" s="322"/>
      <c r="CB466" s="322"/>
      <c r="CC466" s="322"/>
      <c r="CD466" s="322"/>
      <c r="CE466" s="322"/>
      <c r="CF466" s="322"/>
      <c r="CG466" s="322"/>
      <c r="CH466" s="322"/>
      <c r="CI466" s="322"/>
      <c r="CJ466" s="322"/>
      <c r="CK466" s="322"/>
      <c r="CL466" s="322"/>
      <c r="CM466" s="322"/>
      <c r="CN466" s="322"/>
      <c r="CO466" s="322"/>
      <c r="CP466" s="322"/>
      <c r="CQ466" s="322"/>
      <c r="CR466" s="322"/>
      <c r="CS466" s="322"/>
      <c r="CT466" s="322"/>
      <c r="CU466" s="322"/>
      <c r="CV466" s="322"/>
      <c r="CW466" s="322"/>
      <c r="CX466" s="322"/>
      <c r="CY466" s="322"/>
    </row>
    <row r="467" spans="1:103" s="432" customFormat="1">
      <c r="A467" s="509">
        <f t="shared" si="7"/>
        <v>466</v>
      </c>
      <c r="B467" s="1332" t="s">
        <v>43</v>
      </c>
      <c r="C467" s="943" t="s">
        <v>44</v>
      </c>
      <c r="D467" s="943" t="s">
        <v>45</v>
      </c>
      <c r="E467" s="432" t="s">
        <v>5848</v>
      </c>
      <c r="F467" s="434">
        <v>2</v>
      </c>
      <c r="G467" s="434">
        <v>9863133355</v>
      </c>
      <c r="I467" s="434">
        <v>56</v>
      </c>
      <c r="J467" s="120" t="s">
        <v>48</v>
      </c>
      <c r="K467" s="434" t="s">
        <v>5405</v>
      </c>
      <c r="L467" s="434"/>
      <c r="M467" s="434" t="s">
        <v>1764</v>
      </c>
      <c r="N467" s="730">
        <v>65295</v>
      </c>
      <c r="O467" s="730">
        <v>65295</v>
      </c>
      <c r="P467" s="459">
        <v>65305</v>
      </c>
      <c r="Q467" s="432" t="s">
        <v>51</v>
      </c>
      <c r="R467" s="322"/>
      <c r="S467" s="322"/>
      <c r="T467" s="322"/>
      <c r="U467" s="322"/>
      <c r="V467" s="322"/>
      <c r="W467" s="322"/>
      <c r="X467" s="322"/>
      <c r="Y467" s="322"/>
      <c r="Z467" s="322"/>
      <c r="AA467" s="322"/>
      <c r="AB467" s="322"/>
      <c r="AC467" s="322"/>
      <c r="AD467" s="322"/>
      <c r="AE467" s="322"/>
      <c r="AF467" s="322"/>
      <c r="AG467" s="322"/>
      <c r="AH467" s="322"/>
      <c r="AI467" s="322"/>
      <c r="AJ467" s="322"/>
      <c r="AK467" s="322"/>
      <c r="AL467" s="322"/>
      <c r="AM467" s="322"/>
      <c r="AN467" s="322"/>
      <c r="AO467" s="322"/>
      <c r="AP467" s="322"/>
      <c r="AQ467" s="322"/>
      <c r="AR467" s="322"/>
      <c r="AS467" s="322"/>
      <c r="AT467" s="322"/>
      <c r="AU467" s="322"/>
      <c r="AV467" s="322"/>
      <c r="AW467" s="322"/>
      <c r="AX467" s="322"/>
      <c r="AY467" s="322"/>
      <c r="AZ467" s="322"/>
      <c r="BA467" s="322"/>
      <c r="BB467" s="322"/>
      <c r="BC467" s="322"/>
      <c r="BD467" s="322"/>
      <c r="BE467" s="322"/>
      <c r="BF467" s="322"/>
      <c r="BG467" s="322"/>
      <c r="BH467" s="322"/>
      <c r="BI467" s="322"/>
      <c r="BJ467" s="322"/>
      <c r="BK467" s="322"/>
      <c r="BL467" s="322"/>
      <c r="BM467" s="322"/>
      <c r="BN467" s="322"/>
      <c r="BO467" s="322"/>
      <c r="BP467" s="322"/>
      <c r="BQ467" s="322"/>
      <c r="BR467" s="322"/>
      <c r="BS467" s="322"/>
      <c r="BT467" s="322"/>
      <c r="BU467" s="322"/>
      <c r="BV467" s="322"/>
      <c r="BW467" s="322"/>
      <c r="BX467" s="322"/>
      <c r="BY467" s="322"/>
      <c r="BZ467" s="322"/>
      <c r="CA467" s="322"/>
      <c r="CB467" s="322"/>
      <c r="CC467" s="322"/>
      <c r="CD467" s="322"/>
      <c r="CE467" s="322"/>
      <c r="CF467" s="322"/>
      <c r="CG467" s="322"/>
      <c r="CH467" s="322"/>
      <c r="CI467" s="322"/>
      <c r="CJ467" s="322"/>
      <c r="CK467" s="322"/>
      <c r="CL467" s="322"/>
      <c r="CM467" s="322"/>
      <c r="CN467" s="322"/>
      <c r="CO467" s="322"/>
      <c r="CP467" s="322"/>
      <c r="CQ467" s="322"/>
      <c r="CR467" s="322"/>
      <c r="CS467" s="322"/>
      <c r="CT467" s="322"/>
      <c r="CU467" s="322"/>
      <c r="CV467" s="322"/>
      <c r="CW467" s="322"/>
      <c r="CX467" s="322"/>
      <c r="CY467" s="322"/>
    </row>
    <row r="468" spans="1:103" s="432" customFormat="1">
      <c r="A468" s="509">
        <f t="shared" si="7"/>
        <v>467</v>
      </c>
      <c r="B468" s="1332" t="s">
        <v>43</v>
      </c>
      <c r="C468" s="943" t="s">
        <v>44</v>
      </c>
      <c r="D468" s="943" t="s">
        <v>45</v>
      </c>
      <c r="E468" s="432" t="s">
        <v>5849</v>
      </c>
      <c r="F468" s="434">
        <v>5</v>
      </c>
      <c r="G468" s="434">
        <v>9847808202</v>
      </c>
      <c r="I468" s="434">
        <v>23</v>
      </c>
      <c r="J468" s="434" t="s">
        <v>90</v>
      </c>
      <c r="K468" s="434" t="s">
        <v>5405</v>
      </c>
      <c r="L468" s="434"/>
      <c r="M468" s="434" t="s">
        <v>1764</v>
      </c>
      <c r="N468" s="730">
        <v>65295</v>
      </c>
      <c r="O468" s="730">
        <v>65295</v>
      </c>
      <c r="P468" s="459">
        <v>65305</v>
      </c>
      <c r="Q468" s="432" t="s">
        <v>51</v>
      </c>
      <c r="R468" s="322"/>
      <c r="S468" s="322"/>
      <c r="T468" s="322"/>
      <c r="U468" s="322"/>
      <c r="V468" s="322"/>
      <c r="W468" s="322"/>
      <c r="X468" s="322"/>
      <c r="Y468" s="322"/>
      <c r="Z468" s="322"/>
      <c r="AA468" s="322"/>
      <c r="AB468" s="322"/>
      <c r="AC468" s="322"/>
      <c r="AD468" s="322"/>
      <c r="AE468" s="322"/>
      <c r="AF468" s="322"/>
      <c r="AG468" s="322"/>
      <c r="AH468" s="322"/>
      <c r="AI468" s="322"/>
      <c r="AJ468" s="322"/>
      <c r="AK468" s="322"/>
      <c r="AL468" s="322"/>
      <c r="AM468" s="322"/>
      <c r="AN468" s="322"/>
      <c r="AO468" s="322"/>
      <c r="AP468" s="322"/>
      <c r="AQ468" s="322"/>
      <c r="AR468" s="322"/>
      <c r="AS468" s="322"/>
      <c r="AT468" s="322"/>
      <c r="AU468" s="322"/>
      <c r="AV468" s="322"/>
      <c r="AW468" s="322"/>
      <c r="AX468" s="322"/>
      <c r="AY468" s="322"/>
      <c r="AZ468" s="322"/>
      <c r="BA468" s="322"/>
      <c r="BB468" s="322"/>
      <c r="BC468" s="322"/>
      <c r="BD468" s="322"/>
      <c r="BE468" s="322"/>
      <c r="BF468" s="322"/>
      <c r="BG468" s="322"/>
      <c r="BH468" s="322"/>
      <c r="BI468" s="322"/>
      <c r="BJ468" s="322"/>
      <c r="BK468" s="322"/>
      <c r="BL468" s="322"/>
      <c r="BM468" s="322"/>
      <c r="BN468" s="322"/>
      <c r="BO468" s="322"/>
      <c r="BP468" s="322"/>
      <c r="BQ468" s="322"/>
      <c r="BR468" s="322"/>
      <c r="BS468" s="322"/>
      <c r="BT468" s="322"/>
      <c r="BU468" s="322"/>
      <c r="BV468" s="322"/>
      <c r="BW468" s="322"/>
      <c r="BX468" s="322"/>
      <c r="BY468" s="322"/>
      <c r="BZ468" s="322"/>
      <c r="CA468" s="322"/>
      <c r="CB468" s="322"/>
      <c r="CC468" s="322"/>
      <c r="CD468" s="322"/>
      <c r="CE468" s="322"/>
      <c r="CF468" s="322"/>
      <c r="CG468" s="322"/>
      <c r="CH468" s="322"/>
      <c r="CI468" s="322"/>
      <c r="CJ468" s="322"/>
      <c r="CK468" s="322"/>
      <c r="CL468" s="322"/>
      <c r="CM468" s="322"/>
      <c r="CN468" s="322"/>
      <c r="CO468" s="322"/>
      <c r="CP468" s="322"/>
      <c r="CQ468" s="322"/>
      <c r="CR468" s="322"/>
      <c r="CS468" s="322"/>
      <c r="CT468" s="322"/>
      <c r="CU468" s="322"/>
      <c r="CV468" s="322"/>
      <c r="CW468" s="322"/>
      <c r="CX468" s="322"/>
      <c r="CY468" s="322"/>
    </row>
    <row r="469" spans="1:103" s="432" customFormat="1">
      <c r="A469" s="509">
        <f t="shared" si="7"/>
        <v>468</v>
      </c>
      <c r="B469" s="1332" t="s">
        <v>43</v>
      </c>
      <c r="C469" s="943" t="s">
        <v>44</v>
      </c>
      <c r="D469" s="943" t="s">
        <v>45</v>
      </c>
      <c r="E469" s="432" t="s">
        <v>5850</v>
      </c>
      <c r="F469" s="434">
        <v>5</v>
      </c>
      <c r="G469" s="434">
        <v>9809754963</v>
      </c>
      <c r="I469" s="434">
        <v>43</v>
      </c>
      <c r="J469" s="434" t="s">
        <v>90</v>
      </c>
      <c r="K469" s="434" t="s">
        <v>5405</v>
      </c>
      <c r="L469" s="434"/>
      <c r="M469" s="434" t="s">
        <v>1764</v>
      </c>
      <c r="N469" s="730">
        <v>65295</v>
      </c>
      <c r="O469" s="730">
        <v>65295</v>
      </c>
      <c r="P469" s="459">
        <v>65305</v>
      </c>
      <c r="Q469" s="432" t="s">
        <v>51</v>
      </c>
      <c r="R469" s="322"/>
      <c r="S469" s="322"/>
      <c r="T469" s="322"/>
      <c r="U469" s="322"/>
      <c r="V469" s="322"/>
      <c r="W469" s="322"/>
      <c r="X469" s="322"/>
      <c r="Y469" s="322"/>
      <c r="Z469" s="322"/>
      <c r="AA469" s="322"/>
      <c r="AB469" s="322"/>
      <c r="AC469" s="322"/>
      <c r="AD469" s="322"/>
      <c r="AE469" s="322"/>
      <c r="AF469" s="322"/>
      <c r="AG469" s="322"/>
      <c r="AH469" s="322"/>
      <c r="AI469" s="322"/>
      <c r="AJ469" s="322"/>
      <c r="AK469" s="322"/>
      <c r="AL469" s="322"/>
      <c r="AM469" s="322"/>
      <c r="AN469" s="322"/>
      <c r="AO469" s="322"/>
      <c r="AP469" s="322"/>
      <c r="AQ469" s="322"/>
      <c r="AR469" s="322"/>
      <c r="AS469" s="322"/>
      <c r="AT469" s="322"/>
      <c r="AU469" s="322"/>
      <c r="AV469" s="322"/>
      <c r="AW469" s="322"/>
      <c r="AX469" s="322"/>
      <c r="AY469" s="322"/>
      <c r="AZ469" s="322"/>
      <c r="BA469" s="322"/>
      <c r="BB469" s="322"/>
      <c r="BC469" s="322"/>
      <c r="BD469" s="322"/>
      <c r="BE469" s="322"/>
      <c r="BF469" s="322"/>
      <c r="BG469" s="322"/>
      <c r="BH469" s="322"/>
      <c r="BI469" s="322"/>
      <c r="BJ469" s="322"/>
      <c r="BK469" s="322"/>
      <c r="BL469" s="322"/>
      <c r="BM469" s="322"/>
      <c r="BN469" s="322"/>
      <c r="BO469" s="322"/>
      <c r="BP469" s="322"/>
      <c r="BQ469" s="322"/>
      <c r="BR469" s="322"/>
      <c r="BS469" s="322"/>
      <c r="BT469" s="322"/>
      <c r="BU469" s="322"/>
      <c r="BV469" s="322"/>
      <c r="BW469" s="322"/>
      <c r="BX469" s="322"/>
      <c r="BY469" s="322"/>
      <c r="BZ469" s="322"/>
      <c r="CA469" s="322"/>
      <c r="CB469" s="322"/>
      <c r="CC469" s="322"/>
      <c r="CD469" s="322"/>
      <c r="CE469" s="322"/>
      <c r="CF469" s="322"/>
      <c r="CG469" s="322"/>
      <c r="CH469" s="322"/>
      <c r="CI469" s="322"/>
      <c r="CJ469" s="322"/>
      <c r="CK469" s="322"/>
      <c r="CL469" s="322"/>
      <c r="CM469" s="322"/>
      <c r="CN469" s="322"/>
      <c r="CO469" s="322"/>
      <c r="CP469" s="322"/>
      <c r="CQ469" s="322"/>
      <c r="CR469" s="322"/>
      <c r="CS469" s="322"/>
      <c r="CT469" s="322"/>
      <c r="CU469" s="322"/>
      <c r="CV469" s="322"/>
      <c r="CW469" s="322"/>
      <c r="CX469" s="322"/>
      <c r="CY469" s="322"/>
    </row>
    <row r="470" spans="1:103" s="432" customFormat="1">
      <c r="A470" s="509">
        <f t="shared" si="7"/>
        <v>469</v>
      </c>
      <c r="B470" s="1332" t="s">
        <v>43</v>
      </c>
      <c r="C470" s="943" t="s">
        <v>44</v>
      </c>
      <c r="D470" s="943" t="s">
        <v>45</v>
      </c>
      <c r="E470" s="432" t="s">
        <v>5851</v>
      </c>
      <c r="F470" s="434">
        <v>12</v>
      </c>
      <c r="G470" s="434">
        <v>9806203025</v>
      </c>
      <c r="I470" s="434">
        <v>53</v>
      </c>
      <c r="J470" s="120" t="s">
        <v>48</v>
      </c>
      <c r="K470" s="434" t="s">
        <v>5405</v>
      </c>
      <c r="L470" s="434"/>
      <c r="M470" s="434" t="s">
        <v>1764</v>
      </c>
      <c r="N470" s="730">
        <v>65295</v>
      </c>
      <c r="O470" s="730">
        <v>65295</v>
      </c>
      <c r="P470" s="459">
        <v>65305</v>
      </c>
      <c r="Q470" s="432" t="s">
        <v>51</v>
      </c>
      <c r="R470" s="322"/>
      <c r="S470" s="322"/>
      <c r="T470" s="322"/>
      <c r="U470" s="322"/>
      <c r="V470" s="322"/>
      <c r="W470" s="322"/>
      <c r="X470" s="322"/>
      <c r="Y470" s="322"/>
      <c r="Z470" s="322"/>
      <c r="AA470" s="322"/>
      <c r="AB470" s="322"/>
      <c r="AC470" s="322"/>
      <c r="AD470" s="322"/>
      <c r="AE470" s="322"/>
      <c r="AF470" s="322"/>
      <c r="AG470" s="322"/>
      <c r="AH470" s="322"/>
      <c r="AI470" s="322"/>
      <c r="AJ470" s="322"/>
      <c r="AK470" s="322"/>
      <c r="AL470" s="322"/>
      <c r="AM470" s="322"/>
      <c r="AN470" s="322"/>
      <c r="AO470" s="322"/>
      <c r="AP470" s="322"/>
      <c r="AQ470" s="322"/>
      <c r="AR470" s="322"/>
      <c r="AS470" s="322"/>
      <c r="AT470" s="322"/>
      <c r="AU470" s="322"/>
      <c r="AV470" s="322"/>
      <c r="AW470" s="322"/>
      <c r="AX470" s="322"/>
      <c r="AY470" s="322"/>
      <c r="AZ470" s="322"/>
      <c r="BA470" s="322"/>
      <c r="BB470" s="322"/>
      <c r="BC470" s="322"/>
      <c r="BD470" s="322"/>
      <c r="BE470" s="322"/>
      <c r="BF470" s="322"/>
      <c r="BG470" s="322"/>
      <c r="BH470" s="322"/>
      <c r="BI470" s="322"/>
      <c r="BJ470" s="322"/>
      <c r="BK470" s="322"/>
      <c r="BL470" s="322"/>
      <c r="BM470" s="322"/>
      <c r="BN470" s="322"/>
      <c r="BO470" s="322"/>
      <c r="BP470" s="322"/>
      <c r="BQ470" s="322"/>
      <c r="BR470" s="322"/>
      <c r="BS470" s="322"/>
      <c r="BT470" s="322"/>
      <c r="BU470" s="322"/>
      <c r="BV470" s="322"/>
      <c r="BW470" s="322"/>
      <c r="BX470" s="322"/>
      <c r="BY470" s="322"/>
      <c r="BZ470" s="322"/>
      <c r="CA470" s="322"/>
      <c r="CB470" s="322"/>
      <c r="CC470" s="322"/>
      <c r="CD470" s="322"/>
      <c r="CE470" s="322"/>
      <c r="CF470" s="322"/>
      <c r="CG470" s="322"/>
      <c r="CH470" s="322"/>
      <c r="CI470" s="322"/>
      <c r="CJ470" s="322"/>
      <c r="CK470" s="322"/>
      <c r="CL470" s="322"/>
      <c r="CM470" s="322"/>
      <c r="CN470" s="322"/>
      <c r="CO470" s="322"/>
      <c r="CP470" s="322"/>
      <c r="CQ470" s="322"/>
      <c r="CR470" s="322"/>
      <c r="CS470" s="322"/>
      <c r="CT470" s="322"/>
      <c r="CU470" s="322"/>
      <c r="CV470" s="322"/>
      <c r="CW470" s="322"/>
      <c r="CX470" s="322"/>
      <c r="CY470" s="322"/>
    </row>
    <row r="471" spans="1:103" s="432" customFormat="1">
      <c r="A471" s="509">
        <f t="shared" si="7"/>
        <v>470</v>
      </c>
      <c r="B471" s="1332" t="s">
        <v>43</v>
      </c>
      <c r="C471" s="943" t="s">
        <v>44</v>
      </c>
      <c r="D471" s="943" t="s">
        <v>45</v>
      </c>
      <c r="E471" s="432" t="s">
        <v>5852</v>
      </c>
      <c r="F471" s="434">
        <v>1</v>
      </c>
      <c r="G471" s="434">
        <v>9829526590</v>
      </c>
      <c r="I471" s="434">
        <v>27</v>
      </c>
      <c r="J471" s="434" t="s">
        <v>90</v>
      </c>
      <c r="K471" s="434" t="s">
        <v>5405</v>
      </c>
      <c r="L471" s="434"/>
      <c r="M471" s="434" t="s">
        <v>1764</v>
      </c>
      <c r="N471" s="730">
        <v>65296</v>
      </c>
      <c r="O471" s="730">
        <v>65296</v>
      </c>
      <c r="P471" s="459">
        <v>65305</v>
      </c>
      <c r="Q471" s="432" t="s">
        <v>51</v>
      </c>
      <c r="R471" s="322"/>
      <c r="S471" s="322"/>
      <c r="T471" s="322"/>
      <c r="U471" s="322"/>
      <c r="V471" s="322"/>
      <c r="W471" s="322"/>
      <c r="X471" s="322"/>
      <c r="Y471" s="322"/>
      <c r="Z471" s="322"/>
      <c r="AA471" s="322"/>
      <c r="AB471" s="322"/>
      <c r="AC471" s="322"/>
      <c r="AD471" s="322"/>
      <c r="AE471" s="322"/>
      <c r="AF471" s="322"/>
      <c r="AG471" s="322"/>
      <c r="AH471" s="322"/>
      <c r="AI471" s="322"/>
      <c r="AJ471" s="322"/>
      <c r="AK471" s="322"/>
      <c r="AL471" s="322"/>
      <c r="AM471" s="322"/>
      <c r="AN471" s="322"/>
      <c r="AO471" s="322"/>
      <c r="AP471" s="322"/>
      <c r="AQ471" s="322"/>
      <c r="AR471" s="322"/>
      <c r="AS471" s="322"/>
      <c r="AT471" s="322"/>
      <c r="AU471" s="322"/>
      <c r="AV471" s="322"/>
      <c r="AW471" s="322"/>
      <c r="AX471" s="322"/>
      <c r="AY471" s="322"/>
      <c r="AZ471" s="322"/>
      <c r="BA471" s="322"/>
      <c r="BB471" s="322"/>
      <c r="BC471" s="322"/>
      <c r="BD471" s="322"/>
      <c r="BE471" s="322"/>
      <c r="BF471" s="322"/>
      <c r="BG471" s="322"/>
      <c r="BH471" s="322"/>
      <c r="BI471" s="322"/>
      <c r="BJ471" s="322"/>
      <c r="BK471" s="322"/>
      <c r="BL471" s="322"/>
      <c r="BM471" s="322"/>
      <c r="BN471" s="322"/>
      <c r="BO471" s="322"/>
      <c r="BP471" s="322"/>
      <c r="BQ471" s="322"/>
      <c r="BR471" s="322"/>
      <c r="BS471" s="322"/>
      <c r="BT471" s="322"/>
      <c r="BU471" s="322"/>
      <c r="BV471" s="322"/>
      <c r="BW471" s="322"/>
      <c r="BX471" s="322"/>
      <c r="BY471" s="322"/>
      <c r="BZ471" s="322"/>
      <c r="CA471" s="322"/>
      <c r="CB471" s="322"/>
      <c r="CC471" s="322"/>
      <c r="CD471" s="322"/>
      <c r="CE471" s="322"/>
      <c r="CF471" s="322"/>
      <c r="CG471" s="322"/>
      <c r="CH471" s="322"/>
      <c r="CI471" s="322"/>
      <c r="CJ471" s="322"/>
      <c r="CK471" s="322"/>
      <c r="CL471" s="322"/>
      <c r="CM471" s="322"/>
      <c r="CN471" s="322"/>
      <c r="CO471" s="322"/>
      <c r="CP471" s="322"/>
      <c r="CQ471" s="322"/>
      <c r="CR471" s="322"/>
      <c r="CS471" s="322"/>
      <c r="CT471" s="322"/>
      <c r="CU471" s="322"/>
      <c r="CV471" s="322"/>
      <c r="CW471" s="322"/>
      <c r="CX471" s="322"/>
      <c r="CY471" s="322"/>
    </row>
    <row r="472" spans="1:103" s="432" customFormat="1">
      <c r="A472" s="509">
        <f t="shared" si="7"/>
        <v>471</v>
      </c>
      <c r="B472" s="1332" t="s">
        <v>43</v>
      </c>
      <c r="C472" s="943" t="s">
        <v>44</v>
      </c>
      <c r="D472" s="943" t="s">
        <v>45</v>
      </c>
      <c r="E472" s="432" t="s">
        <v>5853</v>
      </c>
      <c r="F472" s="434">
        <v>18</v>
      </c>
      <c r="G472" s="434">
        <v>9857840205</v>
      </c>
      <c r="I472" s="434">
        <v>20</v>
      </c>
      <c r="J472" s="120" t="s">
        <v>48</v>
      </c>
      <c r="K472" s="434" t="s">
        <v>5405</v>
      </c>
      <c r="L472" s="434"/>
      <c r="M472" s="434" t="s">
        <v>1764</v>
      </c>
      <c r="N472" s="730">
        <v>65296</v>
      </c>
      <c r="O472" s="730">
        <v>65296</v>
      </c>
      <c r="P472" s="459">
        <v>65305</v>
      </c>
      <c r="Q472" s="432" t="s">
        <v>51</v>
      </c>
      <c r="R472" s="322"/>
      <c r="S472" s="322"/>
      <c r="T472" s="322"/>
      <c r="U472" s="322"/>
      <c r="V472" s="322"/>
      <c r="W472" s="322"/>
      <c r="X472" s="322"/>
      <c r="Y472" s="322"/>
      <c r="Z472" s="322"/>
      <c r="AA472" s="322"/>
      <c r="AB472" s="322"/>
      <c r="AC472" s="322"/>
      <c r="AD472" s="322"/>
      <c r="AE472" s="322"/>
      <c r="AF472" s="322"/>
      <c r="AG472" s="322"/>
      <c r="AH472" s="322"/>
      <c r="AI472" s="322"/>
      <c r="AJ472" s="322"/>
      <c r="AK472" s="322"/>
      <c r="AL472" s="322"/>
      <c r="AM472" s="322"/>
      <c r="AN472" s="322"/>
      <c r="AO472" s="322"/>
      <c r="AP472" s="322"/>
      <c r="AQ472" s="322"/>
      <c r="AR472" s="322"/>
      <c r="AS472" s="322"/>
      <c r="AT472" s="322"/>
      <c r="AU472" s="322"/>
      <c r="AV472" s="322"/>
      <c r="AW472" s="322"/>
      <c r="AX472" s="322"/>
      <c r="AY472" s="322"/>
      <c r="AZ472" s="322"/>
      <c r="BA472" s="322"/>
      <c r="BB472" s="322"/>
      <c r="BC472" s="322"/>
      <c r="BD472" s="322"/>
      <c r="BE472" s="322"/>
      <c r="BF472" s="322"/>
      <c r="BG472" s="322"/>
      <c r="BH472" s="322"/>
      <c r="BI472" s="322"/>
      <c r="BJ472" s="322"/>
      <c r="BK472" s="322"/>
      <c r="BL472" s="322"/>
      <c r="BM472" s="322"/>
      <c r="BN472" s="322"/>
      <c r="BO472" s="322"/>
      <c r="BP472" s="322"/>
      <c r="BQ472" s="322"/>
      <c r="BR472" s="322"/>
      <c r="BS472" s="322"/>
      <c r="BT472" s="322"/>
      <c r="BU472" s="322"/>
      <c r="BV472" s="322"/>
      <c r="BW472" s="322"/>
      <c r="BX472" s="322"/>
      <c r="BY472" s="322"/>
      <c r="BZ472" s="322"/>
      <c r="CA472" s="322"/>
      <c r="CB472" s="322"/>
      <c r="CC472" s="322"/>
      <c r="CD472" s="322"/>
      <c r="CE472" s="322"/>
      <c r="CF472" s="322"/>
      <c r="CG472" s="322"/>
      <c r="CH472" s="322"/>
      <c r="CI472" s="322"/>
      <c r="CJ472" s="322"/>
      <c r="CK472" s="322"/>
      <c r="CL472" s="322"/>
      <c r="CM472" s="322"/>
      <c r="CN472" s="322"/>
      <c r="CO472" s="322"/>
      <c r="CP472" s="322"/>
      <c r="CQ472" s="322"/>
      <c r="CR472" s="322"/>
      <c r="CS472" s="322"/>
      <c r="CT472" s="322"/>
      <c r="CU472" s="322"/>
      <c r="CV472" s="322"/>
      <c r="CW472" s="322"/>
      <c r="CX472" s="322"/>
      <c r="CY472" s="322"/>
    </row>
    <row r="473" spans="1:103" s="432" customFormat="1">
      <c r="A473" s="509">
        <f t="shared" si="7"/>
        <v>472</v>
      </c>
      <c r="B473" s="1332" t="s">
        <v>43</v>
      </c>
      <c r="C473" s="943" t="s">
        <v>44</v>
      </c>
      <c r="D473" s="943" t="s">
        <v>45</v>
      </c>
      <c r="E473" s="432" t="s">
        <v>1809</v>
      </c>
      <c r="F473" s="434">
        <v>18</v>
      </c>
      <c r="G473" s="434">
        <v>9844122388</v>
      </c>
      <c r="I473" s="434">
        <v>23</v>
      </c>
      <c r="J473" s="434" t="s">
        <v>90</v>
      </c>
      <c r="K473" s="434" t="s">
        <v>3293</v>
      </c>
      <c r="L473" s="434"/>
      <c r="M473" s="434" t="s">
        <v>1764</v>
      </c>
      <c r="N473" s="730">
        <v>65295</v>
      </c>
      <c r="O473" s="730">
        <v>65295</v>
      </c>
      <c r="P473" s="459">
        <v>65305</v>
      </c>
      <c r="Q473" s="432" t="s">
        <v>51</v>
      </c>
      <c r="R473" s="322"/>
      <c r="S473" s="322"/>
      <c r="T473" s="322"/>
      <c r="U473" s="322"/>
      <c r="V473" s="322"/>
      <c r="W473" s="322"/>
      <c r="X473" s="322"/>
      <c r="Y473" s="322"/>
      <c r="Z473" s="322"/>
      <c r="AA473" s="322"/>
      <c r="AB473" s="322"/>
      <c r="AC473" s="322"/>
      <c r="AD473" s="322"/>
      <c r="AE473" s="322"/>
      <c r="AF473" s="322"/>
      <c r="AG473" s="322"/>
      <c r="AH473" s="322"/>
      <c r="AI473" s="322"/>
      <c r="AJ473" s="322"/>
      <c r="AK473" s="322"/>
      <c r="AL473" s="322"/>
      <c r="AM473" s="322"/>
      <c r="AN473" s="322"/>
      <c r="AO473" s="322"/>
      <c r="AP473" s="322"/>
      <c r="AQ473" s="322"/>
      <c r="AR473" s="322"/>
      <c r="AS473" s="322"/>
      <c r="AT473" s="322"/>
      <c r="AU473" s="322"/>
      <c r="AV473" s="322"/>
      <c r="AW473" s="322"/>
      <c r="AX473" s="322"/>
      <c r="AY473" s="322"/>
      <c r="AZ473" s="322"/>
      <c r="BA473" s="322"/>
      <c r="BB473" s="322"/>
      <c r="BC473" s="322"/>
      <c r="BD473" s="322"/>
      <c r="BE473" s="322"/>
      <c r="BF473" s="322"/>
      <c r="BG473" s="322"/>
      <c r="BH473" s="322"/>
      <c r="BI473" s="322"/>
      <c r="BJ473" s="322"/>
      <c r="BK473" s="322"/>
      <c r="BL473" s="322"/>
      <c r="BM473" s="322"/>
      <c r="BN473" s="322"/>
      <c r="BO473" s="322"/>
      <c r="BP473" s="322"/>
      <c r="BQ473" s="322"/>
      <c r="BR473" s="322"/>
      <c r="BS473" s="322"/>
      <c r="BT473" s="322"/>
      <c r="BU473" s="322"/>
      <c r="BV473" s="322"/>
      <c r="BW473" s="322"/>
      <c r="BX473" s="322"/>
      <c r="BY473" s="322"/>
      <c r="BZ473" s="322"/>
      <c r="CA473" s="322"/>
      <c r="CB473" s="322"/>
      <c r="CC473" s="322"/>
      <c r="CD473" s="322"/>
      <c r="CE473" s="322"/>
      <c r="CF473" s="322"/>
      <c r="CG473" s="322"/>
      <c r="CH473" s="322"/>
      <c r="CI473" s="322"/>
      <c r="CJ473" s="322"/>
      <c r="CK473" s="322"/>
      <c r="CL473" s="322"/>
      <c r="CM473" s="322"/>
      <c r="CN473" s="322"/>
      <c r="CO473" s="322"/>
      <c r="CP473" s="322"/>
      <c r="CQ473" s="322"/>
      <c r="CR473" s="322"/>
      <c r="CS473" s="322"/>
      <c r="CT473" s="322"/>
      <c r="CU473" s="322"/>
      <c r="CV473" s="322"/>
      <c r="CW473" s="322"/>
      <c r="CX473" s="322"/>
      <c r="CY473" s="322"/>
    </row>
    <row r="474" spans="1:103" s="432" customFormat="1">
      <c r="A474" s="509">
        <f t="shared" si="7"/>
        <v>473</v>
      </c>
      <c r="B474" s="1332" t="s">
        <v>43</v>
      </c>
      <c r="C474" s="943" t="s">
        <v>44</v>
      </c>
      <c r="D474" s="943" t="s">
        <v>45</v>
      </c>
      <c r="E474" s="432" t="s">
        <v>5854</v>
      </c>
      <c r="F474" s="434">
        <v>6</v>
      </c>
      <c r="G474" s="434">
        <v>9851055545</v>
      </c>
      <c r="I474" s="434">
        <v>63</v>
      </c>
      <c r="J474" s="120" t="s">
        <v>48</v>
      </c>
      <c r="K474" s="434" t="s">
        <v>3293</v>
      </c>
      <c r="L474" s="434"/>
      <c r="M474" s="434" t="s">
        <v>1764</v>
      </c>
      <c r="N474" s="730">
        <v>65295</v>
      </c>
      <c r="O474" s="730">
        <v>65295</v>
      </c>
      <c r="P474" s="459">
        <v>65305</v>
      </c>
      <c r="Q474" s="432" t="s">
        <v>51</v>
      </c>
      <c r="R474" s="322"/>
      <c r="S474" s="322"/>
      <c r="T474" s="322"/>
      <c r="U474" s="322"/>
      <c r="V474" s="322"/>
      <c r="W474" s="322"/>
      <c r="X474" s="322"/>
      <c r="Y474" s="322"/>
      <c r="Z474" s="322"/>
      <c r="AA474" s="322"/>
      <c r="AB474" s="322"/>
      <c r="AC474" s="322"/>
      <c r="AD474" s="322"/>
      <c r="AE474" s="322"/>
      <c r="AF474" s="322"/>
      <c r="AG474" s="322"/>
      <c r="AH474" s="322"/>
      <c r="AI474" s="322"/>
      <c r="AJ474" s="322"/>
      <c r="AK474" s="322"/>
      <c r="AL474" s="322"/>
      <c r="AM474" s="322"/>
      <c r="AN474" s="322"/>
      <c r="AO474" s="322"/>
      <c r="AP474" s="322"/>
      <c r="AQ474" s="322"/>
      <c r="AR474" s="322"/>
      <c r="AS474" s="322"/>
      <c r="AT474" s="322"/>
      <c r="AU474" s="322"/>
      <c r="AV474" s="322"/>
      <c r="AW474" s="322"/>
      <c r="AX474" s="322"/>
      <c r="AY474" s="322"/>
      <c r="AZ474" s="322"/>
      <c r="BA474" s="322"/>
      <c r="BB474" s="322"/>
      <c r="BC474" s="322"/>
      <c r="BD474" s="322"/>
      <c r="BE474" s="322"/>
      <c r="BF474" s="322"/>
      <c r="BG474" s="322"/>
      <c r="BH474" s="322"/>
      <c r="BI474" s="322"/>
      <c r="BJ474" s="322"/>
      <c r="BK474" s="322"/>
      <c r="BL474" s="322"/>
      <c r="BM474" s="322"/>
      <c r="BN474" s="322"/>
      <c r="BO474" s="322"/>
      <c r="BP474" s="322"/>
      <c r="BQ474" s="322"/>
      <c r="BR474" s="322"/>
      <c r="BS474" s="322"/>
      <c r="BT474" s="322"/>
      <c r="BU474" s="322"/>
      <c r="BV474" s="322"/>
      <c r="BW474" s="322"/>
      <c r="BX474" s="322"/>
      <c r="BY474" s="322"/>
      <c r="BZ474" s="322"/>
      <c r="CA474" s="322"/>
      <c r="CB474" s="322"/>
      <c r="CC474" s="322"/>
      <c r="CD474" s="322"/>
      <c r="CE474" s="322"/>
      <c r="CF474" s="322"/>
      <c r="CG474" s="322"/>
      <c r="CH474" s="322"/>
      <c r="CI474" s="322"/>
      <c r="CJ474" s="322"/>
      <c r="CK474" s="322"/>
      <c r="CL474" s="322"/>
      <c r="CM474" s="322"/>
      <c r="CN474" s="322"/>
      <c r="CO474" s="322"/>
      <c r="CP474" s="322"/>
      <c r="CQ474" s="322"/>
      <c r="CR474" s="322"/>
      <c r="CS474" s="322"/>
      <c r="CT474" s="322"/>
      <c r="CU474" s="322"/>
      <c r="CV474" s="322"/>
      <c r="CW474" s="322"/>
      <c r="CX474" s="322"/>
      <c r="CY474" s="322"/>
    </row>
    <row r="475" spans="1:103" s="432" customFormat="1">
      <c r="A475" s="509">
        <f t="shared" si="7"/>
        <v>474</v>
      </c>
      <c r="B475" s="1332" t="s">
        <v>43</v>
      </c>
      <c r="C475" s="943" t="s">
        <v>44</v>
      </c>
      <c r="D475" s="943" t="s">
        <v>45</v>
      </c>
      <c r="E475" s="432" t="s">
        <v>5855</v>
      </c>
      <c r="F475" s="434">
        <v>4</v>
      </c>
      <c r="G475" s="434">
        <v>9860461336</v>
      </c>
      <c r="I475" s="434">
        <v>33</v>
      </c>
      <c r="J475" s="120" t="s">
        <v>48</v>
      </c>
      <c r="K475" s="434" t="s">
        <v>3293</v>
      </c>
      <c r="L475" s="434"/>
      <c r="M475" s="434" t="s">
        <v>1764</v>
      </c>
      <c r="N475" s="730">
        <v>65295</v>
      </c>
      <c r="O475" s="730">
        <v>65295</v>
      </c>
      <c r="P475" s="459">
        <v>65305</v>
      </c>
      <c r="Q475" s="432" t="s">
        <v>51</v>
      </c>
      <c r="R475" s="322"/>
      <c r="S475" s="322"/>
      <c r="T475" s="322"/>
      <c r="U475" s="322"/>
      <c r="V475" s="322"/>
      <c r="W475" s="322"/>
      <c r="X475" s="322"/>
      <c r="Y475" s="322"/>
      <c r="Z475" s="322"/>
      <c r="AA475" s="322"/>
      <c r="AB475" s="322"/>
      <c r="AC475" s="322"/>
      <c r="AD475" s="322"/>
      <c r="AE475" s="322"/>
      <c r="AF475" s="322"/>
      <c r="AG475" s="322"/>
      <c r="AH475" s="322"/>
      <c r="AI475" s="322"/>
      <c r="AJ475" s="322"/>
      <c r="AK475" s="322"/>
      <c r="AL475" s="322"/>
      <c r="AM475" s="322"/>
      <c r="AN475" s="322"/>
      <c r="AO475" s="322"/>
      <c r="AP475" s="322"/>
      <c r="AQ475" s="322"/>
      <c r="AR475" s="322"/>
      <c r="AS475" s="322"/>
      <c r="AT475" s="322"/>
      <c r="AU475" s="322"/>
      <c r="AV475" s="322"/>
      <c r="AW475" s="322"/>
      <c r="AX475" s="322"/>
      <c r="AY475" s="322"/>
      <c r="AZ475" s="322"/>
      <c r="BA475" s="322"/>
      <c r="BB475" s="322"/>
      <c r="BC475" s="322"/>
      <c r="BD475" s="322"/>
      <c r="BE475" s="322"/>
      <c r="BF475" s="322"/>
      <c r="BG475" s="322"/>
      <c r="BH475" s="322"/>
      <c r="BI475" s="322"/>
      <c r="BJ475" s="322"/>
      <c r="BK475" s="322"/>
      <c r="BL475" s="322"/>
      <c r="BM475" s="322"/>
      <c r="BN475" s="322"/>
      <c r="BO475" s="322"/>
      <c r="BP475" s="322"/>
      <c r="BQ475" s="322"/>
      <c r="BR475" s="322"/>
      <c r="BS475" s="322"/>
      <c r="BT475" s="322"/>
      <c r="BU475" s="322"/>
      <c r="BV475" s="322"/>
      <c r="BW475" s="322"/>
      <c r="BX475" s="322"/>
      <c r="BY475" s="322"/>
      <c r="BZ475" s="322"/>
      <c r="CA475" s="322"/>
      <c r="CB475" s="322"/>
      <c r="CC475" s="322"/>
      <c r="CD475" s="322"/>
      <c r="CE475" s="322"/>
      <c r="CF475" s="322"/>
      <c r="CG475" s="322"/>
      <c r="CH475" s="322"/>
      <c r="CI475" s="322"/>
      <c r="CJ475" s="322"/>
      <c r="CK475" s="322"/>
      <c r="CL475" s="322"/>
      <c r="CM475" s="322"/>
      <c r="CN475" s="322"/>
      <c r="CO475" s="322"/>
      <c r="CP475" s="322"/>
      <c r="CQ475" s="322"/>
      <c r="CR475" s="322"/>
      <c r="CS475" s="322"/>
      <c r="CT475" s="322"/>
      <c r="CU475" s="322"/>
      <c r="CV475" s="322"/>
      <c r="CW475" s="322"/>
      <c r="CX475" s="322"/>
      <c r="CY475" s="322"/>
    </row>
    <row r="476" spans="1:103" s="432" customFormat="1">
      <c r="A476" s="509">
        <f t="shared" si="7"/>
        <v>475</v>
      </c>
      <c r="B476" s="1332" t="s">
        <v>43</v>
      </c>
      <c r="C476" s="943" t="s">
        <v>44</v>
      </c>
      <c r="D476" s="943" t="s">
        <v>45</v>
      </c>
      <c r="E476" s="432" t="s">
        <v>5856</v>
      </c>
      <c r="F476" s="434">
        <v>5</v>
      </c>
      <c r="G476" s="434">
        <v>9868625444</v>
      </c>
      <c r="I476" s="434">
        <v>28</v>
      </c>
      <c r="J476" s="434" t="s">
        <v>90</v>
      </c>
      <c r="K476" s="434" t="s">
        <v>3293</v>
      </c>
      <c r="L476" s="434"/>
      <c r="M476" s="434" t="s">
        <v>1764</v>
      </c>
      <c r="N476" s="730">
        <v>65295</v>
      </c>
      <c r="O476" s="730">
        <v>65295</v>
      </c>
      <c r="P476" s="459">
        <v>65305</v>
      </c>
      <c r="Q476" s="432" t="s">
        <v>51</v>
      </c>
      <c r="R476" s="322"/>
      <c r="S476" s="322"/>
      <c r="T476" s="322"/>
      <c r="U476" s="322"/>
      <c r="V476" s="322"/>
      <c r="W476" s="322"/>
      <c r="X476" s="322"/>
      <c r="Y476" s="322"/>
      <c r="Z476" s="322"/>
      <c r="AA476" s="322"/>
      <c r="AB476" s="322"/>
      <c r="AC476" s="322"/>
      <c r="AD476" s="322"/>
      <c r="AE476" s="322"/>
      <c r="AF476" s="322"/>
      <c r="AG476" s="322"/>
      <c r="AH476" s="322"/>
      <c r="AI476" s="322"/>
      <c r="AJ476" s="322"/>
      <c r="AK476" s="322"/>
      <c r="AL476" s="322"/>
      <c r="AM476" s="322"/>
      <c r="AN476" s="322"/>
      <c r="AO476" s="322"/>
      <c r="AP476" s="322"/>
      <c r="AQ476" s="322"/>
      <c r="AR476" s="322"/>
      <c r="AS476" s="322"/>
      <c r="AT476" s="322"/>
      <c r="AU476" s="322"/>
      <c r="AV476" s="322"/>
      <c r="AW476" s="322"/>
      <c r="AX476" s="322"/>
      <c r="AY476" s="322"/>
      <c r="AZ476" s="322"/>
      <c r="BA476" s="322"/>
      <c r="BB476" s="322"/>
      <c r="BC476" s="322"/>
      <c r="BD476" s="322"/>
      <c r="BE476" s="322"/>
      <c r="BF476" s="322"/>
      <c r="BG476" s="322"/>
      <c r="BH476" s="322"/>
      <c r="BI476" s="322"/>
      <c r="BJ476" s="322"/>
      <c r="BK476" s="322"/>
      <c r="BL476" s="322"/>
      <c r="BM476" s="322"/>
      <c r="BN476" s="322"/>
      <c r="BO476" s="322"/>
      <c r="BP476" s="322"/>
      <c r="BQ476" s="322"/>
      <c r="BR476" s="322"/>
      <c r="BS476" s="322"/>
      <c r="BT476" s="322"/>
      <c r="BU476" s="322"/>
      <c r="BV476" s="322"/>
      <c r="BW476" s="322"/>
      <c r="BX476" s="322"/>
      <c r="BY476" s="322"/>
      <c r="BZ476" s="322"/>
      <c r="CA476" s="322"/>
      <c r="CB476" s="322"/>
      <c r="CC476" s="322"/>
      <c r="CD476" s="322"/>
      <c r="CE476" s="322"/>
      <c r="CF476" s="322"/>
      <c r="CG476" s="322"/>
      <c r="CH476" s="322"/>
      <c r="CI476" s="322"/>
      <c r="CJ476" s="322"/>
      <c r="CK476" s="322"/>
      <c r="CL476" s="322"/>
      <c r="CM476" s="322"/>
      <c r="CN476" s="322"/>
      <c r="CO476" s="322"/>
      <c r="CP476" s="322"/>
      <c r="CQ476" s="322"/>
      <c r="CR476" s="322"/>
      <c r="CS476" s="322"/>
      <c r="CT476" s="322"/>
      <c r="CU476" s="322"/>
      <c r="CV476" s="322"/>
      <c r="CW476" s="322"/>
      <c r="CX476" s="322"/>
      <c r="CY476" s="322"/>
    </row>
    <row r="477" spans="1:103" s="432" customFormat="1">
      <c r="A477" s="509">
        <f t="shared" si="7"/>
        <v>476</v>
      </c>
      <c r="B477" s="1332" t="s">
        <v>43</v>
      </c>
      <c r="C477" s="943" t="s">
        <v>44</v>
      </c>
      <c r="D477" s="943" t="s">
        <v>45</v>
      </c>
      <c r="E477" s="432" t="s">
        <v>5857</v>
      </c>
      <c r="F477" s="434">
        <v>2</v>
      </c>
      <c r="G477" s="434">
        <v>9809510537</v>
      </c>
      <c r="I477" s="434">
        <v>22</v>
      </c>
      <c r="J477" s="120" t="s">
        <v>48</v>
      </c>
      <c r="K477" s="434" t="s">
        <v>3293</v>
      </c>
      <c r="L477" s="434"/>
      <c r="M477" s="434" t="s">
        <v>1764</v>
      </c>
      <c r="N477" s="730">
        <v>65295</v>
      </c>
      <c r="O477" s="730">
        <v>65295</v>
      </c>
      <c r="P477" s="459">
        <v>65305</v>
      </c>
      <c r="Q477" s="432" t="s">
        <v>51</v>
      </c>
      <c r="R477" s="322"/>
      <c r="S477" s="322"/>
      <c r="T477" s="322"/>
      <c r="U477" s="322"/>
      <c r="V477" s="322"/>
      <c r="W477" s="322"/>
      <c r="X477" s="322"/>
      <c r="Y477" s="322"/>
      <c r="Z477" s="322"/>
      <c r="AA477" s="322"/>
      <c r="AB477" s="322"/>
      <c r="AC477" s="322"/>
      <c r="AD477" s="322"/>
      <c r="AE477" s="322"/>
      <c r="AF477" s="322"/>
      <c r="AG477" s="322"/>
      <c r="AH477" s="322"/>
      <c r="AI477" s="322"/>
      <c r="AJ477" s="322"/>
      <c r="AK477" s="322"/>
      <c r="AL477" s="322"/>
      <c r="AM477" s="322"/>
      <c r="AN477" s="322"/>
      <c r="AO477" s="322"/>
      <c r="AP477" s="322"/>
      <c r="AQ477" s="322"/>
      <c r="AR477" s="322"/>
      <c r="AS477" s="322"/>
      <c r="AT477" s="322"/>
      <c r="AU477" s="322"/>
      <c r="AV477" s="322"/>
      <c r="AW477" s="322"/>
      <c r="AX477" s="322"/>
      <c r="AY477" s="322"/>
      <c r="AZ477" s="322"/>
      <c r="BA477" s="322"/>
      <c r="BB477" s="322"/>
      <c r="BC477" s="322"/>
      <c r="BD477" s="322"/>
      <c r="BE477" s="322"/>
      <c r="BF477" s="322"/>
      <c r="BG477" s="322"/>
      <c r="BH477" s="322"/>
      <c r="BI477" s="322"/>
      <c r="BJ477" s="322"/>
      <c r="BK477" s="322"/>
      <c r="BL477" s="322"/>
      <c r="BM477" s="322"/>
      <c r="BN477" s="322"/>
      <c r="BO477" s="322"/>
      <c r="BP477" s="322"/>
      <c r="BQ477" s="322"/>
      <c r="BR477" s="322"/>
      <c r="BS477" s="322"/>
      <c r="BT477" s="322"/>
      <c r="BU477" s="322"/>
      <c r="BV477" s="322"/>
      <c r="BW477" s="322"/>
      <c r="BX477" s="322"/>
      <c r="BY477" s="322"/>
      <c r="BZ477" s="322"/>
      <c r="CA477" s="322"/>
      <c r="CB477" s="322"/>
      <c r="CC477" s="322"/>
      <c r="CD477" s="322"/>
      <c r="CE477" s="322"/>
      <c r="CF477" s="322"/>
      <c r="CG477" s="322"/>
      <c r="CH477" s="322"/>
      <c r="CI477" s="322"/>
      <c r="CJ477" s="322"/>
      <c r="CK477" s="322"/>
      <c r="CL477" s="322"/>
      <c r="CM477" s="322"/>
      <c r="CN477" s="322"/>
      <c r="CO477" s="322"/>
      <c r="CP477" s="322"/>
      <c r="CQ477" s="322"/>
      <c r="CR477" s="322"/>
      <c r="CS477" s="322"/>
      <c r="CT477" s="322"/>
      <c r="CU477" s="322"/>
      <c r="CV477" s="322"/>
      <c r="CW477" s="322"/>
      <c r="CX477" s="322"/>
      <c r="CY477" s="322"/>
    </row>
    <row r="478" spans="1:103" s="432" customFormat="1">
      <c r="A478" s="509">
        <f t="shared" si="7"/>
        <v>477</v>
      </c>
      <c r="B478" s="1332" t="s">
        <v>43</v>
      </c>
      <c r="C478" s="943" t="s">
        <v>44</v>
      </c>
      <c r="D478" s="943" t="s">
        <v>45</v>
      </c>
      <c r="E478" s="432" t="s">
        <v>5858</v>
      </c>
      <c r="F478" s="434">
        <v>3</v>
      </c>
      <c r="G478" s="434">
        <v>9806296833</v>
      </c>
      <c r="I478" s="434">
        <v>18</v>
      </c>
      <c r="J478" s="120" t="s">
        <v>48</v>
      </c>
      <c r="K478" s="434" t="s">
        <v>5874</v>
      </c>
      <c r="L478" s="434"/>
      <c r="M478" s="434" t="s">
        <v>1764</v>
      </c>
      <c r="N478" s="730">
        <v>65297</v>
      </c>
      <c r="O478" s="730">
        <v>65297</v>
      </c>
      <c r="P478" s="459">
        <v>65305</v>
      </c>
      <c r="Q478" s="432" t="s">
        <v>51</v>
      </c>
      <c r="R478" s="322"/>
      <c r="S478" s="322"/>
      <c r="T478" s="322"/>
      <c r="U478" s="322"/>
      <c r="V478" s="322"/>
      <c r="W478" s="322"/>
      <c r="X478" s="322"/>
      <c r="Y478" s="322"/>
      <c r="Z478" s="322"/>
      <c r="AA478" s="322"/>
      <c r="AB478" s="322"/>
      <c r="AC478" s="322"/>
      <c r="AD478" s="322"/>
      <c r="AE478" s="322"/>
      <c r="AF478" s="322"/>
      <c r="AG478" s="322"/>
      <c r="AH478" s="322"/>
      <c r="AI478" s="322"/>
      <c r="AJ478" s="322"/>
      <c r="AK478" s="322"/>
      <c r="AL478" s="322"/>
      <c r="AM478" s="322"/>
      <c r="AN478" s="322"/>
      <c r="AO478" s="322"/>
      <c r="AP478" s="322"/>
      <c r="AQ478" s="322"/>
      <c r="AR478" s="322"/>
      <c r="AS478" s="322"/>
      <c r="AT478" s="322"/>
      <c r="AU478" s="322"/>
      <c r="AV478" s="322"/>
      <c r="AW478" s="322"/>
      <c r="AX478" s="322"/>
      <c r="AY478" s="322"/>
      <c r="AZ478" s="322"/>
      <c r="BA478" s="322"/>
      <c r="BB478" s="322"/>
      <c r="BC478" s="322"/>
      <c r="BD478" s="322"/>
      <c r="BE478" s="322"/>
      <c r="BF478" s="322"/>
      <c r="BG478" s="322"/>
      <c r="BH478" s="322"/>
      <c r="BI478" s="322"/>
      <c r="BJ478" s="322"/>
      <c r="BK478" s="322"/>
      <c r="BL478" s="322"/>
      <c r="BM478" s="322"/>
      <c r="BN478" s="322"/>
      <c r="BO478" s="322"/>
      <c r="BP478" s="322"/>
      <c r="BQ478" s="322"/>
      <c r="BR478" s="322"/>
      <c r="BS478" s="322"/>
      <c r="BT478" s="322"/>
      <c r="BU478" s="322"/>
      <c r="BV478" s="322"/>
      <c r="BW478" s="322"/>
      <c r="BX478" s="322"/>
      <c r="BY478" s="322"/>
      <c r="BZ478" s="322"/>
      <c r="CA478" s="322"/>
      <c r="CB478" s="322"/>
      <c r="CC478" s="322"/>
      <c r="CD478" s="322"/>
      <c r="CE478" s="322"/>
      <c r="CF478" s="322"/>
      <c r="CG478" s="322"/>
      <c r="CH478" s="322"/>
      <c r="CI478" s="322"/>
      <c r="CJ478" s="322"/>
      <c r="CK478" s="322"/>
      <c r="CL478" s="322"/>
      <c r="CM478" s="322"/>
      <c r="CN478" s="322"/>
      <c r="CO478" s="322"/>
      <c r="CP478" s="322"/>
      <c r="CQ478" s="322"/>
      <c r="CR478" s="322"/>
      <c r="CS478" s="322"/>
      <c r="CT478" s="322"/>
      <c r="CU478" s="322"/>
      <c r="CV478" s="322"/>
      <c r="CW478" s="322"/>
      <c r="CX478" s="322"/>
      <c r="CY478" s="322"/>
    </row>
    <row r="479" spans="1:103" s="432" customFormat="1">
      <c r="A479" s="509">
        <f t="shared" si="7"/>
        <v>478</v>
      </c>
      <c r="B479" s="1332" t="s">
        <v>43</v>
      </c>
      <c r="C479" s="943" t="s">
        <v>44</v>
      </c>
      <c r="D479" s="943" t="s">
        <v>45</v>
      </c>
      <c r="E479" s="432" t="s">
        <v>5859</v>
      </c>
      <c r="F479" s="434">
        <v>4</v>
      </c>
      <c r="G479" s="434">
        <v>9825575358</v>
      </c>
      <c r="I479" s="434">
        <v>30</v>
      </c>
      <c r="J479" s="434" t="s">
        <v>90</v>
      </c>
      <c r="K479" s="434" t="s">
        <v>5874</v>
      </c>
      <c r="L479" s="434"/>
      <c r="M479" s="434" t="s">
        <v>1764</v>
      </c>
      <c r="N479" s="730">
        <v>65297</v>
      </c>
      <c r="O479" s="730">
        <v>65297</v>
      </c>
      <c r="P479" s="459">
        <v>65305</v>
      </c>
      <c r="Q479" s="432" t="s">
        <v>51</v>
      </c>
      <c r="R479" s="322"/>
      <c r="S479" s="322"/>
      <c r="T479" s="322"/>
      <c r="U479" s="322"/>
      <c r="V479" s="322"/>
      <c r="W479" s="322"/>
      <c r="X479" s="322"/>
      <c r="Y479" s="322"/>
      <c r="Z479" s="322"/>
      <c r="AA479" s="322"/>
      <c r="AB479" s="322"/>
      <c r="AC479" s="322"/>
      <c r="AD479" s="322"/>
      <c r="AE479" s="322"/>
      <c r="AF479" s="322"/>
      <c r="AG479" s="322"/>
      <c r="AH479" s="322"/>
      <c r="AI479" s="322"/>
      <c r="AJ479" s="322"/>
      <c r="AK479" s="322"/>
      <c r="AL479" s="322"/>
      <c r="AM479" s="322"/>
      <c r="AN479" s="322"/>
      <c r="AO479" s="322"/>
      <c r="AP479" s="322"/>
      <c r="AQ479" s="322"/>
      <c r="AR479" s="322"/>
      <c r="AS479" s="322"/>
      <c r="AT479" s="322"/>
      <c r="AU479" s="322"/>
      <c r="AV479" s="322"/>
      <c r="AW479" s="322"/>
      <c r="AX479" s="322"/>
      <c r="AY479" s="322"/>
      <c r="AZ479" s="322"/>
      <c r="BA479" s="322"/>
      <c r="BB479" s="322"/>
      <c r="BC479" s="322"/>
      <c r="BD479" s="322"/>
      <c r="BE479" s="322"/>
      <c r="BF479" s="322"/>
      <c r="BG479" s="322"/>
      <c r="BH479" s="322"/>
      <c r="BI479" s="322"/>
      <c r="BJ479" s="322"/>
      <c r="BK479" s="322"/>
      <c r="BL479" s="322"/>
      <c r="BM479" s="322"/>
      <c r="BN479" s="322"/>
      <c r="BO479" s="322"/>
      <c r="BP479" s="322"/>
      <c r="BQ479" s="322"/>
      <c r="BR479" s="322"/>
      <c r="BS479" s="322"/>
      <c r="BT479" s="322"/>
      <c r="BU479" s="322"/>
      <c r="BV479" s="322"/>
      <c r="BW479" s="322"/>
      <c r="BX479" s="322"/>
      <c r="BY479" s="322"/>
      <c r="BZ479" s="322"/>
      <c r="CA479" s="322"/>
      <c r="CB479" s="322"/>
      <c r="CC479" s="322"/>
      <c r="CD479" s="322"/>
      <c r="CE479" s="322"/>
      <c r="CF479" s="322"/>
      <c r="CG479" s="322"/>
      <c r="CH479" s="322"/>
      <c r="CI479" s="322"/>
      <c r="CJ479" s="322"/>
      <c r="CK479" s="322"/>
      <c r="CL479" s="322"/>
      <c r="CM479" s="322"/>
      <c r="CN479" s="322"/>
      <c r="CO479" s="322"/>
      <c r="CP479" s="322"/>
      <c r="CQ479" s="322"/>
      <c r="CR479" s="322"/>
      <c r="CS479" s="322"/>
      <c r="CT479" s="322"/>
      <c r="CU479" s="322"/>
      <c r="CV479" s="322"/>
      <c r="CW479" s="322"/>
      <c r="CX479" s="322"/>
      <c r="CY479" s="322"/>
    </row>
    <row r="480" spans="1:103" s="432" customFormat="1">
      <c r="A480" s="509">
        <f t="shared" si="7"/>
        <v>479</v>
      </c>
      <c r="B480" s="1332" t="s">
        <v>43</v>
      </c>
      <c r="C480" s="943" t="s">
        <v>44</v>
      </c>
      <c r="D480" s="943" t="s">
        <v>45</v>
      </c>
      <c r="E480" s="432" t="s">
        <v>5860</v>
      </c>
      <c r="F480" s="434">
        <v>12</v>
      </c>
      <c r="G480" s="434">
        <v>9847907140</v>
      </c>
      <c r="I480" s="434">
        <v>31</v>
      </c>
      <c r="J480" s="120" t="s">
        <v>48</v>
      </c>
      <c r="K480" s="434" t="s">
        <v>5874</v>
      </c>
      <c r="L480" s="434"/>
      <c r="M480" s="434" t="s">
        <v>1764</v>
      </c>
      <c r="N480" s="730">
        <v>65297</v>
      </c>
      <c r="O480" s="730">
        <v>65297</v>
      </c>
      <c r="P480" s="459">
        <v>65305</v>
      </c>
      <c r="Q480" s="432" t="s">
        <v>51</v>
      </c>
      <c r="R480" s="322"/>
      <c r="S480" s="322"/>
      <c r="T480" s="322"/>
      <c r="U480" s="322"/>
      <c r="V480" s="322"/>
      <c r="W480" s="322"/>
      <c r="X480" s="322"/>
      <c r="Y480" s="322"/>
      <c r="Z480" s="322"/>
      <c r="AA480" s="322"/>
      <c r="AB480" s="322"/>
      <c r="AC480" s="322"/>
      <c r="AD480" s="322"/>
      <c r="AE480" s="322"/>
      <c r="AF480" s="322"/>
      <c r="AG480" s="322"/>
      <c r="AH480" s="322"/>
      <c r="AI480" s="322"/>
      <c r="AJ480" s="322"/>
      <c r="AK480" s="322"/>
      <c r="AL480" s="322"/>
      <c r="AM480" s="322"/>
      <c r="AN480" s="322"/>
      <c r="AO480" s="322"/>
      <c r="AP480" s="322"/>
      <c r="AQ480" s="322"/>
      <c r="AR480" s="322"/>
      <c r="AS480" s="322"/>
      <c r="AT480" s="322"/>
      <c r="AU480" s="322"/>
      <c r="AV480" s="322"/>
      <c r="AW480" s="322"/>
      <c r="AX480" s="322"/>
      <c r="AY480" s="322"/>
      <c r="AZ480" s="322"/>
      <c r="BA480" s="322"/>
      <c r="BB480" s="322"/>
      <c r="BC480" s="322"/>
      <c r="BD480" s="322"/>
      <c r="BE480" s="322"/>
      <c r="BF480" s="322"/>
      <c r="BG480" s="322"/>
      <c r="BH480" s="322"/>
      <c r="BI480" s="322"/>
      <c r="BJ480" s="322"/>
      <c r="BK480" s="322"/>
      <c r="BL480" s="322"/>
      <c r="BM480" s="322"/>
      <c r="BN480" s="322"/>
      <c r="BO480" s="322"/>
      <c r="BP480" s="322"/>
      <c r="BQ480" s="322"/>
      <c r="BR480" s="322"/>
      <c r="BS480" s="322"/>
      <c r="BT480" s="322"/>
      <c r="BU480" s="322"/>
      <c r="BV480" s="322"/>
      <c r="BW480" s="322"/>
      <c r="BX480" s="322"/>
      <c r="BY480" s="322"/>
      <c r="BZ480" s="322"/>
      <c r="CA480" s="322"/>
      <c r="CB480" s="322"/>
      <c r="CC480" s="322"/>
      <c r="CD480" s="322"/>
      <c r="CE480" s="322"/>
      <c r="CF480" s="322"/>
      <c r="CG480" s="322"/>
      <c r="CH480" s="322"/>
      <c r="CI480" s="322"/>
      <c r="CJ480" s="322"/>
      <c r="CK480" s="322"/>
      <c r="CL480" s="322"/>
      <c r="CM480" s="322"/>
      <c r="CN480" s="322"/>
      <c r="CO480" s="322"/>
      <c r="CP480" s="322"/>
      <c r="CQ480" s="322"/>
      <c r="CR480" s="322"/>
      <c r="CS480" s="322"/>
      <c r="CT480" s="322"/>
      <c r="CU480" s="322"/>
      <c r="CV480" s="322"/>
      <c r="CW480" s="322"/>
      <c r="CX480" s="322"/>
      <c r="CY480" s="322"/>
    </row>
    <row r="481" spans="1:103" s="432" customFormat="1">
      <c r="A481" s="509">
        <f t="shared" si="7"/>
        <v>480</v>
      </c>
      <c r="B481" s="1332" t="s">
        <v>43</v>
      </c>
      <c r="C481" s="943" t="s">
        <v>44</v>
      </c>
      <c r="D481" s="943" t="s">
        <v>45</v>
      </c>
      <c r="E481" s="432" t="s">
        <v>5861</v>
      </c>
      <c r="F481" s="434">
        <v>5</v>
      </c>
      <c r="G481" s="434">
        <v>9857823381</v>
      </c>
      <c r="I481" s="434">
        <v>45</v>
      </c>
      <c r="J481" s="120" t="s">
        <v>48</v>
      </c>
      <c r="K481" s="434" t="s">
        <v>5874</v>
      </c>
      <c r="L481" s="434"/>
      <c r="M481" s="434" t="s">
        <v>1764</v>
      </c>
      <c r="N481" s="730">
        <v>65297</v>
      </c>
      <c r="O481" s="730">
        <v>65297</v>
      </c>
      <c r="P481" s="459">
        <v>65305</v>
      </c>
      <c r="Q481" s="432" t="s">
        <v>51</v>
      </c>
      <c r="R481" s="322"/>
      <c r="S481" s="322"/>
      <c r="T481" s="322"/>
      <c r="U481" s="322"/>
      <c r="V481" s="322"/>
      <c r="W481" s="322"/>
      <c r="X481" s="322"/>
      <c r="Y481" s="322"/>
      <c r="Z481" s="322"/>
      <c r="AA481" s="322"/>
      <c r="AB481" s="322"/>
      <c r="AC481" s="322"/>
      <c r="AD481" s="322"/>
      <c r="AE481" s="322"/>
      <c r="AF481" s="322"/>
      <c r="AG481" s="322"/>
      <c r="AH481" s="322"/>
      <c r="AI481" s="322"/>
      <c r="AJ481" s="322"/>
      <c r="AK481" s="322"/>
      <c r="AL481" s="322"/>
      <c r="AM481" s="322"/>
      <c r="AN481" s="322"/>
      <c r="AO481" s="322"/>
      <c r="AP481" s="322"/>
      <c r="AQ481" s="322"/>
      <c r="AR481" s="322"/>
      <c r="AS481" s="322"/>
      <c r="AT481" s="322"/>
      <c r="AU481" s="322"/>
      <c r="AV481" s="322"/>
      <c r="AW481" s="322"/>
      <c r="AX481" s="322"/>
      <c r="AY481" s="322"/>
      <c r="AZ481" s="322"/>
      <c r="BA481" s="322"/>
      <c r="BB481" s="322"/>
      <c r="BC481" s="322"/>
      <c r="BD481" s="322"/>
      <c r="BE481" s="322"/>
      <c r="BF481" s="322"/>
      <c r="BG481" s="322"/>
      <c r="BH481" s="322"/>
      <c r="BI481" s="322"/>
      <c r="BJ481" s="322"/>
      <c r="BK481" s="322"/>
      <c r="BL481" s="322"/>
      <c r="BM481" s="322"/>
      <c r="BN481" s="322"/>
      <c r="BO481" s="322"/>
      <c r="BP481" s="322"/>
      <c r="BQ481" s="322"/>
      <c r="BR481" s="322"/>
      <c r="BS481" s="322"/>
      <c r="BT481" s="322"/>
      <c r="BU481" s="322"/>
      <c r="BV481" s="322"/>
      <c r="BW481" s="322"/>
      <c r="BX481" s="322"/>
      <c r="BY481" s="322"/>
      <c r="BZ481" s="322"/>
      <c r="CA481" s="322"/>
      <c r="CB481" s="322"/>
      <c r="CC481" s="322"/>
      <c r="CD481" s="322"/>
      <c r="CE481" s="322"/>
      <c r="CF481" s="322"/>
      <c r="CG481" s="322"/>
      <c r="CH481" s="322"/>
      <c r="CI481" s="322"/>
      <c r="CJ481" s="322"/>
      <c r="CK481" s="322"/>
      <c r="CL481" s="322"/>
      <c r="CM481" s="322"/>
      <c r="CN481" s="322"/>
      <c r="CO481" s="322"/>
      <c r="CP481" s="322"/>
      <c r="CQ481" s="322"/>
      <c r="CR481" s="322"/>
      <c r="CS481" s="322"/>
      <c r="CT481" s="322"/>
      <c r="CU481" s="322"/>
      <c r="CV481" s="322"/>
      <c r="CW481" s="322"/>
      <c r="CX481" s="322"/>
      <c r="CY481" s="322"/>
    </row>
    <row r="482" spans="1:103" s="432" customFormat="1">
      <c r="A482" s="509">
        <f t="shared" si="7"/>
        <v>481</v>
      </c>
      <c r="B482" s="1332" t="s">
        <v>43</v>
      </c>
      <c r="C482" s="943" t="s">
        <v>44</v>
      </c>
      <c r="D482" s="943" t="s">
        <v>45</v>
      </c>
      <c r="E482" s="432" t="s">
        <v>5862</v>
      </c>
      <c r="F482" s="434">
        <v>5</v>
      </c>
      <c r="G482" s="434">
        <v>9847813225</v>
      </c>
      <c r="I482" s="434">
        <v>46</v>
      </c>
      <c r="J482" s="120" t="s">
        <v>48</v>
      </c>
      <c r="K482" s="434" t="s">
        <v>5874</v>
      </c>
      <c r="L482" s="434"/>
      <c r="M482" s="434" t="s">
        <v>1764</v>
      </c>
      <c r="N482" s="730">
        <v>65297</v>
      </c>
      <c r="O482" s="730">
        <v>65297</v>
      </c>
      <c r="P482" s="459">
        <v>65305</v>
      </c>
      <c r="Q482" s="432" t="s">
        <v>51</v>
      </c>
      <c r="R482" s="322"/>
      <c r="S482" s="322"/>
      <c r="T482" s="322"/>
      <c r="U482" s="322"/>
      <c r="V482" s="322"/>
      <c r="W482" s="322"/>
      <c r="X482" s="322"/>
      <c r="Y482" s="322"/>
      <c r="Z482" s="322"/>
      <c r="AA482" s="322"/>
      <c r="AB482" s="322"/>
      <c r="AC482" s="322"/>
      <c r="AD482" s="322"/>
      <c r="AE482" s="322"/>
      <c r="AF482" s="322"/>
      <c r="AG482" s="322"/>
      <c r="AH482" s="322"/>
      <c r="AI482" s="322"/>
      <c r="AJ482" s="322"/>
      <c r="AK482" s="322"/>
      <c r="AL482" s="322"/>
      <c r="AM482" s="322"/>
      <c r="AN482" s="322"/>
      <c r="AO482" s="322"/>
      <c r="AP482" s="322"/>
      <c r="AQ482" s="322"/>
      <c r="AR482" s="322"/>
      <c r="AS482" s="322"/>
      <c r="AT482" s="322"/>
      <c r="AU482" s="322"/>
      <c r="AV482" s="322"/>
      <c r="AW482" s="322"/>
      <c r="AX482" s="322"/>
      <c r="AY482" s="322"/>
      <c r="AZ482" s="322"/>
      <c r="BA482" s="322"/>
      <c r="BB482" s="322"/>
      <c r="BC482" s="322"/>
      <c r="BD482" s="322"/>
      <c r="BE482" s="322"/>
      <c r="BF482" s="322"/>
      <c r="BG482" s="322"/>
      <c r="BH482" s="322"/>
      <c r="BI482" s="322"/>
      <c r="BJ482" s="322"/>
      <c r="BK482" s="322"/>
      <c r="BL482" s="322"/>
      <c r="BM482" s="322"/>
      <c r="BN482" s="322"/>
      <c r="BO482" s="322"/>
      <c r="BP482" s="322"/>
      <c r="BQ482" s="322"/>
      <c r="BR482" s="322"/>
      <c r="BS482" s="322"/>
      <c r="BT482" s="322"/>
      <c r="BU482" s="322"/>
      <c r="BV482" s="322"/>
      <c r="BW482" s="322"/>
      <c r="BX482" s="322"/>
      <c r="BY482" s="322"/>
      <c r="BZ482" s="322"/>
      <c r="CA482" s="322"/>
      <c r="CB482" s="322"/>
      <c r="CC482" s="322"/>
      <c r="CD482" s="322"/>
      <c r="CE482" s="322"/>
      <c r="CF482" s="322"/>
      <c r="CG482" s="322"/>
      <c r="CH482" s="322"/>
      <c r="CI482" s="322"/>
      <c r="CJ482" s="322"/>
      <c r="CK482" s="322"/>
      <c r="CL482" s="322"/>
      <c r="CM482" s="322"/>
      <c r="CN482" s="322"/>
      <c r="CO482" s="322"/>
      <c r="CP482" s="322"/>
      <c r="CQ482" s="322"/>
      <c r="CR482" s="322"/>
      <c r="CS482" s="322"/>
      <c r="CT482" s="322"/>
      <c r="CU482" s="322"/>
      <c r="CV482" s="322"/>
      <c r="CW482" s="322"/>
      <c r="CX482" s="322"/>
      <c r="CY482" s="322"/>
    </row>
    <row r="483" spans="1:103" s="432" customFormat="1">
      <c r="A483" s="509">
        <f t="shared" si="7"/>
        <v>482</v>
      </c>
      <c r="B483" s="1332" t="s">
        <v>43</v>
      </c>
      <c r="C483" s="943" t="s">
        <v>44</v>
      </c>
      <c r="D483" s="943" t="s">
        <v>45</v>
      </c>
      <c r="E483" s="432" t="s">
        <v>5863</v>
      </c>
      <c r="F483" s="434">
        <v>17</v>
      </c>
      <c r="G483" s="434">
        <v>9858089051</v>
      </c>
      <c r="I483" s="434">
        <v>29</v>
      </c>
      <c r="J483" s="120" t="s">
        <v>48</v>
      </c>
      <c r="K483" s="434" t="s">
        <v>5874</v>
      </c>
      <c r="L483" s="434"/>
      <c r="M483" s="434" t="s">
        <v>1764</v>
      </c>
      <c r="N483" s="730">
        <v>65297</v>
      </c>
      <c r="O483" s="730">
        <v>65297</v>
      </c>
      <c r="P483" s="459">
        <v>65305</v>
      </c>
      <c r="Q483" s="432" t="s">
        <v>51</v>
      </c>
      <c r="R483" s="322"/>
      <c r="S483" s="322"/>
      <c r="T483" s="322"/>
      <c r="U483" s="322"/>
      <c r="V483" s="322"/>
      <c r="W483" s="322"/>
      <c r="X483" s="322"/>
      <c r="Y483" s="322"/>
      <c r="Z483" s="322"/>
      <c r="AA483" s="322"/>
      <c r="AB483" s="322"/>
      <c r="AC483" s="322"/>
      <c r="AD483" s="322"/>
      <c r="AE483" s="322"/>
      <c r="AF483" s="322"/>
      <c r="AG483" s="322"/>
      <c r="AH483" s="322"/>
      <c r="AI483" s="322"/>
      <c r="AJ483" s="322"/>
      <c r="AK483" s="322"/>
      <c r="AL483" s="322"/>
      <c r="AM483" s="322"/>
      <c r="AN483" s="322"/>
      <c r="AO483" s="322"/>
      <c r="AP483" s="322"/>
      <c r="AQ483" s="322"/>
      <c r="AR483" s="322"/>
      <c r="AS483" s="322"/>
      <c r="AT483" s="322"/>
      <c r="AU483" s="322"/>
      <c r="AV483" s="322"/>
      <c r="AW483" s="322"/>
      <c r="AX483" s="322"/>
      <c r="AY483" s="322"/>
      <c r="AZ483" s="322"/>
      <c r="BA483" s="322"/>
      <c r="BB483" s="322"/>
      <c r="BC483" s="322"/>
      <c r="BD483" s="322"/>
      <c r="BE483" s="322"/>
      <c r="BF483" s="322"/>
      <c r="BG483" s="322"/>
      <c r="BH483" s="322"/>
      <c r="BI483" s="322"/>
      <c r="BJ483" s="322"/>
      <c r="BK483" s="322"/>
      <c r="BL483" s="322"/>
      <c r="BM483" s="322"/>
      <c r="BN483" s="322"/>
      <c r="BO483" s="322"/>
      <c r="BP483" s="322"/>
      <c r="BQ483" s="322"/>
      <c r="BR483" s="322"/>
      <c r="BS483" s="322"/>
      <c r="BT483" s="322"/>
      <c r="BU483" s="322"/>
      <c r="BV483" s="322"/>
      <c r="BW483" s="322"/>
      <c r="BX483" s="322"/>
      <c r="BY483" s="322"/>
      <c r="BZ483" s="322"/>
      <c r="CA483" s="322"/>
      <c r="CB483" s="322"/>
      <c r="CC483" s="322"/>
      <c r="CD483" s="322"/>
      <c r="CE483" s="322"/>
      <c r="CF483" s="322"/>
      <c r="CG483" s="322"/>
      <c r="CH483" s="322"/>
      <c r="CI483" s="322"/>
      <c r="CJ483" s="322"/>
      <c r="CK483" s="322"/>
      <c r="CL483" s="322"/>
      <c r="CM483" s="322"/>
      <c r="CN483" s="322"/>
      <c r="CO483" s="322"/>
      <c r="CP483" s="322"/>
      <c r="CQ483" s="322"/>
      <c r="CR483" s="322"/>
      <c r="CS483" s="322"/>
      <c r="CT483" s="322"/>
      <c r="CU483" s="322"/>
      <c r="CV483" s="322"/>
      <c r="CW483" s="322"/>
      <c r="CX483" s="322"/>
      <c r="CY483" s="322"/>
    </row>
    <row r="484" spans="1:103" s="432" customFormat="1">
      <c r="A484" s="509">
        <f t="shared" si="7"/>
        <v>483</v>
      </c>
      <c r="B484" s="1332" t="s">
        <v>43</v>
      </c>
      <c r="C484" s="943" t="s">
        <v>44</v>
      </c>
      <c r="D484" s="943" t="s">
        <v>45</v>
      </c>
      <c r="E484" s="432" t="s">
        <v>5864</v>
      </c>
      <c r="F484" s="434">
        <v>9</v>
      </c>
      <c r="G484" s="434">
        <v>9868635937</v>
      </c>
      <c r="I484" s="434">
        <v>66</v>
      </c>
      <c r="J484" s="120" t="s">
        <v>48</v>
      </c>
      <c r="K484" s="434" t="s">
        <v>5874</v>
      </c>
      <c r="L484" s="434"/>
      <c r="M484" s="434" t="s">
        <v>1764</v>
      </c>
      <c r="N484" s="730">
        <v>65297</v>
      </c>
      <c r="O484" s="730">
        <v>65297</v>
      </c>
      <c r="P484" s="459">
        <v>65305</v>
      </c>
      <c r="Q484" s="432" t="s">
        <v>51</v>
      </c>
      <c r="R484" s="322"/>
      <c r="S484" s="322"/>
      <c r="T484" s="322"/>
      <c r="U484" s="322"/>
      <c r="V484" s="322"/>
      <c r="W484" s="322"/>
      <c r="X484" s="322"/>
      <c r="Y484" s="322"/>
      <c r="Z484" s="322"/>
      <c r="AA484" s="322"/>
      <c r="AB484" s="322"/>
      <c r="AC484" s="322"/>
      <c r="AD484" s="322"/>
      <c r="AE484" s="322"/>
      <c r="AF484" s="322"/>
      <c r="AG484" s="322"/>
      <c r="AH484" s="322"/>
      <c r="AI484" s="322"/>
      <c r="AJ484" s="322"/>
      <c r="AK484" s="322"/>
      <c r="AL484" s="322"/>
      <c r="AM484" s="322"/>
      <c r="AN484" s="322"/>
      <c r="AO484" s="322"/>
      <c r="AP484" s="322"/>
      <c r="AQ484" s="322"/>
      <c r="AR484" s="322"/>
      <c r="AS484" s="322"/>
      <c r="AT484" s="322"/>
      <c r="AU484" s="322"/>
      <c r="AV484" s="322"/>
      <c r="AW484" s="322"/>
      <c r="AX484" s="322"/>
      <c r="AY484" s="322"/>
      <c r="AZ484" s="322"/>
      <c r="BA484" s="322"/>
      <c r="BB484" s="322"/>
      <c r="BC484" s="322"/>
      <c r="BD484" s="322"/>
      <c r="BE484" s="322"/>
      <c r="BF484" s="322"/>
      <c r="BG484" s="322"/>
      <c r="BH484" s="322"/>
      <c r="BI484" s="322"/>
      <c r="BJ484" s="322"/>
      <c r="BK484" s="322"/>
      <c r="BL484" s="322"/>
      <c r="BM484" s="322"/>
      <c r="BN484" s="322"/>
      <c r="BO484" s="322"/>
      <c r="BP484" s="322"/>
      <c r="BQ484" s="322"/>
      <c r="BR484" s="322"/>
      <c r="BS484" s="322"/>
      <c r="BT484" s="322"/>
      <c r="BU484" s="322"/>
      <c r="BV484" s="322"/>
      <c r="BW484" s="322"/>
      <c r="BX484" s="322"/>
      <c r="BY484" s="322"/>
      <c r="BZ484" s="322"/>
      <c r="CA484" s="322"/>
      <c r="CB484" s="322"/>
      <c r="CC484" s="322"/>
      <c r="CD484" s="322"/>
      <c r="CE484" s="322"/>
      <c r="CF484" s="322"/>
      <c r="CG484" s="322"/>
      <c r="CH484" s="322"/>
      <c r="CI484" s="322"/>
      <c r="CJ484" s="322"/>
      <c r="CK484" s="322"/>
      <c r="CL484" s="322"/>
      <c r="CM484" s="322"/>
      <c r="CN484" s="322"/>
      <c r="CO484" s="322"/>
      <c r="CP484" s="322"/>
      <c r="CQ484" s="322"/>
      <c r="CR484" s="322"/>
      <c r="CS484" s="322"/>
      <c r="CT484" s="322"/>
      <c r="CU484" s="322"/>
      <c r="CV484" s="322"/>
      <c r="CW484" s="322"/>
      <c r="CX484" s="322"/>
      <c r="CY484" s="322"/>
    </row>
    <row r="485" spans="1:103" s="432" customFormat="1">
      <c r="A485" s="509">
        <f t="shared" si="7"/>
        <v>484</v>
      </c>
      <c r="B485" s="1332" t="s">
        <v>43</v>
      </c>
      <c r="C485" s="943" t="s">
        <v>44</v>
      </c>
      <c r="D485" s="943" t="s">
        <v>45</v>
      </c>
      <c r="E485" s="432" t="s">
        <v>5865</v>
      </c>
      <c r="F485" s="434">
        <v>6</v>
      </c>
      <c r="G485" s="434">
        <v>9844941115</v>
      </c>
      <c r="I485" s="434">
        <v>24</v>
      </c>
      <c r="J485" s="434" t="s">
        <v>90</v>
      </c>
      <c r="K485" s="434" t="s">
        <v>5874</v>
      </c>
      <c r="L485" s="434"/>
      <c r="M485" s="434" t="s">
        <v>1764</v>
      </c>
      <c r="N485" s="730">
        <v>65297</v>
      </c>
      <c r="O485" s="730">
        <v>65297</v>
      </c>
      <c r="P485" s="459">
        <v>65305</v>
      </c>
      <c r="Q485" s="432" t="s">
        <v>51</v>
      </c>
      <c r="R485" s="322"/>
      <c r="S485" s="322"/>
      <c r="T485" s="322"/>
      <c r="U485" s="322"/>
      <c r="V485" s="322"/>
      <c r="W485" s="322"/>
      <c r="X485" s="322"/>
      <c r="Y485" s="322"/>
      <c r="Z485" s="322"/>
      <c r="AA485" s="322"/>
      <c r="AB485" s="322"/>
      <c r="AC485" s="322"/>
      <c r="AD485" s="322"/>
      <c r="AE485" s="322"/>
      <c r="AF485" s="322"/>
      <c r="AG485" s="322"/>
      <c r="AH485" s="322"/>
      <c r="AI485" s="322"/>
      <c r="AJ485" s="322"/>
      <c r="AK485" s="322"/>
      <c r="AL485" s="322"/>
      <c r="AM485" s="322"/>
      <c r="AN485" s="322"/>
      <c r="AO485" s="322"/>
      <c r="AP485" s="322"/>
      <c r="AQ485" s="322"/>
      <c r="AR485" s="322"/>
      <c r="AS485" s="322"/>
      <c r="AT485" s="322"/>
      <c r="AU485" s="322"/>
      <c r="AV485" s="322"/>
      <c r="AW485" s="322"/>
      <c r="AX485" s="322"/>
      <c r="AY485" s="322"/>
      <c r="AZ485" s="322"/>
      <c r="BA485" s="322"/>
      <c r="BB485" s="322"/>
      <c r="BC485" s="322"/>
      <c r="BD485" s="322"/>
      <c r="BE485" s="322"/>
      <c r="BF485" s="322"/>
      <c r="BG485" s="322"/>
      <c r="BH485" s="322"/>
      <c r="BI485" s="322"/>
      <c r="BJ485" s="322"/>
      <c r="BK485" s="322"/>
      <c r="BL485" s="322"/>
      <c r="BM485" s="322"/>
      <c r="BN485" s="322"/>
      <c r="BO485" s="322"/>
      <c r="BP485" s="322"/>
      <c r="BQ485" s="322"/>
      <c r="BR485" s="322"/>
      <c r="BS485" s="322"/>
      <c r="BT485" s="322"/>
      <c r="BU485" s="322"/>
      <c r="BV485" s="322"/>
      <c r="BW485" s="322"/>
      <c r="BX485" s="322"/>
      <c r="BY485" s="322"/>
      <c r="BZ485" s="322"/>
      <c r="CA485" s="322"/>
      <c r="CB485" s="322"/>
      <c r="CC485" s="322"/>
      <c r="CD485" s="322"/>
      <c r="CE485" s="322"/>
      <c r="CF485" s="322"/>
      <c r="CG485" s="322"/>
      <c r="CH485" s="322"/>
      <c r="CI485" s="322"/>
      <c r="CJ485" s="322"/>
      <c r="CK485" s="322"/>
      <c r="CL485" s="322"/>
      <c r="CM485" s="322"/>
      <c r="CN485" s="322"/>
      <c r="CO485" s="322"/>
      <c r="CP485" s="322"/>
      <c r="CQ485" s="322"/>
      <c r="CR485" s="322"/>
      <c r="CS485" s="322"/>
      <c r="CT485" s="322"/>
      <c r="CU485" s="322"/>
      <c r="CV485" s="322"/>
      <c r="CW485" s="322"/>
      <c r="CX485" s="322"/>
      <c r="CY485" s="322"/>
    </row>
    <row r="486" spans="1:103" s="432" customFormat="1">
      <c r="A486" s="509">
        <f t="shared" si="7"/>
        <v>485</v>
      </c>
      <c r="B486" s="1332" t="s">
        <v>43</v>
      </c>
      <c r="C486" s="943" t="s">
        <v>44</v>
      </c>
      <c r="D486" s="943" t="s">
        <v>45</v>
      </c>
      <c r="E486" s="432" t="s">
        <v>5866</v>
      </c>
      <c r="F486" s="434">
        <v>5</v>
      </c>
      <c r="G486" s="434">
        <v>9847960252</v>
      </c>
      <c r="I486" s="434">
        <v>29</v>
      </c>
      <c r="J486" s="120" t="s">
        <v>48</v>
      </c>
      <c r="K486" s="434" t="s">
        <v>5874</v>
      </c>
      <c r="L486" s="434"/>
      <c r="M486" s="434" t="s">
        <v>1764</v>
      </c>
      <c r="N486" s="730">
        <v>65297</v>
      </c>
      <c r="O486" s="730">
        <v>65297</v>
      </c>
      <c r="P486" s="459">
        <v>65305</v>
      </c>
      <c r="Q486" s="432" t="s">
        <v>51</v>
      </c>
      <c r="R486" s="322"/>
      <c r="S486" s="322"/>
      <c r="T486" s="322"/>
      <c r="U486" s="322"/>
      <c r="V486" s="322"/>
      <c r="W486" s="322"/>
      <c r="X486" s="322"/>
      <c r="Y486" s="322"/>
      <c r="Z486" s="322"/>
      <c r="AA486" s="322"/>
      <c r="AB486" s="322"/>
      <c r="AC486" s="322"/>
      <c r="AD486" s="322"/>
      <c r="AE486" s="322"/>
      <c r="AF486" s="322"/>
      <c r="AG486" s="322"/>
      <c r="AH486" s="322"/>
      <c r="AI486" s="322"/>
      <c r="AJ486" s="322"/>
      <c r="AK486" s="322"/>
      <c r="AL486" s="322"/>
      <c r="AM486" s="322"/>
      <c r="AN486" s="322"/>
      <c r="AO486" s="322"/>
      <c r="AP486" s="322"/>
      <c r="AQ486" s="322"/>
      <c r="AR486" s="322"/>
      <c r="AS486" s="322"/>
      <c r="AT486" s="322"/>
      <c r="AU486" s="322"/>
      <c r="AV486" s="322"/>
      <c r="AW486" s="322"/>
      <c r="AX486" s="322"/>
      <c r="AY486" s="322"/>
      <c r="AZ486" s="322"/>
      <c r="BA486" s="322"/>
      <c r="BB486" s="322"/>
      <c r="BC486" s="322"/>
      <c r="BD486" s="322"/>
      <c r="BE486" s="322"/>
      <c r="BF486" s="322"/>
      <c r="BG486" s="322"/>
      <c r="BH486" s="322"/>
      <c r="BI486" s="322"/>
      <c r="BJ486" s="322"/>
      <c r="BK486" s="322"/>
      <c r="BL486" s="322"/>
      <c r="BM486" s="322"/>
      <c r="BN486" s="322"/>
      <c r="BO486" s="322"/>
      <c r="BP486" s="322"/>
      <c r="BQ486" s="322"/>
      <c r="BR486" s="322"/>
      <c r="BS486" s="322"/>
      <c r="BT486" s="322"/>
      <c r="BU486" s="322"/>
      <c r="BV486" s="322"/>
      <c r="BW486" s="322"/>
      <c r="BX486" s="322"/>
      <c r="BY486" s="322"/>
      <c r="BZ486" s="322"/>
      <c r="CA486" s="322"/>
      <c r="CB486" s="322"/>
      <c r="CC486" s="322"/>
      <c r="CD486" s="322"/>
      <c r="CE486" s="322"/>
      <c r="CF486" s="322"/>
      <c r="CG486" s="322"/>
      <c r="CH486" s="322"/>
      <c r="CI486" s="322"/>
      <c r="CJ486" s="322"/>
      <c r="CK486" s="322"/>
      <c r="CL486" s="322"/>
      <c r="CM486" s="322"/>
      <c r="CN486" s="322"/>
      <c r="CO486" s="322"/>
      <c r="CP486" s="322"/>
      <c r="CQ486" s="322"/>
      <c r="CR486" s="322"/>
      <c r="CS486" s="322"/>
      <c r="CT486" s="322"/>
      <c r="CU486" s="322"/>
      <c r="CV486" s="322"/>
      <c r="CW486" s="322"/>
      <c r="CX486" s="322"/>
      <c r="CY486" s="322"/>
    </row>
    <row r="487" spans="1:103" s="432" customFormat="1">
      <c r="A487" s="509">
        <f t="shared" si="7"/>
        <v>486</v>
      </c>
      <c r="B487" s="1332" t="s">
        <v>43</v>
      </c>
      <c r="C487" s="943" t="s">
        <v>44</v>
      </c>
      <c r="D487" s="943" t="s">
        <v>45</v>
      </c>
      <c r="E487" s="432" t="s">
        <v>5867</v>
      </c>
      <c r="F487" s="434">
        <v>6</v>
      </c>
      <c r="G487" s="434">
        <v>9857851889</v>
      </c>
      <c r="I487" s="434">
        <v>31</v>
      </c>
      <c r="J487" s="120" t="s">
        <v>48</v>
      </c>
      <c r="K487" s="434" t="s">
        <v>5874</v>
      </c>
      <c r="L487" s="434"/>
      <c r="M487" s="434" t="s">
        <v>1764</v>
      </c>
      <c r="N487" s="730">
        <v>65297</v>
      </c>
      <c r="O487" s="730">
        <v>65297</v>
      </c>
      <c r="P487" s="459">
        <v>65305</v>
      </c>
      <c r="Q487" s="432" t="s">
        <v>51</v>
      </c>
      <c r="R487" s="322"/>
      <c r="S487" s="322"/>
      <c r="T487" s="322"/>
      <c r="U487" s="322"/>
      <c r="V487" s="322"/>
      <c r="W487" s="322"/>
      <c r="X487" s="322"/>
      <c r="Y487" s="322"/>
      <c r="Z487" s="322"/>
      <c r="AA487" s="322"/>
      <c r="AB487" s="322"/>
      <c r="AC487" s="322"/>
      <c r="AD487" s="322"/>
      <c r="AE487" s="322"/>
      <c r="AF487" s="322"/>
      <c r="AG487" s="322"/>
      <c r="AH487" s="322"/>
      <c r="AI487" s="322"/>
      <c r="AJ487" s="322"/>
      <c r="AK487" s="322"/>
      <c r="AL487" s="322"/>
      <c r="AM487" s="322"/>
      <c r="AN487" s="322"/>
      <c r="AO487" s="322"/>
      <c r="AP487" s="322"/>
      <c r="AQ487" s="322"/>
      <c r="AR487" s="322"/>
      <c r="AS487" s="322"/>
      <c r="AT487" s="322"/>
      <c r="AU487" s="322"/>
      <c r="AV487" s="322"/>
      <c r="AW487" s="322"/>
      <c r="AX487" s="322"/>
      <c r="AY487" s="322"/>
      <c r="AZ487" s="322"/>
      <c r="BA487" s="322"/>
      <c r="BB487" s="322"/>
      <c r="BC487" s="322"/>
      <c r="BD487" s="322"/>
      <c r="BE487" s="322"/>
      <c r="BF487" s="322"/>
      <c r="BG487" s="322"/>
      <c r="BH487" s="322"/>
      <c r="BI487" s="322"/>
      <c r="BJ487" s="322"/>
      <c r="BK487" s="322"/>
      <c r="BL487" s="322"/>
      <c r="BM487" s="322"/>
      <c r="BN487" s="322"/>
      <c r="BO487" s="322"/>
      <c r="BP487" s="322"/>
      <c r="BQ487" s="322"/>
      <c r="BR487" s="322"/>
      <c r="BS487" s="322"/>
      <c r="BT487" s="322"/>
      <c r="BU487" s="322"/>
      <c r="BV487" s="322"/>
      <c r="BW487" s="322"/>
      <c r="BX487" s="322"/>
      <c r="BY487" s="322"/>
      <c r="BZ487" s="322"/>
      <c r="CA487" s="322"/>
      <c r="CB487" s="322"/>
      <c r="CC487" s="322"/>
      <c r="CD487" s="322"/>
      <c r="CE487" s="322"/>
      <c r="CF487" s="322"/>
      <c r="CG487" s="322"/>
      <c r="CH487" s="322"/>
      <c r="CI487" s="322"/>
      <c r="CJ487" s="322"/>
      <c r="CK487" s="322"/>
      <c r="CL487" s="322"/>
      <c r="CM487" s="322"/>
      <c r="CN487" s="322"/>
      <c r="CO487" s="322"/>
      <c r="CP487" s="322"/>
      <c r="CQ487" s="322"/>
      <c r="CR487" s="322"/>
      <c r="CS487" s="322"/>
      <c r="CT487" s="322"/>
      <c r="CU487" s="322"/>
      <c r="CV487" s="322"/>
      <c r="CW487" s="322"/>
      <c r="CX487" s="322"/>
      <c r="CY487" s="322"/>
    </row>
    <row r="488" spans="1:103" s="432" customFormat="1">
      <c r="A488" s="509">
        <f t="shared" si="7"/>
        <v>487</v>
      </c>
      <c r="B488" s="1332" t="s">
        <v>43</v>
      </c>
      <c r="C488" s="943" t="s">
        <v>44</v>
      </c>
      <c r="D488" s="943" t="s">
        <v>45</v>
      </c>
      <c r="E488" s="432" t="s">
        <v>5868</v>
      </c>
      <c r="F488" s="434">
        <v>17</v>
      </c>
      <c r="G488" s="434">
        <v>9847836974</v>
      </c>
      <c r="I488" s="434">
        <v>53</v>
      </c>
      <c r="J488" s="120" t="s">
        <v>48</v>
      </c>
      <c r="K488" s="434" t="s">
        <v>5874</v>
      </c>
      <c r="L488" s="434"/>
      <c r="M488" s="434" t="s">
        <v>1764</v>
      </c>
      <c r="N488" s="730">
        <v>65297</v>
      </c>
      <c r="O488" s="730">
        <v>65297</v>
      </c>
      <c r="P488" s="459">
        <v>65305</v>
      </c>
      <c r="Q488" s="432" t="s">
        <v>51</v>
      </c>
      <c r="R488" s="322"/>
      <c r="S488" s="322"/>
      <c r="T488" s="322"/>
      <c r="U488" s="322"/>
      <c r="V488" s="322"/>
      <c r="W488" s="322"/>
      <c r="X488" s="322"/>
      <c r="Y488" s="322"/>
      <c r="Z488" s="322"/>
      <c r="AA488" s="322"/>
      <c r="AB488" s="322"/>
      <c r="AC488" s="322"/>
      <c r="AD488" s="322"/>
      <c r="AE488" s="322"/>
      <c r="AF488" s="322"/>
      <c r="AG488" s="322"/>
      <c r="AH488" s="322"/>
      <c r="AI488" s="322"/>
      <c r="AJ488" s="322"/>
      <c r="AK488" s="322"/>
      <c r="AL488" s="322"/>
      <c r="AM488" s="322"/>
      <c r="AN488" s="322"/>
      <c r="AO488" s="322"/>
      <c r="AP488" s="322"/>
      <c r="AQ488" s="322"/>
      <c r="AR488" s="322"/>
      <c r="AS488" s="322"/>
      <c r="AT488" s="322"/>
      <c r="AU488" s="322"/>
      <c r="AV488" s="322"/>
      <c r="AW488" s="322"/>
      <c r="AX488" s="322"/>
      <c r="AY488" s="322"/>
      <c r="AZ488" s="322"/>
      <c r="BA488" s="322"/>
      <c r="BB488" s="322"/>
      <c r="BC488" s="322"/>
      <c r="BD488" s="322"/>
      <c r="BE488" s="322"/>
      <c r="BF488" s="322"/>
      <c r="BG488" s="322"/>
      <c r="BH488" s="322"/>
      <c r="BI488" s="322"/>
      <c r="BJ488" s="322"/>
      <c r="BK488" s="322"/>
      <c r="BL488" s="322"/>
      <c r="BM488" s="322"/>
      <c r="BN488" s="322"/>
      <c r="BO488" s="322"/>
      <c r="BP488" s="322"/>
      <c r="BQ488" s="322"/>
      <c r="BR488" s="322"/>
      <c r="BS488" s="322"/>
      <c r="BT488" s="322"/>
      <c r="BU488" s="322"/>
      <c r="BV488" s="322"/>
      <c r="BW488" s="322"/>
      <c r="BX488" s="322"/>
      <c r="BY488" s="322"/>
      <c r="BZ488" s="322"/>
      <c r="CA488" s="322"/>
      <c r="CB488" s="322"/>
      <c r="CC488" s="322"/>
      <c r="CD488" s="322"/>
      <c r="CE488" s="322"/>
      <c r="CF488" s="322"/>
      <c r="CG488" s="322"/>
      <c r="CH488" s="322"/>
      <c r="CI488" s="322"/>
      <c r="CJ488" s="322"/>
      <c r="CK488" s="322"/>
      <c r="CL488" s="322"/>
      <c r="CM488" s="322"/>
      <c r="CN488" s="322"/>
      <c r="CO488" s="322"/>
      <c r="CP488" s="322"/>
      <c r="CQ488" s="322"/>
      <c r="CR488" s="322"/>
      <c r="CS488" s="322"/>
      <c r="CT488" s="322"/>
      <c r="CU488" s="322"/>
      <c r="CV488" s="322"/>
      <c r="CW488" s="322"/>
      <c r="CX488" s="322"/>
      <c r="CY488" s="322"/>
    </row>
    <row r="489" spans="1:103" s="432" customFormat="1">
      <c r="A489" s="509">
        <f t="shared" si="7"/>
        <v>488</v>
      </c>
      <c r="B489" s="1332" t="s">
        <v>43</v>
      </c>
      <c r="C489" s="943" t="s">
        <v>44</v>
      </c>
      <c r="D489" s="943" t="s">
        <v>45</v>
      </c>
      <c r="E489" s="432" t="s">
        <v>5869</v>
      </c>
      <c r="F489" s="434">
        <v>5</v>
      </c>
      <c r="G489" s="434">
        <v>9857823332</v>
      </c>
      <c r="I489" s="434">
        <v>42</v>
      </c>
      <c r="J489" s="120" t="s">
        <v>48</v>
      </c>
      <c r="K489" s="434" t="s">
        <v>5874</v>
      </c>
      <c r="L489" s="434"/>
      <c r="M489" s="434" t="s">
        <v>1764</v>
      </c>
      <c r="N489" s="730">
        <v>65297</v>
      </c>
      <c r="O489" s="730">
        <v>65297</v>
      </c>
      <c r="P489" s="459">
        <v>65305</v>
      </c>
      <c r="Q489" s="432" t="s">
        <v>51</v>
      </c>
      <c r="R489" s="322"/>
      <c r="S489" s="322"/>
      <c r="T489" s="322"/>
      <c r="U489" s="322"/>
      <c r="V489" s="322"/>
      <c r="W489" s="322"/>
      <c r="X489" s="322"/>
      <c r="Y489" s="322"/>
      <c r="Z489" s="322"/>
      <c r="AA489" s="322"/>
      <c r="AB489" s="322"/>
      <c r="AC489" s="322"/>
      <c r="AD489" s="322"/>
      <c r="AE489" s="322"/>
      <c r="AF489" s="322"/>
      <c r="AG489" s="322"/>
      <c r="AH489" s="322"/>
      <c r="AI489" s="322"/>
      <c r="AJ489" s="322"/>
      <c r="AK489" s="322"/>
      <c r="AL489" s="322"/>
      <c r="AM489" s="322"/>
      <c r="AN489" s="322"/>
      <c r="AO489" s="322"/>
      <c r="AP489" s="322"/>
      <c r="AQ489" s="322"/>
      <c r="AR489" s="322"/>
      <c r="AS489" s="322"/>
      <c r="AT489" s="322"/>
      <c r="AU489" s="322"/>
      <c r="AV489" s="322"/>
      <c r="AW489" s="322"/>
      <c r="AX489" s="322"/>
      <c r="AY489" s="322"/>
      <c r="AZ489" s="322"/>
      <c r="BA489" s="322"/>
      <c r="BB489" s="322"/>
      <c r="BC489" s="322"/>
      <c r="BD489" s="322"/>
      <c r="BE489" s="322"/>
      <c r="BF489" s="322"/>
      <c r="BG489" s="322"/>
      <c r="BH489" s="322"/>
      <c r="BI489" s="322"/>
      <c r="BJ489" s="322"/>
      <c r="BK489" s="322"/>
      <c r="BL489" s="322"/>
      <c r="BM489" s="322"/>
      <c r="BN489" s="322"/>
      <c r="BO489" s="322"/>
      <c r="BP489" s="322"/>
      <c r="BQ489" s="322"/>
      <c r="BR489" s="322"/>
      <c r="BS489" s="322"/>
      <c r="BT489" s="322"/>
      <c r="BU489" s="322"/>
      <c r="BV489" s="322"/>
      <c r="BW489" s="322"/>
      <c r="BX489" s="322"/>
      <c r="BY489" s="322"/>
      <c r="BZ489" s="322"/>
      <c r="CA489" s="322"/>
      <c r="CB489" s="322"/>
      <c r="CC489" s="322"/>
      <c r="CD489" s="322"/>
      <c r="CE489" s="322"/>
      <c r="CF489" s="322"/>
      <c r="CG489" s="322"/>
      <c r="CH489" s="322"/>
      <c r="CI489" s="322"/>
      <c r="CJ489" s="322"/>
      <c r="CK489" s="322"/>
      <c r="CL489" s="322"/>
      <c r="CM489" s="322"/>
      <c r="CN489" s="322"/>
      <c r="CO489" s="322"/>
      <c r="CP489" s="322"/>
      <c r="CQ489" s="322"/>
      <c r="CR489" s="322"/>
      <c r="CS489" s="322"/>
      <c r="CT489" s="322"/>
      <c r="CU489" s="322"/>
      <c r="CV489" s="322"/>
      <c r="CW489" s="322"/>
      <c r="CX489" s="322"/>
      <c r="CY489" s="322"/>
    </row>
    <row r="490" spans="1:103" s="432" customFormat="1">
      <c r="A490" s="509">
        <f t="shared" si="7"/>
        <v>489</v>
      </c>
      <c r="B490" s="1332" t="s">
        <v>43</v>
      </c>
      <c r="C490" s="943" t="s">
        <v>44</v>
      </c>
      <c r="D490" s="943" t="s">
        <v>45</v>
      </c>
      <c r="E490" s="432" t="s">
        <v>5870</v>
      </c>
      <c r="F490" s="434">
        <v>7</v>
      </c>
      <c r="G490" s="434">
        <v>9847823466</v>
      </c>
      <c r="I490" s="434">
        <v>38</v>
      </c>
      <c r="J490" s="120" t="s">
        <v>48</v>
      </c>
      <c r="K490" s="434" t="s">
        <v>5874</v>
      </c>
      <c r="L490" s="434"/>
      <c r="M490" s="434" t="s">
        <v>1764</v>
      </c>
      <c r="N490" s="730">
        <v>65297</v>
      </c>
      <c r="O490" s="730">
        <v>65297</v>
      </c>
      <c r="P490" s="459">
        <v>65305</v>
      </c>
      <c r="Q490" s="432" t="s">
        <v>51</v>
      </c>
      <c r="R490" s="322"/>
      <c r="S490" s="322"/>
      <c r="T490" s="322"/>
      <c r="U490" s="322"/>
      <c r="V490" s="322"/>
      <c r="W490" s="322"/>
      <c r="X490" s="322"/>
      <c r="Y490" s="322"/>
      <c r="Z490" s="322"/>
      <c r="AA490" s="322"/>
      <c r="AB490" s="322"/>
      <c r="AC490" s="322"/>
      <c r="AD490" s="322"/>
      <c r="AE490" s="322"/>
      <c r="AF490" s="322"/>
      <c r="AG490" s="322"/>
      <c r="AH490" s="322"/>
      <c r="AI490" s="322"/>
      <c r="AJ490" s="322"/>
      <c r="AK490" s="322"/>
      <c r="AL490" s="322"/>
      <c r="AM490" s="322"/>
      <c r="AN490" s="322"/>
      <c r="AO490" s="322"/>
      <c r="AP490" s="322"/>
      <c r="AQ490" s="322"/>
      <c r="AR490" s="322"/>
      <c r="AS490" s="322"/>
      <c r="AT490" s="322"/>
      <c r="AU490" s="322"/>
      <c r="AV490" s="322"/>
      <c r="AW490" s="322"/>
      <c r="AX490" s="322"/>
      <c r="AY490" s="322"/>
      <c r="AZ490" s="322"/>
      <c r="BA490" s="322"/>
      <c r="BB490" s="322"/>
      <c r="BC490" s="322"/>
      <c r="BD490" s="322"/>
      <c r="BE490" s="322"/>
      <c r="BF490" s="322"/>
      <c r="BG490" s="322"/>
      <c r="BH490" s="322"/>
      <c r="BI490" s="322"/>
      <c r="BJ490" s="322"/>
      <c r="BK490" s="322"/>
      <c r="BL490" s="322"/>
      <c r="BM490" s="322"/>
      <c r="BN490" s="322"/>
      <c r="BO490" s="322"/>
      <c r="BP490" s="322"/>
      <c r="BQ490" s="322"/>
      <c r="BR490" s="322"/>
      <c r="BS490" s="322"/>
      <c r="BT490" s="322"/>
      <c r="BU490" s="322"/>
      <c r="BV490" s="322"/>
      <c r="BW490" s="322"/>
      <c r="BX490" s="322"/>
      <c r="BY490" s="322"/>
      <c r="BZ490" s="322"/>
      <c r="CA490" s="322"/>
      <c r="CB490" s="322"/>
      <c r="CC490" s="322"/>
      <c r="CD490" s="322"/>
      <c r="CE490" s="322"/>
      <c r="CF490" s="322"/>
      <c r="CG490" s="322"/>
      <c r="CH490" s="322"/>
      <c r="CI490" s="322"/>
      <c r="CJ490" s="322"/>
      <c r="CK490" s="322"/>
      <c r="CL490" s="322"/>
      <c r="CM490" s="322"/>
      <c r="CN490" s="322"/>
      <c r="CO490" s="322"/>
      <c r="CP490" s="322"/>
      <c r="CQ490" s="322"/>
      <c r="CR490" s="322"/>
      <c r="CS490" s="322"/>
      <c r="CT490" s="322"/>
      <c r="CU490" s="322"/>
      <c r="CV490" s="322"/>
      <c r="CW490" s="322"/>
      <c r="CX490" s="322"/>
      <c r="CY490" s="322"/>
    </row>
    <row r="491" spans="1:103" s="432" customFormat="1">
      <c r="A491" s="509">
        <f t="shared" si="7"/>
        <v>490</v>
      </c>
      <c r="B491" s="1332" t="s">
        <v>43</v>
      </c>
      <c r="C491" s="943" t="s">
        <v>44</v>
      </c>
      <c r="D491" s="943" t="s">
        <v>45</v>
      </c>
      <c r="E491" s="432" t="s">
        <v>5871</v>
      </c>
      <c r="F491" s="434">
        <v>6</v>
      </c>
      <c r="G491" s="434">
        <v>9847822146</v>
      </c>
      <c r="I491" s="434">
        <v>48</v>
      </c>
      <c r="J491" s="120" t="s">
        <v>48</v>
      </c>
      <c r="K491" s="434" t="s">
        <v>5874</v>
      </c>
      <c r="L491" s="434"/>
      <c r="M491" s="434" t="s">
        <v>1764</v>
      </c>
      <c r="N491" s="730">
        <v>65297</v>
      </c>
      <c r="O491" s="730">
        <v>65297</v>
      </c>
      <c r="P491" s="459">
        <v>65305</v>
      </c>
      <c r="Q491" s="432" t="s">
        <v>51</v>
      </c>
      <c r="R491" s="322"/>
      <c r="S491" s="322"/>
      <c r="T491" s="322"/>
      <c r="U491" s="322"/>
      <c r="V491" s="322"/>
      <c r="W491" s="322"/>
      <c r="X491" s="322"/>
      <c r="Y491" s="322"/>
      <c r="Z491" s="322"/>
      <c r="AA491" s="322"/>
      <c r="AB491" s="322"/>
      <c r="AC491" s="322"/>
      <c r="AD491" s="322"/>
      <c r="AE491" s="322"/>
      <c r="AF491" s="322"/>
      <c r="AG491" s="322"/>
      <c r="AH491" s="322"/>
      <c r="AI491" s="322"/>
      <c r="AJ491" s="322"/>
      <c r="AK491" s="322"/>
      <c r="AL491" s="322"/>
      <c r="AM491" s="322"/>
      <c r="AN491" s="322"/>
      <c r="AO491" s="322"/>
      <c r="AP491" s="322"/>
      <c r="AQ491" s="322"/>
      <c r="AR491" s="322"/>
      <c r="AS491" s="322"/>
      <c r="AT491" s="322"/>
      <c r="AU491" s="322"/>
      <c r="AV491" s="322"/>
      <c r="AW491" s="322"/>
      <c r="AX491" s="322"/>
      <c r="AY491" s="322"/>
      <c r="AZ491" s="322"/>
      <c r="BA491" s="322"/>
      <c r="BB491" s="322"/>
      <c r="BC491" s="322"/>
      <c r="BD491" s="322"/>
      <c r="BE491" s="322"/>
      <c r="BF491" s="322"/>
      <c r="BG491" s="322"/>
      <c r="BH491" s="322"/>
      <c r="BI491" s="322"/>
      <c r="BJ491" s="322"/>
      <c r="BK491" s="322"/>
      <c r="BL491" s="322"/>
      <c r="BM491" s="322"/>
      <c r="BN491" s="322"/>
      <c r="BO491" s="322"/>
      <c r="BP491" s="322"/>
      <c r="BQ491" s="322"/>
      <c r="BR491" s="322"/>
      <c r="BS491" s="322"/>
      <c r="BT491" s="322"/>
      <c r="BU491" s="322"/>
      <c r="BV491" s="322"/>
      <c r="BW491" s="322"/>
      <c r="BX491" s="322"/>
      <c r="BY491" s="322"/>
      <c r="BZ491" s="322"/>
      <c r="CA491" s="322"/>
      <c r="CB491" s="322"/>
      <c r="CC491" s="322"/>
      <c r="CD491" s="322"/>
      <c r="CE491" s="322"/>
      <c r="CF491" s="322"/>
      <c r="CG491" s="322"/>
      <c r="CH491" s="322"/>
      <c r="CI491" s="322"/>
      <c r="CJ491" s="322"/>
      <c r="CK491" s="322"/>
      <c r="CL491" s="322"/>
      <c r="CM491" s="322"/>
      <c r="CN491" s="322"/>
      <c r="CO491" s="322"/>
      <c r="CP491" s="322"/>
      <c r="CQ491" s="322"/>
      <c r="CR491" s="322"/>
      <c r="CS491" s="322"/>
      <c r="CT491" s="322"/>
      <c r="CU491" s="322"/>
      <c r="CV491" s="322"/>
      <c r="CW491" s="322"/>
      <c r="CX491" s="322"/>
      <c r="CY491" s="322"/>
    </row>
    <row r="492" spans="1:103" s="432" customFormat="1">
      <c r="A492" s="509">
        <f t="shared" si="7"/>
        <v>491</v>
      </c>
      <c r="B492" s="1332" t="s">
        <v>43</v>
      </c>
      <c r="C492" s="943" t="s">
        <v>44</v>
      </c>
      <c r="D492" s="943" t="s">
        <v>45</v>
      </c>
      <c r="E492" s="432" t="s">
        <v>5872</v>
      </c>
      <c r="F492" s="434">
        <v>5</v>
      </c>
      <c r="G492" s="434">
        <v>9847822242</v>
      </c>
      <c r="I492" s="434">
        <v>31</v>
      </c>
      <c r="J492" s="434" t="s">
        <v>90</v>
      </c>
      <c r="K492" s="434" t="s">
        <v>5874</v>
      </c>
      <c r="L492" s="434"/>
      <c r="M492" s="434" t="s">
        <v>1764</v>
      </c>
      <c r="N492" s="730">
        <v>65297</v>
      </c>
      <c r="O492" s="730">
        <v>65297</v>
      </c>
      <c r="P492" s="459">
        <v>65305</v>
      </c>
      <c r="Q492" s="432" t="s">
        <v>51</v>
      </c>
      <c r="R492" s="322"/>
      <c r="S492" s="322"/>
      <c r="T492" s="322"/>
      <c r="U492" s="322"/>
      <c r="V492" s="322"/>
      <c r="W492" s="322"/>
      <c r="X492" s="322"/>
      <c r="Y492" s="322"/>
      <c r="Z492" s="322"/>
      <c r="AA492" s="322"/>
      <c r="AB492" s="322"/>
      <c r="AC492" s="322"/>
      <c r="AD492" s="322"/>
      <c r="AE492" s="322"/>
      <c r="AF492" s="322"/>
      <c r="AG492" s="322"/>
      <c r="AH492" s="322"/>
      <c r="AI492" s="322"/>
      <c r="AJ492" s="322"/>
      <c r="AK492" s="322"/>
      <c r="AL492" s="322"/>
      <c r="AM492" s="322"/>
      <c r="AN492" s="322"/>
      <c r="AO492" s="322"/>
      <c r="AP492" s="322"/>
      <c r="AQ492" s="322"/>
      <c r="AR492" s="322"/>
      <c r="AS492" s="322"/>
      <c r="AT492" s="322"/>
      <c r="AU492" s="322"/>
      <c r="AV492" s="322"/>
      <c r="AW492" s="322"/>
      <c r="AX492" s="322"/>
      <c r="AY492" s="322"/>
      <c r="AZ492" s="322"/>
      <c r="BA492" s="322"/>
      <c r="BB492" s="322"/>
      <c r="BC492" s="322"/>
      <c r="BD492" s="322"/>
      <c r="BE492" s="322"/>
      <c r="BF492" s="322"/>
      <c r="BG492" s="322"/>
      <c r="BH492" s="322"/>
      <c r="BI492" s="322"/>
      <c r="BJ492" s="322"/>
      <c r="BK492" s="322"/>
      <c r="BL492" s="322"/>
      <c r="BM492" s="322"/>
      <c r="BN492" s="322"/>
      <c r="BO492" s="322"/>
      <c r="BP492" s="322"/>
      <c r="BQ492" s="322"/>
      <c r="BR492" s="322"/>
      <c r="BS492" s="322"/>
      <c r="BT492" s="322"/>
      <c r="BU492" s="322"/>
      <c r="BV492" s="322"/>
      <c r="BW492" s="322"/>
      <c r="BX492" s="322"/>
      <c r="BY492" s="322"/>
      <c r="BZ492" s="322"/>
      <c r="CA492" s="322"/>
      <c r="CB492" s="322"/>
      <c r="CC492" s="322"/>
      <c r="CD492" s="322"/>
      <c r="CE492" s="322"/>
      <c r="CF492" s="322"/>
      <c r="CG492" s="322"/>
      <c r="CH492" s="322"/>
      <c r="CI492" s="322"/>
      <c r="CJ492" s="322"/>
      <c r="CK492" s="322"/>
      <c r="CL492" s="322"/>
      <c r="CM492" s="322"/>
      <c r="CN492" s="322"/>
      <c r="CO492" s="322"/>
      <c r="CP492" s="322"/>
      <c r="CQ492" s="322"/>
      <c r="CR492" s="322"/>
      <c r="CS492" s="322"/>
      <c r="CT492" s="322"/>
      <c r="CU492" s="322"/>
      <c r="CV492" s="322"/>
      <c r="CW492" s="322"/>
      <c r="CX492" s="322"/>
      <c r="CY492" s="322"/>
    </row>
    <row r="493" spans="1:103" s="432" customFormat="1">
      <c r="A493" s="509">
        <f t="shared" si="7"/>
        <v>492</v>
      </c>
      <c r="B493" s="1332" t="s">
        <v>43</v>
      </c>
      <c r="C493" s="943" t="s">
        <v>44</v>
      </c>
      <c r="D493" s="943" t="s">
        <v>45</v>
      </c>
      <c r="E493" s="432" t="s">
        <v>5873</v>
      </c>
      <c r="F493" s="434">
        <v>6</v>
      </c>
      <c r="G493" s="434">
        <v>9801335764</v>
      </c>
      <c r="I493" s="434">
        <v>35</v>
      </c>
      <c r="J493" s="434" t="s">
        <v>90</v>
      </c>
      <c r="K493" s="434" t="s">
        <v>5874</v>
      </c>
      <c r="L493" s="434"/>
      <c r="M493" s="434" t="s">
        <v>1764</v>
      </c>
      <c r="N493" s="730">
        <v>65297</v>
      </c>
      <c r="O493" s="730">
        <v>65297</v>
      </c>
      <c r="P493" s="459">
        <v>65305</v>
      </c>
      <c r="Q493" s="432" t="s">
        <v>51</v>
      </c>
      <c r="R493" s="322"/>
      <c r="S493" s="322"/>
      <c r="T493" s="322"/>
      <c r="U493" s="322"/>
      <c r="V493" s="322"/>
      <c r="W493" s="322"/>
      <c r="X493" s="322"/>
      <c r="Y493" s="322"/>
      <c r="Z493" s="322"/>
      <c r="AA493" s="322"/>
      <c r="AB493" s="322"/>
      <c r="AC493" s="322"/>
      <c r="AD493" s="322"/>
      <c r="AE493" s="322"/>
      <c r="AF493" s="322"/>
      <c r="AG493" s="322"/>
      <c r="AH493" s="322"/>
      <c r="AI493" s="322"/>
      <c r="AJ493" s="322"/>
      <c r="AK493" s="322"/>
      <c r="AL493" s="322"/>
      <c r="AM493" s="322"/>
      <c r="AN493" s="322"/>
      <c r="AO493" s="322"/>
      <c r="AP493" s="322"/>
      <c r="AQ493" s="322"/>
      <c r="AR493" s="322"/>
      <c r="AS493" s="322"/>
      <c r="AT493" s="322"/>
      <c r="AU493" s="322"/>
      <c r="AV493" s="322"/>
      <c r="AW493" s="322"/>
      <c r="AX493" s="322"/>
      <c r="AY493" s="322"/>
      <c r="AZ493" s="322"/>
      <c r="BA493" s="322"/>
      <c r="BB493" s="322"/>
      <c r="BC493" s="322"/>
      <c r="BD493" s="322"/>
      <c r="BE493" s="322"/>
      <c r="BF493" s="322"/>
      <c r="BG493" s="322"/>
      <c r="BH493" s="322"/>
      <c r="BI493" s="322"/>
      <c r="BJ493" s="322"/>
      <c r="BK493" s="322"/>
      <c r="BL493" s="322"/>
      <c r="BM493" s="322"/>
      <c r="BN493" s="322"/>
      <c r="BO493" s="322"/>
      <c r="BP493" s="322"/>
      <c r="BQ493" s="322"/>
      <c r="BR493" s="322"/>
      <c r="BS493" s="322"/>
      <c r="BT493" s="322"/>
      <c r="BU493" s="322"/>
      <c r="BV493" s="322"/>
      <c r="BW493" s="322"/>
      <c r="BX493" s="322"/>
      <c r="BY493" s="322"/>
      <c r="BZ493" s="322"/>
      <c r="CA493" s="322"/>
      <c r="CB493" s="322"/>
      <c r="CC493" s="322"/>
      <c r="CD493" s="322"/>
      <c r="CE493" s="322"/>
      <c r="CF493" s="322"/>
      <c r="CG493" s="322"/>
      <c r="CH493" s="322"/>
      <c r="CI493" s="322"/>
      <c r="CJ493" s="322"/>
      <c r="CK493" s="322"/>
      <c r="CL493" s="322"/>
      <c r="CM493" s="322"/>
      <c r="CN493" s="322"/>
      <c r="CO493" s="322"/>
      <c r="CP493" s="322"/>
      <c r="CQ493" s="322"/>
      <c r="CR493" s="322"/>
      <c r="CS493" s="322"/>
      <c r="CT493" s="322"/>
      <c r="CU493" s="322"/>
      <c r="CV493" s="322"/>
      <c r="CW493" s="322"/>
      <c r="CX493" s="322"/>
      <c r="CY493" s="322"/>
    </row>
    <row r="494" spans="1:103" s="432" customFormat="1">
      <c r="A494" s="509">
        <f t="shared" si="7"/>
        <v>493</v>
      </c>
      <c r="B494" s="1332" t="s">
        <v>43</v>
      </c>
      <c r="C494" s="943" t="s">
        <v>44</v>
      </c>
      <c r="D494" s="943" t="s">
        <v>45</v>
      </c>
      <c r="E494" s="432" t="s">
        <v>5875</v>
      </c>
      <c r="F494" s="434">
        <v>17</v>
      </c>
      <c r="G494" s="434">
        <v>9847837432</v>
      </c>
      <c r="I494" s="434">
        <v>49</v>
      </c>
      <c r="J494" s="434" t="s">
        <v>90</v>
      </c>
      <c r="K494" s="434" t="s">
        <v>5874</v>
      </c>
      <c r="L494" s="434"/>
      <c r="M494" s="434" t="s">
        <v>1764</v>
      </c>
      <c r="N494" s="730">
        <v>65297</v>
      </c>
      <c r="O494" s="730">
        <v>65297</v>
      </c>
      <c r="P494" s="459">
        <v>65305</v>
      </c>
      <c r="Q494" s="432" t="s">
        <v>51</v>
      </c>
      <c r="R494" s="322"/>
      <c r="S494" s="322"/>
      <c r="T494" s="322"/>
      <c r="U494" s="322"/>
      <c r="V494" s="322"/>
      <c r="W494" s="322"/>
      <c r="X494" s="322"/>
      <c r="Y494" s="322"/>
      <c r="Z494" s="322"/>
      <c r="AA494" s="322"/>
      <c r="AB494" s="322"/>
      <c r="AC494" s="322"/>
      <c r="AD494" s="322"/>
      <c r="AE494" s="322"/>
      <c r="AF494" s="322"/>
      <c r="AG494" s="322"/>
      <c r="AH494" s="322"/>
      <c r="AI494" s="322"/>
      <c r="AJ494" s="322"/>
      <c r="AK494" s="322"/>
      <c r="AL494" s="322"/>
      <c r="AM494" s="322"/>
      <c r="AN494" s="322"/>
      <c r="AO494" s="322"/>
      <c r="AP494" s="322"/>
      <c r="AQ494" s="322"/>
      <c r="AR494" s="322"/>
      <c r="AS494" s="322"/>
      <c r="AT494" s="322"/>
      <c r="AU494" s="322"/>
      <c r="AV494" s="322"/>
      <c r="AW494" s="322"/>
      <c r="AX494" s="322"/>
      <c r="AY494" s="322"/>
      <c r="AZ494" s="322"/>
      <c r="BA494" s="322"/>
      <c r="BB494" s="322"/>
      <c r="BC494" s="322"/>
      <c r="BD494" s="322"/>
      <c r="BE494" s="322"/>
      <c r="BF494" s="322"/>
      <c r="BG494" s="322"/>
      <c r="BH494" s="322"/>
      <c r="BI494" s="322"/>
      <c r="BJ494" s="322"/>
      <c r="BK494" s="322"/>
      <c r="BL494" s="322"/>
      <c r="BM494" s="322"/>
      <c r="BN494" s="322"/>
      <c r="BO494" s="322"/>
      <c r="BP494" s="322"/>
      <c r="BQ494" s="322"/>
      <c r="BR494" s="322"/>
      <c r="BS494" s="322"/>
      <c r="BT494" s="322"/>
      <c r="BU494" s="322"/>
      <c r="BV494" s="322"/>
      <c r="BW494" s="322"/>
      <c r="BX494" s="322"/>
      <c r="BY494" s="322"/>
      <c r="BZ494" s="322"/>
      <c r="CA494" s="322"/>
      <c r="CB494" s="322"/>
      <c r="CC494" s="322"/>
      <c r="CD494" s="322"/>
      <c r="CE494" s="322"/>
      <c r="CF494" s="322"/>
      <c r="CG494" s="322"/>
      <c r="CH494" s="322"/>
      <c r="CI494" s="322"/>
      <c r="CJ494" s="322"/>
      <c r="CK494" s="322"/>
      <c r="CL494" s="322"/>
      <c r="CM494" s="322"/>
      <c r="CN494" s="322"/>
      <c r="CO494" s="322"/>
      <c r="CP494" s="322"/>
      <c r="CQ494" s="322"/>
      <c r="CR494" s="322"/>
      <c r="CS494" s="322"/>
      <c r="CT494" s="322"/>
      <c r="CU494" s="322"/>
      <c r="CV494" s="322"/>
      <c r="CW494" s="322"/>
      <c r="CX494" s="322"/>
      <c r="CY494" s="322"/>
    </row>
    <row r="495" spans="1:103" s="432" customFormat="1">
      <c r="A495" s="509">
        <f t="shared" si="7"/>
        <v>494</v>
      </c>
      <c r="B495" s="1332" t="s">
        <v>43</v>
      </c>
      <c r="C495" s="943" t="s">
        <v>44</v>
      </c>
      <c r="D495" s="943" t="s">
        <v>45</v>
      </c>
      <c r="E495" s="432" t="s">
        <v>5876</v>
      </c>
      <c r="F495" s="434">
        <v>17</v>
      </c>
      <c r="G495" s="434">
        <v>9866902999</v>
      </c>
      <c r="I495" s="434">
        <v>54</v>
      </c>
      <c r="J495" s="120" t="s">
        <v>48</v>
      </c>
      <c r="K495" s="434" t="s">
        <v>5874</v>
      </c>
      <c r="L495" s="434"/>
      <c r="M495" s="434" t="s">
        <v>1764</v>
      </c>
      <c r="N495" s="730">
        <v>65297</v>
      </c>
      <c r="O495" s="730">
        <v>65297</v>
      </c>
      <c r="P495" s="459">
        <v>65305</v>
      </c>
      <c r="Q495" s="432" t="s">
        <v>51</v>
      </c>
      <c r="R495" s="322"/>
      <c r="S495" s="322"/>
      <c r="T495" s="322"/>
      <c r="U495" s="322"/>
      <c r="V495" s="322"/>
      <c r="W495" s="322"/>
      <c r="X495" s="322"/>
      <c r="Y495" s="322"/>
      <c r="Z495" s="322"/>
      <c r="AA495" s="322"/>
      <c r="AB495" s="322"/>
      <c r="AC495" s="322"/>
      <c r="AD495" s="322"/>
      <c r="AE495" s="322"/>
      <c r="AF495" s="322"/>
      <c r="AG495" s="322"/>
      <c r="AH495" s="322"/>
      <c r="AI495" s="322"/>
      <c r="AJ495" s="322"/>
      <c r="AK495" s="322"/>
      <c r="AL495" s="322"/>
      <c r="AM495" s="322"/>
      <c r="AN495" s="322"/>
      <c r="AO495" s="322"/>
      <c r="AP495" s="322"/>
      <c r="AQ495" s="322"/>
      <c r="AR495" s="322"/>
      <c r="AS495" s="322"/>
      <c r="AT495" s="322"/>
      <c r="AU495" s="322"/>
      <c r="AV495" s="322"/>
      <c r="AW495" s="322"/>
      <c r="AX495" s="322"/>
      <c r="AY495" s="322"/>
      <c r="AZ495" s="322"/>
      <c r="BA495" s="322"/>
      <c r="BB495" s="322"/>
      <c r="BC495" s="322"/>
      <c r="BD495" s="322"/>
      <c r="BE495" s="322"/>
      <c r="BF495" s="322"/>
      <c r="BG495" s="322"/>
      <c r="BH495" s="322"/>
      <c r="BI495" s="322"/>
      <c r="BJ495" s="322"/>
      <c r="BK495" s="322"/>
      <c r="BL495" s="322"/>
      <c r="BM495" s="322"/>
      <c r="BN495" s="322"/>
      <c r="BO495" s="322"/>
      <c r="BP495" s="322"/>
      <c r="BQ495" s="322"/>
      <c r="BR495" s="322"/>
      <c r="BS495" s="322"/>
      <c r="BT495" s="322"/>
      <c r="BU495" s="322"/>
      <c r="BV495" s="322"/>
      <c r="BW495" s="322"/>
      <c r="BX495" s="322"/>
      <c r="BY495" s="322"/>
      <c r="BZ495" s="322"/>
      <c r="CA495" s="322"/>
      <c r="CB495" s="322"/>
      <c r="CC495" s="322"/>
      <c r="CD495" s="322"/>
      <c r="CE495" s="322"/>
      <c r="CF495" s="322"/>
      <c r="CG495" s="322"/>
      <c r="CH495" s="322"/>
      <c r="CI495" s="322"/>
      <c r="CJ495" s="322"/>
      <c r="CK495" s="322"/>
      <c r="CL495" s="322"/>
      <c r="CM495" s="322"/>
      <c r="CN495" s="322"/>
      <c r="CO495" s="322"/>
      <c r="CP495" s="322"/>
      <c r="CQ495" s="322"/>
      <c r="CR495" s="322"/>
      <c r="CS495" s="322"/>
      <c r="CT495" s="322"/>
      <c r="CU495" s="322"/>
      <c r="CV495" s="322"/>
      <c r="CW495" s="322"/>
      <c r="CX495" s="322"/>
      <c r="CY495" s="322"/>
    </row>
    <row r="496" spans="1:103" s="432" customFormat="1">
      <c r="A496" s="509">
        <f t="shared" si="7"/>
        <v>495</v>
      </c>
      <c r="B496" s="1332" t="s">
        <v>43</v>
      </c>
      <c r="C496" s="943" t="s">
        <v>44</v>
      </c>
      <c r="D496" s="943" t="s">
        <v>45</v>
      </c>
      <c r="E496" s="432" t="s">
        <v>5877</v>
      </c>
      <c r="F496" s="434">
        <v>5</v>
      </c>
      <c r="G496" s="434">
        <v>9857824646</v>
      </c>
      <c r="I496" s="434">
        <v>46</v>
      </c>
      <c r="J496" s="120" t="s">
        <v>48</v>
      </c>
      <c r="K496" s="434" t="s">
        <v>5874</v>
      </c>
      <c r="L496" s="434"/>
      <c r="M496" s="434" t="s">
        <v>1764</v>
      </c>
      <c r="N496" s="730">
        <v>65297</v>
      </c>
      <c r="O496" s="730">
        <v>65297</v>
      </c>
      <c r="P496" s="459">
        <v>65305</v>
      </c>
      <c r="Q496" s="432" t="s">
        <v>51</v>
      </c>
      <c r="R496" s="322"/>
      <c r="S496" s="322"/>
      <c r="T496" s="322"/>
      <c r="U496" s="322"/>
      <c r="V496" s="322"/>
      <c r="W496" s="322"/>
      <c r="X496" s="322"/>
      <c r="Y496" s="322"/>
      <c r="Z496" s="322"/>
      <c r="AA496" s="322"/>
      <c r="AB496" s="322"/>
      <c r="AC496" s="322"/>
      <c r="AD496" s="322"/>
      <c r="AE496" s="322"/>
      <c r="AF496" s="322"/>
      <c r="AG496" s="322"/>
      <c r="AH496" s="322"/>
      <c r="AI496" s="322"/>
      <c r="AJ496" s="322"/>
      <c r="AK496" s="322"/>
      <c r="AL496" s="322"/>
      <c r="AM496" s="322"/>
      <c r="AN496" s="322"/>
      <c r="AO496" s="322"/>
      <c r="AP496" s="322"/>
      <c r="AQ496" s="322"/>
      <c r="AR496" s="322"/>
      <c r="AS496" s="322"/>
      <c r="AT496" s="322"/>
      <c r="AU496" s="322"/>
      <c r="AV496" s="322"/>
      <c r="AW496" s="322"/>
      <c r="AX496" s="322"/>
      <c r="AY496" s="322"/>
      <c r="AZ496" s="322"/>
      <c r="BA496" s="322"/>
      <c r="BB496" s="322"/>
      <c r="BC496" s="322"/>
      <c r="BD496" s="322"/>
      <c r="BE496" s="322"/>
      <c r="BF496" s="322"/>
      <c r="BG496" s="322"/>
      <c r="BH496" s="322"/>
      <c r="BI496" s="322"/>
      <c r="BJ496" s="322"/>
      <c r="BK496" s="322"/>
      <c r="BL496" s="322"/>
      <c r="BM496" s="322"/>
      <c r="BN496" s="322"/>
      <c r="BO496" s="322"/>
      <c r="BP496" s="322"/>
      <c r="BQ496" s="322"/>
      <c r="BR496" s="322"/>
      <c r="BS496" s="322"/>
      <c r="BT496" s="322"/>
      <c r="BU496" s="322"/>
      <c r="BV496" s="322"/>
      <c r="BW496" s="322"/>
      <c r="BX496" s="322"/>
      <c r="BY496" s="322"/>
      <c r="BZ496" s="322"/>
      <c r="CA496" s="322"/>
      <c r="CB496" s="322"/>
      <c r="CC496" s="322"/>
      <c r="CD496" s="322"/>
      <c r="CE496" s="322"/>
      <c r="CF496" s="322"/>
      <c r="CG496" s="322"/>
      <c r="CH496" s="322"/>
      <c r="CI496" s="322"/>
      <c r="CJ496" s="322"/>
      <c r="CK496" s="322"/>
      <c r="CL496" s="322"/>
      <c r="CM496" s="322"/>
      <c r="CN496" s="322"/>
      <c r="CO496" s="322"/>
      <c r="CP496" s="322"/>
      <c r="CQ496" s="322"/>
      <c r="CR496" s="322"/>
      <c r="CS496" s="322"/>
      <c r="CT496" s="322"/>
      <c r="CU496" s="322"/>
      <c r="CV496" s="322"/>
      <c r="CW496" s="322"/>
      <c r="CX496" s="322"/>
      <c r="CY496" s="322"/>
    </row>
    <row r="497" spans="1:103" s="432" customFormat="1">
      <c r="A497" s="509">
        <f t="shared" si="7"/>
        <v>496</v>
      </c>
      <c r="B497" s="1332" t="s">
        <v>43</v>
      </c>
      <c r="C497" s="943" t="s">
        <v>44</v>
      </c>
      <c r="D497" s="943" t="s">
        <v>45</v>
      </c>
      <c r="E497" s="432" t="s">
        <v>5878</v>
      </c>
      <c r="F497" s="434">
        <v>6</v>
      </c>
      <c r="G497" s="434"/>
      <c r="I497" s="434">
        <v>38</v>
      </c>
      <c r="J497" s="120" t="s">
        <v>48</v>
      </c>
      <c r="K497" s="434" t="s">
        <v>5874</v>
      </c>
      <c r="L497" s="434"/>
      <c r="M497" s="434" t="s">
        <v>1764</v>
      </c>
      <c r="N497" s="730">
        <v>65297</v>
      </c>
      <c r="O497" s="730">
        <v>65297</v>
      </c>
      <c r="P497" s="459">
        <v>65305</v>
      </c>
      <c r="Q497" s="432" t="s">
        <v>51</v>
      </c>
      <c r="R497" s="322"/>
      <c r="S497" s="322"/>
      <c r="T497" s="322"/>
      <c r="U497" s="322"/>
      <c r="V497" s="322"/>
      <c r="W497" s="322"/>
      <c r="X497" s="322"/>
      <c r="Y497" s="322"/>
      <c r="Z497" s="322"/>
      <c r="AA497" s="322"/>
      <c r="AB497" s="322"/>
      <c r="AC497" s="322"/>
      <c r="AD497" s="322"/>
      <c r="AE497" s="322"/>
      <c r="AF497" s="322"/>
      <c r="AG497" s="322"/>
      <c r="AH497" s="322"/>
      <c r="AI497" s="322"/>
      <c r="AJ497" s="322"/>
      <c r="AK497" s="322"/>
      <c r="AL497" s="322"/>
      <c r="AM497" s="322"/>
      <c r="AN497" s="322"/>
      <c r="AO497" s="322"/>
      <c r="AP497" s="322"/>
      <c r="AQ497" s="322"/>
      <c r="AR497" s="322"/>
      <c r="AS497" s="322"/>
      <c r="AT497" s="322"/>
      <c r="AU497" s="322"/>
      <c r="AV497" s="322"/>
      <c r="AW497" s="322"/>
      <c r="AX497" s="322"/>
      <c r="AY497" s="322"/>
      <c r="AZ497" s="322"/>
      <c r="BA497" s="322"/>
      <c r="BB497" s="322"/>
      <c r="BC497" s="322"/>
      <c r="BD497" s="322"/>
      <c r="BE497" s="322"/>
      <c r="BF497" s="322"/>
      <c r="BG497" s="322"/>
      <c r="BH497" s="322"/>
      <c r="BI497" s="322"/>
      <c r="BJ497" s="322"/>
      <c r="BK497" s="322"/>
      <c r="BL497" s="322"/>
      <c r="BM497" s="322"/>
      <c r="BN497" s="322"/>
      <c r="BO497" s="322"/>
      <c r="BP497" s="322"/>
      <c r="BQ497" s="322"/>
      <c r="BR497" s="322"/>
      <c r="BS497" s="322"/>
      <c r="BT497" s="322"/>
      <c r="BU497" s="322"/>
      <c r="BV497" s="322"/>
      <c r="BW497" s="322"/>
      <c r="BX497" s="322"/>
      <c r="BY497" s="322"/>
      <c r="BZ497" s="322"/>
      <c r="CA497" s="322"/>
      <c r="CB497" s="322"/>
      <c r="CC497" s="322"/>
      <c r="CD497" s="322"/>
      <c r="CE497" s="322"/>
      <c r="CF497" s="322"/>
      <c r="CG497" s="322"/>
      <c r="CH497" s="322"/>
      <c r="CI497" s="322"/>
      <c r="CJ497" s="322"/>
      <c r="CK497" s="322"/>
      <c r="CL497" s="322"/>
      <c r="CM497" s="322"/>
      <c r="CN497" s="322"/>
      <c r="CO497" s="322"/>
      <c r="CP497" s="322"/>
      <c r="CQ497" s="322"/>
      <c r="CR497" s="322"/>
      <c r="CS497" s="322"/>
      <c r="CT497" s="322"/>
      <c r="CU497" s="322"/>
      <c r="CV497" s="322"/>
      <c r="CW497" s="322"/>
      <c r="CX497" s="322"/>
      <c r="CY497" s="322"/>
    </row>
    <row r="498" spans="1:103" s="432" customFormat="1">
      <c r="A498" s="509">
        <f t="shared" si="7"/>
        <v>497</v>
      </c>
      <c r="B498" s="1332" t="s">
        <v>43</v>
      </c>
      <c r="C498" s="943" t="s">
        <v>44</v>
      </c>
      <c r="D498" s="943" t="s">
        <v>45</v>
      </c>
      <c r="E498" s="432" t="s">
        <v>5879</v>
      </c>
      <c r="F498" s="434">
        <v>9</v>
      </c>
      <c r="G498" s="434">
        <v>9842664063</v>
      </c>
      <c r="I498" s="434">
        <v>35</v>
      </c>
      <c r="J498" s="120" t="s">
        <v>48</v>
      </c>
      <c r="K498" s="434" t="s">
        <v>5874</v>
      </c>
      <c r="L498" s="434"/>
      <c r="M498" s="434" t="s">
        <v>1764</v>
      </c>
      <c r="N498" s="730">
        <v>65297</v>
      </c>
      <c r="O498" s="730">
        <v>65297</v>
      </c>
      <c r="P498" s="459">
        <v>65305</v>
      </c>
      <c r="Q498" s="432" t="s">
        <v>51</v>
      </c>
      <c r="R498" s="322"/>
      <c r="S498" s="322"/>
      <c r="T498" s="322"/>
      <c r="U498" s="322"/>
      <c r="V498" s="322"/>
      <c r="W498" s="322"/>
      <c r="X498" s="322"/>
      <c r="Y498" s="322"/>
      <c r="Z498" s="322"/>
      <c r="AA498" s="322"/>
      <c r="AB498" s="322"/>
      <c r="AC498" s="322"/>
      <c r="AD498" s="322"/>
      <c r="AE498" s="322"/>
      <c r="AF498" s="322"/>
      <c r="AG498" s="322"/>
      <c r="AH498" s="322"/>
      <c r="AI498" s="322"/>
      <c r="AJ498" s="322"/>
      <c r="AK498" s="322"/>
      <c r="AL498" s="322"/>
      <c r="AM498" s="322"/>
      <c r="AN498" s="322"/>
      <c r="AO498" s="322"/>
      <c r="AP498" s="322"/>
      <c r="AQ498" s="322"/>
      <c r="AR498" s="322"/>
      <c r="AS498" s="322"/>
      <c r="AT498" s="322"/>
      <c r="AU498" s="322"/>
      <c r="AV498" s="322"/>
      <c r="AW498" s="322"/>
      <c r="AX498" s="322"/>
      <c r="AY498" s="322"/>
      <c r="AZ498" s="322"/>
      <c r="BA498" s="322"/>
      <c r="BB498" s="322"/>
      <c r="BC498" s="322"/>
      <c r="BD498" s="322"/>
      <c r="BE498" s="322"/>
      <c r="BF498" s="322"/>
      <c r="BG498" s="322"/>
      <c r="BH498" s="322"/>
      <c r="BI498" s="322"/>
      <c r="BJ498" s="322"/>
      <c r="BK498" s="322"/>
      <c r="BL498" s="322"/>
      <c r="BM498" s="322"/>
      <c r="BN498" s="322"/>
      <c r="BO498" s="322"/>
      <c r="BP498" s="322"/>
      <c r="BQ498" s="322"/>
      <c r="BR498" s="322"/>
      <c r="BS498" s="322"/>
      <c r="BT498" s="322"/>
      <c r="BU498" s="322"/>
      <c r="BV498" s="322"/>
      <c r="BW498" s="322"/>
      <c r="BX498" s="322"/>
      <c r="BY498" s="322"/>
      <c r="BZ498" s="322"/>
      <c r="CA498" s="322"/>
      <c r="CB498" s="322"/>
      <c r="CC498" s="322"/>
      <c r="CD498" s="322"/>
      <c r="CE498" s="322"/>
      <c r="CF498" s="322"/>
      <c r="CG498" s="322"/>
      <c r="CH498" s="322"/>
      <c r="CI498" s="322"/>
      <c r="CJ498" s="322"/>
      <c r="CK498" s="322"/>
      <c r="CL498" s="322"/>
      <c r="CM498" s="322"/>
      <c r="CN498" s="322"/>
      <c r="CO498" s="322"/>
      <c r="CP498" s="322"/>
      <c r="CQ498" s="322"/>
      <c r="CR498" s="322"/>
      <c r="CS498" s="322"/>
      <c r="CT498" s="322"/>
      <c r="CU498" s="322"/>
      <c r="CV498" s="322"/>
      <c r="CW498" s="322"/>
      <c r="CX498" s="322"/>
      <c r="CY498" s="322"/>
    </row>
    <row r="499" spans="1:103" s="432" customFormat="1">
      <c r="A499" s="509">
        <f t="shared" si="7"/>
        <v>498</v>
      </c>
      <c r="B499" s="1332" t="s">
        <v>43</v>
      </c>
      <c r="C499" s="943" t="s">
        <v>44</v>
      </c>
      <c r="D499" s="943" t="s">
        <v>45</v>
      </c>
      <c r="E499" s="432" t="s">
        <v>4827</v>
      </c>
      <c r="F499" s="434">
        <v>17</v>
      </c>
      <c r="G499" s="434">
        <v>9847837633</v>
      </c>
      <c r="I499" s="434">
        <v>47</v>
      </c>
      <c r="J499" s="120" t="s">
        <v>48</v>
      </c>
      <c r="K499" s="434" t="s">
        <v>5874</v>
      </c>
      <c r="L499" s="434"/>
      <c r="M499" s="434" t="s">
        <v>1764</v>
      </c>
      <c r="N499" s="730">
        <v>65297</v>
      </c>
      <c r="O499" s="730">
        <v>65297</v>
      </c>
      <c r="P499" s="459">
        <v>65305</v>
      </c>
      <c r="Q499" s="432" t="s">
        <v>51</v>
      </c>
      <c r="R499" s="322"/>
      <c r="S499" s="322"/>
      <c r="T499" s="322"/>
      <c r="U499" s="322"/>
      <c r="V499" s="322"/>
      <c r="W499" s="322"/>
      <c r="X499" s="322"/>
      <c r="Y499" s="322"/>
      <c r="Z499" s="322"/>
      <c r="AA499" s="322"/>
      <c r="AB499" s="322"/>
      <c r="AC499" s="322"/>
      <c r="AD499" s="322"/>
      <c r="AE499" s="322"/>
      <c r="AF499" s="322"/>
      <c r="AG499" s="322"/>
      <c r="AH499" s="322"/>
      <c r="AI499" s="322"/>
      <c r="AJ499" s="322"/>
      <c r="AK499" s="322"/>
      <c r="AL499" s="322"/>
      <c r="AM499" s="322"/>
      <c r="AN499" s="322"/>
      <c r="AO499" s="322"/>
      <c r="AP499" s="322"/>
      <c r="AQ499" s="322"/>
      <c r="AR499" s="322"/>
      <c r="AS499" s="322"/>
      <c r="AT499" s="322"/>
      <c r="AU499" s="322"/>
      <c r="AV499" s="322"/>
      <c r="AW499" s="322"/>
      <c r="AX499" s="322"/>
      <c r="AY499" s="322"/>
      <c r="AZ499" s="322"/>
      <c r="BA499" s="322"/>
      <c r="BB499" s="322"/>
      <c r="BC499" s="322"/>
      <c r="BD499" s="322"/>
      <c r="BE499" s="322"/>
      <c r="BF499" s="322"/>
      <c r="BG499" s="322"/>
      <c r="BH499" s="322"/>
      <c r="BI499" s="322"/>
      <c r="BJ499" s="322"/>
      <c r="BK499" s="322"/>
      <c r="BL499" s="322"/>
      <c r="BM499" s="322"/>
      <c r="BN499" s="322"/>
      <c r="BO499" s="322"/>
      <c r="BP499" s="322"/>
      <c r="BQ499" s="322"/>
      <c r="BR499" s="322"/>
      <c r="BS499" s="322"/>
      <c r="BT499" s="322"/>
      <c r="BU499" s="322"/>
      <c r="BV499" s="322"/>
      <c r="BW499" s="322"/>
      <c r="BX499" s="322"/>
      <c r="BY499" s="322"/>
      <c r="BZ499" s="322"/>
      <c r="CA499" s="322"/>
      <c r="CB499" s="322"/>
      <c r="CC499" s="322"/>
      <c r="CD499" s="322"/>
      <c r="CE499" s="322"/>
      <c r="CF499" s="322"/>
      <c r="CG499" s="322"/>
      <c r="CH499" s="322"/>
      <c r="CI499" s="322"/>
      <c r="CJ499" s="322"/>
      <c r="CK499" s="322"/>
      <c r="CL499" s="322"/>
      <c r="CM499" s="322"/>
      <c r="CN499" s="322"/>
      <c r="CO499" s="322"/>
      <c r="CP499" s="322"/>
      <c r="CQ499" s="322"/>
      <c r="CR499" s="322"/>
      <c r="CS499" s="322"/>
      <c r="CT499" s="322"/>
      <c r="CU499" s="322"/>
      <c r="CV499" s="322"/>
      <c r="CW499" s="322"/>
      <c r="CX499" s="322"/>
      <c r="CY499" s="322"/>
    </row>
    <row r="500" spans="1:103" s="432" customFormat="1">
      <c r="A500" s="509">
        <f t="shared" si="7"/>
        <v>499</v>
      </c>
      <c r="B500" s="1332" t="s">
        <v>43</v>
      </c>
      <c r="C500" s="943" t="s">
        <v>44</v>
      </c>
      <c r="D500" s="943" t="s">
        <v>45</v>
      </c>
      <c r="E500" s="432" t="s">
        <v>5880</v>
      </c>
      <c r="F500" s="434">
        <v>6</v>
      </c>
      <c r="G500" s="434">
        <v>98609482516</v>
      </c>
      <c r="I500" s="434">
        <v>34</v>
      </c>
      <c r="J500" s="120" t="s">
        <v>48</v>
      </c>
      <c r="K500" s="434" t="s">
        <v>5874</v>
      </c>
      <c r="L500" s="434"/>
      <c r="M500" s="434" t="s">
        <v>1764</v>
      </c>
      <c r="N500" s="730">
        <v>65297</v>
      </c>
      <c r="O500" s="730">
        <v>65297</v>
      </c>
      <c r="P500" s="459">
        <v>65305</v>
      </c>
      <c r="Q500" s="432" t="s">
        <v>51</v>
      </c>
      <c r="R500" s="322"/>
      <c r="S500" s="322"/>
      <c r="T500" s="322"/>
      <c r="U500" s="322"/>
      <c r="V500" s="322"/>
      <c r="W500" s="322"/>
      <c r="X500" s="322"/>
      <c r="Y500" s="322"/>
      <c r="Z500" s="322"/>
      <c r="AA500" s="322"/>
      <c r="AB500" s="322"/>
      <c r="AC500" s="322"/>
      <c r="AD500" s="322"/>
      <c r="AE500" s="322"/>
      <c r="AF500" s="322"/>
      <c r="AG500" s="322"/>
      <c r="AH500" s="322"/>
      <c r="AI500" s="322"/>
      <c r="AJ500" s="322"/>
      <c r="AK500" s="322"/>
      <c r="AL500" s="322"/>
      <c r="AM500" s="322"/>
      <c r="AN500" s="322"/>
      <c r="AO500" s="322"/>
      <c r="AP500" s="322"/>
      <c r="AQ500" s="322"/>
      <c r="AR500" s="322"/>
      <c r="AS500" s="322"/>
      <c r="AT500" s="322"/>
      <c r="AU500" s="322"/>
      <c r="AV500" s="322"/>
      <c r="AW500" s="322"/>
      <c r="AX500" s="322"/>
      <c r="AY500" s="322"/>
      <c r="AZ500" s="322"/>
      <c r="BA500" s="322"/>
      <c r="BB500" s="322"/>
      <c r="BC500" s="322"/>
      <c r="BD500" s="322"/>
      <c r="BE500" s="322"/>
      <c r="BF500" s="322"/>
      <c r="BG500" s="322"/>
      <c r="BH500" s="322"/>
      <c r="BI500" s="322"/>
      <c r="BJ500" s="322"/>
      <c r="BK500" s="322"/>
      <c r="BL500" s="322"/>
      <c r="BM500" s="322"/>
      <c r="BN500" s="322"/>
      <c r="BO500" s="322"/>
      <c r="BP500" s="322"/>
      <c r="BQ500" s="322"/>
      <c r="BR500" s="322"/>
      <c r="BS500" s="322"/>
      <c r="BT500" s="322"/>
      <c r="BU500" s="322"/>
      <c r="BV500" s="322"/>
      <c r="BW500" s="322"/>
      <c r="BX500" s="322"/>
      <c r="BY500" s="322"/>
      <c r="BZ500" s="322"/>
      <c r="CA500" s="322"/>
      <c r="CB500" s="322"/>
      <c r="CC500" s="322"/>
      <c r="CD500" s="322"/>
      <c r="CE500" s="322"/>
      <c r="CF500" s="322"/>
      <c r="CG500" s="322"/>
      <c r="CH500" s="322"/>
      <c r="CI500" s="322"/>
      <c r="CJ500" s="322"/>
      <c r="CK500" s="322"/>
      <c r="CL500" s="322"/>
      <c r="CM500" s="322"/>
      <c r="CN500" s="322"/>
      <c r="CO500" s="322"/>
      <c r="CP500" s="322"/>
      <c r="CQ500" s="322"/>
      <c r="CR500" s="322"/>
      <c r="CS500" s="322"/>
      <c r="CT500" s="322"/>
      <c r="CU500" s="322"/>
      <c r="CV500" s="322"/>
      <c r="CW500" s="322"/>
      <c r="CX500" s="322"/>
      <c r="CY500" s="322"/>
    </row>
    <row r="501" spans="1:103" s="432" customFormat="1">
      <c r="A501" s="509">
        <f t="shared" si="7"/>
        <v>500</v>
      </c>
      <c r="B501" s="1332" t="s">
        <v>43</v>
      </c>
      <c r="C501" s="943" t="s">
        <v>44</v>
      </c>
      <c r="D501" s="943" t="s">
        <v>45</v>
      </c>
      <c r="E501" s="432" t="s">
        <v>5881</v>
      </c>
      <c r="F501" s="434">
        <v>5</v>
      </c>
      <c r="G501" s="434">
        <v>9844319132</v>
      </c>
      <c r="I501" s="434">
        <v>40</v>
      </c>
      <c r="J501" s="434" t="s">
        <v>90</v>
      </c>
      <c r="K501" s="434" t="s">
        <v>5874</v>
      </c>
      <c r="L501" s="434"/>
      <c r="M501" s="434" t="s">
        <v>1764</v>
      </c>
      <c r="N501" s="730">
        <v>65297</v>
      </c>
      <c r="O501" s="730">
        <v>65297</v>
      </c>
      <c r="P501" s="459">
        <v>65305</v>
      </c>
      <c r="Q501" s="432" t="s">
        <v>51</v>
      </c>
      <c r="R501" s="322"/>
      <c r="S501" s="322"/>
      <c r="T501" s="322"/>
      <c r="U501" s="322"/>
      <c r="V501" s="322"/>
      <c r="W501" s="322"/>
      <c r="X501" s="322"/>
      <c r="Y501" s="322"/>
      <c r="Z501" s="322"/>
      <c r="AA501" s="322"/>
      <c r="AB501" s="322"/>
      <c r="AC501" s="322"/>
      <c r="AD501" s="322"/>
      <c r="AE501" s="322"/>
      <c r="AF501" s="322"/>
      <c r="AG501" s="322"/>
      <c r="AH501" s="322"/>
      <c r="AI501" s="322"/>
      <c r="AJ501" s="322"/>
      <c r="AK501" s="322"/>
      <c r="AL501" s="322"/>
      <c r="AM501" s="322"/>
      <c r="AN501" s="322"/>
      <c r="AO501" s="322"/>
      <c r="AP501" s="322"/>
      <c r="AQ501" s="322"/>
      <c r="AR501" s="322"/>
      <c r="AS501" s="322"/>
      <c r="AT501" s="322"/>
      <c r="AU501" s="322"/>
      <c r="AV501" s="322"/>
      <c r="AW501" s="322"/>
      <c r="AX501" s="322"/>
      <c r="AY501" s="322"/>
      <c r="AZ501" s="322"/>
      <c r="BA501" s="322"/>
      <c r="BB501" s="322"/>
      <c r="BC501" s="322"/>
      <c r="BD501" s="322"/>
      <c r="BE501" s="322"/>
      <c r="BF501" s="322"/>
      <c r="BG501" s="322"/>
      <c r="BH501" s="322"/>
      <c r="BI501" s="322"/>
      <c r="BJ501" s="322"/>
      <c r="BK501" s="322"/>
      <c r="BL501" s="322"/>
      <c r="BM501" s="322"/>
      <c r="BN501" s="322"/>
      <c r="BO501" s="322"/>
      <c r="BP501" s="322"/>
      <c r="BQ501" s="322"/>
      <c r="BR501" s="322"/>
      <c r="BS501" s="322"/>
      <c r="BT501" s="322"/>
      <c r="BU501" s="322"/>
      <c r="BV501" s="322"/>
      <c r="BW501" s="322"/>
      <c r="BX501" s="322"/>
      <c r="BY501" s="322"/>
      <c r="BZ501" s="322"/>
      <c r="CA501" s="322"/>
      <c r="CB501" s="322"/>
      <c r="CC501" s="322"/>
      <c r="CD501" s="322"/>
      <c r="CE501" s="322"/>
      <c r="CF501" s="322"/>
      <c r="CG501" s="322"/>
      <c r="CH501" s="322"/>
      <c r="CI501" s="322"/>
      <c r="CJ501" s="322"/>
      <c r="CK501" s="322"/>
      <c r="CL501" s="322"/>
      <c r="CM501" s="322"/>
      <c r="CN501" s="322"/>
      <c r="CO501" s="322"/>
      <c r="CP501" s="322"/>
      <c r="CQ501" s="322"/>
      <c r="CR501" s="322"/>
      <c r="CS501" s="322"/>
      <c r="CT501" s="322"/>
      <c r="CU501" s="322"/>
      <c r="CV501" s="322"/>
      <c r="CW501" s="322"/>
      <c r="CX501" s="322"/>
      <c r="CY501" s="322"/>
    </row>
    <row r="502" spans="1:103" s="432" customFormat="1">
      <c r="A502" s="509">
        <f t="shared" si="7"/>
        <v>501</v>
      </c>
      <c r="B502" s="1332" t="s">
        <v>43</v>
      </c>
      <c r="C502" s="943" t="s">
        <v>44</v>
      </c>
      <c r="D502" s="943" t="s">
        <v>45</v>
      </c>
      <c r="E502" s="432" t="s">
        <v>5882</v>
      </c>
      <c r="F502" s="434">
        <v>5</v>
      </c>
      <c r="G502" s="434">
        <v>9864864710</v>
      </c>
      <c r="I502" s="434">
        <v>41</v>
      </c>
      <c r="J502" s="434" t="s">
        <v>90</v>
      </c>
      <c r="K502" s="434" t="s">
        <v>5874</v>
      </c>
      <c r="L502" s="434"/>
      <c r="M502" s="434" t="s">
        <v>1764</v>
      </c>
      <c r="N502" s="730">
        <v>65297</v>
      </c>
      <c r="O502" s="730">
        <v>65297</v>
      </c>
      <c r="P502" s="459">
        <v>65305</v>
      </c>
      <c r="Q502" s="432" t="s">
        <v>51</v>
      </c>
      <c r="R502" s="322"/>
      <c r="S502" s="322"/>
      <c r="T502" s="322"/>
      <c r="U502" s="322"/>
      <c r="V502" s="322"/>
      <c r="W502" s="322"/>
      <c r="X502" s="322"/>
      <c r="Y502" s="322"/>
      <c r="Z502" s="322"/>
      <c r="AA502" s="322"/>
      <c r="AB502" s="322"/>
      <c r="AC502" s="322"/>
      <c r="AD502" s="322"/>
      <c r="AE502" s="322"/>
      <c r="AF502" s="322"/>
      <c r="AG502" s="322"/>
      <c r="AH502" s="322"/>
      <c r="AI502" s="322"/>
      <c r="AJ502" s="322"/>
      <c r="AK502" s="322"/>
      <c r="AL502" s="322"/>
      <c r="AM502" s="322"/>
      <c r="AN502" s="322"/>
      <c r="AO502" s="322"/>
      <c r="AP502" s="322"/>
      <c r="AQ502" s="322"/>
      <c r="AR502" s="322"/>
      <c r="AS502" s="322"/>
      <c r="AT502" s="322"/>
      <c r="AU502" s="322"/>
      <c r="AV502" s="322"/>
      <c r="AW502" s="322"/>
      <c r="AX502" s="322"/>
      <c r="AY502" s="322"/>
      <c r="AZ502" s="322"/>
      <c r="BA502" s="322"/>
      <c r="BB502" s="322"/>
      <c r="BC502" s="322"/>
      <c r="BD502" s="322"/>
      <c r="BE502" s="322"/>
      <c r="BF502" s="322"/>
      <c r="BG502" s="322"/>
      <c r="BH502" s="322"/>
      <c r="BI502" s="322"/>
      <c r="BJ502" s="322"/>
      <c r="BK502" s="322"/>
      <c r="BL502" s="322"/>
      <c r="BM502" s="322"/>
      <c r="BN502" s="322"/>
      <c r="BO502" s="322"/>
      <c r="BP502" s="322"/>
      <c r="BQ502" s="322"/>
      <c r="BR502" s="322"/>
      <c r="BS502" s="322"/>
      <c r="BT502" s="322"/>
      <c r="BU502" s="322"/>
      <c r="BV502" s="322"/>
      <c r="BW502" s="322"/>
      <c r="BX502" s="322"/>
      <c r="BY502" s="322"/>
      <c r="BZ502" s="322"/>
      <c r="CA502" s="322"/>
      <c r="CB502" s="322"/>
      <c r="CC502" s="322"/>
      <c r="CD502" s="322"/>
      <c r="CE502" s="322"/>
      <c r="CF502" s="322"/>
      <c r="CG502" s="322"/>
      <c r="CH502" s="322"/>
      <c r="CI502" s="322"/>
      <c r="CJ502" s="322"/>
      <c r="CK502" s="322"/>
      <c r="CL502" s="322"/>
      <c r="CM502" s="322"/>
      <c r="CN502" s="322"/>
      <c r="CO502" s="322"/>
      <c r="CP502" s="322"/>
      <c r="CQ502" s="322"/>
      <c r="CR502" s="322"/>
      <c r="CS502" s="322"/>
      <c r="CT502" s="322"/>
      <c r="CU502" s="322"/>
      <c r="CV502" s="322"/>
      <c r="CW502" s="322"/>
      <c r="CX502" s="322"/>
      <c r="CY502" s="322"/>
    </row>
    <row r="503" spans="1:103" s="432" customFormat="1">
      <c r="A503" s="509">
        <f t="shared" si="7"/>
        <v>502</v>
      </c>
      <c r="B503" s="1332" t="s">
        <v>43</v>
      </c>
      <c r="C503" s="943" t="s">
        <v>44</v>
      </c>
      <c r="D503" s="943" t="s">
        <v>45</v>
      </c>
      <c r="E503" s="432" t="s">
        <v>5883</v>
      </c>
      <c r="F503" s="434">
        <v>7</v>
      </c>
      <c r="G503" s="434">
        <v>9806251243</v>
      </c>
      <c r="I503" s="434">
        <v>46</v>
      </c>
      <c r="J503" s="434" t="s">
        <v>90</v>
      </c>
      <c r="K503" s="434" t="s">
        <v>5874</v>
      </c>
      <c r="L503" s="434"/>
      <c r="M503" s="434" t="s">
        <v>1764</v>
      </c>
      <c r="N503" s="730">
        <v>65297</v>
      </c>
      <c r="O503" s="730">
        <v>65297</v>
      </c>
      <c r="P503" s="459">
        <v>65305</v>
      </c>
      <c r="Q503" s="432" t="s">
        <v>51</v>
      </c>
      <c r="R503" s="322"/>
      <c r="S503" s="322"/>
      <c r="T503" s="322"/>
      <c r="U503" s="322"/>
      <c r="V503" s="322"/>
      <c r="W503" s="322"/>
      <c r="X503" s="322"/>
      <c r="Y503" s="322"/>
      <c r="Z503" s="322"/>
      <c r="AA503" s="322"/>
      <c r="AB503" s="322"/>
      <c r="AC503" s="322"/>
      <c r="AD503" s="322"/>
      <c r="AE503" s="322"/>
      <c r="AF503" s="322"/>
      <c r="AG503" s="322"/>
      <c r="AH503" s="322"/>
      <c r="AI503" s="322"/>
      <c r="AJ503" s="322"/>
      <c r="AK503" s="322"/>
      <c r="AL503" s="322"/>
      <c r="AM503" s="322"/>
      <c r="AN503" s="322"/>
      <c r="AO503" s="322"/>
      <c r="AP503" s="322"/>
      <c r="AQ503" s="322"/>
      <c r="AR503" s="322"/>
      <c r="AS503" s="322"/>
      <c r="AT503" s="322"/>
      <c r="AU503" s="322"/>
      <c r="AV503" s="322"/>
      <c r="AW503" s="322"/>
      <c r="AX503" s="322"/>
      <c r="AY503" s="322"/>
      <c r="AZ503" s="322"/>
      <c r="BA503" s="322"/>
      <c r="BB503" s="322"/>
      <c r="BC503" s="322"/>
      <c r="BD503" s="322"/>
      <c r="BE503" s="322"/>
      <c r="BF503" s="322"/>
      <c r="BG503" s="322"/>
      <c r="BH503" s="322"/>
      <c r="BI503" s="322"/>
      <c r="BJ503" s="322"/>
      <c r="BK503" s="322"/>
      <c r="BL503" s="322"/>
      <c r="BM503" s="322"/>
      <c r="BN503" s="322"/>
      <c r="BO503" s="322"/>
      <c r="BP503" s="322"/>
      <c r="BQ503" s="322"/>
      <c r="BR503" s="322"/>
      <c r="BS503" s="322"/>
      <c r="BT503" s="322"/>
      <c r="BU503" s="322"/>
      <c r="BV503" s="322"/>
      <c r="BW503" s="322"/>
      <c r="BX503" s="322"/>
      <c r="BY503" s="322"/>
      <c r="BZ503" s="322"/>
      <c r="CA503" s="322"/>
      <c r="CB503" s="322"/>
      <c r="CC503" s="322"/>
      <c r="CD503" s="322"/>
      <c r="CE503" s="322"/>
      <c r="CF503" s="322"/>
      <c r="CG503" s="322"/>
      <c r="CH503" s="322"/>
      <c r="CI503" s="322"/>
      <c r="CJ503" s="322"/>
      <c r="CK503" s="322"/>
      <c r="CL503" s="322"/>
      <c r="CM503" s="322"/>
      <c r="CN503" s="322"/>
      <c r="CO503" s="322"/>
      <c r="CP503" s="322"/>
      <c r="CQ503" s="322"/>
      <c r="CR503" s="322"/>
      <c r="CS503" s="322"/>
      <c r="CT503" s="322"/>
      <c r="CU503" s="322"/>
      <c r="CV503" s="322"/>
      <c r="CW503" s="322"/>
      <c r="CX503" s="322"/>
      <c r="CY503" s="322"/>
    </row>
    <row r="504" spans="1:103" s="432" customFormat="1">
      <c r="A504" s="509">
        <f t="shared" si="7"/>
        <v>503</v>
      </c>
      <c r="B504" s="1332" t="s">
        <v>43</v>
      </c>
      <c r="C504" s="943" t="s">
        <v>44</v>
      </c>
      <c r="D504" s="943" t="s">
        <v>45</v>
      </c>
      <c r="E504" s="432" t="s">
        <v>5885</v>
      </c>
      <c r="F504" s="434">
        <v>5</v>
      </c>
      <c r="G504" s="434">
        <v>9841574040</v>
      </c>
      <c r="I504" s="434">
        <v>36</v>
      </c>
      <c r="J504" s="120" t="s">
        <v>48</v>
      </c>
      <c r="K504" s="434" t="s">
        <v>5874</v>
      </c>
      <c r="L504" s="434"/>
      <c r="M504" s="434" t="s">
        <v>1764</v>
      </c>
      <c r="N504" s="730">
        <v>65297</v>
      </c>
      <c r="O504" s="730">
        <v>65297</v>
      </c>
      <c r="P504" s="459">
        <v>65305</v>
      </c>
      <c r="Q504" s="432" t="s">
        <v>51</v>
      </c>
      <c r="R504" s="322"/>
      <c r="S504" s="322"/>
      <c r="T504" s="322"/>
      <c r="U504" s="322"/>
      <c r="V504" s="322"/>
      <c r="W504" s="322"/>
      <c r="X504" s="322"/>
      <c r="Y504" s="322"/>
      <c r="Z504" s="322"/>
      <c r="AA504" s="322"/>
      <c r="AB504" s="322"/>
      <c r="AC504" s="322"/>
      <c r="AD504" s="322"/>
      <c r="AE504" s="322"/>
      <c r="AF504" s="322"/>
      <c r="AG504" s="322"/>
      <c r="AH504" s="322"/>
      <c r="AI504" s="322"/>
      <c r="AJ504" s="322"/>
      <c r="AK504" s="322"/>
      <c r="AL504" s="322"/>
      <c r="AM504" s="322"/>
      <c r="AN504" s="322"/>
      <c r="AO504" s="322"/>
      <c r="AP504" s="322"/>
      <c r="AQ504" s="322"/>
      <c r="AR504" s="322"/>
      <c r="AS504" s="322"/>
      <c r="AT504" s="322"/>
      <c r="AU504" s="322"/>
      <c r="AV504" s="322"/>
      <c r="AW504" s="322"/>
      <c r="AX504" s="322"/>
      <c r="AY504" s="322"/>
      <c r="AZ504" s="322"/>
      <c r="BA504" s="322"/>
      <c r="BB504" s="322"/>
      <c r="BC504" s="322"/>
      <c r="BD504" s="322"/>
      <c r="BE504" s="322"/>
      <c r="BF504" s="322"/>
      <c r="BG504" s="322"/>
      <c r="BH504" s="322"/>
      <c r="BI504" s="322"/>
      <c r="BJ504" s="322"/>
      <c r="BK504" s="322"/>
      <c r="BL504" s="322"/>
      <c r="BM504" s="322"/>
      <c r="BN504" s="322"/>
      <c r="BO504" s="322"/>
      <c r="BP504" s="322"/>
      <c r="BQ504" s="322"/>
      <c r="BR504" s="322"/>
      <c r="BS504" s="322"/>
      <c r="BT504" s="322"/>
      <c r="BU504" s="322"/>
      <c r="BV504" s="322"/>
      <c r="BW504" s="322"/>
      <c r="BX504" s="322"/>
      <c r="BY504" s="322"/>
      <c r="BZ504" s="322"/>
      <c r="CA504" s="322"/>
      <c r="CB504" s="322"/>
      <c r="CC504" s="322"/>
      <c r="CD504" s="322"/>
      <c r="CE504" s="322"/>
      <c r="CF504" s="322"/>
      <c r="CG504" s="322"/>
      <c r="CH504" s="322"/>
      <c r="CI504" s="322"/>
      <c r="CJ504" s="322"/>
      <c r="CK504" s="322"/>
      <c r="CL504" s="322"/>
      <c r="CM504" s="322"/>
      <c r="CN504" s="322"/>
      <c r="CO504" s="322"/>
      <c r="CP504" s="322"/>
      <c r="CQ504" s="322"/>
      <c r="CR504" s="322"/>
      <c r="CS504" s="322"/>
      <c r="CT504" s="322"/>
      <c r="CU504" s="322"/>
      <c r="CV504" s="322"/>
      <c r="CW504" s="322"/>
      <c r="CX504" s="322"/>
      <c r="CY504" s="322"/>
    </row>
    <row r="505" spans="1:103" s="432" customFormat="1">
      <c r="A505" s="509">
        <f t="shared" si="7"/>
        <v>504</v>
      </c>
      <c r="B505" s="1332" t="s">
        <v>43</v>
      </c>
      <c r="C505" s="943" t="s">
        <v>44</v>
      </c>
      <c r="D505" s="943" t="s">
        <v>45</v>
      </c>
      <c r="E505" s="432" t="s">
        <v>5884</v>
      </c>
      <c r="F505" s="434">
        <v>19</v>
      </c>
      <c r="G505" s="434">
        <v>9843897406</v>
      </c>
      <c r="I505" s="434">
        <v>19</v>
      </c>
      <c r="J505" s="434" t="s">
        <v>90</v>
      </c>
      <c r="K505" s="434" t="s">
        <v>5874</v>
      </c>
      <c r="L505" s="434"/>
      <c r="M505" s="434" t="s">
        <v>1764</v>
      </c>
      <c r="N505" s="730">
        <v>65297</v>
      </c>
      <c r="O505" s="730">
        <v>65297</v>
      </c>
      <c r="P505" s="459">
        <v>65305</v>
      </c>
      <c r="Q505" s="432" t="s">
        <v>51</v>
      </c>
      <c r="R505" s="322"/>
      <c r="S505" s="322"/>
      <c r="T505" s="322"/>
      <c r="U505" s="322"/>
      <c r="V505" s="322"/>
      <c r="W505" s="322"/>
      <c r="X505" s="322"/>
      <c r="Y505" s="322"/>
      <c r="Z505" s="322"/>
      <c r="AA505" s="322"/>
      <c r="AB505" s="322"/>
      <c r="AC505" s="322"/>
      <c r="AD505" s="322"/>
      <c r="AE505" s="322"/>
      <c r="AF505" s="322"/>
      <c r="AG505" s="322"/>
      <c r="AH505" s="322"/>
      <c r="AI505" s="322"/>
      <c r="AJ505" s="322"/>
      <c r="AK505" s="322"/>
      <c r="AL505" s="322"/>
      <c r="AM505" s="322"/>
      <c r="AN505" s="322"/>
      <c r="AO505" s="322"/>
      <c r="AP505" s="322"/>
      <c r="AQ505" s="322"/>
      <c r="AR505" s="322"/>
      <c r="AS505" s="322"/>
      <c r="AT505" s="322"/>
      <c r="AU505" s="322"/>
      <c r="AV505" s="322"/>
      <c r="AW505" s="322"/>
      <c r="AX505" s="322"/>
      <c r="AY505" s="322"/>
      <c r="AZ505" s="322"/>
      <c r="BA505" s="322"/>
      <c r="BB505" s="322"/>
      <c r="BC505" s="322"/>
      <c r="BD505" s="322"/>
      <c r="BE505" s="322"/>
      <c r="BF505" s="322"/>
      <c r="BG505" s="322"/>
      <c r="BH505" s="322"/>
      <c r="BI505" s="322"/>
      <c r="BJ505" s="322"/>
      <c r="BK505" s="322"/>
      <c r="BL505" s="322"/>
      <c r="BM505" s="322"/>
      <c r="BN505" s="322"/>
      <c r="BO505" s="322"/>
      <c r="BP505" s="322"/>
      <c r="BQ505" s="322"/>
      <c r="BR505" s="322"/>
      <c r="BS505" s="322"/>
      <c r="BT505" s="322"/>
      <c r="BU505" s="322"/>
      <c r="BV505" s="322"/>
      <c r="BW505" s="322"/>
      <c r="BX505" s="322"/>
      <c r="BY505" s="322"/>
      <c r="BZ505" s="322"/>
      <c r="CA505" s="322"/>
      <c r="CB505" s="322"/>
      <c r="CC505" s="322"/>
      <c r="CD505" s="322"/>
      <c r="CE505" s="322"/>
      <c r="CF505" s="322"/>
      <c r="CG505" s="322"/>
      <c r="CH505" s="322"/>
      <c r="CI505" s="322"/>
      <c r="CJ505" s="322"/>
      <c r="CK505" s="322"/>
      <c r="CL505" s="322"/>
      <c r="CM505" s="322"/>
      <c r="CN505" s="322"/>
      <c r="CO505" s="322"/>
      <c r="CP505" s="322"/>
      <c r="CQ505" s="322"/>
      <c r="CR505" s="322"/>
      <c r="CS505" s="322"/>
      <c r="CT505" s="322"/>
      <c r="CU505" s="322"/>
      <c r="CV505" s="322"/>
      <c r="CW505" s="322"/>
      <c r="CX505" s="322"/>
      <c r="CY505" s="322"/>
    </row>
    <row r="506" spans="1:103" s="432" customFormat="1">
      <c r="A506" s="509">
        <f t="shared" si="7"/>
        <v>505</v>
      </c>
      <c r="B506" s="1332" t="s">
        <v>43</v>
      </c>
      <c r="C506" s="943" t="s">
        <v>44</v>
      </c>
      <c r="D506" s="943" t="s">
        <v>45</v>
      </c>
      <c r="E506" s="432" t="s">
        <v>5886</v>
      </c>
      <c r="F506" s="434">
        <v>7</v>
      </c>
      <c r="G506" s="434">
        <v>9844989931</v>
      </c>
      <c r="I506" s="434">
        <v>54</v>
      </c>
      <c r="J506" s="434" t="s">
        <v>90</v>
      </c>
      <c r="K506" s="434" t="s">
        <v>3293</v>
      </c>
      <c r="L506" s="434"/>
      <c r="M506" s="434" t="s">
        <v>1764</v>
      </c>
      <c r="N506" s="730">
        <v>65297</v>
      </c>
      <c r="O506" s="730">
        <v>65297</v>
      </c>
      <c r="P506" s="459">
        <v>65305</v>
      </c>
      <c r="Q506" s="432" t="s">
        <v>51</v>
      </c>
      <c r="R506" s="322"/>
      <c r="S506" s="322"/>
      <c r="T506" s="322"/>
      <c r="U506" s="322"/>
      <c r="V506" s="322"/>
      <c r="W506" s="322"/>
      <c r="X506" s="322"/>
      <c r="Y506" s="322"/>
      <c r="Z506" s="322"/>
      <c r="AA506" s="322"/>
      <c r="AB506" s="322"/>
      <c r="AC506" s="322"/>
      <c r="AD506" s="322"/>
      <c r="AE506" s="322"/>
      <c r="AF506" s="322"/>
      <c r="AG506" s="322"/>
      <c r="AH506" s="322"/>
      <c r="AI506" s="322"/>
      <c r="AJ506" s="322"/>
      <c r="AK506" s="322"/>
      <c r="AL506" s="322"/>
      <c r="AM506" s="322"/>
      <c r="AN506" s="322"/>
      <c r="AO506" s="322"/>
      <c r="AP506" s="322"/>
      <c r="AQ506" s="322"/>
      <c r="AR506" s="322"/>
      <c r="AS506" s="322"/>
      <c r="AT506" s="322"/>
      <c r="AU506" s="322"/>
      <c r="AV506" s="322"/>
      <c r="AW506" s="322"/>
      <c r="AX506" s="322"/>
      <c r="AY506" s="322"/>
      <c r="AZ506" s="322"/>
      <c r="BA506" s="322"/>
      <c r="BB506" s="322"/>
      <c r="BC506" s="322"/>
      <c r="BD506" s="322"/>
      <c r="BE506" s="322"/>
      <c r="BF506" s="322"/>
      <c r="BG506" s="322"/>
      <c r="BH506" s="322"/>
      <c r="BI506" s="322"/>
      <c r="BJ506" s="322"/>
      <c r="BK506" s="322"/>
      <c r="BL506" s="322"/>
      <c r="BM506" s="322"/>
      <c r="BN506" s="322"/>
      <c r="BO506" s="322"/>
      <c r="BP506" s="322"/>
      <c r="BQ506" s="322"/>
      <c r="BR506" s="322"/>
      <c r="BS506" s="322"/>
      <c r="BT506" s="322"/>
      <c r="BU506" s="322"/>
      <c r="BV506" s="322"/>
      <c r="BW506" s="322"/>
      <c r="BX506" s="322"/>
      <c r="BY506" s="322"/>
      <c r="BZ506" s="322"/>
      <c r="CA506" s="322"/>
      <c r="CB506" s="322"/>
      <c r="CC506" s="322"/>
      <c r="CD506" s="322"/>
      <c r="CE506" s="322"/>
      <c r="CF506" s="322"/>
      <c r="CG506" s="322"/>
      <c r="CH506" s="322"/>
      <c r="CI506" s="322"/>
      <c r="CJ506" s="322"/>
      <c r="CK506" s="322"/>
      <c r="CL506" s="322"/>
      <c r="CM506" s="322"/>
      <c r="CN506" s="322"/>
      <c r="CO506" s="322"/>
      <c r="CP506" s="322"/>
      <c r="CQ506" s="322"/>
      <c r="CR506" s="322"/>
      <c r="CS506" s="322"/>
      <c r="CT506" s="322"/>
      <c r="CU506" s="322"/>
      <c r="CV506" s="322"/>
      <c r="CW506" s="322"/>
      <c r="CX506" s="322"/>
      <c r="CY506" s="322"/>
    </row>
    <row r="507" spans="1:103" s="432" customFormat="1">
      <c r="A507" s="509">
        <f t="shared" si="7"/>
        <v>506</v>
      </c>
      <c r="B507" s="1332" t="s">
        <v>43</v>
      </c>
      <c r="C507" s="943" t="s">
        <v>44</v>
      </c>
      <c r="D507" s="943" t="s">
        <v>45</v>
      </c>
      <c r="E507" s="432" t="s">
        <v>5887</v>
      </c>
      <c r="F507" s="434">
        <v>5</v>
      </c>
      <c r="G507" s="434">
        <v>9841125690</v>
      </c>
      <c r="I507" s="434">
        <v>21</v>
      </c>
      <c r="J507" s="120" t="s">
        <v>48</v>
      </c>
      <c r="K507" s="434" t="s">
        <v>3293</v>
      </c>
      <c r="L507" s="434"/>
      <c r="M507" s="434" t="s">
        <v>1764</v>
      </c>
      <c r="N507" s="730">
        <v>65297</v>
      </c>
      <c r="O507" s="730">
        <v>65297</v>
      </c>
      <c r="P507" s="459">
        <v>65305</v>
      </c>
      <c r="Q507" s="432" t="s">
        <v>51</v>
      </c>
      <c r="R507" s="322"/>
      <c r="S507" s="322"/>
      <c r="T507" s="322"/>
      <c r="U507" s="322"/>
      <c r="V507" s="322"/>
      <c r="W507" s="322"/>
      <c r="X507" s="322"/>
      <c r="Y507" s="322"/>
      <c r="Z507" s="322"/>
      <c r="AA507" s="322"/>
      <c r="AB507" s="322"/>
      <c r="AC507" s="322"/>
      <c r="AD507" s="322"/>
      <c r="AE507" s="322"/>
      <c r="AF507" s="322"/>
      <c r="AG507" s="322"/>
      <c r="AH507" s="322"/>
      <c r="AI507" s="322"/>
      <c r="AJ507" s="322"/>
      <c r="AK507" s="322"/>
      <c r="AL507" s="322"/>
      <c r="AM507" s="322"/>
      <c r="AN507" s="322"/>
      <c r="AO507" s="322"/>
      <c r="AP507" s="322"/>
      <c r="AQ507" s="322"/>
      <c r="AR507" s="322"/>
      <c r="AS507" s="322"/>
      <c r="AT507" s="322"/>
      <c r="AU507" s="322"/>
      <c r="AV507" s="322"/>
      <c r="AW507" s="322"/>
      <c r="AX507" s="322"/>
      <c r="AY507" s="322"/>
      <c r="AZ507" s="322"/>
      <c r="BA507" s="322"/>
      <c r="BB507" s="322"/>
      <c r="BC507" s="322"/>
      <c r="BD507" s="322"/>
      <c r="BE507" s="322"/>
      <c r="BF507" s="322"/>
      <c r="BG507" s="322"/>
      <c r="BH507" s="322"/>
      <c r="BI507" s="322"/>
      <c r="BJ507" s="322"/>
      <c r="BK507" s="322"/>
      <c r="BL507" s="322"/>
      <c r="BM507" s="322"/>
      <c r="BN507" s="322"/>
      <c r="BO507" s="322"/>
      <c r="BP507" s="322"/>
      <c r="BQ507" s="322"/>
      <c r="BR507" s="322"/>
      <c r="BS507" s="322"/>
      <c r="BT507" s="322"/>
      <c r="BU507" s="322"/>
      <c r="BV507" s="322"/>
      <c r="BW507" s="322"/>
      <c r="BX507" s="322"/>
      <c r="BY507" s="322"/>
      <c r="BZ507" s="322"/>
      <c r="CA507" s="322"/>
      <c r="CB507" s="322"/>
      <c r="CC507" s="322"/>
      <c r="CD507" s="322"/>
      <c r="CE507" s="322"/>
      <c r="CF507" s="322"/>
      <c r="CG507" s="322"/>
      <c r="CH507" s="322"/>
      <c r="CI507" s="322"/>
      <c r="CJ507" s="322"/>
      <c r="CK507" s="322"/>
      <c r="CL507" s="322"/>
      <c r="CM507" s="322"/>
      <c r="CN507" s="322"/>
      <c r="CO507" s="322"/>
      <c r="CP507" s="322"/>
      <c r="CQ507" s="322"/>
      <c r="CR507" s="322"/>
      <c r="CS507" s="322"/>
      <c r="CT507" s="322"/>
      <c r="CU507" s="322"/>
      <c r="CV507" s="322"/>
      <c r="CW507" s="322"/>
      <c r="CX507" s="322"/>
      <c r="CY507" s="322"/>
    </row>
    <row r="508" spans="1:103" s="432" customFormat="1">
      <c r="A508" s="509">
        <f t="shared" si="7"/>
        <v>507</v>
      </c>
      <c r="B508" s="1332" t="s">
        <v>43</v>
      </c>
      <c r="C508" s="943" t="s">
        <v>44</v>
      </c>
      <c r="D508" s="943" t="s">
        <v>45</v>
      </c>
      <c r="E508" s="432" t="s">
        <v>5888</v>
      </c>
      <c r="F508" s="434">
        <v>7</v>
      </c>
      <c r="G508" s="434">
        <v>9809881254</v>
      </c>
      <c r="I508" s="434">
        <v>77</v>
      </c>
      <c r="J508" s="120" t="s">
        <v>48</v>
      </c>
      <c r="K508" s="434" t="s">
        <v>3293</v>
      </c>
      <c r="L508" s="434"/>
      <c r="M508" s="434" t="s">
        <v>1764</v>
      </c>
      <c r="N508" s="730">
        <v>65297</v>
      </c>
      <c r="O508" s="730">
        <v>65297</v>
      </c>
      <c r="P508" s="459">
        <v>65305</v>
      </c>
      <c r="Q508" s="432" t="s">
        <v>51</v>
      </c>
      <c r="R508" s="322"/>
      <c r="S508" s="322"/>
      <c r="T508" s="322"/>
      <c r="U508" s="322"/>
      <c r="V508" s="322"/>
      <c r="W508" s="322"/>
      <c r="X508" s="322"/>
      <c r="Y508" s="322"/>
      <c r="Z508" s="322"/>
      <c r="AA508" s="322"/>
      <c r="AB508" s="322"/>
      <c r="AC508" s="322"/>
      <c r="AD508" s="322"/>
      <c r="AE508" s="322"/>
      <c r="AF508" s="322"/>
      <c r="AG508" s="322"/>
      <c r="AH508" s="322"/>
      <c r="AI508" s="322"/>
      <c r="AJ508" s="322"/>
      <c r="AK508" s="322"/>
      <c r="AL508" s="322"/>
      <c r="AM508" s="322"/>
      <c r="AN508" s="322"/>
      <c r="AO508" s="322"/>
      <c r="AP508" s="322"/>
      <c r="AQ508" s="322"/>
      <c r="AR508" s="322"/>
      <c r="AS508" s="322"/>
      <c r="AT508" s="322"/>
      <c r="AU508" s="322"/>
      <c r="AV508" s="322"/>
      <c r="AW508" s="322"/>
      <c r="AX508" s="322"/>
      <c r="AY508" s="322"/>
      <c r="AZ508" s="322"/>
      <c r="BA508" s="322"/>
      <c r="BB508" s="322"/>
      <c r="BC508" s="322"/>
      <c r="BD508" s="322"/>
      <c r="BE508" s="322"/>
      <c r="BF508" s="322"/>
      <c r="BG508" s="322"/>
      <c r="BH508" s="322"/>
      <c r="BI508" s="322"/>
      <c r="BJ508" s="322"/>
      <c r="BK508" s="322"/>
      <c r="BL508" s="322"/>
      <c r="BM508" s="322"/>
      <c r="BN508" s="322"/>
      <c r="BO508" s="322"/>
      <c r="BP508" s="322"/>
      <c r="BQ508" s="322"/>
      <c r="BR508" s="322"/>
      <c r="BS508" s="322"/>
      <c r="BT508" s="322"/>
      <c r="BU508" s="322"/>
      <c r="BV508" s="322"/>
      <c r="BW508" s="322"/>
      <c r="BX508" s="322"/>
      <c r="BY508" s="322"/>
      <c r="BZ508" s="322"/>
      <c r="CA508" s="322"/>
      <c r="CB508" s="322"/>
      <c r="CC508" s="322"/>
      <c r="CD508" s="322"/>
      <c r="CE508" s="322"/>
      <c r="CF508" s="322"/>
      <c r="CG508" s="322"/>
      <c r="CH508" s="322"/>
      <c r="CI508" s="322"/>
      <c r="CJ508" s="322"/>
      <c r="CK508" s="322"/>
      <c r="CL508" s="322"/>
      <c r="CM508" s="322"/>
      <c r="CN508" s="322"/>
      <c r="CO508" s="322"/>
      <c r="CP508" s="322"/>
      <c r="CQ508" s="322"/>
      <c r="CR508" s="322"/>
      <c r="CS508" s="322"/>
      <c r="CT508" s="322"/>
      <c r="CU508" s="322"/>
      <c r="CV508" s="322"/>
      <c r="CW508" s="322"/>
      <c r="CX508" s="322"/>
      <c r="CY508" s="322"/>
    </row>
    <row r="509" spans="1:103" s="432" customFormat="1">
      <c r="A509" s="509">
        <f t="shared" si="7"/>
        <v>508</v>
      </c>
      <c r="B509" s="1332" t="s">
        <v>43</v>
      </c>
      <c r="C509" s="943" t="s">
        <v>44</v>
      </c>
      <c r="D509" s="943" t="s">
        <v>45</v>
      </c>
      <c r="E509" s="432" t="s">
        <v>5889</v>
      </c>
      <c r="F509" s="434">
        <v>11</v>
      </c>
      <c r="G509" s="434">
        <v>9806258787</v>
      </c>
      <c r="I509" s="434">
        <v>63</v>
      </c>
      <c r="J509" s="120" t="s">
        <v>48</v>
      </c>
      <c r="K509" s="434" t="s">
        <v>3293</v>
      </c>
      <c r="L509" s="434"/>
      <c r="M509" s="434" t="s">
        <v>1764</v>
      </c>
      <c r="N509" s="730">
        <v>65297</v>
      </c>
      <c r="O509" s="730">
        <v>65297</v>
      </c>
      <c r="P509" s="459">
        <v>65305</v>
      </c>
      <c r="Q509" s="432" t="s">
        <v>51</v>
      </c>
      <c r="R509" s="322"/>
      <c r="S509" s="322"/>
      <c r="T509" s="322"/>
      <c r="U509" s="322"/>
      <c r="V509" s="322"/>
      <c r="W509" s="322"/>
      <c r="X509" s="322"/>
      <c r="Y509" s="322"/>
      <c r="Z509" s="322"/>
      <c r="AA509" s="322"/>
      <c r="AB509" s="322"/>
      <c r="AC509" s="322"/>
      <c r="AD509" s="322"/>
      <c r="AE509" s="322"/>
      <c r="AF509" s="322"/>
      <c r="AG509" s="322"/>
      <c r="AH509" s="322"/>
      <c r="AI509" s="322"/>
      <c r="AJ509" s="322"/>
      <c r="AK509" s="322"/>
      <c r="AL509" s="322"/>
      <c r="AM509" s="322"/>
      <c r="AN509" s="322"/>
      <c r="AO509" s="322"/>
      <c r="AP509" s="322"/>
      <c r="AQ509" s="322"/>
      <c r="AR509" s="322"/>
      <c r="AS509" s="322"/>
      <c r="AT509" s="322"/>
      <c r="AU509" s="322"/>
      <c r="AV509" s="322"/>
      <c r="AW509" s="322"/>
      <c r="AX509" s="322"/>
      <c r="AY509" s="322"/>
      <c r="AZ509" s="322"/>
      <c r="BA509" s="322"/>
      <c r="BB509" s="322"/>
      <c r="BC509" s="322"/>
      <c r="BD509" s="322"/>
      <c r="BE509" s="322"/>
      <c r="BF509" s="322"/>
      <c r="BG509" s="322"/>
      <c r="BH509" s="322"/>
      <c r="BI509" s="322"/>
      <c r="BJ509" s="322"/>
      <c r="BK509" s="322"/>
      <c r="BL509" s="322"/>
      <c r="BM509" s="322"/>
      <c r="BN509" s="322"/>
      <c r="BO509" s="322"/>
      <c r="BP509" s="322"/>
      <c r="BQ509" s="322"/>
      <c r="BR509" s="322"/>
      <c r="BS509" s="322"/>
      <c r="BT509" s="322"/>
      <c r="BU509" s="322"/>
      <c r="BV509" s="322"/>
      <c r="BW509" s="322"/>
      <c r="BX509" s="322"/>
      <c r="BY509" s="322"/>
      <c r="BZ509" s="322"/>
      <c r="CA509" s="322"/>
      <c r="CB509" s="322"/>
      <c r="CC509" s="322"/>
      <c r="CD509" s="322"/>
      <c r="CE509" s="322"/>
      <c r="CF509" s="322"/>
      <c r="CG509" s="322"/>
      <c r="CH509" s="322"/>
      <c r="CI509" s="322"/>
      <c r="CJ509" s="322"/>
      <c r="CK509" s="322"/>
      <c r="CL509" s="322"/>
      <c r="CM509" s="322"/>
      <c r="CN509" s="322"/>
      <c r="CO509" s="322"/>
      <c r="CP509" s="322"/>
      <c r="CQ509" s="322"/>
      <c r="CR509" s="322"/>
      <c r="CS509" s="322"/>
      <c r="CT509" s="322"/>
      <c r="CU509" s="322"/>
      <c r="CV509" s="322"/>
      <c r="CW509" s="322"/>
      <c r="CX509" s="322"/>
      <c r="CY509" s="322"/>
    </row>
    <row r="510" spans="1:103" s="432" customFormat="1">
      <c r="A510" s="509">
        <f t="shared" si="7"/>
        <v>509</v>
      </c>
      <c r="B510" s="1332" t="s">
        <v>43</v>
      </c>
      <c r="C510" s="943" t="s">
        <v>44</v>
      </c>
      <c r="D510" s="943" t="s">
        <v>45</v>
      </c>
      <c r="E510" s="432" t="s">
        <v>5890</v>
      </c>
      <c r="F510" s="434">
        <v>9</v>
      </c>
      <c r="G510" s="434">
        <v>9809702359</v>
      </c>
      <c r="I510" s="434">
        <v>42</v>
      </c>
      <c r="J510" s="434" t="s">
        <v>90</v>
      </c>
      <c r="K510" s="434" t="s">
        <v>3293</v>
      </c>
      <c r="L510" s="434"/>
      <c r="M510" s="434" t="s">
        <v>1764</v>
      </c>
      <c r="N510" s="730">
        <v>65297</v>
      </c>
      <c r="O510" s="730">
        <v>65297</v>
      </c>
      <c r="P510" s="459">
        <v>65305</v>
      </c>
      <c r="Q510" s="432" t="s">
        <v>51</v>
      </c>
      <c r="R510" s="322"/>
      <c r="S510" s="322"/>
      <c r="T510" s="322"/>
      <c r="U510" s="322"/>
      <c r="V510" s="322"/>
      <c r="W510" s="322"/>
      <c r="X510" s="322"/>
      <c r="Y510" s="322"/>
      <c r="Z510" s="322"/>
      <c r="AA510" s="322"/>
      <c r="AB510" s="322"/>
      <c r="AC510" s="322"/>
      <c r="AD510" s="322"/>
      <c r="AE510" s="322"/>
      <c r="AF510" s="322"/>
      <c r="AG510" s="322"/>
      <c r="AH510" s="322"/>
      <c r="AI510" s="322"/>
      <c r="AJ510" s="322"/>
      <c r="AK510" s="322"/>
      <c r="AL510" s="322"/>
      <c r="AM510" s="322"/>
      <c r="AN510" s="322"/>
      <c r="AO510" s="322"/>
      <c r="AP510" s="322"/>
      <c r="AQ510" s="322"/>
      <c r="AR510" s="322"/>
      <c r="AS510" s="322"/>
      <c r="AT510" s="322"/>
      <c r="AU510" s="322"/>
      <c r="AV510" s="322"/>
      <c r="AW510" s="322"/>
      <c r="AX510" s="322"/>
      <c r="AY510" s="322"/>
      <c r="AZ510" s="322"/>
      <c r="BA510" s="322"/>
      <c r="BB510" s="322"/>
      <c r="BC510" s="322"/>
      <c r="BD510" s="322"/>
      <c r="BE510" s="322"/>
      <c r="BF510" s="322"/>
      <c r="BG510" s="322"/>
      <c r="BH510" s="322"/>
      <c r="BI510" s="322"/>
      <c r="BJ510" s="322"/>
      <c r="BK510" s="322"/>
      <c r="BL510" s="322"/>
      <c r="BM510" s="322"/>
      <c r="BN510" s="322"/>
      <c r="BO510" s="322"/>
      <c r="BP510" s="322"/>
      <c r="BQ510" s="322"/>
      <c r="BR510" s="322"/>
      <c r="BS510" s="322"/>
      <c r="BT510" s="322"/>
      <c r="BU510" s="322"/>
      <c r="BV510" s="322"/>
      <c r="BW510" s="322"/>
      <c r="BX510" s="322"/>
      <c r="BY510" s="322"/>
      <c r="BZ510" s="322"/>
      <c r="CA510" s="322"/>
      <c r="CB510" s="322"/>
      <c r="CC510" s="322"/>
      <c r="CD510" s="322"/>
      <c r="CE510" s="322"/>
      <c r="CF510" s="322"/>
      <c r="CG510" s="322"/>
      <c r="CH510" s="322"/>
      <c r="CI510" s="322"/>
      <c r="CJ510" s="322"/>
      <c r="CK510" s="322"/>
      <c r="CL510" s="322"/>
      <c r="CM510" s="322"/>
      <c r="CN510" s="322"/>
      <c r="CO510" s="322"/>
      <c r="CP510" s="322"/>
      <c r="CQ510" s="322"/>
      <c r="CR510" s="322"/>
      <c r="CS510" s="322"/>
      <c r="CT510" s="322"/>
      <c r="CU510" s="322"/>
      <c r="CV510" s="322"/>
      <c r="CW510" s="322"/>
      <c r="CX510" s="322"/>
      <c r="CY510" s="322"/>
    </row>
    <row r="511" spans="1:103" s="432" customFormat="1">
      <c r="A511" s="509">
        <f t="shared" si="7"/>
        <v>510</v>
      </c>
      <c r="B511" s="1332" t="s">
        <v>43</v>
      </c>
      <c r="C511" s="943" t="s">
        <v>44</v>
      </c>
      <c r="D511" s="943" t="s">
        <v>45</v>
      </c>
      <c r="E511" s="432" t="s">
        <v>5906</v>
      </c>
      <c r="F511" s="434">
        <v>1</v>
      </c>
      <c r="G511" s="434">
        <v>9810841363</v>
      </c>
      <c r="I511" s="434">
        <v>47</v>
      </c>
      <c r="J511" s="120" t="s">
        <v>48</v>
      </c>
      <c r="K511" s="434" t="s">
        <v>5405</v>
      </c>
      <c r="L511" s="434"/>
      <c r="M511" s="434" t="s">
        <v>1764</v>
      </c>
      <c r="N511" s="730">
        <v>65297</v>
      </c>
      <c r="O511" s="730">
        <v>65297</v>
      </c>
      <c r="P511" s="459">
        <v>65305</v>
      </c>
      <c r="Q511" s="432" t="s">
        <v>51</v>
      </c>
      <c r="R511" s="322"/>
      <c r="S511" s="322"/>
      <c r="T511" s="322"/>
      <c r="U511" s="322"/>
      <c r="V511" s="322"/>
      <c r="W511" s="322"/>
      <c r="X511" s="322"/>
      <c r="Y511" s="322"/>
      <c r="Z511" s="322"/>
      <c r="AA511" s="322"/>
      <c r="AB511" s="322"/>
      <c r="AC511" s="322"/>
      <c r="AD511" s="322"/>
      <c r="AE511" s="322"/>
      <c r="AF511" s="322"/>
      <c r="AG511" s="322"/>
      <c r="AH511" s="322"/>
      <c r="AI511" s="322"/>
      <c r="AJ511" s="322"/>
      <c r="AK511" s="322"/>
      <c r="AL511" s="322"/>
      <c r="AM511" s="322"/>
      <c r="AN511" s="322"/>
      <c r="AO511" s="322"/>
      <c r="AP511" s="322"/>
      <c r="AQ511" s="322"/>
      <c r="AR511" s="322"/>
      <c r="AS511" s="322"/>
      <c r="AT511" s="322"/>
      <c r="AU511" s="322"/>
      <c r="AV511" s="322"/>
      <c r="AW511" s="322"/>
      <c r="AX511" s="322"/>
      <c r="AY511" s="322"/>
      <c r="AZ511" s="322"/>
      <c r="BA511" s="322"/>
      <c r="BB511" s="322"/>
      <c r="BC511" s="322"/>
      <c r="BD511" s="322"/>
      <c r="BE511" s="322"/>
      <c r="BF511" s="322"/>
      <c r="BG511" s="322"/>
      <c r="BH511" s="322"/>
      <c r="BI511" s="322"/>
      <c r="BJ511" s="322"/>
      <c r="BK511" s="322"/>
      <c r="BL511" s="322"/>
      <c r="BM511" s="322"/>
      <c r="BN511" s="322"/>
      <c r="BO511" s="322"/>
      <c r="BP511" s="322"/>
      <c r="BQ511" s="322"/>
      <c r="BR511" s="322"/>
      <c r="BS511" s="322"/>
      <c r="BT511" s="322"/>
      <c r="BU511" s="322"/>
      <c r="BV511" s="322"/>
      <c r="BW511" s="322"/>
      <c r="BX511" s="322"/>
      <c r="BY511" s="322"/>
      <c r="BZ511" s="322"/>
      <c r="CA511" s="322"/>
      <c r="CB511" s="322"/>
      <c r="CC511" s="322"/>
      <c r="CD511" s="322"/>
      <c r="CE511" s="322"/>
      <c r="CF511" s="322"/>
      <c r="CG511" s="322"/>
      <c r="CH511" s="322"/>
      <c r="CI511" s="322"/>
      <c r="CJ511" s="322"/>
      <c r="CK511" s="322"/>
      <c r="CL511" s="322"/>
      <c r="CM511" s="322"/>
      <c r="CN511" s="322"/>
      <c r="CO511" s="322"/>
      <c r="CP511" s="322"/>
      <c r="CQ511" s="322"/>
      <c r="CR511" s="322"/>
      <c r="CS511" s="322"/>
      <c r="CT511" s="322"/>
      <c r="CU511" s="322"/>
      <c r="CV511" s="322"/>
      <c r="CW511" s="322"/>
      <c r="CX511" s="322"/>
      <c r="CY511" s="322"/>
    </row>
    <row r="512" spans="1:103" s="432" customFormat="1">
      <c r="A512" s="509">
        <f t="shared" si="7"/>
        <v>511</v>
      </c>
      <c r="B512" s="1332" t="s">
        <v>43</v>
      </c>
      <c r="C512" s="943" t="s">
        <v>44</v>
      </c>
      <c r="D512" s="943" t="s">
        <v>45</v>
      </c>
      <c r="E512" s="432" t="s">
        <v>5907</v>
      </c>
      <c r="F512" s="434">
        <v>9</v>
      </c>
      <c r="G512" s="434">
        <v>9847845810</v>
      </c>
      <c r="I512" s="434">
        <v>45</v>
      </c>
      <c r="J512" s="120" t="s">
        <v>48</v>
      </c>
      <c r="K512" s="434" t="s">
        <v>5405</v>
      </c>
      <c r="L512" s="434"/>
      <c r="M512" s="434" t="s">
        <v>1764</v>
      </c>
      <c r="N512" s="730">
        <v>65297</v>
      </c>
      <c r="O512" s="730">
        <v>65297</v>
      </c>
      <c r="P512" s="459">
        <v>65305</v>
      </c>
      <c r="Q512" s="432" t="s">
        <v>51</v>
      </c>
      <c r="R512" s="322"/>
      <c r="S512" s="322"/>
      <c r="T512" s="322"/>
      <c r="U512" s="322"/>
      <c r="V512" s="322"/>
      <c r="W512" s="322"/>
      <c r="X512" s="322"/>
      <c r="Y512" s="322"/>
      <c r="Z512" s="322"/>
      <c r="AA512" s="322"/>
      <c r="AB512" s="322"/>
      <c r="AC512" s="322"/>
      <c r="AD512" s="322"/>
      <c r="AE512" s="322"/>
      <c r="AF512" s="322"/>
      <c r="AG512" s="322"/>
      <c r="AH512" s="322"/>
      <c r="AI512" s="322"/>
      <c r="AJ512" s="322"/>
      <c r="AK512" s="322"/>
      <c r="AL512" s="322"/>
      <c r="AM512" s="322"/>
      <c r="AN512" s="322"/>
      <c r="AO512" s="322"/>
      <c r="AP512" s="322"/>
      <c r="AQ512" s="322"/>
      <c r="AR512" s="322"/>
      <c r="AS512" s="322"/>
      <c r="AT512" s="322"/>
      <c r="AU512" s="322"/>
      <c r="AV512" s="322"/>
      <c r="AW512" s="322"/>
      <c r="AX512" s="322"/>
      <c r="AY512" s="322"/>
      <c r="AZ512" s="322"/>
      <c r="BA512" s="322"/>
      <c r="BB512" s="322"/>
      <c r="BC512" s="322"/>
      <c r="BD512" s="322"/>
      <c r="BE512" s="322"/>
      <c r="BF512" s="322"/>
      <c r="BG512" s="322"/>
      <c r="BH512" s="322"/>
      <c r="BI512" s="322"/>
      <c r="BJ512" s="322"/>
      <c r="BK512" s="322"/>
      <c r="BL512" s="322"/>
      <c r="BM512" s="322"/>
      <c r="BN512" s="322"/>
      <c r="BO512" s="322"/>
      <c r="BP512" s="322"/>
      <c r="BQ512" s="322"/>
      <c r="BR512" s="322"/>
      <c r="BS512" s="322"/>
      <c r="BT512" s="322"/>
      <c r="BU512" s="322"/>
      <c r="BV512" s="322"/>
      <c r="BW512" s="322"/>
      <c r="BX512" s="322"/>
      <c r="BY512" s="322"/>
      <c r="BZ512" s="322"/>
      <c r="CA512" s="322"/>
      <c r="CB512" s="322"/>
      <c r="CC512" s="322"/>
      <c r="CD512" s="322"/>
      <c r="CE512" s="322"/>
      <c r="CF512" s="322"/>
      <c r="CG512" s="322"/>
      <c r="CH512" s="322"/>
      <c r="CI512" s="322"/>
      <c r="CJ512" s="322"/>
      <c r="CK512" s="322"/>
      <c r="CL512" s="322"/>
      <c r="CM512" s="322"/>
      <c r="CN512" s="322"/>
      <c r="CO512" s="322"/>
      <c r="CP512" s="322"/>
      <c r="CQ512" s="322"/>
      <c r="CR512" s="322"/>
      <c r="CS512" s="322"/>
      <c r="CT512" s="322"/>
      <c r="CU512" s="322"/>
      <c r="CV512" s="322"/>
      <c r="CW512" s="322"/>
      <c r="CX512" s="322"/>
      <c r="CY512" s="322"/>
    </row>
    <row r="513" spans="1:103" s="432" customFormat="1">
      <c r="A513" s="509">
        <f t="shared" si="7"/>
        <v>512</v>
      </c>
      <c r="B513" s="1332" t="s">
        <v>43</v>
      </c>
      <c r="C513" s="943" t="s">
        <v>44</v>
      </c>
      <c r="D513" s="943" t="s">
        <v>45</v>
      </c>
      <c r="E513" s="432" t="s">
        <v>5908</v>
      </c>
      <c r="F513" s="434">
        <v>17</v>
      </c>
      <c r="G513" s="434">
        <v>9866516068</v>
      </c>
      <c r="I513" s="434">
        <v>26</v>
      </c>
      <c r="J513" s="120" t="s">
        <v>48</v>
      </c>
      <c r="K513" s="434" t="s">
        <v>5405</v>
      </c>
      <c r="L513" s="434"/>
      <c r="M513" s="434" t="s">
        <v>1764</v>
      </c>
      <c r="N513" s="730">
        <v>65297</v>
      </c>
      <c r="O513" s="730">
        <v>65297</v>
      </c>
      <c r="P513" s="459">
        <v>65305</v>
      </c>
      <c r="Q513" s="432" t="s">
        <v>51</v>
      </c>
      <c r="R513" s="322"/>
      <c r="S513" s="322"/>
      <c r="T513" s="322"/>
      <c r="U513" s="322"/>
      <c r="V513" s="322"/>
      <c r="W513" s="322"/>
      <c r="X513" s="322"/>
      <c r="Y513" s="322"/>
      <c r="Z513" s="322"/>
      <c r="AA513" s="322"/>
      <c r="AB513" s="322"/>
      <c r="AC513" s="322"/>
      <c r="AD513" s="322"/>
      <c r="AE513" s="322"/>
      <c r="AF513" s="322"/>
      <c r="AG513" s="322"/>
      <c r="AH513" s="322"/>
      <c r="AI513" s="322"/>
      <c r="AJ513" s="322"/>
      <c r="AK513" s="322"/>
      <c r="AL513" s="322"/>
      <c r="AM513" s="322"/>
      <c r="AN513" s="322"/>
      <c r="AO513" s="322"/>
      <c r="AP513" s="322"/>
      <c r="AQ513" s="322"/>
      <c r="AR513" s="322"/>
      <c r="AS513" s="322"/>
      <c r="AT513" s="322"/>
      <c r="AU513" s="322"/>
      <c r="AV513" s="322"/>
      <c r="AW513" s="322"/>
      <c r="AX513" s="322"/>
      <c r="AY513" s="322"/>
      <c r="AZ513" s="322"/>
      <c r="BA513" s="322"/>
      <c r="BB513" s="322"/>
      <c r="BC513" s="322"/>
      <c r="BD513" s="322"/>
      <c r="BE513" s="322"/>
      <c r="BF513" s="322"/>
      <c r="BG513" s="322"/>
      <c r="BH513" s="322"/>
      <c r="BI513" s="322"/>
      <c r="BJ513" s="322"/>
      <c r="BK513" s="322"/>
      <c r="BL513" s="322"/>
      <c r="BM513" s="322"/>
      <c r="BN513" s="322"/>
      <c r="BO513" s="322"/>
      <c r="BP513" s="322"/>
      <c r="BQ513" s="322"/>
      <c r="BR513" s="322"/>
      <c r="BS513" s="322"/>
      <c r="BT513" s="322"/>
      <c r="BU513" s="322"/>
      <c r="BV513" s="322"/>
      <c r="BW513" s="322"/>
      <c r="BX513" s="322"/>
      <c r="BY513" s="322"/>
      <c r="BZ513" s="322"/>
      <c r="CA513" s="322"/>
      <c r="CB513" s="322"/>
      <c r="CC513" s="322"/>
      <c r="CD513" s="322"/>
      <c r="CE513" s="322"/>
      <c r="CF513" s="322"/>
      <c r="CG513" s="322"/>
      <c r="CH513" s="322"/>
      <c r="CI513" s="322"/>
      <c r="CJ513" s="322"/>
      <c r="CK513" s="322"/>
      <c r="CL513" s="322"/>
      <c r="CM513" s="322"/>
      <c r="CN513" s="322"/>
      <c r="CO513" s="322"/>
      <c r="CP513" s="322"/>
      <c r="CQ513" s="322"/>
      <c r="CR513" s="322"/>
      <c r="CS513" s="322"/>
      <c r="CT513" s="322"/>
      <c r="CU513" s="322"/>
      <c r="CV513" s="322"/>
      <c r="CW513" s="322"/>
      <c r="CX513" s="322"/>
      <c r="CY513" s="322"/>
    </row>
    <row r="514" spans="1:103" s="432" customFormat="1">
      <c r="A514" s="509">
        <f t="shared" si="7"/>
        <v>513</v>
      </c>
      <c r="B514" s="1332" t="s">
        <v>43</v>
      </c>
      <c r="C514" s="943" t="s">
        <v>44</v>
      </c>
      <c r="D514" s="943" t="s">
        <v>45</v>
      </c>
      <c r="E514" s="432" t="s">
        <v>5909</v>
      </c>
      <c r="F514" s="434">
        <v>9</v>
      </c>
      <c r="G514" s="434">
        <v>9819596263</v>
      </c>
      <c r="I514" s="434">
        <v>24</v>
      </c>
      <c r="J514" s="434" t="s">
        <v>90</v>
      </c>
      <c r="K514" s="434" t="s">
        <v>5405</v>
      </c>
      <c r="L514" s="434"/>
      <c r="M514" s="434" t="s">
        <v>1764</v>
      </c>
      <c r="N514" s="730">
        <v>65297</v>
      </c>
      <c r="O514" s="730">
        <v>65297</v>
      </c>
      <c r="P514" s="459">
        <v>65305</v>
      </c>
      <c r="Q514" s="432" t="s">
        <v>51</v>
      </c>
      <c r="R514" s="322"/>
      <c r="S514" s="322"/>
      <c r="T514" s="322"/>
      <c r="U514" s="322"/>
      <c r="V514" s="322"/>
      <c r="W514" s="322"/>
      <c r="X514" s="322"/>
      <c r="Y514" s="322"/>
      <c r="Z514" s="322"/>
      <c r="AA514" s="322"/>
      <c r="AB514" s="322"/>
      <c r="AC514" s="322"/>
      <c r="AD514" s="322"/>
      <c r="AE514" s="322"/>
      <c r="AF514" s="322"/>
      <c r="AG514" s="322"/>
      <c r="AH514" s="322"/>
      <c r="AI514" s="322"/>
      <c r="AJ514" s="322"/>
      <c r="AK514" s="322"/>
      <c r="AL514" s="322"/>
      <c r="AM514" s="322"/>
      <c r="AN514" s="322"/>
      <c r="AO514" s="322"/>
      <c r="AP514" s="322"/>
      <c r="AQ514" s="322"/>
      <c r="AR514" s="322"/>
      <c r="AS514" s="322"/>
      <c r="AT514" s="322"/>
      <c r="AU514" s="322"/>
      <c r="AV514" s="322"/>
      <c r="AW514" s="322"/>
      <c r="AX514" s="322"/>
      <c r="AY514" s="322"/>
      <c r="AZ514" s="322"/>
      <c r="BA514" s="322"/>
      <c r="BB514" s="322"/>
      <c r="BC514" s="322"/>
      <c r="BD514" s="322"/>
      <c r="BE514" s="322"/>
      <c r="BF514" s="322"/>
      <c r="BG514" s="322"/>
      <c r="BH514" s="322"/>
      <c r="BI514" s="322"/>
      <c r="BJ514" s="322"/>
      <c r="BK514" s="322"/>
      <c r="BL514" s="322"/>
      <c r="BM514" s="322"/>
      <c r="BN514" s="322"/>
      <c r="BO514" s="322"/>
      <c r="BP514" s="322"/>
      <c r="BQ514" s="322"/>
      <c r="BR514" s="322"/>
      <c r="BS514" s="322"/>
      <c r="BT514" s="322"/>
      <c r="BU514" s="322"/>
      <c r="BV514" s="322"/>
      <c r="BW514" s="322"/>
      <c r="BX514" s="322"/>
      <c r="BY514" s="322"/>
      <c r="BZ514" s="322"/>
      <c r="CA514" s="322"/>
      <c r="CB514" s="322"/>
      <c r="CC514" s="322"/>
      <c r="CD514" s="322"/>
      <c r="CE514" s="322"/>
      <c r="CF514" s="322"/>
      <c r="CG514" s="322"/>
      <c r="CH514" s="322"/>
      <c r="CI514" s="322"/>
      <c r="CJ514" s="322"/>
      <c r="CK514" s="322"/>
      <c r="CL514" s="322"/>
      <c r="CM514" s="322"/>
      <c r="CN514" s="322"/>
      <c r="CO514" s="322"/>
      <c r="CP514" s="322"/>
      <c r="CQ514" s="322"/>
      <c r="CR514" s="322"/>
      <c r="CS514" s="322"/>
      <c r="CT514" s="322"/>
      <c r="CU514" s="322"/>
      <c r="CV514" s="322"/>
      <c r="CW514" s="322"/>
      <c r="CX514" s="322"/>
      <c r="CY514" s="322"/>
    </row>
    <row r="515" spans="1:103" s="432" customFormat="1">
      <c r="A515" s="509">
        <f t="shared" ref="A515:A578" si="8">A514+1</f>
        <v>514</v>
      </c>
      <c r="B515" s="1332" t="s">
        <v>43</v>
      </c>
      <c r="C515" s="943" t="s">
        <v>44</v>
      </c>
      <c r="D515" s="943" t="s">
        <v>45</v>
      </c>
      <c r="E515" s="432" t="s">
        <v>5910</v>
      </c>
      <c r="F515" s="434">
        <v>9</v>
      </c>
      <c r="G515" s="434">
        <v>9847992062</v>
      </c>
      <c r="I515" s="434">
        <v>50</v>
      </c>
      <c r="J515" s="120" t="s">
        <v>48</v>
      </c>
      <c r="K515" s="434" t="s">
        <v>5405</v>
      </c>
      <c r="L515" s="434"/>
      <c r="M515" s="434" t="s">
        <v>1764</v>
      </c>
      <c r="N515" s="730">
        <v>65297</v>
      </c>
      <c r="O515" s="730">
        <v>65297</v>
      </c>
      <c r="P515" s="459">
        <v>65305</v>
      </c>
      <c r="Q515" s="432" t="s">
        <v>51</v>
      </c>
      <c r="R515" s="322"/>
      <c r="S515" s="322"/>
      <c r="T515" s="322"/>
      <c r="U515" s="322"/>
      <c r="V515" s="322"/>
      <c r="W515" s="322"/>
      <c r="X515" s="322"/>
      <c r="Y515" s="322"/>
      <c r="Z515" s="322"/>
      <c r="AA515" s="322"/>
      <c r="AB515" s="322"/>
      <c r="AC515" s="322"/>
      <c r="AD515" s="322"/>
      <c r="AE515" s="322"/>
      <c r="AF515" s="322"/>
      <c r="AG515" s="322"/>
      <c r="AH515" s="322"/>
      <c r="AI515" s="322"/>
      <c r="AJ515" s="322"/>
      <c r="AK515" s="322"/>
      <c r="AL515" s="322"/>
      <c r="AM515" s="322"/>
      <c r="AN515" s="322"/>
      <c r="AO515" s="322"/>
      <c r="AP515" s="322"/>
      <c r="AQ515" s="322"/>
      <c r="AR515" s="322"/>
      <c r="AS515" s="322"/>
      <c r="AT515" s="322"/>
      <c r="AU515" s="322"/>
      <c r="AV515" s="322"/>
      <c r="AW515" s="322"/>
      <c r="AX515" s="322"/>
      <c r="AY515" s="322"/>
      <c r="AZ515" s="322"/>
      <c r="BA515" s="322"/>
      <c r="BB515" s="322"/>
      <c r="BC515" s="322"/>
      <c r="BD515" s="322"/>
      <c r="BE515" s="322"/>
      <c r="BF515" s="322"/>
      <c r="BG515" s="322"/>
      <c r="BH515" s="322"/>
      <c r="BI515" s="322"/>
      <c r="BJ515" s="322"/>
      <c r="BK515" s="322"/>
      <c r="BL515" s="322"/>
      <c r="BM515" s="322"/>
      <c r="BN515" s="322"/>
      <c r="BO515" s="322"/>
      <c r="BP515" s="322"/>
      <c r="BQ515" s="322"/>
      <c r="BR515" s="322"/>
      <c r="BS515" s="322"/>
      <c r="BT515" s="322"/>
      <c r="BU515" s="322"/>
      <c r="BV515" s="322"/>
      <c r="BW515" s="322"/>
      <c r="BX515" s="322"/>
      <c r="BY515" s="322"/>
      <c r="BZ515" s="322"/>
      <c r="CA515" s="322"/>
      <c r="CB515" s="322"/>
      <c r="CC515" s="322"/>
      <c r="CD515" s="322"/>
      <c r="CE515" s="322"/>
      <c r="CF515" s="322"/>
      <c r="CG515" s="322"/>
      <c r="CH515" s="322"/>
      <c r="CI515" s="322"/>
      <c r="CJ515" s="322"/>
      <c r="CK515" s="322"/>
      <c r="CL515" s="322"/>
      <c r="CM515" s="322"/>
      <c r="CN515" s="322"/>
      <c r="CO515" s="322"/>
      <c r="CP515" s="322"/>
      <c r="CQ515" s="322"/>
      <c r="CR515" s="322"/>
      <c r="CS515" s="322"/>
      <c r="CT515" s="322"/>
      <c r="CU515" s="322"/>
      <c r="CV515" s="322"/>
      <c r="CW515" s="322"/>
      <c r="CX515" s="322"/>
      <c r="CY515" s="322"/>
    </row>
    <row r="516" spans="1:103" s="432" customFormat="1">
      <c r="A516" s="509">
        <f t="shared" si="8"/>
        <v>515</v>
      </c>
      <c r="B516" s="1332" t="s">
        <v>43</v>
      </c>
      <c r="C516" s="943" t="s">
        <v>44</v>
      </c>
      <c r="D516" s="943" t="s">
        <v>45</v>
      </c>
      <c r="E516" s="432" t="s">
        <v>2267</v>
      </c>
      <c r="F516" s="434">
        <v>4</v>
      </c>
      <c r="G516" s="434">
        <v>9809896692</v>
      </c>
      <c r="I516" s="434">
        <v>60</v>
      </c>
      <c r="J516" s="120" t="s">
        <v>48</v>
      </c>
      <c r="K516" s="434" t="s">
        <v>5405</v>
      </c>
      <c r="L516" s="434"/>
      <c r="M516" s="434" t="s">
        <v>1764</v>
      </c>
      <c r="N516" s="730">
        <v>65297</v>
      </c>
      <c r="O516" s="730">
        <v>65297</v>
      </c>
      <c r="P516" s="459">
        <v>65305</v>
      </c>
      <c r="Q516" s="432" t="s">
        <v>51</v>
      </c>
      <c r="R516" s="322"/>
      <c r="S516" s="322"/>
      <c r="T516" s="322"/>
      <c r="U516" s="322"/>
      <c r="V516" s="322"/>
      <c r="W516" s="322"/>
      <c r="X516" s="322"/>
      <c r="Y516" s="322"/>
      <c r="Z516" s="322"/>
      <c r="AA516" s="322"/>
      <c r="AB516" s="322"/>
      <c r="AC516" s="322"/>
      <c r="AD516" s="322"/>
      <c r="AE516" s="322"/>
      <c r="AF516" s="322"/>
      <c r="AG516" s="322"/>
      <c r="AH516" s="322"/>
      <c r="AI516" s="322"/>
      <c r="AJ516" s="322"/>
      <c r="AK516" s="322"/>
      <c r="AL516" s="322"/>
      <c r="AM516" s="322"/>
      <c r="AN516" s="322"/>
      <c r="AO516" s="322"/>
      <c r="AP516" s="322"/>
      <c r="AQ516" s="322"/>
      <c r="AR516" s="322"/>
      <c r="AS516" s="322"/>
      <c r="AT516" s="322"/>
      <c r="AU516" s="322"/>
      <c r="AV516" s="322"/>
      <c r="AW516" s="322"/>
      <c r="AX516" s="322"/>
      <c r="AY516" s="322"/>
      <c r="AZ516" s="322"/>
      <c r="BA516" s="322"/>
      <c r="BB516" s="322"/>
      <c r="BC516" s="322"/>
      <c r="BD516" s="322"/>
      <c r="BE516" s="322"/>
      <c r="BF516" s="322"/>
      <c r="BG516" s="322"/>
      <c r="BH516" s="322"/>
      <c r="BI516" s="322"/>
      <c r="BJ516" s="322"/>
      <c r="BK516" s="322"/>
      <c r="BL516" s="322"/>
      <c r="BM516" s="322"/>
      <c r="BN516" s="322"/>
      <c r="BO516" s="322"/>
      <c r="BP516" s="322"/>
      <c r="BQ516" s="322"/>
      <c r="BR516" s="322"/>
      <c r="BS516" s="322"/>
      <c r="BT516" s="322"/>
      <c r="BU516" s="322"/>
      <c r="BV516" s="322"/>
      <c r="BW516" s="322"/>
      <c r="BX516" s="322"/>
      <c r="BY516" s="322"/>
      <c r="BZ516" s="322"/>
      <c r="CA516" s="322"/>
      <c r="CB516" s="322"/>
      <c r="CC516" s="322"/>
      <c r="CD516" s="322"/>
      <c r="CE516" s="322"/>
      <c r="CF516" s="322"/>
      <c r="CG516" s="322"/>
      <c r="CH516" s="322"/>
      <c r="CI516" s="322"/>
      <c r="CJ516" s="322"/>
      <c r="CK516" s="322"/>
      <c r="CL516" s="322"/>
      <c r="CM516" s="322"/>
      <c r="CN516" s="322"/>
      <c r="CO516" s="322"/>
      <c r="CP516" s="322"/>
      <c r="CQ516" s="322"/>
      <c r="CR516" s="322"/>
      <c r="CS516" s="322"/>
      <c r="CT516" s="322"/>
      <c r="CU516" s="322"/>
      <c r="CV516" s="322"/>
      <c r="CW516" s="322"/>
      <c r="CX516" s="322"/>
      <c r="CY516" s="322"/>
    </row>
    <row r="517" spans="1:103" s="432" customFormat="1">
      <c r="A517" s="509">
        <f t="shared" si="8"/>
        <v>516</v>
      </c>
      <c r="B517" s="1332" t="s">
        <v>43</v>
      </c>
      <c r="C517" s="943" t="s">
        <v>44</v>
      </c>
      <c r="D517" s="943" t="s">
        <v>45</v>
      </c>
      <c r="E517" s="432" t="s">
        <v>5911</v>
      </c>
      <c r="F517" s="434">
        <v>5</v>
      </c>
      <c r="G517" s="434">
        <v>9857833893</v>
      </c>
      <c r="I517" s="434">
        <v>38</v>
      </c>
      <c r="J517" s="120" t="s">
        <v>48</v>
      </c>
      <c r="K517" s="434" t="s">
        <v>5405</v>
      </c>
      <c r="L517" s="434"/>
      <c r="M517" s="434" t="s">
        <v>1764</v>
      </c>
      <c r="N517" s="730">
        <v>65297</v>
      </c>
      <c r="O517" s="730">
        <v>65297</v>
      </c>
      <c r="P517" s="459">
        <v>65305</v>
      </c>
      <c r="Q517" s="432" t="s">
        <v>51</v>
      </c>
      <c r="R517" s="322"/>
      <c r="S517" s="322"/>
      <c r="T517" s="322"/>
      <c r="U517" s="322"/>
      <c r="V517" s="322"/>
      <c r="W517" s="322"/>
      <c r="X517" s="322"/>
      <c r="Y517" s="322"/>
      <c r="Z517" s="322"/>
      <c r="AA517" s="322"/>
      <c r="AB517" s="322"/>
      <c r="AC517" s="322"/>
      <c r="AD517" s="322"/>
      <c r="AE517" s="322"/>
      <c r="AF517" s="322"/>
      <c r="AG517" s="322"/>
      <c r="AH517" s="322"/>
      <c r="AI517" s="322"/>
      <c r="AJ517" s="322"/>
      <c r="AK517" s="322"/>
      <c r="AL517" s="322"/>
      <c r="AM517" s="322"/>
      <c r="AN517" s="322"/>
      <c r="AO517" s="322"/>
      <c r="AP517" s="322"/>
      <c r="AQ517" s="322"/>
      <c r="AR517" s="322"/>
      <c r="AS517" s="322"/>
      <c r="AT517" s="322"/>
      <c r="AU517" s="322"/>
      <c r="AV517" s="322"/>
      <c r="AW517" s="322"/>
      <c r="AX517" s="322"/>
      <c r="AY517" s="322"/>
      <c r="AZ517" s="322"/>
      <c r="BA517" s="322"/>
      <c r="BB517" s="322"/>
      <c r="BC517" s="322"/>
      <c r="BD517" s="322"/>
      <c r="BE517" s="322"/>
      <c r="BF517" s="322"/>
      <c r="BG517" s="322"/>
      <c r="BH517" s="322"/>
      <c r="BI517" s="322"/>
      <c r="BJ517" s="322"/>
      <c r="BK517" s="322"/>
      <c r="BL517" s="322"/>
      <c r="BM517" s="322"/>
      <c r="BN517" s="322"/>
      <c r="BO517" s="322"/>
      <c r="BP517" s="322"/>
      <c r="BQ517" s="322"/>
      <c r="BR517" s="322"/>
      <c r="BS517" s="322"/>
      <c r="BT517" s="322"/>
      <c r="BU517" s="322"/>
      <c r="BV517" s="322"/>
      <c r="BW517" s="322"/>
      <c r="BX517" s="322"/>
      <c r="BY517" s="322"/>
      <c r="BZ517" s="322"/>
      <c r="CA517" s="322"/>
      <c r="CB517" s="322"/>
      <c r="CC517" s="322"/>
      <c r="CD517" s="322"/>
      <c r="CE517" s="322"/>
      <c r="CF517" s="322"/>
      <c r="CG517" s="322"/>
      <c r="CH517" s="322"/>
      <c r="CI517" s="322"/>
      <c r="CJ517" s="322"/>
      <c r="CK517" s="322"/>
      <c r="CL517" s="322"/>
      <c r="CM517" s="322"/>
      <c r="CN517" s="322"/>
      <c r="CO517" s="322"/>
      <c r="CP517" s="322"/>
      <c r="CQ517" s="322"/>
      <c r="CR517" s="322"/>
      <c r="CS517" s="322"/>
      <c r="CT517" s="322"/>
      <c r="CU517" s="322"/>
      <c r="CV517" s="322"/>
      <c r="CW517" s="322"/>
      <c r="CX517" s="322"/>
      <c r="CY517" s="322"/>
    </row>
    <row r="518" spans="1:103" s="432" customFormat="1">
      <c r="A518" s="509">
        <f t="shared" si="8"/>
        <v>517</v>
      </c>
      <c r="B518" s="1332" t="s">
        <v>43</v>
      </c>
      <c r="C518" s="943" t="s">
        <v>44</v>
      </c>
      <c r="D518" s="943" t="s">
        <v>45</v>
      </c>
      <c r="E518" s="432" t="s">
        <v>5912</v>
      </c>
      <c r="F518" s="434">
        <v>7</v>
      </c>
      <c r="G518" s="434">
        <v>9866508878</v>
      </c>
      <c r="I518" s="434">
        <v>57</v>
      </c>
      <c r="J518" s="120" t="s">
        <v>48</v>
      </c>
      <c r="K518" s="434" t="s">
        <v>5405</v>
      </c>
      <c r="L518" s="434"/>
      <c r="M518" s="434" t="s">
        <v>1764</v>
      </c>
      <c r="N518" s="730">
        <v>65297</v>
      </c>
      <c r="O518" s="730">
        <v>65297</v>
      </c>
      <c r="P518" s="459">
        <v>65305</v>
      </c>
      <c r="Q518" s="432" t="s">
        <v>51</v>
      </c>
      <c r="R518" s="322"/>
      <c r="S518" s="322"/>
      <c r="T518" s="322"/>
      <c r="U518" s="322"/>
      <c r="V518" s="322"/>
      <c r="W518" s="322"/>
      <c r="X518" s="322"/>
      <c r="Y518" s="322"/>
      <c r="Z518" s="322"/>
      <c r="AA518" s="322"/>
      <c r="AB518" s="322"/>
      <c r="AC518" s="322"/>
      <c r="AD518" s="322"/>
      <c r="AE518" s="322"/>
      <c r="AF518" s="322"/>
      <c r="AG518" s="322"/>
      <c r="AH518" s="322"/>
      <c r="AI518" s="322"/>
      <c r="AJ518" s="322"/>
      <c r="AK518" s="322"/>
      <c r="AL518" s="322"/>
      <c r="AM518" s="322"/>
      <c r="AN518" s="322"/>
      <c r="AO518" s="322"/>
      <c r="AP518" s="322"/>
      <c r="AQ518" s="322"/>
      <c r="AR518" s="322"/>
      <c r="AS518" s="322"/>
      <c r="AT518" s="322"/>
      <c r="AU518" s="322"/>
      <c r="AV518" s="322"/>
      <c r="AW518" s="322"/>
      <c r="AX518" s="322"/>
      <c r="AY518" s="322"/>
      <c r="AZ518" s="322"/>
      <c r="BA518" s="322"/>
      <c r="BB518" s="322"/>
      <c r="BC518" s="322"/>
      <c r="BD518" s="322"/>
      <c r="BE518" s="322"/>
      <c r="BF518" s="322"/>
      <c r="BG518" s="322"/>
      <c r="BH518" s="322"/>
      <c r="BI518" s="322"/>
      <c r="BJ518" s="322"/>
      <c r="BK518" s="322"/>
      <c r="BL518" s="322"/>
      <c r="BM518" s="322"/>
      <c r="BN518" s="322"/>
      <c r="BO518" s="322"/>
      <c r="BP518" s="322"/>
      <c r="BQ518" s="322"/>
      <c r="BR518" s="322"/>
      <c r="BS518" s="322"/>
      <c r="BT518" s="322"/>
      <c r="BU518" s="322"/>
      <c r="BV518" s="322"/>
      <c r="BW518" s="322"/>
      <c r="BX518" s="322"/>
      <c r="BY518" s="322"/>
      <c r="BZ518" s="322"/>
      <c r="CA518" s="322"/>
      <c r="CB518" s="322"/>
      <c r="CC518" s="322"/>
      <c r="CD518" s="322"/>
      <c r="CE518" s="322"/>
      <c r="CF518" s="322"/>
      <c r="CG518" s="322"/>
      <c r="CH518" s="322"/>
      <c r="CI518" s="322"/>
      <c r="CJ518" s="322"/>
      <c r="CK518" s="322"/>
      <c r="CL518" s="322"/>
      <c r="CM518" s="322"/>
      <c r="CN518" s="322"/>
      <c r="CO518" s="322"/>
      <c r="CP518" s="322"/>
      <c r="CQ518" s="322"/>
      <c r="CR518" s="322"/>
      <c r="CS518" s="322"/>
      <c r="CT518" s="322"/>
      <c r="CU518" s="322"/>
      <c r="CV518" s="322"/>
      <c r="CW518" s="322"/>
      <c r="CX518" s="322"/>
      <c r="CY518" s="322"/>
    </row>
    <row r="519" spans="1:103" s="432" customFormat="1">
      <c r="A519" s="509">
        <f t="shared" si="8"/>
        <v>518</v>
      </c>
      <c r="B519" s="1332" t="s">
        <v>43</v>
      </c>
      <c r="C519" s="943" t="s">
        <v>44</v>
      </c>
      <c r="D519" s="943" t="s">
        <v>45</v>
      </c>
      <c r="E519" s="432" t="s">
        <v>5913</v>
      </c>
      <c r="F519" s="434">
        <v>12</v>
      </c>
      <c r="G519" s="434">
        <v>9857830086</v>
      </c>
      <c r="I519" s="434">
        <v>45</v>
      </c>
      <c r="J519" s="120" t="s">
        <v>48</v>
      </c>
      <c r="K519" s="434" t="s">
        <v>5405</v>
      </c>
      <c r="L519" s="434"/>
      <c r="M519" s="434" t="s">
        <v>1764</v>
      </c>
      <c r="N519" s="730">
        <v>65297</v>
      </c>
      <c r="O519" s="730">
        <v>65297</v>
      </c>
      <c r="P519" s="459">
        <v>65305</v>
      </c>
      <c r="Q519" s="432" t="s">
        <v>51</v>
      </c>
      <c r="R519" s="322"/>
      <c r="S519" s="322"/>
      <c r="T519" s="322"/>
      <c r="U519" s="322"/>
      <c r="V519" s="322"/>
      <c r="W519" s="322"/>
      <c r="X519" s="322"/>
      <c r="Y519" s="322"/>
      <c r="Z519" s="322"/>
      <c r="AA519" s="322"/>
      <c r="AB519" s="322"/>
      <c r="AC519" s="322"/>
      <c r="AD519" s="322"/>
      <c r="AE519" s="322"/>
      <c r="AF519" s="322"/>
      <c r="AG519" s="322"/>
      <c r="AH519" s="322"/>
      <c r="AI519" s="322"/>
      <c r="AJ519" s="322"/>
      <c r="AK519" s="322"/>
      <c r="AL519" s="322"/>
      <c r="AM519" s="322"/>
      <c r="AN519" s="322"/>
      <c r="AO519" s="322"/>
      <c r="AP519" s="322"/>
      <c r="AQ519" s="322"/>
      <c r="AR519" s="322"/>
      <c r="AS519" s="322"/>
      <c r="AT519" s="322"/>
      <c r="AU519" s="322"/>
      <c r="AV519" s="322"/>
      <c r="AW519" s="322"/>
      <c r="AX519" s="322"/>
      <c r="AY519" s="322"/>
      <c r="AZ519" s="322"/>
      <c r="BA519" s="322"/>
      <c r="BB519" s="322"/>
      <c r="BC519" s="322"/>
      <c r="BD519" s="322"/>
      <c r="BE519" s="322"/>
      <c r="BF519" s="322"/>
      <c r="BG519" s="322"/>
      <c r="BH519" s="322"/>
      <c r="BI519" s="322"/>
      <c r="BJ519" s="322"/>
      <c r="BK519" s="322"/>
      <c r="BL519" s="322"/>
      <c r="BM519" s="322"/>
      <c r="BN519" s="322"/>
      <c r="BO519" s="322"/>
      <c r="BP519" s="322"/>
      <c r="BQ519" s="322"/>
      <c r="BR519" s="322"/>
      <c r="BS519" s="322"/>
      <c r="BT519" s="322"/>
      <c r="BU519" s="322"/>
      <c r="BV519" s="322"/>
      <c r="BW519" s="322"/>
      <c r="BX519" s="322"/>
      <c r="BY519" s="322"/>
      <c r="BZ519" s="322"/>
      <c r="CA519" s="322"/>
      <c r="CB519" s="322"/>
      <c r="CC519" s="322"/>
      <c r="CD519" s="322"/>
      <c r="CE519" s="322"/>
      <c r="CF519" s="322"/>
      <c r="CG519" s="322"/>
      <c r="CH519" s="322"/>
      <c r="CI519" s="322"/>
      <c r="CJ519" s="322"/>
      <c r="CK519" s="322"/>
      <c r="CL519" s="322"/>
      <c r="CM519" s="322"/>
      <c r="CN519" s="322"/>
      <c r="CO519" s="322"/>
      <c r="CP519" s="322"/>
      <c r="CQ519" s="322"/>
      <c r="CR519" s="322"/>
      <c r="CS519" s="322"/>
      <c r="CT519" s="322"/>
      <c r="CU519" s="322"/>
      <c r="CV519" s="322"/>
      <c r="CW519" s="322"/>
      <c r="CX519" s="322"/>
      <c r="CY519" s="322"/>
    </row>
    <row r="520" spans="1:103" s="432" customFormat="1">
      <c r="A520" s="509">
        <f t="shared" si="8"/>
        <v>519</v>
      </c>
      <c r="B520" s="1332" t="s">
        <v>43</v>
      </c>
      <c r="C520" s="943" t="s">
        <v>44</v>
      </c>
      <c r="D520" s="943" t="s">
        <v>45</v>
      </c>
      <c r="E520" s="432" t="s">
        <v>5914</v>
      </c>
      <c r="F520" s="434">
        <v>7</v>
      </c>
      <c r="G520" s="434">
        <v>9848129082</v>
      </c>
      <c r="I520" s="434">
        <v>46</v>
      </c>
      <c r="J520" s="434" t="s">
        <v>90</v>
      </c>
      <c r="K520" s="434" t="s">
        <v>5405</v>
      </c>
      <c r="L520" s="434"/>
      <c r="M520" s="434" t="s">
        <v>1764</v>
      </c>
      <c r="N520" s="730">
        <v>65297</v>
      </c>
      <c r="O520" s="730">
        <v>65297</v>
      </c>
      <c r="P520" s="459">
        <v>65305</v>
      </c>
      <c r="Q520" s="432" t="s">
        <v>51</v>
      </c>
      <c r="R520" s="322"/>
      <c r="S520" s="322"/>
      <c r="T520" s="322"/>
      <c r="U520" s="322"/>
      <c r="V520" s="322"/>
      <c r="W520" s="322"/>
      <c r="X520" s="322"/>
      <c r="Y520" s="322"/>
      <c r="Z520" s="322"/>
      <c r="AA520" s="322"/>
      <c r="AB520" s="322"/>
      <c r="AC520" s="322"/>
      <c r="AD520" s="322"/>
      <c r="AE520" s="322"/>
      <c r="AF520" s="322"/>
      <c r="AG520" s="322"/>
      <c r="AH520" s="322"/>
      <c r="AI520" s="322"/>
      <c r="AJ520" s="322"/>
      <c r="AK520" s="322"/>
      <c r="AL520" s="322"/>
      <c r="AM520" s="322"/>
      <c r="AN520" s="322"/>
      <c r="AO520" s="322"/>
      <c r="AP520" s="322"/>
      <c r="AQ520" s="322"/>
      <c r="AR520" s="322"/>
      <c r="AS520" s="322"/>
      <c r="AT520" s="322"/>
      <c r="AU520" s="322"/>
      <c r="AV520" s="322"/>
      <c r="AW520" s="322"/>
      <c r="AX520" s="322"/>
      <c r="AY520" s="322"/>
      <c r="AZ520" s="322"/>
      <c r="BA520" s="322"/>
      <c r="BB520" s="322"/>
      <c r="BC520" s="322"/>
      <c r="BD520" s="322"/>
      <c r="BE520" s="322"/>
      <c r="BF520" s="322"/>
      <c r="BG520" s="322"/>
      <c r="BH520" s="322"/>
      <c r="BI520" s="322"/>
      <c r="BJ520" s="322"/>
      <c r="BK520" s="322"/>
      <c r="BL520" s="322"/>
      <c r="BM520" s="322"/>
      <c r="BN520" s="322"/>
      <c r="BO520" s="322"/>
      <c r="BP520" s="322"/>
      <c r="BQ520" s="322"/>
      <c r="BR520" s="322"/>
      <c r="BS520" s="322"/>
      <c r="BT520" s="322"/>
      <c r="BU520" s="322"/>
      <c r="BV520" s="322"/>
      <c r="BW520" s="322"/>
      <c r="BX520" s="322"/>
      <c r="BY520" s="322"/>
      <c r="BZ520" s="322"/>
      <c r="CA520" s="322"/>
      <c r="CB520" s="322"/>
      <c r="CC520" s="322"/>
      <c r="CD520" s="322"/>
      <c r="CE520" s="322"/>
      <c r="CF520" s="322"/>
      <c r="CG520" s="322"/>
      <c r="CH520" s="322"/>
      <c r="CI520" s="322"/>
      <c r="CJ520" s="322"/>
      <c r="CK520" s="322"/>
      <c r="CL520" s="322"/>
      <c r="CM520" s="322"/>
      <c r="CN520" s="322"/>
      <c r="CO520" s="322"/>
      <c r="CP520" s="322"/>
      <c r="CQ520" s="322"/>
      <c r="CR520" s="322"/>
      <c r="CS520" s="322"/>
      <c r="CT520" s="322"/>
      <c r="CU520" s="322"/>
      <c r="CV520" s="322"/>
      <c r="CW520" s="322"/>
      <c r="CX520" s="322"/>
      <c r="CY520" s="322"/>
    </row>
    <row r="521" spans="1:103" s="432" customFormat="1">
      <c r="A521" s="509">
        <f t="shared" si="8"/>
        <v>520</v>
      </c>
      <c r="B521" s="1332" t="s">
        <v>43</v>
      </c>
      <c r="C521" s="943" t="s">
        <v>44</v>
      </c>
      <c r="D521" s="943" t="s">
        <v>45</v>
      </c>
      <c r="E521" s="432" t="s">
        <v>5915</v>
      </c>
      <c r="F521" s="434">
        <v>17</v>
      </c>
      <c r="G521" s="434">
        <v>9840595578</v>
      </c>
      <c r="I521" s="434">
        <v>26</v>
      </c>
      <c r="J521" s="434" t="s">
        <v>90</v>
      </c>
      <c r="K521" s="434" t="s">
        <v>5405</v>
      </c>
      <c r="L521" s="434"/>
      <c r="M521" s="434" t="s">
        <v>1764</v>
      </c>
      <c r="N521" s="730">
        <v>65297</v>
      </c>
      <c r="O521" s="730">
        <v>65297</v>
      </c>
      <c r="P521" s="459">
        <v>65305</v>
      </c>
      <c r="Q521" s="432" t="s">
        <v>51</v>
      </c>
      <c r="R521" s="322"/>
      <c r="S521" s="322"/>
      <c r="T521" s="322"/>
      <c r="U521" s="322"/>
      <c r="V521" s="322"/>
      <c r="W521" s="322"/>
      <c r="X521" s="322"/>
      <c r="Y521" s="322"/>
      <c r="Z521" s="322"/>
      <c r="AA521" s="322"/>
      <c r="AB521" s="322"/>
      <c r="AC521" s="322"/>
      <c r="AD521" s="322"/>
      <c r="AE521" s="322"/>
      <c r="AF521" s="322"/>
      <c r="AG521" s="322"/>
      <c r="AH521" s="322"/>
      <c r="AI521" s="322"/>
      <c r="AJ521" s="322"/>
      <c r="AK521" s="322"/>
      <c r="AL521" s="322"/>
      <c r="AM521" s="322"/>
      <c r="AN521" s="322"/>
      <c r="AO521" s="322"/>
      <c r="AP521" s="322"/>
      <c r="AQ521" s="322"/>
      <c r="AR521" s="322"/>
      <c r="AS521" s="322"/>
      <c r="AT521" s="322"/>
      <c r="AU521" s="322"/>
      <c r="AV521" s="322"/>
      <c r="AW521" s="322"/>
      <c r="AX521" s="322"/>
      <c r="AY521" s="322"/>
      <c r="AZ521" s="322"/>
      <c r="BA521" s="322"/>
      <c r="BB521" s="322"/>
      <c r="BC521" s="322"/>
      <c r="BD521" s="322"/>
      <c r="BE521" s="322"/>
      <c r="BF521" s="322"/>
      <c r="BG521" s="322"/>
      <c r="BH521" s="322"/>
      <c r="BI521" s="322"/>
      <c r="BJ521" s="322"/>
      <c r="BK521" s="322"/>
      <c r="BL521" s="322"/>
      <c r="BM521" s="322"/>
      <c r="BN521" s="322"/>
      <c r="BO521" s="322"/>
      <c r="BP521" s="322"/>
      <c r="BQ521" s="322"/>
      <c r="BR521" s="322"/>
      <c r="BS521" s="322"/>
      <c r="BT521" s="322"/>
      <c r="BU521" s="322"/>
      <c r="BV521" s="322"/>
      <c r="BW521" s="322"/>
      <c r="BX521" s="322"/>
      <c r="BY521" s="322"/>
      <c r="BZ521" s="322"/>
      <c r="CA521" s="322"/>
      <c r="CB521" s="322"/>
      <c r="CC521" s="322"/>
      <c r="CD521" s="322"/>
      <c r="CE521" s="322"/>
      <c r="CF521" s="322"/>
      <c r="CG521" s="322"/>
      <c r="CH521" s="322"/>
      <c r="CI521" s="322"/>
      <c r="CJ521" s="322"/>
      <c r="CK521" s="322"/>
      <c r="CL521" s="322"/>
      <c r="CM521" s="322"/>
      <c r="CN521" s="322"/>
      <c r="CO521" s="322"/>
      <c r="CP521" s="322"/>
      <c r="CQ521" s="322"/>
      <c r="CR521" s="322"/>
      <c r="CS521" s="322"/>
      <c r="CT521" s="322"/>
      <c r="CU521" s="322"/>
      <c r="CV521" s="322"/>
      <c r="CW521" s="322"/>
      <c r="CX521" s="322"/>
      <c r="CY521" s="322"/>
    </row>
    <row r="522" spans="1:103" s="432" customFormat="1">
      <c r="A522" s="509">
        <f t="shared" si="8"/>
        <v>521</v>
      </c>
      <c r="B522" s="1332" t="s">
        <v>43</v>
      </c>
      <c r="C522" s="943" t="s">
        <v>44</v>
      </c>
      <c r="D522" s="943" t="s">
        <v>45</v>
      </c>
      <c r="E522" s="432" t="s">
        <v>5916</v>
      </c>
      <c r="F522" s="434">
        <v>11</v>
      </c>
      <c r="G522" s="434">
        <v>9810875007</v>
      </c>
      <c r="I522" s="434">
        <v>19</v>
      </c>
      <c r="J522" s="434" t="s">
        <v>90</v>
      </c>
      <c r="K522" s="434" t="s">
        <v>5405</v>
      </c>
      <c r="L522" s="434"/>
      <c r="M522" s="434" t="s">
        <v>1764</v>
      </c>
      <c r="N522" s="730">
        <v>65297</v>
      </c>
      <c r="O522" s="730">
        <v>65297</v>
      </c>
      <c r="P522" s="459">
        <v>65305</v>
      </c>
      <c r="Q522" s="432" t="s">
        <v>51</v>
      </c>
      <c r="R522" s="322"/>
      <c r="S522" s="322"/>
      <c r="T522" s="322"/>
      <c r="U522" s="322"/>
      <c r="V522" s="322"/>
      <c r="W522" s="322"/>
      <c r="X522" s="322"/>
      <c r="Y522" s="322"/>
      <c r="Z522" s="322"/>
      <c r="AA522" s="322"/>
      <c r="AB522" s="322"/>
      <c r="AC522" s="322"/>
      <c r="AD522" s="322"/>
      <c r="AE522" s="322"/>
      <c r="AF522" s="322"/>
      <c r="AG522" s="322"/>
      <c r="AH522" s="322"/>
      <c r="AI522" s="322"/>
      <c r="AJ522" s="322"/>
      <c r="AK522" s="322"/>
      <c r="AL522" s="322"/>
      <c r="AM522" s="322"/>
      <c r="AN522" s="322"/>
      <c r="AO522" s="322"/>
      <c r="AP522" s="322"/>
      <c r="AQ522" s="322"/>
      <c r="AR522" s="322"/>
      <c r="AS522" s="322"/>
      <c r="AT522" s="322"/>
      <c r="AU522" s="322"/>
      <c r="AV522" s="322"/>
      <c r="AW522" s="322"/>
      <c r="AX522" s="322"/>
      <c r="AY522" s="322"/>
      <c r="AZ522" s="322"/>
      <c r="BA522" s="322"/>
      <c r="BB522" s="322"/>
      <c r="BC522" s="322"/>
      <c r="BD522" s="322"/>
      <c r="BE522" s="322"/>
      <c r="BF522" s="322"/>
      <c r="BG522" s="322"/>
      <c r="BH522" s="322"/>
      <c r="BI522" s="322"/>
      <c r="BJ522" s="322"/>
      <c r="BK522" s="322"/>
      <c r="BL522" s="322"/>
      <c r="BM522" s="322"/>
      <c r="BN522" s="322"/>
      <c r="BO522" s="322"/>
      <c r="BP522" s="322"/>
      <c r="BQ522" s="322"/>
      <c r="BR522" s="322"/>
      <c r="BS522" s="322"/>
      <c r="BT522" s="322"/>
      <c r="BU522" s="322"/>
      <c r="BV522" s="322"/>
      <c r="BW522" s="322"/>
      <c r="BX522" s="322"/>
      <c r="BY522" s="322"/>
      <c r="BZ522" s="322"/>
      <c r="CA522" s="322"/>
      <c r="CB522" s="322"/>
      <c r="CC522" s="322"/>
      <c r="CD522" s="322"/>
      <c r="CE522" s="322"/>
      <c r="CF522" s="322"/>
      <c r="CG522" s="322"/>
      <c r="CH522" s="322"/>
      <c r="CI522" s="322"/>
      <c r="CJ522" s="322"/>
      <c r="CK522" s="322"/>
      <c r="CL522" s="322"/>
      <c r="CM522" s="322"/>
      <c r="CN522" s="322"/>
      <c r="CO522" s="322"/>
      <c r="CP522" s="322"/>
      <c r="CQ522" s="322"/>
      <c r="CR522" s="322"/>
      <c r="CS522" s="322"/>
      <c r="CT522" s="322"/>
      <c r="CU522" s="322"/>
      <c r="CV522" s="322"/>
      <c r="CW522" s="322"/>
      <c r="CX522" s="322"/>
      <c r="CY522" s="322"/>
    </row>
    <row r="523" spans="1:103" s="432" customFormat="1">
      <c r="A523" s="509">
        <f t="shared" si="8"/>
        <v>522</v>
      </c>
      <c r="B523" s="1332" t="s">
        <v>43</v>
      </c>
      <c r="C523" s="943" t="s">
        <v>44</v>
      </c>
      <c r="D523" s="943" t="s">
        <v>45</v>
      </c>
      <c r="E523" s="432" t="s">
        <v>5917</v>
      </c>
      <c r="F523" s="434">
        <v>5</v>
      </c>
      <c r="G523" s="434">
        <v>981085718</v>
      </c>
      <c r="I523" s="434">
        <v>20</v>
      </c>
      <c r="J523" s="434" t="s">
        <v>90</v>
      </c>
      <c r="K523" s="434" t="s">
        <v>5405</v>
      </c>
      <c r="L523" s="434"/>
      <c r="M523" s="434" t="s">
        <v>1764</v>
      </c>
      <c r="N523" s="730">
        <v>65297</v>
      </c>
      <c r="O523" s="730">
        <v>65297</v>
      </c>
      <c r="P523" s="459">
        <v>65305</v>
      </c>
      <c r="Q523" s="432" t="s">
        <v>51</v>
      </c>
      <c r="R523" s="322"/>
      <c r="S523" s="322"/>
      <c r="T523" s="322"/>
      <c r="U523" s="322"/>
      <c r="V523" s="322"/>
      <c r="W523" s="322"/>
      <c r="X523" s="322"/>
      <c r="Y523" s="322"/>
      <c r="Z523" s="322"/>
      <c r="AA523" s="322"/>
      <c r="AB523" s="322"/>
      <c r="AC523" s="322"/>
      <c r="AD523" s="322"/>
      <c r="AE523" s="322"/>
      <c r="AF523" s="322"/>
      <c r="AG523" s="322"/>
      <c r="AH523" s="322"/>
      <c r="AI523" s="322"/>
      <c r="AJ523" s="322"/>
      <c r="AK523" s="322"/>
      <c r="AL523" s="322"/>
      <c r="AM523" s="322"/>
      <c r="AN523" s="322"/>
      <c r="AO523" s="322"/>
      <c r="AP523" s="322"/>
      <c r="AQ523" s="322"/>
      <c r="AR523" s="322"/>
      <c r="AS523" s="322"/>
      <c r="AT523" s="322"/>
      <c r="AU523" s="322"/>
      <c r="AV523" s="322"/>
      <c r="AW523" s="322"/>
      <c r="AX523" s="322"/>
      <c r="AY523" s="322"/>
      <c r="AZ523" s="322"/>
      <c r="BA523" s="322"/>
      <c r="BB523" s="322"/>
      <c r="BC523" s="322"/>
      <c r="BD523" s="322"/>
      <c r="BE523" s="322"/>
      <c r="BF523" s="322"/>
      <c r="BG523" s="322"/>
      <c r="BH523" s="322"/>
      <c r="BI523" s="322"/>
      <c r="BJ523" s="322"/>
      <c r="BK523" s="322"/>
      <c r="BL523" s="322"/>
      <c r="BM523" s="322"/>
      <c r="BN523" s="322"/>
      <c r="BO523" s="322"/>
      <c r="BP523" s="322"/>
      <c r="BQ523" s="322"/>
      <c r="BR523" s="322"/>
      <c r="BS523" s="322"/>
      <c r="BT523" s="322"/>
      <c r="BU523" s="322"/>
      <c r="BV523" s="322"/>
      <c r="BW523" s="322"/>
      <c r="BX523" s="322"/>
      <c r="BY523" s="322"/>
      <c r="BZ523" s="322"/>
      <c r="CA523" s="322"/>
      <c r="CB523" s="322"/>
      <c r="CC523" s="322"/>
      <c r="CD523" s="322"/>
      <c r="CE523" s="322"/>
      <c r="CF523" s="322"/>
      <c r="CG523" s="322"/>
      <c r="CH523" s="322"/>
      <c r="CI523" s="322"/>
      <c r="CJ523" s="322"/>
      <c r="CK523" s="322"/>
      <c r="CL523" s="322"/>
      <c r="CM523" s="322"/>
      <c r="CN523" s="322"/>
      <c r="CO523" s="322"/>
      <c r="CP523" s="322"/>
      <c r="CQ523" s="322"/>
      <c r="CR523" s="322"/>
      <c r="CS523" s="322"/>
      <c r="CT523" s="322"/>
      <c r="CU523" s="322"/>
      <c r="CV523" s="322"/>
      <c r="CW523" s="322"/>
      <c r="CX523" s="322"/>
      <c r="CY523" s="322"/>
    </row>
    <row r="524" spans="1:103" s="432" customFormat="1">
      <c r="A524" s="509">
        <f t="shared" si="8"/>
        <v>523</v>
      </c>
      <c r="B524" s="1332" t="s">
        <v>43</v>
      </c>
      <c r="C524" s="943" t="s">
        <v>44</v>
      </c>
      <c r="D524" s="943" t="s">
        <v>45</v>
      </c>
      <c r="E524" s="432" t="s">
        <v>5918</v>
      </c>
      <c r="F524" s="434">
        <v>7</v>
      </c>
      <c r="G524" s="434">
        <v>9868945417</v>
      </c>
      <c r="I524" s="434">
        <v>45</v>
      </c>
      <c r="J524" s="434" t="s">
        <v>90</v>
      </c>
      <c r="K524" s="434" t="s">
        <v>5405</v>
      </c>
      <c r="L524" s="434"/>
      <c r="M524" s="434" t="s">
        <v>1764</v>
      </c>
      <c r="N524" s="730">
        <v>65297</v>
      </c>
      <c r="O524" s="730">
        <v>65297</v>
      </c>
      <c r="P524" s="459">
        <v>65305</v>
      </c>
      <c r="Q524" s="432" t="s">
        <v>51</v>
      </c>
      <c r="R524" s="322"/>
      <c r="S524" s="322"/>
      <c r="T524" s="322"/>
      <c r="U524" s="322"/>
      <c r="V524" s="322"/>
      <c r="W524" s="322"/>
      <c r="X524" s="322"/>
      <c r="Y524" s="322"/>
      <c r="Z524" s="322"/>
      <c r="AA524" s="322"/>
      <c r="AB524" s="322"/>
      <c r="AC524" s="322"/>
      <c r="AD524" s="322"/>
      <c r="AE524" s="322"/>
      <c r="AF524" s="322"/>
      <c r="AG524" s="322"/>
      <c r="AH524" s="322"/>
      <c r="AI524" s="322"/>
      <c r="AJ524" s="322"/>
      <c r="AK524" s="322"/>
      <c r="AL524" s="322"/>
      <c r="AM524" s="322"/>
      <c r="AN524" s="322"/>
      <c r="AO524" s="322"/>
      <c r="AP524" s="322"/>
      <c r="AQ524" s="322"/>
      <c r="AR524" s="322"/>
      <c r="AS524" s="322"/>
      <c r="AT524" s="322"/>
      <c r="AU524" s="322"/>
      <c r="AV524" s="322"/>
      <c r="AW524" s="322"/>
      <c r="AX524" s="322"/>
      <c r="AY524" s="322"/>
      <c r="AZ524" s="322"/>
      <c r="BA524" s="322"/>
      <c r="BB524" s="322"/>
      <c r="BC524" s="322"/>
      <c r="BD524" s="322"/>
      <c r="BE524" s="322"/>
      <c r="BF524" s="322"/>
      <c r="BG524" s="322"/>
      <c r="BH524" s="322"/>
      <c r="BI524" s="322"/>
      <c r="BJ524" s="322"/>
      <c r="BK524" s="322"/>
      <c r="BL524" s="322"/>
      <c r="BM524" s="322"/>
      <c r="BN524" s="322"/>
      <c r="BO524" s="322"/>
      <c r="BP524" s="322"/>
      <c r="BQ524" s="322"/>
      <c r="BR524" s="322"/>
      <c r="BS524" s="322"/>
      <c r="BT524" s="322"/>
      <c r="BU524" s="322"/>
      <c r="BV524" s="322"/>
      <c r="BW524" s="322"/>
      <c r="BX524" s="322"/>
      <c r="BY524" s="322"/>
      <c r="BZ524" s="322"/>
      <c r="CA524" s="322"/>
      <c r="CB524" s="322"/>
      <c r="CC524" s="322"/>
      <c r="CD524" s="322"/>
      <c r="CE524" s="322"/>
      <c r="CF524" s="322"/>
      <c r="CG524" s="322"/>
      <c r="CH524" s="322"/>
      <c r="CI524" s="322"/>
      <c r="CJ524" s="322"/>
      <c r="CK524" s="322"/>
      <c r="CL524" s="322"/>
      <c r="CM524" s="322"/>
      <c r="CN524" s="322"/>
      <c r="CO524" s="322"/>
      <c r="CP524" s="322"/>
      <c r="CQ524" s="322"/>
      <c r="CR524" s="322"/>
      <c r="CS524" s="322"/>
      <c r="CT524" s="322"/>
      <c r="CU524" s="322"/>
      <c r="CV524" s="322"/>
      <c r="CW524" s="322"/>
      <c r="CX524" s="322"/>
      <c r="CY524" s="322"/>
    </row>
    <row r="525" spans="1:103" s="432" customFormat="1">
      <c r="A525" s="509">
        <f t="shared" si="8"/>
        <v>524</v>
      </c>
      <c r="B525" s="1332" t="s">
        <v>43</v>
      </c>
      <c r="C525" s="943" t="s">
        <v>44</v>
      </c>
      <c r="D525" s="943" t="s">
        <v>45</v>
      </c>
      <c r="E525" s="432" t="s">
        <v>5919</v>
      </c>
      <c r="F525" s="434">
        <v>8</v>
      </c>
      <c r="G525" s="434">
        <v>9847885216</v>
      </c>
      <c r="I525" s="434">
        <v>28</v>
      </c>
      <c r="J525" s="434" t="s">
        <v>90</v>
      </c>
      <c r="K525" s="434" t="s">
        <v>5405</v>
      </c>
      <c r="L525" s="434"/>
      <c r="M525" s="434" t="s">
        <v>1764</v>
      </c>
      <c r="N525" s="730">
        <v>65297</v>
      </c>
      <c r="O525" s="730">
        <v>65297</v>
      </c>
      <c r="P525" s="459">
        <v>65305</v>
      </c>
      <c r="Q525" s="432" t="s">
        <v>51</v>
      </c>
      <c r="R525" s="322"/>
      <c r="S525" s="322"/>
      <c r="T525" s="322"/>
      <c r="U525" s="322"/>
      <c r="V525" s="322"/>
      <c r="W525" s="322"/>
      <c r="X525" s="322"/>
      <c r="Y525" s="322"/>
      <c r="Z525" s="322"/>
      <c r="AA525" s="322"/>
      <c r="AB525" s="322"/>
      <c r="AC525" s="322"/>
      <c r="AD525" s="322"/>
      <c r="AE525" s="322"/>
      <c r="AF525" s="322"/>
      <c r="AG525" s="322"/>
      <c r="AH525" s="322"/>
      <c r="AI525" s="322"/>
      <c r="AJ525" s="322"/>
      <c r="AK525" s="322"/>
      <c r="AL525" s="322"/>
      <c r="AM525" s="322"/>
      <c r="AN525" s="322"/>
      <c r="AO525" s="322"/>
      <c r="AP525" s="322"/>
      <c r="AQ525" s="322"/>
      <c r="AR525" s="322"/>
      <c r="AS525" s="322"/>
      <c r="AT525" s="322"/>
      <c r="AU525" s="322"/>
      <c r="AV525" s="322"/>
      <c r="AW525" s="322"/>
      <c r="AX525" s="322"/>
      <c r="AY525" s="322"/>
      <c r="AZ525" s="322"/>
      <c r="BA525" s="322"/>
      <c r="BB525" s="322"/>
      <c r="BC525" s="322"/>
      <c r="BD525" s="322"/>
      <c r="BE525" s="322"/>
      <c r="BF525" s="322"/>
      <c r="BG525" s="322"/>
      <c r="BH525" s="322"/>
      <c r="BI525" s="322"/>
      <c r="BJ525" s="322"/>
      <c r="BK525" s="322"/>
      <c r="BL525" s="322"/>
      <c r="BM525" s="322"/>
      <c r="BN525" s="322"/>
      <c r="BO525" s="322"/>
      <c r="BP525" s="322"/>
      <c r="BQ525" s="322"/>
      <c r="BR525" s="322"/>
      <c r="BS525" s="322"/>
      <c r="BT525" s="322"/>
      <c r="BU525" s="322"/>
      <c r="BV525" s="322"/>
      <c r="BW525" s="322"/>
      <c r="BX525" s="322"/>
      <c r="BY525" s="322"/>
      <c r="BZ525" s="322"/>
      <c r="CA525" s="322"/>
      <c r="CB525" s="322"/>
      <c r="CC525" s="322"/>
      <c r="CD525" s="322"/>
      <c r="CE525" s="322"/>
      <c r="CF525" s="322"/>
      <c r="CG525" s="322"/>
      <c r="CH525" s="322"/>
      <c r="CI525" s="322"/>
      <c r="CJ525" s="322"/>
      <c r="CK525" s="322"/>
      <c r="CL525" s="322"/>
      <c r="CM525" s="322"/>
      <c r="CN525" s="322"/>
      <c r="CO525" s="322"/>
      <c r="CP525" s="322"/>
      <c r="CQ525" s="322"/>
      <c r="CR525" s="322"/>
      <c r="CS525" s="322"/>
      <c r="CT525" s="322"/>
      <c r="CU525" s="322"/>
      <c r="CV525" s="322"/>
      <c r="CW525" s="322"/>
      <c r="CX525" s="322"/>
      <c r="CY525" s="322"/>
    </row>
    <row r="526" spans="1:103" s="432" customFormat="1">
      <c r="A526" s="509">
        <f t="shared" si="8"/>
        <v>525</v>
      </c>
      <c r="B526" s="1332" t="s">
        <v>43</v>
      </c>
      <c r="C526" s="943" t="s">
        <v>44</v>
      </c>
      <c r="D526" s="943" t="s">
        <v>45</v>
      </c>
      <c r="E526" s="432" t="s">
        <v>5920</v>
      </c>
      <c r="F526" s="434">
        <v>8</v>
      </c>
      <c r="G526" s="434">
        <v>9857826897</v>
      </c>
      <c r="I526" s="434">
        <v>54</v>
      </c>
      <c r="J526" s="120" t="s">
        <v>48</v>
      </c>
      <c r="K526" s="434" t="s">
        <v>5405</v>
      </c>
      <c r="L526" s="434"/>
      <c r="M526" s="434" t="s">
        <v>1764</v>
      </c>
      <c r="N526" s="730">
        <v>65297</v>
      </c>
      <c r="O526" s="730">
        <v>65297</v>
      </c>
      <c r="P526" s="459">
        <v>65305</v>
      </c>
      <c r="Q526" s="432" t="s">
        <v>51</v>
      </c>
      <c r="R526" s="322"/>
      <c r="S526" s="322"/>
      <c r="T526" s="322"/>
      <c r="U526" s="322"/>
      <c r="V526" s="322"/>
      <c r="W526" s="322"/>
      <c r="X526" s="322"/>
      <c r="Y526" s="322"/>
      <c r="Z526" s="322"/>
      <c r="AA526" s="322"/>
      <c r="AB526" s="322"/>
      <c r="AC526" s="322"/>
      <c r="AD526" s="322"/>
      <c r="AE526" s="322"/>
      <c r="AF526" s="322"/>
      <c r="AG526" s="322"/>
      <c r="AH526" s="322"/>
      <c r="AI526" s="322"/>
      <c r="AJ526" s="322"/>
      <c r="AK526" s="322"/>
      <c r="AL526" s="322"/>
      <c r="AM526" s="322"/>
      <c r="AN526" s="322"/>
      <c r="AO526" s="322"/>
      <c r="AP526" s="322"/>
      <c r="AQ526" s="322"/>
      <c r="AR526" s="322"/>
      <c r="AS526" s="322"/>
      <c r="AT526" s="322"/>
      <c r="AU526" s="322"/>
      <c r="AV526" s="322"/>
      <c r="AW526" s="322"/>
      <c r="AX526" s="322"/>
      <c r="AY526" s="322"/>
      <c r="AZ526" s="322"/>
      <c r="BA526" s="322"/>
      <c r="BB526" s="322"/>
      <c r="BC526" s="322"/>
      <c r="BD526" s="322"/>
      <c r="BE526" s="322"/>
      <c r="BF526" s="322"/>
      <c r="BG526" s="322"/>
      <c r="BH526" s="322"/>
      <c r="BI526" s="322"/>
      <c r="BJ526" s="322"/>
      <c r="BK526" s="322"/>
      <c r="BL526" s="322"/>
      <c r="BM526" s="322"/>
      <c r="BN526" s="322"/>
      <c r="BO526" s="322"/>
      <c r="BP526" s="322"/>
      <c r="BQ526" s="322"/>
      <c r="BR526" s="322"/>
      <c r="BS526" s="322"/>
      <c r="BT526" s="322"/>
      <c r="BU526" s="322"/>
      <c r="BV526" s="322"/>
      <c r="BW526" s="322"/>
      <c r="BX526" s="322"/>
      <c r="BY526" s="322"/>
      <c r="BZ526" s="322"/>
      <c r="CA526" s="322"/>
      <c r="CB526" s="322"/>
      <c r="CC526" s="322"/>
      <c r="CD526" s="322"/>
      <c r="CE526" s="322"/>
      <c r="CF526" s="322"/>
      <c r="CG526" s="322"/>
      <c r="CH526" s="322"/>
      <c r="CI526" s="322"/>
      <c r="CJ526" s="322"/>
      <c r="CK526" s="322"/>
      <c r="CL526" s="322"/>
      <c r="CM526" s="322"/>
      <c r="CN526" s="322"/>
      <c r="CO526" s="322"/>
      <c r="CP526" s="322"/>
      <c r="CQ526" s="322"/>
      <c r="CR526" s="322"/>
      <c r="CS526" s="322"/>
      <c r="CT526" s="322"/>
      <c r="CU526" s="322"/>
      <c r="CV526" s="322"/>
      <c r="CW526" s="322"/>
      <c r="CX526" s="322"/>
      <c r="CY526" s="322"/>
    </row>
    <row r="527" spans="1:103" s="432" customFormat="1">
      <c r="A527" s="509">
        <f t="shared" si="8"/>
        <v>526</v>
      </c>
      <c r="B527" s="1332" t="s">
        <v>43</v>
      </c>
      <c r="C527" s="943" t="s">
        <v>44</v>
      </c>
      <c r="D527" s="943" t="s">
        <v>45</v>
      </c>
      <c r="E527" s="432" t="s">
        <v>5921</v>
      </c>
      <c r="F527" s="434">
        <v>8</v>
      </c>
      <c r="G527" s="434">
        <v>9810585806</v>
      </c>
      <c r="I527" s="434">
        <v>32</v>
      </c>
      <c r="J527" s="434" t="s">
        <v>90</v>
      </c>
      <c r="K527" s="434" t="s">
        <v>5405</v>
      </c>
      <c r="L527" s="434"/>
      <c r="M527" s="434" t="s">
        <v>1764</v>
      </c>
      <c r="N527" s="730">
        <v>65297</v>
      </c>
      <c r="O527" s="730">
        <v>65297</v>
      </c>
      <c r="P527" s="459">
        <v>65305</v>
      </c>
      <c r="Q527" s="432" t="s">
        <v>51</v>
      </c>
      <c r="R527" s="322"/>
      <c r="S527" s="322"/>
      <c r="T527" s="322"/>
      <c r="U527" s="322"/>
      <c r="V527" s="322"/>
      <c r="W527" s="322"/>
      <c r="X527" s="322"/>
      <c r="Y527" s="322"/>
      <c r="Z527" s="322"/>
      <c r="AA527" s="322"/>
      <c r="AB527" s="322"/>
      <c r="AC527" s="322"/>
      <c r="AD527" s="322"/>
      <c r="AE527" s="322"/>
      <c r="AF527" s="322"/>
      <c r="AG527" s="322"/>
      <c r="AH527" s="322"/>
      <c r="AI527" s="322"/>
      <c r="AJ527" s="322"/>
      <c r="AK527" s="322"/>
      <c r="AL527" s="322"/>
      <c r="AM527" s="322"/>
      <c r="AN527" s="322"/>
      <c r="AO527" s="322"/>
      <c r="AP527" s="322"/>
      <c r="AQ527" s="322"/>
      <c r="AR527" s="322"/>
      <c r="AS527" s="322"/>
      <c r="AT527" s="322"/>
      <c r="AU527" s="322"/>
      <c r="AV527" s="322"/>
      <c r="AW527" s="322"/>
      <c r="AX527" s="322"/>
      <c r="AY527" s="322"/>
      <c r="AZ527" s="322"/>
      <c r="BA527" s="322"/>
      <c r="BB527" s="322"/>
      <c r="BC527" s="322"/>
      <c r="BD527" s="322"/>
      <c r="BE527" s="322"/>
      <c r="BF527" s="322"/>
      <c r="BG527" s="322"/>
      <c r="BH527" s="322"/>
      <c r="BI527" s="322"/>
      <c r="BJ527" s="322"/>
      <c r="BK527" s="322"/>
      <c r="BL527" s="322"/>
      <c r="BM527" s="322"/>
      <c r="BN527" s="322"/>
      <c r="BO527" s="322"/>
      <c r="BP527" s="322"/>
      <c r="BQ527" s="322"/>
      <c r="BR527" s="322"/>
      <c r="BS527" s="322"/>
      <c r="BT527" s="322"/>
      <c r="BU527" s="322"/>
      <c r="BV527" s="322"/>
      <c r="BW527" s="322"/>
      <c r="BX527" s="322"/>
      <c r="BY527" s="322"/>
      <c r="BZ527" s="322"/>
      <c r="CA527" s="322"/>
      <c r="CB527" s="322"/>
      <c r="CC527" s="322"/>
      <c r="CD527" s="322"/>
      <c r="CE527" s="322"/>
      <c r="CF527" s="322"/>
      <c r="CG527" s="322"/>
      <c r="CH527" s="322"/>
      <c r="CI527" s="322"/>
      <c r="CJ527" s="322"/>
      <c r="CK527" s="322"/>
      <c r="CL527" s="322"/>
      <c r="CM527" s="322"/>
      <c r="CN527" s="322"/>
      <c r="CO527" s="322"/>
      <c r="CP527" s="322"/>
      <c r="CQ527" s="322"/>
      <c r="CR527" s="322"/>
      <c r="CS527" s="322"/>
      <c r="CT527" s="322"/>
      <c r="CU527" s="322"/>
      <c r="CV527" s="322"/>
      <c r="CW527" s="322"/>
      <c r="CX527" s="322"/>
      <c r="CY527" s="322"/>
    </row>
    <row r="528" spans="1:103" s="432" customFormat="1">
      <c r="A528" s="509">
        <f t="shared" si="8"/>
        <v>527</v>
      </c>
      <c r="B528" s="1332" t="s">
        <v>43</v>
      </c>
      <c r="C528" s="943" t="s">
        <v>44</v>
      </c>
      <c r="D528" s="943" t="s">
        <v>45</v>
      </c>
      <c r="E528" s="432" t="s">
        <v>5922</v>
      </c>
      <c r="F528" s="434">
        <v>8</v>
      </c>
      <c r="G528" s="434">
        <v>9851259998</v>
      </c>
      <c r="I528" s="434">
        <v>39</v>
      </c>
      <c r="J528" s="120" t="s">
        <v>48</v>
      </c>
      <c r="K528" s="434" t="s">
        <v>5405</v>
      </c>
      <c r="L528" s="434"/>
      <c r="M528" s="434" t="s">
        <v>1764</v>
      </c>
      <c r="N528" s="730">
        <v>65297</v>
      </c>
      <c r="O528" s="730">
        <v>65297</v>
      </c>
      <c r="P528" s="459">
        <v>65305</v>
      </c>
      <c r="Q528" s="432" t="s">
        <v>51</v>
      </c>
      <c r="R528" s="322"/>
      <c r="S528" s="322"/>
      <c r="T528" s="322"/>
      <c r="U528" s="322"/>
      <c r="V528" s="322"/>
      <c r="W528" s="322"/>
      <c r="X528" s="322"/>
      <c r="Y528" s="322"/>
      <c r="Z528" s="322"/>
      <c r="AA528" s="322"/>
      <c r="AB528" s="322"/>
      <c r="AC528" s="322"/>
      <c r="AD528" s="322"/>
      <c r="AE528" s="322"/>
      <c r="AF528" s="322"/>
      <c r="AG528" s="322"/>
      <c r="AH528" s="322"/>
      <c r="AI528" s="322"/>
      <c r="AJ528" s="322"/>
      <c r="AK528" s="322"/>
      <c r="AL528" s="322"/>
      <c r="AM528" s="322"/>
      <c r="AN528" s="322"/>
      <c r="AO528" s="322"/>
      <c r="AP528" s="322"/>
      <c r="AQ528" s="322"/>
      <c r="AR528" s="322"/>
      <c r="AS528" s="322"/>
      <c r="AT528" s="322"/>
      <c r="AU528" s="322"/>
      <c r="AV528" s="322"/>
      <c r="AW528" s="322"/>
      <c r="AX528" s="322"/>
      <c r="AY528" s="322"/>
      <c r="AZ528" s="322"/>
      <c r="BA528" s="322"/>
      <c r="BB528" s="322"/>
      <c r="BC528" s="322"/>
      <c r="BD528" s="322"/>
      <c r="BE528" s="322"/>
      <c r="BF528" s="322"/>
      <c r="BG528" s="322"/>
      <c r="BH528" s="322"/>
      <c r="BI528" s="322"/>
      <c r="BJ528" s="322"/>
      <c r="BK528" s="322"/>
      <c r="BL528" s="322"/>
      <c r="BM528" s="322"/>
      <c r="BN528" s="322"/>
      <c r="BO528" s="322"/>
      <c r="BP528" s="322"/>
      <c r="BQ528" s="322"/>
      <c r="BR528" s="322"/>
      <c r="BS528" s="322"/>
      <c r="BT528" s="322"/>
      <c r="BU528" s="322"/>
      <c r="BV528" s="322"/>
      <c r="BW528" s="322"/>
      <c r="BX528" s="322"/>
      <c r="BY528" s="322"/>
      <c r="BZ528" s="322"/>
      <c r="CA528" s="322"/>
      <c r="CB528" s="322"/>
      <c r="CC528" s="322"/>
      <c r="CD528" s="322"/>
      <c r="CE528" s="322"/>
      <c r="CF528" s="322"/>
      <c r="CG528" s="322"/>
      <c r="CH528" s="322"/>
      <c r="CI528" s="322"/>
      <c r="CJ528" s="322"/>
      <c r="CK528" s="322"/>
      <c r="CL528" s="322"/>
      <c r="CM528" s="322"/>
      <c r="CN528" s="322"/>
      <c r="CO528" s="322"/>
      <c r="CP528" s="322"/>
      <c r="CQ528" s="322"/>
      <c r="CR528" s="322"/>
      <c r="CS528" s="322"/>
      <c r="CT528" s="322"/>
      <c r="CU528" s="322"/>
      <c r="CV528" s="322"/>
      <c r="CW528" s="322"/>
      <c r="CX528" s="322"/>
      <c r="CY528" s="322"/>
    </row>
    <row r="529" spans="1:103" s="432" customFormat="1">
      <c r="A529" s="509">
        <f t="shared" si="8"/>
        <v>528</v>
      </c>
      <c r="B529" s="1332" t="s">
        <v>43</v>
      </c>
      <c r="C529" s="943" t="s">
        <v>44</v>
      </c>
      <c r="D529" s="943" t="s">
        <v>45</v>
      </c>
      <c r="E529" s="432" t="s">
        <v>5923</v>
      </c>
      <c r="F529" s="434">
        <v>6</v>
      </c>
      <c r="G529" s="434">
        <v>9847860006</v>
      </c>
      <c r="I529" s="434">
        <v>56</v>
      </c>
      <c r="J529" s="120" t="s">
        <v>48</v>
      </c>
      <c r="K529" s="434" t="s">
        <v>5405</v>
      </c>
      <c r="L529" s="434"/>
      <c r="M529" s="434" t="s">
        <v>1764</v>
      </c>
      <c r="N529" s="730">
        <v>65297</v>
      </c>
      <c r="O529" s="730">
        <v>65297</v>
      </c>
      <c r="P529" s="459">
        <v>65305</v>
      </c>
      <c r="Q529" s="432" t="s">
        <v>51</v>
      </c>
      <c r="R529" s="322"/>
      <c r="S529" s="322"/>
      <c r="T529" s="322"/>
      <c r="U529" s="322"/>
      <c r="V529" s="322"/>
      <c r="W529" s="322"/>
      <c r="X529" s="322"/>
      <c r="Y529" s="322"/>
      <c r="Z529" s="322"/>
      <c r="AA529" s="322"/>
      <c r="AB529" s="322"/>
      <c r="AC529" s="322"/>
      <c r="AD529" s="322"/>
      <c r="AE529" s="322"/>
      <c r="AF529" s="322"/>
      <c r="AG529" s="322"/>
      <c r="AH529" s="322"/>
      <c r="AI529" s="322"/>
      <c r="AJ529" s="322"/>
      <c r="AK529" s="322"/>
      <c r="AL529" s="322"/>
      <c r="AM529" s="322"/>
      <c r="AN529" s="322"/>
      <c r="AO529" s="322"/>
      <c r="AP529" s="322"/>
      <c r="AQ529" s="322"/>
      <c r="AR529" s="322"/>
      <c r="AS529" s="322"/>
      <c r="AT529" s="322"/>
      <c r="AU529" s="322"/>
      <c r="AV529" s="322"/>
      <c r="AW529" s="322"/>
      <c r="AX529" s="322"/>
      <c r="AY529" s="322"/>
      <c r="AZ529" s="322"/>
      <c r="BA529" s="322"/>
      <c r="BB529" s="322"/>
      <c r="BC529" s="322"/>
      <c r="BD529" s="322"/>
      <c r="BE529" s="322"/>
      <c r="BF529" s="322"/>
      <c r="BG529" s="322"/>
      <c r="BH529" s="322"/>
      <c r="BI529" s="322"/>
      <c r="BJ529" s="322"/>
      <c r="BK529" s="322"/>
      <c r="BL529" s="322"/>
      <c r="BM529" s="322"/>
      <c r="BN529" s="322"/>
      <c r="BO529" s="322"/>
      <c r="BP529" s="322"/>
      <c r="BQ529" s="322"/>
      <c r="BR529" s="322"/>
      <c r="BS529" s="322"/>
      <c r="BT529" s="322"/>
      <c r="BU529" s="322"/>
      <c r="BV529" s="322"/>
      <c r="BW529" s="322"/>
      <c r="BX529" s="322"/>
      <c r="BY529" s="322"/>
      <c r="BZ529" s="322"/>
      <c r="CA529" s="322"/>
      <c r="CB529" s="322"/>
      <c r="CC529" s="322"/>
      <c r="CD529" s="322"/>
      <c r="CE529" s="322"/>
      <c r="CF529" s="322"/>
      <c r="CG529" s="322"/>
      <c r="CH529" s="322"/>
      <c r="CI529" s="322"/>
      <c r="CJ529" s="322"/>
      <c r="CK529" s="322"/>
      <c r="CL529" s="322"/>
      <c r="CM529" s="322"/>
      <c r="CN529" s="322"/>
      <c r="CO529" s="322"/>
      <c r="CP529" s="322"/>
      <c r="CQ529" s="322"/>
      <c r="CR529" s="322"/>
      <c r="CS529" s="322"/>
      <c r="CT529" s="322"/>
      <c r="CU529" s="322"/>
      <c r="CV529" s="322"/>
      <c r="CW529" s="322"/>
      <c r="CX529" s="322"/>
      <c r="CY529" s="322"/>
    </row>
    <row r="530" spans="1:103" s="432" customFormat="1">
      <c r="A530" s="509">
        <f t="shared" si="8"/>
        <v>529</v>
      </c>
      <c r="B530" s="1332" t="s">
        <v>43</v>
      </c>
      <c r="C530" s="943" t="s">
        <v>44</v>
      </c>
      <c r="D530" s="943" t="s">
        <v>45</v>
      </c>
      <c r="E530" s="432" t="s">
        <v>5924</v>
      </c>
      <c r="F530" s="434">
        <v>11</v>
      </c>
      <c r="G530" s="434">
        <v>82521915</v>
      </c>
      <c r="I530" s="434">
        <v>57</v>
      </c>
      <c r="J530" s="120" t="s">
        <v>48</v>
      </c>
      <c r="K530" s="434" t="s">
        <v>5405</v>
      </c>
      <c r="L530" s="434"/>
      <c r="M530" s="434" t="s">
        <v>1764</v>
      </c>
      <c r="N530" s="730">
        <v>65297</v>
      </c>
      <c r="O530" s="730">
        <v>65297</v>
      </c>
      <c r="P530" s="459">
        <v>65305</v>
      </c>
      <c r="Q530" s="432" t="s">
        <v>51</v>
      </c>
      <c r="R530" s="322"/>
      <c r="S530" s="322"/>
      <c r="T530" s="322"/>
      <c r="U530" s="322"/>
      <c r="V530" s="322"/>
      <c r="W530" s="322"/>
      <c r="X530" s="322"/>
      <c r="Y530" s="322"/>
      <c r="Z530" s="322"/>
      <c r="AA530" s="322"/>
      <c r="AB530" s="322"/>
      <c r="AC530" s="322"/>
      <c r="AD530" s="322"/>
      <c r="AE530" s="322"/>
      <c r="AF530" s="322"/>
      <c r="AG530" s="322"/>
      <c r="AH530" s="322"/>
      <c r="AI530" s="322"/>
      <c r="AJ530" s="322"/>
      <c r="AK530" s="322"/>
      <c r="AL530" s="322"/>
      <c r="AM530" s="322"/>
      <c r="AN530" s="322"/>
      <c r="AO530" s="322"/>
      <c r="AP530" s="322"/>
      <c r="AQ530" s="322"/>
      <c r="AR530" s="322"/>
      <c r="AS530" s="322"/>
      <c r="AT530" s="322"/>
      <c r="AU530" s="322"/>
      <c r="AV530" s="322"/>
      <c r="AW530" s="322"/>
      <c r="AX530" s="322"/>
      <c r="AY530" s="322"/>
      <c r="AZ530" s="322"/>
      <c r="BA530" s="322"/>
      <c r="BB530" s="322"/>
      <c r="BC530" s="322"/>
      <c r="BD530" s="322"/>
      <c r="BE530" s="322"/>
      <c r="BF530" s="322"/>
      <c r="BG530" s="322"/>
      <c r="BH530" s="322"/>
      <c r="BI530" s="322"/>
      <c r="BJ530" s="322"/>
      <c r="BK530" s="322"/>
      <c r="BL530" s="322"/>
      <c r="BM530" s="322"/>
      <c r="BN530" s="322"/>
      <c r="BO530" s="322"/>
      <c r="BP530" s="322"/>
      <c r="BQ530" s="322"/>
      <c r="BR530" s="322"/>
      <c r="BS530" s="322"/>
      <c r="BT530" s="322"/>
      <c r="BU530" s="322"/>
      <c r="BV530" s="322"/>
      <c r="BW530" s="322"/>
      <c r="BX530" s="322"/>
      <c r="BY530" s="322"/>
      <c r="BZ530" s="322"/>
      <c r="CA530" s="322"/>
      <c r="CB530" s="322"/>
      <c r="CC530" s="322"/>
      <c r="CD530" s="322"/>
      <c r="CE530" s="322"/>
      <c r="CF530" s="322"/>
      <c r="CG530" s="322"/>
      <c r="CH530" s="322"/>
      <c r="CI530" s="322"/>
      <c r="CJ530" s="322"/>
      <c r="CK530" s="322"/>
      <c r="CL530" s="322"/>
      <c r="CM530" s="322"/>
      <c r="CN530" s="322"/>
      <c r="CO530" s="322"/>
      <c r="CP530" s="322"/>
      <c r="CQ530" s="322"/>
      <c r="CR530" s="322"/>
      <c r="CS530" s="322"/>
      <c r="CT530" s="322"/>
      <c r="CU530" s="322"/>
      <c r="CV530" s="322"/>
      <c r="CW530" s="322"/>
      <c r="CX530" s="322"/>
      <c r="CY530" s="322"/>
    </row>
    <row r="531" spans="1:103" s="432" customFormat="1">
      <c r="A531" s="509">
        <f t="shared" si="8"/>
        <v>530</v>
      </c>
      <c r="B531" s="1332" t="s">
        <v>43</v>
      </c>
      <c r="C531" s="943" t="s">
        <v>44</v>
      </c>
      <c r="D531" s="943" t="s">
        <v>45</v>
      </c>
      <c r="E531" s="432" t="s">
        <v>5925</v>
      </c>
      <c r="F531" s="434">
        <v>5</v>
      </c>
      <c r="G531" s="434">
        <v>9857834625</v>
      </c>
      <c r="I531" s="434">
        <v>60</v>
      </c>
      <c r="J531" s="120" t="s">
        <v>48</v>
      </c>
      <c r="K531" s="434" t="s">
        <v>5405</v>
      </c>
      <c r="L531" s="434"/>
      <c r="M531" s="434" t="s">
        <v>1764</v>
      </c>
      <c r="N531" s="730">
        <v>65297</v>
      </c>
      <c r="O531" s="730">
        <v>65297</v>
      </c>
      <c r="P531" s="459">
        <v>65305</v>
      </c>
      <c r="Q531" s="432" t="s">
        <v>51</v>
      </c>
      <c r="R531" s="322"/>
      <c r="S531" s="322"/>
      <c r="T531" s="322"/>
      <c r="U531" s="322"/>
      <c r="V531" s="322"/>
      <c r="W531" s="322"/>
      <c r="X531" s="322"/>
      <c r="Y531" s="322"/>
      <c r="Z531" s="322"/>
      <c r="AA531" s="322"/>
      <c r="AB531" s="322"/>
      <c r="AC531" s="322"/>
      <c r="AD531" s="322"/>
      <c r="AE531" s="322"/>
      <c r="AF531" s="322"/>
      <c r="AG531" s="322"/>
      <c r="AH531" s="322"/>
      <c r="AI531" s="322"/>
      <c r="AJ531" s="322"/>
      <c r="AK531" s="322"/>
      <c r="AL531" s="322"/>
      <c r="AM531" s="322"/>
      <c r="AN531" s="322"/>
      <c r="AO531" s="322"/>
      <c r="AP531" s="322"/>
      <c r="AQ531" s="322"/>
      <c r="AR531" s="322"/>
      <c r="AS531" s="322"/>
      <c r="AT531" s="322"/>
      <c r="AU531" s="322"/>
      <c r="AV531" s="322"/>
      <c r="AW531" s="322"/>
      <c r="AX531" s="322"/>
      <c r="AY531" s="322"/>
      <c r="AZ531" s="322"/>
      <c r="BA531" s="322"/>
      <c r="BB531" s="322"/>
      <c r="BC531" s="322"/>
      <c r="BD531" s="322"/>
      <c r="BE531" s="322"/>
      <c r="BF531" s="322"/>
      <c r="BG531" s="322"/>
      <c r="BH531" s="322"/>
      <c r="BI531" s="322"/>
      <c r="BJ531" s="322"/>
      <c r="BK531" s="322"/>
      <c r="BL531" s="322"/>
      <c r="BM531" s="322"/>
      <c r="BN531" s="322"/>
      <c r="BO531" s="322"/>
      <c r="BP531" s="322"/>
      <c r="BQ531" s="322"/>
      <c r="BR531" s="322"/>
      <c r="BS531" s="322"/>
      <c r="BT531" s="322"/>
      <c r="BU531" s="322"/>
      <c r="BV531" s="322"/>
      <c r="BW531" s="322"/>
      <c r="BX531" s="322"/>
      <c r="BY531" s="322"/>
      <c r="BZ531" s="322"/>
      <c r="CA531" s="322"/>
      <c r="CB531" s="322"/>
      <c r="CC531" s="322"/>
      <c r="CD531" s="322"/>
      <c r="CE531" s="322"/>
      <c r="CF531" s="322"/>
      <c r="CG531" s="322"/>
      <c r="CH531" s="322"/>
      <c r="CI531" s="322"/>
      <c r="CJ531" s="322"/>
      <c r="CK531" s="322"/>
      <c r="CL531" s="322"/>
      <c r="CM531" s="322"/>
      <c r="CN531" s="322"/>
      <c r="CO531" s="322"/>
      <c r="CP531" s="322"/>
      <c r="CQ531" s="322"/>
      <c r="CR531" s="322"/>
      <c r="CS531" s="322"/>
      <c r="CT531" s="322"/>
      <c r="CU531" s="322"/>
      <c r="CV531" s="322"/>
      <c r="CW531" s="322"/>
      <c r="CX531" s="322"/>
      <c r="CY531" s="322"/>
    </row>
    <row r="532" spans="1:103" s="432" customFormat="1">
      <c r="A532" s="509">
        <f t="shared" si="8"/>
        <v>531</v>
      </c>
      <c r="B532" s="1332" t="s">
        <v>43</v>
      </c>
      <c r="C532" s="943" t="s">
        <v>44</v>
      </c>
      <c r="D532" s="943" t="s">
        <v>45</v>
      </c>
      <c r="E532" s="432" t="s">
        <v>5926</v>
      </c>
      <c r="F532" s="434">
        <v>5</v>
      </c>
      <c r="G532" s="434">
        <v>9812831104</v>
      </c>
      <c r="I532" s="434">
        <v>39</v>
      </c>
      <c r="J532" s="120" t="s">
        <v>48</v>
      </c>
      <c r="K532" s="434" t="s">
        <v>5405</v>
      </c>
      <c r="L532" s="434"/>
      <c r="M532" s="434" t="s">
        <v>1764</v>
      </c>
      <c r="N532" s="730">
        <v>65297</v>
      </c>
      <c r="O532" s="730">
        <v>65297</v>
      </c>
      <c r="P532" s="459">
        <v>65305</v>
      </c>
      <c r="Q532" s="432" t="s">
        <v>51</v>
      </c>
      <c r="R532" s="322"/>
      <c r="S532" s="322"/>
      <c r="T532" s="322"/>
      <c r="U532" s="322"/>
      <c r="V532" s="322"/>
      <c r="W532" s="322"/>
      <c r="X532" s="322"/>
      <c r="Y532" s="322"/>
      <c r="Z532" s="322"/>
      <c r="AA532" s="322"/>
      <c r="AB532" s="322"/>
      <c r="AC532" s="322"/>
      <c r="AD532" s="322"/>
      <c r="AE532" s="322"/>
      <c r="AF532" s="322"/>
      <c r="AG532" s="322"/>
      <c r="AH532" s="322"/>
      <c r="AI532" s="322"/>
      <c r="AJ532" s="322"/>
      <c r="AK532" s="322"/>
      <c r="AL532" s="322"/>
      <c r="AM532" s="322"/>
      <c r="AN532" s="322"/>
      <c r="AO532" s="322"/>
      <c r="AP532" s="322"/>
      <c r="AQ532" s="322"/>
      <c r="AR532" s="322"/>
      <c r="AS532" s="322"/>
      <c r="AT532" s="322"/>
      <c r="AU532" s="322"/>
      <c r="AV532" s="322"/>
      <c r="AW532" s="322"/>
      <c r="AX532" s="322"/>
      <c r="AY532" s="322"/>
      <c r="AZ532" s="322"/>
      <c r="BA532" s="322"/>
      <c r="BB532" s="322"/>
      <c r="BC532" s="322"/>
      <c r="BD532" s="322"/>
      <c r="BE532" s="322"/>
      <c r="BF532" s="322"/>
      <c r="BG532" s="322"/>
      <c r="BH532" s="322"/>
      <c r="BI532" s="322"/>
      <c r="BJ532" s="322"/>
      <c r="BK532" s="322"/>
      <c r="BL532" s="322"/>
      <c r="BM532" s="322"/>
      <c r="BN532" s="322"/>
      <c r="BO532" s="322"/>
      <c r="BP532" s="322"/>
      <c r="BQ532" s="322"/>
      <c r="BR532" s="322"/>
      <c r="BS532" s="322"/>
      <c r="BT532" s="322"/>
      <c r="BU532" s="322"/>
      <c r="BV532" s="322"/>
      <c r="BW532" s="322"/>
      <c r="BX532" s="322"/>
      <c r="BY532" s="322"/>
      <c r="BZ532" s="322"/>
      <c r="CA532" s="322"/>
      <c r="CB532" s="322"/>
      <c r="CC532" s="322"/>
      <c r="CD532" s="322"/>
      <c r="CE532" s="322"/>
      <c r="CF532" s="322"/>
      <c r="CG532" s="322"/>
      <c r="CH532" s="322"/>
      <c r="CI532" s="322"/>
      <c r="CJ532" s="322"/>
      <c r="CK532" s="322"/>
      <c r="CL532" s="322"/>
      <c r="CM532" s="322"/>
      <c r="CN532" s="322"/>
      <c r="CO532" s="322"/>
      <c r="CP532" s="322"/>
      <c r="CQ532" s="322"/>
      <c r="CR532" s="322"/>
      <c r="CS532" s="322"/>
      <c r="CT532" s="322"/>
      <c r="CU532" s="322"/>
      <c r="CV532" s="322"/>
      <c r="CW532" s="322"/>
      <c r="CX532" s="322"/>
      <c r="CY532" s="322"/>
    </row>
    <row r="533" spans="1:103" s="432" customFormat="1">
      <c r="A533" s="509">
        <f t="shared" si="8"/>
        <v>532</v>
      </c>
      <c r="B533" s="1332" t="s">
        <v>43</v>
      </c>
      <c r="C533" s="943" t="s">
        <v>44</v>
      </c>
      <c r="D533" s="943" t="s">
        <v>45</v>
      </c>
      <c r="E533" s="432" t="s">
        <v>5927</v>
      </c>
      <c r="F533" s="434">
        <v>18</v>
      </c>
      <c r="G533" s="434">
        <v>9866810395</v>
      </c>
      <c r="I533" s="434">
        <v>24</v>
      </c>
      <c r="J533" s="120" t="s">
        <v>48</v>
      </c>
      <c r="K533" s="434" t="s">
        <v>5405</v>
      </c>
      <c r="L533" s="434"/>
      <c r="M533" s="434" t="s">
        <v>1764</v>
      </c>
      <c r="N533" s="730">
        <v>65297</v>
      </c>
      <c r="O533" s="730">
        <v>65297</v>
      </c>
      <c r="P533" s="459">
        <v>65305</v>
      </c>
      <c r="Q533" s="432" t="s">
        <v>51</v>
      </c>
      <c r="R533" s="322"/>
      <c r="S533" s="322"/>
      <c r="T533" s="322"/>
      <c r="U533" s="322"/>
      <c r="V533" s="322"/>
      <c r="W533" s="322"/>
      <c r="X533" s="322"/>
      <c r="Y533" s="322"/>
      <c r="Z533" s="322"/>
      <c r="AA533" s="322"/>
      <c r="AB533" s="322"/>
      <c r="AC533" s="322"/>
      <c r="AD533" s="322"/>
      <c r="AE533" s="322"/>
      <c r="AF533" s="322"/>
      <c r="AG533" s="322"/>
      <c r="AH533" s="322"/>
      <c r="AI533" s="322"/>
      <c r="AJ533" s="322"/>
      <c r="AK533" s="322"/>
      <c r="AL533" s="322"/>
      <c r="AM533" s="322"/>
      <c r="AN533" s="322"/>
      <c r="AO533" s="322"/>
      <c r="AP533" s="322"/>
      <c r="AQ533" s="322"/>
      <c r="AR533" s="322"/>
      <c r="AS533" s="322"/>
      <c r="AT533" s="322"/>
      <c r="AU533" s="322"/>
      <c r="AV533" s="322"/>
      <c r="AW533" s="322"/>
      <c r="AX533" s="322"/>
      <c r="AY533" s="322"/>
      <c r="AZ533" s="322"/>
      <c r="BA533" s="322"/>
      <c r="BB533" s="322"/>
      <c r="BC533" s="322"/>
      <c r="BD533" s="322"/>
      <c r="BE533" s="322"/>
      <c r="BF533" s="322"/>
      <c r="BG533" s="322"/>
      <c r="BH533" s="322"/>
      <c r="BI533" s="322"/>
      <c r="BJ533" s="322"/>
      <c r="BK533" s="322"/>
      <c r="BL533" s="322"/>
      <c r="BM533" s="322"/>
      <c r="BN533" s="322"/>
      <c r="BO533" s="322"/>
      <c r="BP533" s="322"/>
      <c r="BQ533" s="322"/>
      <c r="BR533" s="322"/>
      <c r="BS533" s="322"/>
      <c r="BT533" s="322"/>
      <c r="BU533" s="322"/>
      <c r="BV533" s="322"/>
      <c r="BW533" s="322"/>
      <c r="BX533" s="322"/>
      <c r="BY533" s="322"/>
      <c r="BZ533" s="322"/>
      <c r="CA533" s="322"/>
      <c r="CB533" s="322"/>
      <c r="CC533" s="322"/>
      <c r="CD533" s="322"/>
      <c r="CE533" s="322"/>
      <c r="CF533" s="322"/>
      <c r="CG533" s="322"/>
      <c r="CH533" s="322"/>
      <c r="CI533" s="322"/>
      <c r="CJ533" s="322"/>
      <c r="CK533" s="322"/>
      <c r="CL533" s="322"/>
      <c r="CM533" s="322"/>
      <c r="CN533" s="322"/>
      <c r="CO533" s="322"/>
      <c r="CP533" s="322"/>
      <c r="CQ533" s="322"/>
      <c r="CR533" s="322"/>
      <c r="CS533" s="322"/>
      <c r="CT533" s="322"/>
      <c r="CU533" s="322"/>
      <c r="CV533" s="322"/>
      <c r="CW533" s="322"/>
      <c r="CX533" s="322"/>
      <c r="CY533" s="322"/>
    </row>
    <row r="534" spans="1:103" s="432" customFormat="1">
      <c r="A534" s="509">
        <f t="shared" si="8"/>
        <v>533</v>
      </c>
      <c r="B534" s="1332" t="s">
        <v>43</v>
      </c>
      <c r="C534" s="943" t="s">
        <v>44</v>
      </c>
      <c r="D534" s="943" t="s">
        <v>45</v>
      </c>
      <c r="E534" s="432" t="s">
        <v>5928</v>
      </c>
      <c r="F534" s="434">
        <v>6</v>
      </c>
      <c r="G534" s="434">
        <v>9847823642</v>
      </c>
      <c r="I534" s="434">
        <v>35</v>
      </c>
      <c r="J534" s="120" t="s">
        <v>48</v>
      </c>
      <c r="K534" s="434" t="s">
        <v>5405</v>
      </c>
      <c r="L534" s="434"/>
      <c r="M534" s="434" t="s">
        <v>1764</v>
      </c>
      <c r="N534" s="730">
        <v>65297</v>
      </c>
      <c r="O534" s="730">
        <v>65297</v>
      </c>
      <c r="P534" s="459">
        <v>65305</v>
      </c>
      <c r="Q534" s="432" t="s">
        <v>51</v>
      </c>
      <c r="R534" s="322"/>
      <c r="S534" s="322"/>
      <c r="T534" s="322"/>
      <c r="U534" s="322"/>
      <c r="V534" s="322"/>
      <c r="W534" s="322"/>
      <c r="X534" s="322"/>
      <c r="Y534" s="322"/>
      <c r="Z534" s="322"/>
      <c r="AA534" s="322"/>
      <c r="AB534" s="322"/>
      <c r="AC534" s="322"/>
      <c r="AD534" s="322"/>
      <c r="AE534" s="322"/>
      <c r="AF534" s="322"/>
      <c r="AG534" s="322"/>
      <c r="AH534" s="322"/>
      <c r="AI534" s="322"/>
      <c r="AJ534" s="322"/>
      <c r="AK534" s="322"/>
      <c r="AL534" s="322"/>
      <c r="AM534" s="322"/>
      <c r="AN534" s="322"/>
      <c r="AO534" s="322"/>
      <c r="AP534" s="322"/>
      <c r="AQ534" s="322"/>
      <c r="AR534" s="322"/>
      <c r="AS534" s="322"/>
      <c r="AT534" s="322"/>
      <c r="AU534" s="322"/>
      <c r="AV534" s="322"/>
      <c r="AW534" s="322"/>
      <c r="AX534" s="322"/>
      <c r="AY534" s="322"/>
      <c r="AZ534" s="322"/>
      <c r="BA534" s="322"/>
      <c r="BB534" s="322"/>
      <c r="BC534" s="322"/>
      <c r="BD534" s="322"/>
      <c r="BE534" s="322"/>
      <c r="BF534" s="322"/>
      <c r="BG534" s="322"/>
      <c r="BH534" s="322"/>
      <c r="BI534" s="322"/>
      <c r="BJ534" s="322"/>
      <c r="BK534" s="322"/>
      <c r="BL534" s="322"/>
      <c r="BM534" s="322"/>
      <c r="BN534" s="322"/>
      <c r="BO534" s="322"/>
      <c r="BP534" s="322"/>
      <c r="BQ534" s="322"/>
      <c r="BR534" s="322"/>
      <c r="BS534" s="322"/>
      <c r="BT534" s="322"/>
      <c r="BU534" s="322"/>
      <c r="BV534" s="322"/>
      <c r="BW534" s="322"/>
      <c r="BX534" s="322"/>
      <c r="BY534" s="322"/>
      <c r="BZ534" s="322"/>
      <c r="CA534" s="322"/>
      <c r="CB534" s="322"/>
      <c r="CC534" s="322"/>
      <c r="CD534" s="322"/>
      <c r="CE534" s="322"/>
      <c r="CF534" s="322"/>
      <c r="CG534" s="322"/>
      <c r="CH534" s="322"/>
      <c r="CI534" s="322"/>
      <c r="CJ534" s="322"/>
      <c r="CK534" s="322"/>
      <c r="CL534" s="322"/>
      <c r="CM534" s="322"/>
      <c r="CN534" s="322"/>
      <c r="CO534" s="322"/>
      <c r="CP534" s="322"/>
      <c r="CQ534" s="322"/>
      <c r="CR534" s="322"/>
      <c r="CS534" s="322"/>
      <c r="CT534" s="322"/>
      <c r="CU534" s="322"/>
      <c r="CV534" s="322"/>
      <c r="CW534" s="322"/>
      <c r="CX534" s="322"/>
      <c r="CY534" s="322"/>
    </row>
    <row r="535" spans="1:103" s="432" customFormat="1">
      <c r="A535" s="509">
        <f t="shared" si="8"/>
        <v>534</v>
      </c>
      <c r="B535" s="1332" t="s">
        <v>43</v>
      </c>
      <c r="C535" s="943" t="s">
        <v>44</v>
      </c>
      <c r="D535" s="943" t="s">
        <v>45</v>
      </c>
      <c r="E535" s="432" t="s">
        <v>5929</v>
      </c>
      <c r="F535" s="434">
        <v>5</v>
      </c>
      <c r="G535" s="434">
        <v>9866526970</v>
      </c>
      <c r="I535" s="434">
        <v>43</v>
      </c>
      <c r="J535" s="120" t="s">
        <v>48</v>
      </c>
      <c r="K535" s="434" t="s">
        <v>5405</v>
      </c>
      <c r="L535" s="434"/>
      <c r="M535" s="434" t="s">
        <v>1764</v>
      </c>
      <c r="N535" s="730">
        <v>65297</v>
      </c>
      <c r="O535" s="730">
        <v>65297</v>
      </c>
      <c r="P535" s="459">
        <v>65305</v>
      </c>
      <c r="Q535" s="432" t="s">
        <v>51</v>
      </c>
      <c r="R535" s="322"/>
      <c r="S535" s="322"/>
      <c r="T535" s="322"/>
      <c r="U535" s="322"/>
      <c r="V535" s="322"/>
      <c r="W535" s="322"/>
      <c r="X535" s="322"/>
      <c r="Y535" s="322"/>
      <c r="Z535" s="322"/>
      <c r="AA535" s="322"/>
      <c r="AB535" s="322"/>
      <c r="AC535" s="322"/>
      <c r="AD535" s="322"/>
      <c r="AE535" s="322"/>
      <c r="AF535" s="322"/>
      <c r="AG535" s="322"/>
      <c r="AH535" s="322"/>
      <c r="AI535" s="322"/>
      <c r="AJ535" s="322"/>
      <c r="AK535" s="322"/>
      <c r="AL535" s="322"/>
      <c r="AM535" s="322"/>
      <c r="AN535" s="322"/>
      <c r="AO535" s="322"/>
      <c r="AP535" s="322"/>
      <c r="AQ535" s="322"/>
      <c r="AR535" s="322"/>
      <c r="AS535" s="322"/>
      <c r="AT535" s="322"/>
      <c r="AU535" s="322"/>
      <c r="AV535" s="322"/>
      <c r="AW535" s="322"/>
      <c r="AX535" s="322"/>
      <c r="AY535" s="322"/>
      <c r="AZ535" s="322"/>
      <c r="BA535" s="322"/>
      <c r="BB535" s="322"/>
      <c r="BC535" s="322"/>
      <c r="BD535" s="322"/>
      <c r="BE535" s="322"/>
      <c r="BF535" s="322"/>
      <c r="BG535" s="322"/>
      <c r="BH535" s="322"/>
      <c r="BI535" s="322"/>
      <c r="BJ535" s="322"/>
      <c r="BK535" s="322"/>
      <c r="BL535" s="322"/>
      <c r="BM535" s="322"/>
      <c r="BN535" s="322"/>
      <c r="BO535" s="322"/>
      <c r="BP535" s="322"/>
      <c r="BQ535" s="322"/>
      <c r="BR535" s="322"/>
      <c r="BS535" s="322"/>
      <c r="BT535" s="322"/>
      <c r="BU535" s="322"/>
      <c r="BV535" s="322"/>
      <c r="BW535" s="322"/>
      <c r="BX535" s="322"/>
      <c r="BY535" s="322"/>
      <c r="BZ535" s="322"/>
      <c r="CA535" s="322"/>
      <c r="CB535" s="322"/>
      <c r="CC535" s="322"/>
      <c r="CD535" s="322"/>
      <c r="CE535" s="322"/>
      <c r="CF535" s="322"/>
      <c r="CG535" s="322"/>
      <c r="CH535" s="322"/>
      <c r="CI535" s="322"/>
      <c r="CJ535" s="322"/>
      <c r="CK535" s="322"/>
      <c r="CL535" s="322"/>
      <c r="CM535" s="322"/>
      <c r="CN535" s="322"/>
      <c r="CO535" s="322"/>
      <c r="CP535" s="322"/>
      <c r="CQ535" s="322"/>
      <c r="CR535" s="322"/>
      <c r="CS535" s="322"/>
      <c r="CT535" s="322"/>
      <c r="CU535" s="322"/>
      <c r="CV535" s="322"/>
      <c r="CW535" s="322"/>
      <c r="CX535" s="322"/>
      <c r="CY535" s="322"/>
    </row>
    <row r="536" spans="1:103" s="432" customFormat="1">
      <c r="A536" s="509">
        <f t="shared" si="8"/>
        <v>535</v>
      </c>
      <c r="B536" s="1332" t="s">
        <v>43</v>
      </c>
      <c r="C536" s="943" t="s">
        <v>44</v>
      </c>
      <c r="D536" s="943" t="s">
        <v>45</v>
      </c>
      <c r="E536" s="432" t="s">
        <v>5930</v>
      </c>
      <c r="F536" s="434">
        <v>5</v>
      </c>
      <c r="G536" s="434">
        <v>984176484</v>
      </c>
      <c r="I536" s="434">
        <v>52</v>
      </c>
      <c r="J536" s="120" t="s">
        <v>48</v>
      </c>
      <c r="K536" s="434" t="s">
        <v>5405</v>
      </c>
      <c r="L536" s="434"/>
      <c r="M536" s="434" t="s">
        <v>1764</v>
      </c>
      <c r="N536" s="730">
        <v>65297</v>
      </c>
      <c r="O536" s="730">
        <v>65297</v>
      </c>
      <c r="P536" s="459">
        <v>65305</v>
      </c>
      <c r="Q536" s="432" t="s">
        <v>51</v>
      </c>
      <c r="R536" s="322"/>
      <c r="S536" s="322"/>
      <c r="T536" s="322"/>
      <c r="U536" s="322"/>
      <c r="V536" s="322"/>
      <c r="W536" s="322"/>
      <c r="X536" s="322"/>
      <c r="Y536" s="322"/>
      <c r="Z536" s="322"/>
      <c r="AA536" s="322"/>
      <c r="AB536" s="322"/>
      <c r="AC536" s="322"/>
      <c r="AD536" s="322"/>
      <c r="AE536" s="322"/>
      <c r="AF536" s="322"/>
      <c r="AG536" s="322"/>
      <c r="AH536" s="322"/>
      <c r="AI536" s="322"/>
      <c r="AJ536" s="322"/>
      <c r="AK536" s="322"/>
      <c r="AL536" s="322"/>
      <c r="AM536" s="322"/>
      <c r="AN536" s="322"/>
      <c r="AO536" s="322"/>
      <c r="AP536" s="322"/>
      <c r="AQ536" s="322"/>
      <c r="AR536" s="322"/>
      <c r="AS536" s="322"/>
      <c r="AT536" s="322"/>
      <c r="AU536" s="322"/>
      <c r="AV536" s="322"/>
      <c r="AW536" s="322"/>
      <c r="AX536" s="322"/>
      <c r="AY536" s="322"/>
      <c r="AZ536" s="322"/>
      <c r="BA536" s="322"/>
      <c r="BB536" s="322"/>
      <c r="BC536" s="322"/>
      <c r="BD536" s="322"/>
      <c r="BE536" s="322"/>
      <c r="BF536" s="322"/>
      <c r="BG536" s="322"/>
      <c r="BH536" s="322"/>
      <c r="BI536" s="322"/>
      <c r="BJ536" s="322"/>
      <c r="BK536" s="322"/>
      <c r="BL536" s="322"/>
      <c r="BM536" s="322"/>
      <c r="BN536" s="322"/>
      <c r="BO536" s="322"/>
      <c r="BP536" s="322"/>
      <c r="BQ536" s="322"/>
      <c r="BR536" s="322"/>
      <c r="BS536" s="322"/>
      <c r="BT536" s="322"/>
      <c r="BU536" s="322"/>
      <c r="BV536" s="322"/>
      <c r="BW536" s="322"/>
      <c r="BX536" s="322"/>
      <c r="BY536" s="322"/>
      <c r="BZ536" s="322"/>
      <c r="CA536" s="322"/>
      <c r="CB536" s="322"/>
      <c r="CC536" s="322"/>
      <c r="CD536" s="322"/>
      <c r="CE536" s="322"/>
      <c r="CF536" s="322"/>
      <c r="CG536" s="322"/>
      <c r="CH536" s="322"/>
      <c r="CI536" s="322"/>
      <c r="CJ536" s="322"/>
      <c r="CK536" s="322"/>
      <c r="CL536" s="322"/>
      <c r="CM536" s="322"/>
      <c r="CN536" s="322"/>
      <c r="CO536" s="322"/>
      <c r="CP536" s="322"/>
      <c r="CQ536" s="322"/>
      <c r="CR536" s="322"/>
      <c r="CS536" s="322"/>
      <c r="CT536" s="322"/>
      <c r="CU536" s="322"/>
      <c r="CV536" s="322"/>
      <c r="CW536" s="322"/>
      <c r="CX536" s="322"/>
      <c r="CY536" s="322"/>
    </row>
    <row r="537" spans="1:103" s="432" customFormat="1">
      <c r="A537" s="509">
        <f t="shared" si="8"/>
        <v>536</v>
      </c>
      <c r="B537" s="1332" t="s">
        <v>43</v>
      </c>
      <c r="C537" s="943" t="s">
        <v>44</v>
      </c>
      <c r="D537" s="943" t="s">
        <v>45</v>
      </c>
      <c r="E537" s="432" t="s">
        <v>5931</v>
      </c>
      <c r="F537" s="434">
        <v>5</v>
      </c>
      <c r="G537" s="434">
        <v>98578910006</v>
      </c>
      <c r="I537" s="434">
        <v>30</v>
      </c>
      <c r="J537" s="120" t="s">
        <v>48</v>
      </c>
      <c r="K537" s="434" t="s">
        <v>5405</v>
      </c>
      <c r="L537" s="434"/>
      <c r="M537" s="434" t="s">
        <v>1764</v>
      </c>
      <c r="N537" s="730">
        <v>65297</v>
      </c>
      <c r="O537" s="730">
        <v>65297</v>
      </c>
      <c r="P537" s="459">
        <v>65305</v>
      </c>
      <c r="Q537" s="432" t="s">
        <v>51</v>
      </c>
      <c r="R537" s="322"/>
      <c r="S537" s="322"/>
      <c r="T537" s="322"/>
      <c r="U537" s="322"/>
      <c r="V537" s="322"/>
      <c r="W537" s="322"/>
      <c r="X537" s="322"/>
      <c r="Y537" s="322"/>
      <c r="Z537" s="322"/>
      <c r="AA537" s="322"/>
      <c r="AB537" s="322"/>
      <c r="AC537" s="322"/>
      <c r="AD537" s="322"/>
      <c r="AE537" s="322"/>
      <c r="AF537" s="322"/>
      <c r="AG537" s="322"/>
      <c r="AH537" s="322"/>
      <c r="AI537" s="322"/>
      <c r="AJ537" s="322"/>
      <c r="AK537" s="322"/>
      <c r="AL537" s="322"/>
      <c r="AM537" s="322"/>
      <c r="AN537" s="322"/>
      <c r="AO537" s="322"/>
      <c r="AP537" s="322"/>
      <c r="AQ537" s="322"/>
      <c r="AR537" s="322"/>
      <c r="AS537" s="322"/>
      <c r="AT537" s="322"/>
      <c r="AU537" s="322"/>
      <c r="AV537" s="322"/>
      <c r="AW537" s="322"/>
      <c r="AX537" s="322"/>
      <c r="AY537" s="322"/>
      <c r="AZ537" s="322"/>
      <c r="BA537" s="322"/>
      <c r="BB537" s="322"/>
      <c r="BC537" s="322"/>
      <c r="BD537" s="322"/>
      <c r="BE537" s="322"/>
      <c r="BF537" s="322"/>
      <c r="BG537" s="322"/>
      <c r="BH537" s="322"/>
      <c r="BI537" s="322"/>
      <c r="BJ537" s="322"/>
      <c r="BK537" s="322"/>
      <c r="BL537" s="322"/>
      <c r="BM537" s="322"/>
      <c r="BN537" s="322"/>
      <c r="BO537" s="322"/>
      <c r="BP537" s="322"/>
      <c r="BQ537" s="322"/>
      <c r="BR537" s="322"/>
      <c r="BS537" s="322"/>
      <c r="BT537" s="322"/>
      <c r="BU537" s="322"/>
      <c r="BV537" s="322"/>
      <c r="BW537" s="322"/>
      <c r="BX537" s="322"/>
      <c r="BY537" s="322"/>
      <c r="BZ537" s="322"/>
      <c r="CA537" s="322"/>
      <c r="CB537" s="322"/>
      <c r="CC537" s="322"/>
      <c r="CD537" s="322"/>
      <c r="CE537" s="322"/>
      <c r="CF537" s="322"/>
      <c r="CG537" s="322"/>
      <c r="CH537" s="322"/>
      <c r="CI537" s="322"/>
      <c r="CJ537" s="322"/>
      <c r="CK537" s="322"/>
      <c r="CL537" s="322"/>
      <c r="CM537" s="322"/>
      <c r="CN537" s="322"/>
      <c r="CO537" s="322"/>
      <c r="CP537" s="322"/>
      <c r="CQ537" s="322"/>
      <c r="CR537" s="322"/>
      <c r="CS537" s="322"/>
      <c r="CT537" s="322"/>
      <c r="CU537" s="322"/>
      <c r="CV537" s="322"/>
      <c r="CW537" s="322"/>
      <c r="CX537" s="322"/>
      <c r="CY537" s="322"/>
    </row>
    <row r="538" spans="1:103" s="432" customFormat="1">
      <c r="A538" s="509">
        <f t="shared" si="8"/>
        <v>537</v>
      </c>
      <c r="B538" s="1332" t="s">
        <v>43</v>
      </c>
      <c r="C538" s="943" t="s">
        <v>44</v>
      </c>
      <c r="D538" s="943" t="s">
        <v>45</v>
      </c>
      <c r="E538" s="432" t="s">
        <v>5891</v>
      </c>
      <c r="F538" s="434">
        <v>17</v>
      </c>
      <c r="G538" s="434">
        <v>9841539432</v>
      </c>
      <c r="I538" s="434">
        <v>31</v>
      </c>
      <c r="J538" s="434" t="s">
        <v>90</v>
      </c>
      <c r="K538" s="434" t="s">
        <v>3293</v>
      </c>
      <c r="L538" s="434"/>
      <c r="M538" s="434" t="s">
        <v>1764</v>
      </c>
      <c r="N538" s="730">
        <v>65298</v>
      </c>
      <c r="O538" s="730">
        <v>65298</v>
      </c>
      <c r="P538" s="459">
        <v>65306</v>
      </c>
      <c r="Q538" s="432" t="s">
        <v>51</v>
      </c>
      <c r="R538" s="322"/>
      <c r="S538" s="322"/>
      <c r="T538" s="322"/>
      <c r="U538" s="322"/>
      <c r="V538" s="322"/>
      <c r="W538" s="322"/>
      <c r="X538" s="322"/>
      <c r="Y538" s="322"/>
      <c r="Z538" s="322"/>
      <c r="AA538" s="322"/>
      <c r="AB538" s="322"/>
      <c r="AC538" s="322"/>
      <c r="AD538" s="322"/>
      <c r="AE538" s="322"/>
      <c r="AF538" s="322"/>
      <c r="AG538" s="322"/>
      <c r="AH538" s="322"/>
      <c r="AI538" s="322"/>
      <c r="AJ538" s="322"/>
      <c r="AK538" s="322"/>
      <c r="AL538" s="322"/>
      <c r="AM538" s="322"/>
      <c r="AN538" s="322"/>
      <c r="AO538" s="322"/>
      <c r="AP538" s="322"/>
      <c r="AQ538" s="322"/>
      <c r="AR538" s="322"/>
      <c r="AS538" s="322"/>
      <c r="AT538" s="322"/>
      <c r="AU538" s="322"/>
      <c r="AV538" s="322"/>
      <c r="AW538" s="322"/>
      <c r="AX538" s="322"/>
      <c r="AY538" s="322"/>
      <c r="AZ538" s="322"/>
      <c r="BA538" s="322"/>
      <c r="BB538" s="322"/>
      <c r="BC538" s="322"/>
      <c r="BD538" s="322"/>
      <c r="BE538" s="322"/>
      <c r="BF538" s="322"/>
      <c r="BG538" s="322"/>
      <c r="BH538" s="322"/>
      <c r="BI538" s="322"/>
      <c r="BJ538" s="322"/>
      <c r="BK538" s="322"/>
      <c r="BL538" s="322"/>
      <c r="BM538" s="322"/>
      <c r="BN538" s="322"/>
      <c r="BO538" s="322"/>
      <c r="BP538" s="322"/>
      <c r="BQ538" s="322"/>
      <c r="BR538" s="322"/>
      <c r="BS538" s="322"/>
      <c r="BT538" s="322"/>
      <c r="BU538" s="322"/>
      <c r="BV538" s="322"/>
      <c r="BW538" s="322"/>
      <c r="BX538" s="322"/>
      <c r="BY538" s="322"/>
      <c r="BZ538" s="322"/>
      <c r="CA538" s="322"/>
      <c r="CB538" s="322"/>
      <c r="CC538" s="322"/>
      <c r="CD538" s="322"/>
      <c r="CE538" s="322"/>
      <c r="CF538" s="322"/>
      <c r="CG538" s="322"/>
      <c r="CH538" s="322"/>
      <c r="CI538" s="322"/>
      <c r="CJ538" s="322"/>
      <c r="CK538" s="322"/>
      <c r="CL538" s="322"/>
      <c r="CM538" s="322"/>
      <c r="CN538" s="322"/>
      <c r="CO538" s="322"/>
      <c r="CP538" s="322"/>
      <c r="CQ538" s="322"/>
      <c r="CR538" s="322"/>
      <c r="CS538" s="322"/>
      <c r="CT538" s="322"/>
      <c r="CU538" s="322"/>
      <c r="CV538" s="322"/>
      <c r="CW538" s="322"/>
      <c r="CX538" s="322"/>
      <c r="CY538" s="322"/>
    </row>
    <row r="539" spans="1:103" s="432" customFormat="1">
      <c r="A539" s="509">
        <f t="shared" si="8"/>
        <v>538</v>
      </c>
      <c r="B539" s="1332" t="s">
        <v>43</v>
      </c>
      <c r="C539" s="943" t="s">
        <v>44</v>
      </c>
      <c r="D539" s="943" t="s">
        <v>45</v>
      </c>
      <c r="E539" s="432" t="s">
        <v>5892</v>
      </c>
      <c r="F539" s="434">
        <v>5</v>
      </c>
      <c r="G539" s="434">
        <v>9866945519</v>
      </c>
      <c r="I539" s="434">
        <v>71</v>
      </c>
      <c r="J539" s="434" t="s">
        <v>90</v>
      </c>
      <c r="K539" s="434" t="s">
        <v>3293</v>
      </c>
      <c r="L539" s="434"/>
      <c r="M539" s="434" t="s">
        <v>1764</v>
      </c>
      <c r="N539" s="730">
        <v>65298</v>
      </c>
      <c r="O539" s="730">
        <v>65298</v>
      </c>
      <c r="P539" s="459">
        <v>65306</v>
      </c>
      <c r="Q539" s="432" t="s">
        <v>51</v>
      </c>
      <c r="R539" s="322"/>
      <c r="S539" s="322"/>
      <c r="T539" s="322"/>
      <c r="U539" s="322"/>
      <c r="V539" s="322"/>
      <c r="W539" s="322"/>
      <c r="X539" s="322"/>
      <c r="Y539" s="322"/>
      <c r="Z539" s="322"/>
      <c r="AA539" s="322"/>
      <c r="AB539" s="322"/>
      <c r="AC539" s="322"/>
      <c r="AD539" s="322"/>
      <c r="AE539" s="322"/>
      <c r="AF539" s="322"/>
      <c r="AG539" s="322"/>
      <c r="AH539" s="322"/>
      <c r="AI539" s="322"/>
      <c r="AJ539" s="322"/>
      <c r="AK539" s="322"/>
      <c r="AL539" s="322"/>
      <c r="AM539" s="322"/>
      <c r="AN539" s="322"/>
      <c r="AO539" s="322"/>
      <c r="AP539" s="322"/>
      <c r="AQ539" s="322"/>
      <c r="AR539" s="322"/>
      <c r="AS539" s="322"/>
      <c r="AT539" s="322"/>
      <c r="AU539" s="322"/>
      <c r="AV539" s="322"/>
      <c r="AW539" s="322"/>
      <c r="AX539" s="322"/>
      <c r="AY539" s="322"/>
      <c r="AZ539" s="322"/>
      <c r="BA539" s="322"/>
      <c r="BB539" s="322"/>
      <c r="BC539" s="322"/>
      <c r="BD539" s="322"/>
      <c r="BE539" s="322"/>
      <c r="BF539" s="322"/>
      <c r="BG539" s="322"/>
      <c r="BH539" s="322"/>
      <c r="BI539" s="322"/>
      <c r="BJ539" s="322"/>
      <c r="BK539" s="322"/>
      <c r="BL539" s="322"/>
      <c r="BM539" s="322"/>
      <c r="BN539" s="322"/>
      <c r="BO539" s="322"/>
      <c r="BP539" s="322"/>
      <c r="BQ539" s="322"/>
      <c r="BR539" s="322"/>
      <c r="BS539" s="322"/>
      <c r="BT539" s="322"/>
      <c r="BU539" s="322"/>
      <c r="BV539" s="322"/>
      <c r="BW539" s="322"/>
      <c r="BX539" s="322"/>
      <c r="BY539" s="322"/>
      <c r="BZ539" s="322"/>
      <c r="CA539" s="322"/>
      <c r="CB539" s="322"/>
      <c r="CC539" s="322"/>
      <c r="CD539" s="322"/>
      <c r="CE539" s="322"/>
      <c r="CF539" s="322"/>
      <c r="CG539" s="322"/>
      <c r="CH539" s="322"/>
      <c r="CI539" s="322"/>
      <c r="CJ539" s="322"/>
      <c r="CK539" s="322"/>
      <c r="CL539" s="322"/>
      <c r="CM539" s="322"/>
      <c r="CN539" s="322"/>
      <c r="CO539" s="322"/>
      <c r="CP539" s="322"/>
      <c r="CQ539" s="322"/>
      <c r="CR539" s="322"/>
      <c r="CS539" s="322"/>
      <c r="CT539" s="322"/>
      <c r="CU539" s="322"/>
      <c r="CV539" s="322"/>
      <c r="CW539" s="322"/>
      <c r="CX539" s="322"/>
      <c r="CY539" s="322"/>
    </row>
    <row r="540" spans="1:103" s="432" customFormat="1">
      <c r="A540" s="509">
        <f t="shared" si="8"/>
        <v>539</v>
      </c>
      <c r="B540" s="1332" t="s">
        <v>43</v>
      </c>
      <c r="C540" s="943" t="s">
        <v>44</v>
      </c>
      <c r="D540" s="943" t="s">
        <v>45</v>
      </c>
      <c r="E540" s="432" t="s">
        <v>5043</v>
      </c>
      <c r="F540" s="434">
        <v>5</v>
      </c>
      <c r="G540" s="434">
        <v>9869597361</v>
      </c>
      <c r="I540" s="434">
        <v>30</v>
      </c>
      <c r="J540" s="120" t="s">
        <v>48</v>
      </c>
      <c r="K540" s="434" t="s">
        <v>3293</v>
      </c>
      <c r="L540" s="434"/>
      <c r="M540" s="434" t="s">
        <v>1764</v>
      </c>
      <c r="N540" s="730">
        <v>65298</v>
      </c>
      <c r="O540" s="730">
        <v>65298</v>
      </c>
      <c r="P540" s="459">
        <v>65306</v>
      </c>
      <c r="Q540" s="432" t="s">
        <v>51</v>
      </c>
      <c r="R540" s="322"/>
      <c r="S540" s="322"/>
      <c r="T540" s="322"/>
      <c r="U540" s="322"/>
      <c r="V540" s="322"/>
      <c r="W540" s="322"/>
      <c r="X540" s="322"/>
      <c r="Y540" s="322"/>
      <c r="Z540" s="322"/>
      <c r="AA540" s="322"/>
      <c r="AB540" s="322"/>
      <c r="AC540" s="322"/>
      <c r="AD540" s="322"/>
      <c r="AE540" s="322"/>
      <c r="AF540" s="322"/>
      <c r="AG540" s="322"/>
      <c r="AH540" s="322"/>
      <c r="AI540" s="322"/>
      <c r="AJ540" s="322"/>
      <c r="AK540" s="322"/>
      <c r="AL540" s="322"/>
      <c r="AM540" s="322"/>
      <c r="AN540" s="322"/>
      <c r="AO540" s="322"/>
      <c r="AP540" s="322"/>
      <c r="AQ540" s="322"/>
      <c r="AR540" s="322"/>
      <c r="AS540" s="322"/>
      <c r="AT540" s="322"/>
      <c r="AU540" s="322"/>
      <c r="AV540" s="322"/>
      <c r="AW540" s="322"/>
      <c r="AX540" s="322"/>
      <c r="AY540" s="322"/>
      <c r="AZ540" s="322"/>
      <c r="BA540" s="322"/>
      <c r="BB540" s="322"/>
      <c r="BC540" s="322"/>
      <c r="BD540" s="322"/>
      <c r="BE540" s="322"/>
      <c r="BF540" s="322"/>
      <c r="BG540" s="322"/>
      <c r="BH540" s="322"/>
      <c r="BI540" s="322"/>
      <c r="BJ540" s="322"/>
      <c r="BK540" s="322"/>
      <c r="BL540" s="322"/>
      <c r="BM540" s="322"/>
      <c r="BN540" s="322"/>
      <c r="BO540" s="322"/>
      <c r="BP540" s="322"/>
      <c r="BQ540" s="322"/>
      <c r="BR540" s="322"/>
      <c r="BS540" s="322"/>
      <c r="BT540" s="322"/>
      <c r="BU540" s="322"/>
      <c r="BV540" s="322"/>
      <c r="BW540" s="322"/>
      <c r="BX540" s="322"/>
      <c r="BY540" s="322"/>
      <c r="BZ540" s="322"/>
      <c r="CA540" s="322"/>
      <c r="CB540" s="322"/>
      <c r="CC540" s="322"/>
      <c r="CD540" s="322"/>
      <c r="CE540" s="322"/>
      <c r="CF540" s="322"/>
      <c r="CG540" s="322"/>
      <c r="CH540" s="322"/>
      <c r="CI540" s="322"/>
      <c r="CJ540" s="322"/>
      <c r="CK540" s="322"/>
      <c r="CL540" s="322"/>
      <c r="CM540" s="322"/>
      <c r="CN540" s="322"/>
      <c r="CO540" s="322"/>
      <c r="CP540" s="322"/>
      <c r="CQ540" s="322"/>
      <c r="CR540" s="322"/>
      <c r="CS540" s="322"/>
      <c r="CT540" s="322"/>
      <c r="CU540" s="322"/>
      <c r="CV540" s="322"/>
      <c r="CW540" s="322"/>
      <c r="CX540" s="322"/>
      <c r="CY540" s="322"/>
    </row>
    <row r="541" spans="1:103" s="432" customFormat="1">
      <c r="A541" s="509">
        <f t="shared" si="8"/>
        <v>540</v>
      </c>
      <c r="B541" s="1332" t="s">
        <v>43</v>
      </c>
      <c r="C541" s="943" t="s">
        <v>44</v>
      </c>
      <c r="D541" s="943" t="s">
        <v>45</v>
      </c>
      <c r="E541" s="432" t="s">
        <v>5191</v>
      </c>
      <c r="F541" s="434">
        <v>6</v>
      </c>
      <c r="G541" s="434">
        <v>9857813977</v>
      </c>
      <c r="I541" s="434">
        <v>58</v>
      </c>
      <c r="J541" s="120" t="s">
        <v>48</v>
      </c>
      <c r="K541" s="434" t="s">
        <v>3293</v>
      </c>
      <c r="L541" s="434"/>
      <c r="M541" s="434" t="s">
        <v>1764</v>
      </c>
      <c r="N541" s="730">
        <v>65298</v>
      </c>
      <c r="O541" s="730">
        <v>65298</v>
      </c>
      <c r="P541" s="459">
        <v>65306</v>
      </c>
      <c r="Q541" s="432" t="s">
        <v>51</v>
      </c>
      <c r="R541" s="322"/>
      <c r="S541" s="322"/>
      <c r="T541" s="322"/>
      <c r="U541" s="322"/>
      <c r="V541" s="322"/>
      <c r="W541" s="322"/>
      <c r="X541" s="322"/>
      <c r="Y541" s="322"/>
      <c r="Z541" s="322"/>
      <c r="AA541" s="322"/>
      <c r="AB541" s="322"/>
      <c r="AC541" s="322"/>
      <c r="AD541" s="322"/>
      <c r="AE541" s="322"/>
      <c r="AF541" s="322"/>
      <c r="AG541" s="322"/>
      <c r="AH541" s="322"/>
      <c r="AI541" s="322"/>
      <c r="AJ541" s="322"/>
      <c r="AK541" s="322"/>
      <c r="AL541" s="322"/>
      <c r="AM541" s="322"/>
      <c r="AN541" s="322"/>
      <c r="AO541" s="322"/>
      <c r="AP541" s="322"/>
      <c r="AQ541" s="322"/>
      <c r="AR541" s="322"/>
      <c r="AS541" s="322"/>
      <c r="AT541" s="322"/>
      <c r="AU541" s="322"/>
      <c r="AV541" s="322"/>
      <c r="AW541" s="322"/>
      <c r="AX541" s="322"/>
      <c r="AY541" s="322"/>
      <c r="AZ541" s="322"/>
      <c r="BA541" s="322"/>
      <c r="BB541" s="322"/>
      <c r="BC541" s="322"/>
      <c r="BD541" s="322"/>
      <c r="BE541" s="322"/>
      <c r="BF541" s="322"/>
      <c r="BG541" s="322"/>
      <c r="BH541" s="322"/>
      <c r="BI541" s="322"/>
      <c r="BJ541" s="322"/>
      <c r="BK541" s="322"/>
      <c r="BL541" s="322"/>
      <c r="BM541" s="322"/>
      <c r="BN541" s="322"/>
      <c r="BO541" s="322"/>
      <c r="BP541" s="322"/>
      <c r="BQ541" s="322"/>
      <c r="BR541" s="322"/>
      <c r="BS541" s="322"/>
      <c r="BT541" s="322"/>
      <c r="BU541" s="322"/>
      <c r="BV541" s="322"/>
      <c r="BW541" s="322"/>
      <c r="BX541" s="322"/>
      <c r="BY541" s="322"/>
      <c r="BZ541" s="322"/>
      <c r="CA541" s="322"/>
      <c r="CB541" s="322"/>
      <c r="CC541" s="322"/>
      <c r="CD541" s="322"/>
      <c r="CE541" s="322"/>
      <c r="CF541" s="322"/>
      <c r="CG541" s="322"/>
      <c r="CH541" s="322"/>
      <c r="CI541" s="322"/>
      <c r="CJ541" s="322"/>
      <c r="CK541" s="322"/>
      <c r="CL541" s="322"/>
      <c r="CM541" s="322"/>
      <c r="CN541" s="322"/>
      <c r="CO541" s="322"/>
      <c r="CP541" s="322"/>
      <c r="CQ541" s="322"/>
      <c r="CR541" s="322"/>
      <c r="CS541" s="322"/>
      <c r="CT541" s="322"/>
      <c r="CU541" s="322"/>
      <c r="CV541" s="322"/>
      <c r="CW541" s="322"/>
      <c r="CX541" s="322"/>
      <c r="CY541" s="322"/>
    </row>
    <row r="542" spans="1:103" s="432" customFormat="1">
      <c r="A542" s="509">
        <f t="shared" si="8"/>
        <v>541</v>
      </c>
      <c r="B542" s="1332" t="s">
        <v>43</v>
      </c>
      <c r="C542" s="943" t="s">
        <v>44</v>
      </c>
      <c r="D542" s="943" t="s">
        <v>45</v>
      </c>
      <c r="E542" s="432" t="s">
        <v>5893</v>
      </c>
      <c r="F542" s="434">
        <v>5</v>
      </c>
      <c r="G542" s="434"/>
      <c r="I542" s="434">
        <v>68</v>
      </c>
      <c r="J542" s="434" t="s">
        <v>90</v>
      </c>
      <c r="K542" s="434" t="s">
        <v>3293</v>
      </c>
      <c r="L542" s="434"/>
      <c r="M542" s="434" t="s">
        <v>1764</v>
      </c>
      <c r="N542" s="730">
        <v>65298</v>
      </c>
      <c r="O542" s="730">
        <v>65298</v>
      </c>
      <c r="P542" s="459">
        <v>65306</v>
      </c>
      <c r="Q542" s="432" t="s">
        <v>51</v>
      </c>
      <c r="R542" s="322"/>
      <c r="S542" s="322"/>
      <c r="T542" s="322"/>
      <c r="U542" s="322"/>
      <c r="V542" s="322"/>
      <c r="W542" s="322"/>
      <c r="X542" s="322"/>
      <c r="Y542" s="322"/>
      <c r="Z542" s="322"/>
      <c r="AA542" s="322"/>
      <c r="AB542" s="322"/>
      <c r="AC542" s="322"/>
      <c r="AD542" s="322"/>
      <c r="AE542" s="322"/>
      <c r="AF542" s="322"/>
      <c r="AG542" s="322"/>
      <c r="AH542" s="322"/>
      <c r="AI542" s="322"/>
      <c r="AJ542" s="322"/>
      <c r="AK542" s="322"/>
      <c r="AL542" s="322"/>
      <c r="AM542" s="322"/>
      <c r="AN542" s="322"/>
      <c r="AO542" s="322"/>
      <c r="AP542" s="322"/>
      <c r="AQ542" s="322"/>
      <c r="AR542" s="322"/>
      <c r="AS542" s="322"/>
      <c r="AT542" s="322"/>
      <c r="AU542" s="322"/>
      <c r="AV542" s="322"/>
      <c r="AW542" s="322"/>
      <c r="AX542" s="322"/>
      <c r="AY542" s="322"/>
      <c r="AZ542" s="322"/>
      <c r="BA542" s="322"/>
      <c r="BB542" s="322"/>
      <c r="BC542" s="322"/>
      <c r="BD542" s="322"/>
      <c r="BE542" s="322"/>
      <c r="BF542" s="322"/>
      <c r="BG542" s="322"/>
      <c r="BH542" s="322"/>
      <c r="BI542" s="322"/>
      <c r="BJ542" s="322"/>
      <c r="BK542" s="322"/>
      <c r="BL542" s="322"/>
      <c r="BM542" s="322"/>
      <c r="BN542" s="322"/>
      <c r="BO542" s="322"/>
      <c r="BP542" s="322"/>
      <c r="BQ542" s="322"/>
      <c r="BR542" s="322"/>
      <c r="BS542" s="322"/>
      <c r="BT542" s="322"/>
      <c r="BU542" s="322"/>
      <c r="BV542" s="322"/>
      <c r="BW542" s="322"/>
      <c r="BX542" s="322"/>
      <c r="BY542" s="322"/>
      <c r="BZ542" s="322"/>
      <c r="CA542" s="322"/>
      <c r="CB542" s="322"/>
      <c r="CC542" s="322"/>
      <c r="CD542" s="322"/>
      <c r="CE542" s="322"/>
      <c r="CF542" s="322"/>
      <c r="CG542" s="322"/>
      <c r="CH542" s="322"/>
      <c r="CI542" s="322"/>
      <c r="CJ542" s="322"/>
      <c r="CK542" s="322"/>
      <c r="CL542" s="322"/>
      <c r="CM542" s="322"/>
      <c r="CN542" s="322"/>
      <c r="CO542" s="322"/>
      <c r="CP542" s="322"/>
      <c r="CQ542" s="322"/>
      <c r="CR542" s="322"/>
      <c r="CS542" s="322"/>
      <c r="CT542" s="322"/>
      <c r="CU542" s="322"/>
      <c r="CV542" s="322"/>
      <c r="CW542" s="322"/>
      <c r="CX542" s="322"/>
      <c r="CY542" s="322"/>
    </row>
    <row r="543" spans="1:103" s="432" customFormat="1">
      <c r="A543" s="509">
        <f t="shared" si="8"/>
        <v>542</v>
      </c>
      <c r="B543" s="1332" t="s">
        <v>43</v>
      </c>
      <c r="C543" s="943" t="s">
        <v>44</v>
      </c>
      <c r="D543" s="943" t="s">
        <v>45</v>
      </c>
      <c r="E543" s="432" t="s">
        <v>5894</v>
      </c>
      <c r="F543" s="434">
        <v>6</v>
      </c>
      <c r="G543" s="434">
        <v>9812989827</v>
      </c>
      <c r="I543" s="434">
        <v>35</v>
      </c>
      <c r="J543" s="120" t="s">
        <v>48</v>
      </c>
      <c r="K543" s="434" t="s">
        <v>3293</v>
      </c>
      <c r="L543" s="434"/>
      <c r="M543" s="434" t="s">
        <v>1764</v>
      </c>
      <c r="N543" s="730">
        <v>65298</v>
      </c>
      <c r="O543" s="730">
        <v>65298</v>
      </c>
      <c r="P543" s="459">
        <v>65306</v>
      </c>
      <c r="Q543" s="432" t="s">
        <v>51</v>
      </c>
      <c r="R543" s="322"/>
      <c r="S543" s="322"/>
      <c r="T543" s="322"/>
      <c r="U543" s="322"/>
      <c r="V543" s="322"/>
      <c r="W543" s="322"/>
      <c r="X543" s="322"/>
      <c r="Y543" s="322"/>
      <c r="Z543" s="322"/>
      <c r="AA543" s="322"/>
      <c r="AB543" s="322"/>
      <c r="AC543" s="322"/>
      <c r="AD543" s="322"/>
      <c r="AE543" s="322"/>
      <c r="AF543" s="322"/>
      <c r="AG543" s="322"/>
      <c r="AH543" s="322"/>
      <c r="AI543" s="322"/>
      <c r="AJ543" s="322"/>
      <c r="AK543" s="322"/>
      <c r="AL543" s="322"/>
      <c r="AM543" s="322"/>
      <c r="AN543" s="322"/>
      <c r="AO543" s="322"/>
      <c r="AP543" s="322"/>
      <c r="AQ543" s="322"/>
      <c r="AR543" s="322"/>
      <c r="AS543" s="322"/>
      <c r="AT543" s="322"/>
      <c r="AU543" s="322"/>
      <c r="AV543" s="322"/>
      <c r="AW543" s="322"/>
      <c r="AX543" s="322"/>
      <c r="AY543" s="322"/>
      <c r="AZ543" s="322"/>
      <c r="BA543" s="322"/>
      <c r="BB543" s="322"/>
      <c r="BC543" s="322"/>
      <c r="BD543" s="322"/>
      <c r="BE543" s="322"/>
      <c r="BF543" s="322"/>
      <c r="BG543" s="322"/>
      <c r="BH543" s="322"/>
      <c r="BI543" s="322"/>
      <c r="BJ543" s="322"/>
      <c r="BK543" s="322"/>
      <c r="BL543" s="322"/>
      <c r="BM543" s="322"/>
      <c r="BN543" s="322"/>
      <c r="BO543" s="322"/>
      <c r="BP543" s="322"/>
      <c r="BQ543" s="322"/>
      <c r="BR543" s="322"/>
      <c r="BS543" s="322"/>
      <c r="BT543" s="322"/>
      <c r="BU543" s="322"/>
      <c r="BV543" s="322"/>
      <c r="BW543" s="322"/>
      <c r="BX543" s="322"/>
      <c r="BY543" s="322"/>
      <c r="BZ543" s="322"/>
      <c r="CA543" s="322"/>
      <c r="CB543" s="322"/>
      <c r="CC543" s="322"/>
      <c r="CD543" s="322"/>
      <c r="CE543" s="322"/>
      <c r="CF543" s="322"/>
      <c r="CG543" s="322"/>
      <c r="CH543" s="322"/>
      <c r="CI543" s="322"/>
      <c r="CJ543" s="322"/>
      <c r="CK543" s="322"/>
      <c r="CL543" s="322"/>
      <c r="CM543" s="322"/>
      <c r="CN543" s="322"/>
      <c r="CO543" s="322"/>
      <c r="CP543" s="322"/>
      <c r="CQ543" s="322"/>
      <c r="CR543" s="322"/>
      <c r="CS543" s="322"/>
      <c r="CT543" s="322"/>
      <c r="CU543" s="322"/>
      <c r="CV543" s="322"/>
      <c r="CW543" s="322"/>
      <c r="CX543" s="322"/>
      <c r="CY543" s="322"/>
    </row>
    <row r="544" spans="1:103" s="432" customFormat="1">
      <c r="A544" s="509">
        <f t="shared" si="8"/>
        <v>543</v>
      </c>
      <c r="B544" s="1332" t="s">
        <v>43</v>
      </c>
      <c r="C544" s="943" t="s">
        <v>44</v>
      </c>
      <c r="D544" s="943" t="s">
        <v>45</v>
      </c>
      <c r="E544" s="432" t="s">
        <v>5895</v>
      </c>
      <c r="F544" s="434">
        <v>5</v>
      </c>
      <c r="G544" s="434">
        <v>9809764324</v>
      </c>
      <c r="I544" s="434">
        <v>71</v>
      </c>
      <c r="J544" s="120" t="s">
        <v>48</v>
      </c>
      <c r="K544" s="434" t="s">
        <v>3293</v>
      </c>
      <c r="L544" s="434"/>
      <c r="M544" s="434" t="s">
        <v>1764</v>
      </c>
      <c r="N544" s="730">
        <v>65298</v>
      </c>
      <c r="O544" s="730">
        <v>65298</v>
      </c>
      <c r="P544" s="459">
        <v>65306</v>
      </c>
      <c r="Q544" s="432" t="s">
        <v>51</v>
      </c>
      <c r="R544" s="322"/>
      <c r="S544" s="322"/>
      <c r="T544" s="322"/>
      <c r="U544" s="322"/>
      <c r="V544" s="322"/>
      <c r="W544" s="322"/>
      <c r="X544" s="322"/>
      <c r="Y544" s="322"/>
      <c r="Z544" s="322"/>
      <c r="AA544" s="322"/>
      <c r="AB544" s="322"/>
      <c r="AC544" s="322"/>
      <c r="AD544" s="322"/>
      <c r="AE544" s="322"/>
      <c r="AF544" s="322"/>
      <c r="AG544" s="322"/>
      <c r="AH544" s="322"/>
      <c r="AI544" s="322"/>
      <c r="AJ544" s="322"/>
      <c r="AK544" s="322"/>
      <c r="AL544" s="322"/>
      <c r="AM544" s="322"/>
      <c r="AN544" s="322"/>
      <c r="AO544" s="322"/>
      <c r="AP544" s="322"/>
      <c r="AQ544" s="322"/>
      <c r="AR544" s="322"/>
      <c r="AS544" s="322"/>
      <c r="AT544" s="322"/>
      <c r="AU544" s="322"/>
      <c r="AV544" s="322"/>
      <c r="AW544" s="322"/>
      <c r="AX544" s="322"/>
      <c r="AY544" s="322"/>
      <c r="AZ544" s="322"/>
      <c r="BA544" s="322"/>
      <c r="BB544" s="322"/>
      <c r="BC544" s="322"/>
      <c r="BD544" s="322"/>
      <c r="BE544" s="322"/>
      <c r="BF544" s="322"/>
      <c r="BG544" s="322"/>
      <c r="BH544" s="322"/>
      <c r="BI544" s="322"/>
      <c r="BJ544" s="322"/>
      <c r="BK544" s="322"/>
      <c r="BL544" s="322"/>
      <c r="BM544" s="322"/>
      <c r="BN544" s="322"/>
      <c r="BO544" s="322"/>
      <c r="BP544" s="322"/>
      <c r="BQ544" s="322"/>
      <c r="BR544" s="322"/>
      <c r="BS544" s="322"/>
      <c r="BT544" s="322"/>
      <c r="BU544" s="322"/>
      <c r="BV544" s="322"/>
      <c r="BW544" s="322"/>
      <c r="BX544" s="322"/>
      <c r="BY544" s="322"/>
      <c r="BZ544" s="322"/>
      <c r="CA544" s="322"/>
      <c r="CB544" s="322"/>
      <c r="CC544" s="322"/>
      <c r="CD544" s="322"/>
      <c r="CE544" s="322"/>
      <c r="CF544" s="322"/>
      <c r="CG544" s="322"/>
      <c r="CH544" s="322"/>
      <c r="CI544" s="322"/>
      <c r="CJ544" s="322"/>
      <c r="CK544" s="322"/>
      <c r="CL544" s="322"/>
      <c r="CM544" s="322"/>
      <c r="CN544" s="322"/>
      <c r="CO544" s="322"/>
      <c r="CP544" s="322"/>
      <c r="CQ544" s="322"/>
      <c r="CR544" s="322"/>
      <c r="CS544" s="322"/>
      <c r="CT544" s="322"/>
      <c r="CU544" s="322"/>
      <c r="CV544" s="322"/>
      <c r="CW544" s="322"/>
      <c r="CX544" s="322"/>
      <c r="CY544" s="322"/>
    </row>
    <row r="545" spans="1:103" s="432" customFormat="1">
      <c r="A545" s="509">
        <f t="shared" si="8"/>
        <v>544</v>
      </c>
      <c r="B545" s="1332" t="s">
        <v>43</v>
      </c>
      <c r="C545" s="943" t="s">
        <v>44</v>
      </c>
      <c r="D545" s="943" t="s">
        <v>45</v>
      </c>
      <c r="E545" s="432" t="s">
        <v>5896</v>
      </c>
      <c r="F545" s="434">
        <v>3</v>
      </c>
      <c r="G545" s="434">
        <v>9861449966</v>
      </c>
      <c r="I545" s="434">
        <v>21</v>
      </c>
      <c r="J545" s="120" t="s">
        <v>48</v>
      </c>
      <c r="K545" s="434" t="s">
        <v>3293</v>
      </c>
      <c r="L545" s="434"/>
      <c r="M545" s="434" t="s">
        <v>1764</v>
      </c>
      <c r="N545" s="730">
        <v>65298</v>
      </c>
      <c r="O545" s="730">
        <v>65298</v>
      </c>
      <c r="P545" s="459">
        <v>65306</v>
      </c>
      <c r="Q545" s="432" t="s">
        <v>51</v>
      </c>
      <c r="R545" s="322"/>
      <c r="S545" s="322"/>
      <c r="T545" s="322"/>
      <c r="U545" s="322"/>
      <c r="V545" s="322"/>
      <c r="W545" s="322"/>
      <c r="X545" s="322"/>
      <c r="Y545" s="322"/>
      <c r="Z545" s="322"/>
      <c r="AA545" s="322"/>
      <c r="AB545" s="322"/>
      <c r="AC545" s="322"/>
      <c r="AD545" s="322"/>
      <c r="AE545" s="322"/>
      <c r="AF545" s="322"/>
      <c r="AG545" s="322"/>
      <c r="AH545" s="322"/>
      <c r="AI545" s="322"/>
      <c r="AJ545" s="322"/>
      <c r="AK545" s="322"/>
      <c r="AL545" s="322"/>
      <c r="AM545" s="322"/>
      <c r="AN545" s="322"/>
      <c r="AO545" s="322"/>
      <c r="AP545" s="322"/>
      <c r="AQ545" s="322"/>
      <c r="AR545" s="322"/>
      <c r="AS545" s="322"/>
      <c r="AT545" s="322"/>
      <c r="AU545" s="322"/>
      <c r="AV545" s="322"/>
      <c r="AW545" s="322"/>
      <c r="AX545" s="322"/>
      <c r="AY545" s="322"/>
      <c r="AZ545" s="322"/>
      <c r="BA545" s="322"/>
      <c r="BB545" s="322"/>
      <c r="BC545" s="322"/>
      <c r="BD545" s="322"/>
      <c r="BE545" s="322"/>
      <c r="BF545" s="322"/>
      <c r="BG545" s="322"/>
      <c r="BH545" s="322"/>
      <c r="BI545" s="322"/>
      <c r="BJ545" s="322"/>
      <c r="BK545" s="322"/>
      <c r="BL545" s="322"/>
      <c r="BM545" s="322"/>
      <c r="BN545" s="322"/>
      <c r="BO545" s="322"/>
      <c r="BP545" s="322"/>
      <c r="BQ545" s="322"/>
      <c r="BR545" s="322"/>
      <c r="BS545" s="322"/>
      <c r="BT545" s="322"/>
      <c r="BU545" s="322"/>
      <c r="BV545" s="322"/>
      <c r="BW545" s="322"/>
      <c r="BX545" s="322"/>
      <c r="BY545" s="322"/>
      <c r="BZ545" s="322"/>
      <c r="CA545" s="322"/>
      <c r="CB545" s="322"/>
      <c r="CC545" s="322"/>
      <c r="CD545" s="322"/>
      <c r="CE545" s="322"/>
      <c r="CF545" s="322"/>
      <c r="CG545" s="322"/>
      <c r="CH545" s="322"/>
      <c r="CI545" s="322"/>
      <c r="CJ545" s="322"/>
      <c r="CK545" s="322"/>
      <c r="CL545" s="322"/>
      <c r="CM545" s="322"/>
      <c r="CN545" s="322"/>
      <c r="CO545" s="322"/>
      <c r="CP545" s="322"/>
      <c r="CQ545" s="322"/>
      <c r="CR545" s="322"/>
      <c r="CS545" s="322"/>
      <c r="CT545" s="322"/>
      <c r="CU545" s="322"/>
      <c r="CV545" s="322"/>
      <c r="CW545" s="322"/>
      <c r="CX545" s="322"/>
      <c r="CY545" s="322"/>
    </row>
    <row r="546" spans="1:103" s="432" customFormat="1">
      <c r="A546" s="509">
        <f t="shared" si="8"/>
        <v>545</v>
      </c>
      <c r="B546" s="1332" t="s">
        <v>43</v>
      </c>
      <c r="C546" s="943" t="s">
        <v>44</v>
      </c>
      <c r="D546" s="943" t="s">
        <v>45</v>
      </c>
      <c r="E546" s="432" t="s">
        <v>5897</v>
      </c>
      <c r="F546" s="434">
        <v>6</v>
      </c>
      <c r="G546" s="434">
        <v>9847944790</v>
      </c>
      <c r="I546" s="434">
        <v>74</v>
      </c>
      <c r="J546" s="434" t="s">
        <v>90</v>
      </c>
      <c r="K546" s="434" t="s">
        <v>3293</v>
      </c>
      <c r="L546" s="434"/>
      <c r="M546" s="434" t="s">
        <v>1764</v>
      </c>
      <c r="N546" s="730">
        <v>65298</v>
      </c>
      <c r="O546" s="730">
        <v>65298</v>
      </c>
      <c r="P546" s="459">
        <v>65306</v>
      </c>
      <c r="Q546" s="432" t="s">
        <v>51</v>
      </c>
      <c r="R546" s="322"/>
      <c r="S546" s="322"/>
      <c r="T546" s="322"/>
      <c r="U546" s="322"/>
      <c r="V546" s="322"/>
      <c r="W546" s="322"/>
      <c r="X546" s="322"/>
      <c r="Y546" s="322"/>
      <c r="Z546" s="322"/>
      <c r="AA546" s="322"/>
      <c r="AB546" s="322"/>
      <c r="AC546" s="322"/>
      <c r="AD546" s="322"/>
      <c r="AE546" s="322"/>
      <c r="AF546" s="322"/>
      <c r="AG546" s="322"/>
      <c r="AH546" s="322"/>
      <c r="AI546" s="322"/>
      <c r="AJ546" s="322"/>
      <c r="AK546" s="322"/>
      <c r="AL546" s="322"/>
      <c r="AM546" s="322"/>
      <c r="AN546" s="322"/>
      <c r="AO546" s="322"/>
      <c r="AP546" s="322"/>
      <c r="AQ546" s="322"/>
      <c r="AR546" s="322"/>
      <c r="AS546" s="322"/>
      <c r="AT546" s="322"/>
      <c r="AU546" s="322"/>
      <c r="AV546" s="322"/>
      <c r="AW546" s="322"/>
      <c r="AX546" s="322"/>
      <c r="AY546" s="322"/>
      <c r="AZ546" s="322"/>
      <c r="BA546" s="322"/>
      <c r="BB546" s="322"/>
      <c r="BC546" s="322"/>
      <c r="BD546" s="322"/>
      <c r="BE546" s="322"/>
      <c r="BF546" s="322"/>
      <c r="BG546" s="322"/>
      <c r="BH546" s="322"/>
      <c r="BI546" s="322"/>
      <c r="BJ546" s="322"/>
      <c r="BK546" s="322"/>
      <c r="BL546" s="322"/>
      <c r="BM546" s="322"/>
      <c r="BN546" s="322"/>
      <c r="BO546" s="322"/>
      <c r="BP546" s="322"/>
      <c r="BQ546" s="322"/>
      <c r="BR546" s="322"/>
      <c r="BS546" s="322"/>
      <c r="BT546" s="322"/>
      <c r="BU546" s="322"/>
      <c r="BV546" s="322"/>
      <c r="BW546" s="322"/>
      <c r="BX546" s="322"/>
      <c r="BY546" s="322"/>
      <c r="BZ546" s="322"/>
      <c r="CA546" s="322"/>
      <c r="CB546" s="322"/>
      <c r="CC546" s="322"/>
      <c r="CD546" s="322"/>
      <c r="CE546" s="322"/>
      <c r="CF546" s="322"/>
      <c r="CG546" s="322"/>
      <c r="CH546" s="322"/>
      <c r="CI546" s="322"/>
      <c r="CJ546" s="322"/>
      <c r="CK546" s="322"/>
      <c r="CL546" s="322"/>
      <c r="CM546" s="322"/>
      <c r="CN546" s="322"/>
      <c r="CO546" s="322"/>
      <c r="CP546" s="322"/>
      <c r="CQ546" s="322"/>
      <c r="CR546" s="322"/>
      <c r="CS546" s="322"/>
      <c r="CT546" s="322"/>
      <c r="CU546" s="322"/>
      <c r="CV546" s="322"/>
      <c r="CW546" s="322"/>
      <c r="CX546" s="322"/>
      <c r="CY546" s="322"/>
    </row>
    <row r="547" spans="1:103" s="432" customFormat="1">
      <c r="A547" s="509">
        <f t="shared" si="8"/>
        <v>546</v>
      </c>
      <c r="B547" s="1332" t="s">
        <v>43</v>
      </c>
      <c r="C547" s="943" t="s">
        <v>44</v>
      </c>
      <c r="D547" s="943" t="s">
        <v>45</v>
      </c>
      <c r="E547" s="432" t="s">
        <v>5898</v>
      </c>
      <c r="F547" s="434">
        <v>5</v>
      </c>
      <c r="G547" s="434">
        <v>9843215150</v>
      </c>
      <c r="I547" s="434">
        <v>57</v>
      </c>
      <c r="J547" s="434" t="s">
        <v>90</v>
      </c>
      <c r="K547" s="434" t="s">
        <v>3293</v>
      </c>
      <c r="L547" s="434"/>
      <c r="M547" s="434" t="s">
        <v>1764</v>
      </c>
      <c r="N547" s="730">
        <v>65298</v>
      </c>
      <c r="O547" s="730">
        <v>65298</v>
      </c>
      <c r="P547" s="459">
        <v>65306</v>
      </c>
      <c r="Q547" s="432" t="s">
        <v>51</v>
      </c>
      <c r="R547" s="322"/>
      <c r="S547" s="322"/>
      <c r="T547" s="322"/>
      <c r="U547" s="322"/>
      <c r="V547" s="322"/>
      <c r="W547" s="322"/>
      <c r="X547" s="322"/>
      <c r="Y547" s="322"/>
      <c r="Z547" s="322"/>
      <c r="AA547" s="322"/>
      <c r="AB547" s="322"/>
      <c r="AC547" s="322"/>
      <c r="AD547" s="322"/>
      <c r="AE547" s="322"/>
      <c r="AF547" s="322"/>
      <c r="AG547" s="322"/>
      <c r="AH547" s="322"/>
      <c r="AI547" s="322"/>
      <c r="AJ547" s="322"/>
      <c r="AK547" s="322"/>
      <c r="AL547" s="322"/>
      <c r="AM547" s="322"/>
      <c r="AN547" s="322"/>
      <c r="AO547" s="322"/>
      <c r="AP547" s="322"/>
      <c r="AQ547" s="322"/>
      <c r="AR547" s="322"/>
      <c r="AS547" s="322"/>
      <c r="AT547" s="322"/>
      <c r="AU547" s="322"/>
      <c r="AV547" s="322"/>
      <c r="AW547" s="322"/>
      <c r="AX547" s="322"/>
      <c r="AY547" s="322"/>
      <c r="AZ547" s="322"/>
      <c r="BA547" s="322"/>
      <c r="BB547" s="322"/>
      <c r="BC547" s="322"/>
      <c r="BD547" s="322"/>
      <c r="BE547" s="322"/>
      <c r="BF547" s="322"/>
      <c r="BG547" s="322"/>
      <c r="BH547" s="322"/>
      <c r="BI547" s="322"/>
      <c r="BJ547" s="322"/>
      <c r="BK547" s="322"/>
      <c r="BL547" s="322"/>
      <c r="BM547" s="322"/>
      <c r="BN547" s="322"/>
      <c r="BO547" s="322"/>
      <c r="BP547" s="322"/>
      <c r="BQ547" s="322"/>
      <c r="BR547" s="322"/>
      <c r="BS547" s="322"/>
      <c r="BT547" s="322"/>
      <c r="BU547" s="322"/>
      <c r="BV547" s="322"/>
      <c r="BW547" s="322"/>
      <c r="BX547" s="322"/>
      <c r="BY547" s="322"/>
      <c r="BZ547" s="322"/>
      <c r="CA547" s="322"/>
      <c r="CB547" s="322"/>
      <c r="CC547" s="322"/>
      <c r="CD547" s="322"/>
      <c r="CE547" s="322"/>
      <c r="CF547" s="322"/>
      <c r="CG547" s="322"/>
      <c r="CH547" s="322"/>
      <c r="CI547" s="322"/>
      <c r="CJ547" s="322"/>
      <c r="CK547" s="322"/>
      <c r="CL547" s="322"/>
      <c r="CM547" s="322"/>
      <c r="CN547" s="322"/>
      <c r="CO547" s="322"/>
      <c r="CP547" s="322"/>
      <c r="CQ547" s="322"/>
      <c r="CR547" s="322"/>
      <c r="CS547" s="322"/>
      <c r="CT547" s="322"/>
      <c r="CU547" s="322"/>
      <c r="CV547" s="322"/>
      <c r="CW547" s="322"/>
      <c r="CX547" s="322"/>
      <c r="CY547" s="322"/>
    </row>
    <row r="548" spans="1:103" s="432" customFormat="1">
      <c r="A548" s="509">
        <f t="shared" si="8"/>
        <v>547</v>
      </c>
      <c r="B548" s="1332" t="s">
        <v>43</v>
      </c>
      <c r="C548" s="943" t="s">
        <v>44</v>
      </c>
      <c r="D548" s="943" t="s">
        <v>45</v>
      </c>
      <c r="E548" s="432" t="s">
        <v>5899</v>
      </c>
      <c r="F548" s="434">
        <v>5</v>
      </c>
      <c r="G548" s="434">
        <v>9749173310</v>
      </c>
      <c r="I548" s="434">
        <v>18</v>
      </c>
      <c r="J548" s="434" t="s">
        <v>90</v>
      </c>
      <c r="K548" s="434" t="s">
        <v>3293</v>
      </c>
      <c r="L548" s="434"/>
      <c r="M548" s="434" t="s">
        <v>1764</v>
      </c>
      <c r="N548" s="730">
        <v>65298</v>
      </c>
      <c r="O548" s="730">
        <v>65298</v>
      </c>
      <c r="P548" s="459">
        <v>65306</v>
      </c>
      <c r="Q548" s="432" t="s">
        <v>51</v>
      </c>
      <c r="R548" s="322"/>
      <c r="S548" s="322"/>
      <c r="T548" s="322"/>
      <c r="U548" s="322"/>
      <c r="V548" s="322"/>
      <c r="W548" s="322"/>
      <c r="X548" s="322"/>
      <c r="Y548" s="322"/>
      <c r="Z548" s="322"/>
      <c r="AA548" s="322"/>
      <c r="AB548" s="322"/>
      <c r="AC548" s="322"/>
      <c r="AD548" s="322"/>
      <c r="AE548" s="322"/>
      <c r="AF548" s="322"/>
      <c r="AG548" s="322"/>
      <c r="AH548" s="322"/>
      <c r="AI548" s="322"/>
      <c r="AJ548" s="322"/>
      <c r="AK548" s="322"/>
      <c r="AL548" s="322"/>
      <c r="AM548" s="322"/>
      <c r="AN548" s="322"/>
      <c r="AO548" s="322"/>
      <c r="AP548" s="322"/>
      <c r="AQ548" s="322"/>
      <c r="AR548" s="322"/>
      <c r="AS548" s="322"/>
      <c r="AT548" s="322"/>
      <c r="AU548" s="322"/>
      <c r="AV548" s="322"/>
      <c r="AW548" s="322"/>
      <c r="AX548" s="322"/>
      <c r="AY548" s="322"/>
      <c r="AZ548" s="322"/>
      <c r="BA548" s="322"/>
      <c r="BB548" s="322"/>
      <c r="BC548" s="322"/>
      <c r="BD548" s="322"/>
      <c r="BE548" s="322"/>
      <c r="BF548" s="322"/>
      <c r="BG548" s="322"/>
      <c r="BH548" s="322"/>
      <c r="BI548" s="322"/>
      <c r="BJ548" s="322"/>
      <c r="BK548" s="322"/>
      <c r="BL548" s="322"/>
      <c r="BM548" s="322"/>
      <c r="BN548" s="322"/>
      <c r="BO548" s="322"/>
      <c r="BP548" s="322"/>
      <c r="BQ548" s="322"/>
      <c r="BR548" s="322"/>
      <c r="BS548" s="322"/>
      <c r="BT548" s="322"/>
      <c r="BU548" s="322"/>
      <c r="BV548" s="322"/>
      <c r="BW548" s="322"/>
      <c r="BX548" s="322"/>
      <c r="BY548" s="322"/>
      <c r="BZ548" s="322"/>
      <c r="CA548" s="322"/>
      <c r="CB548" s="322"/>
      <c r="CC548" s="322"/>
      <c r="CD548" s="322"/>
      <c r="CE548" s="322"/>
      <c r="CF548" s="322"/>
      <c r="CG548" s="322"/>
      <c r="CH548" s="322"/>
      <c r="CI548" s="322"/>
      <c r="CJ548" s="322"/>
      <c r="CK548" s="322"/>
      <c r="CL548" s="322"/>
      <c r="CM548" s="322"/>
      <c r="CN548" s="322"/>
      <c r="CO548" s="322"/>
      <c r="CP548" s="322"/>
      <c r="CQ548" s="322"/>
      <c r="CR548" s="322"/>
      <c r="CS548" s="322"/>
      <c r="CT548" s="322"/>
      <c r="CU548" s="322"/>
      <c r="CV548" s="322"/>
      <c r="CW548" s="322"/>
      <c r="CX548" s="322"/>
      <c r="CY548" s="322"/>
    </row>
    <row r="549" spans="1:103" s="432" customFormat="1">
      <c r="A549" s="509">
        <f t="shared" si="8"/>
        <v>548</v>
      </c>
      <c r="B549" s="1332" t="s">
        <v>43</v>
      </c>
      <c r="C549" s="943" t="s">
        <v>44</v>
      </c>
      <c r="D549" s="943" t="s">
        <v>45</v>
      </c>
      <c r="E549" s="432" t="s">
        <v>5900</v>
      </c>
      <c r="F549" s="434">
        <v>5</v>
      </c>
      <c r="G549" s="434">
        <v>9844902516</v>
      </c>
      <c r="I549" s="434">
        <v>16</v>
      </c>
      <c r="J549" s="434" t="s">
        <v>90</v>
      </c>
      <c r="K549" s="434" t="s">
        <v>3293</v>
      </c>
      <c r="L549" s="434"/>
      <c r="M549" s="434" t="s">
        <v>1764</v>
      </c>
      <c r="N549" s="730">
        <v>65298</v>
      </c>
      <c r="O549" s="730">
        <v>65298</v>
      </c>
      <c r="P549" s="459">
        <v>65306</v>
      </c>
      <c r="Q549" s="432" t="s">
        <v>51</v>
      </c>
      <c r="R549" s="322"/>
      <c r="S549" s="322"/>
      <c r="T549" s="322"/>
      <c r="U549" s="322"/>
      <c r="V549" s="322"/>
      <c r="W549" s="322"/>
      <c r="X549" s="322"/>
      <c r="Y549" s="322"/>
      <c r="Z549" s="322"/>
      <c r="AA549" s="322"/>
      <c r="AB549" s="322"/>
      <c r="AC549" s="322"/>
      <c r="AD549" s="322"/>
      <c r="AE549" s="322"/>
      <c r="AF549" s="322"/>
      <c r="AG549" s="322"/>
      <c r="AH549" s="322"/>
      <c r="AI549" s="322"/>
      <c r="AJ549" s="322"/>
      <c r="AK549" s="322"/>
      <c r="AL549" s="322"/>
      <c r="AM549" s="322"/>
      <c r="AN549" s="322"/>
      <c r="AO549" s="322"/>
      <c r="AP549" s="322"/>
      <c r="AQ549" s="322"/>
      <c r="AR549" s="322"/>
      <c r="AS549" s="322"/>
      <c r="AT549" s="322"/>
      <c r="AU549" s="322"/>
      <c r="AV549" s="322"/>
      <c r="AW549" s="322"/>
      <c r="AX549" s="322"/>
      <c r="AY549" s="322"/>
      <c r="AZ549" s="322"/>
      <c r="BA549" s="322"/>
      <c r="BB549" s="322"/>
      <c r="BC549" s="322"/>
      <c r="BD549" s="322"/>
      <c r="BE549" s="322"/>
      <c r="BF549" s="322"/>
      <c r="BG549" s="322"/>
      <c r="BH549" s="322"/>
      <c r="BI549" s="322"/>
      <c r="BJ549" s="322"/>
      <c r="BK549" s="322"/>
      <c r="BL549" s="322"/>
      <c r="BM549" s="322"/>
      <c r="BN549" s="322"/>
      <c r="BO549" s="322"/>
      <c r="BP549" s="322"/>
      <c r="BQ549" s="322"/>
      <c r="BR549" s="322"/>
      <c r="BS549" s="322"/>
      <c r="BT549" s="322"/>
      <c r="BU549" s="322"/>
      <c r="BV549" s="322"/>
      <c r="BW549" s="322"/>
      <c r="BX549" s="322"/>
      <c r="BY549" s="322"/>
      <c r="BZ549" s="322"/>
      <c r="CA549" s="322"/>
      <c r="CB549" s="322"/>
      <c r="CC549" s="322"/>
      <c r="CD549" s="322"/>
      <c r="CE549" s="322"/>
      <c r="CF549" s="322"/>
      <c r="CG549" s="322"/>
      <c r="CH549" s="322"/>
      <c r="CI549" s="322"/>
      <c r="CJ549" s="322"/>
      <c r="CK549" s="322"/>
      <c r="CL549" s="322"/>
      <c r="CM549" s="322"/>
      <c r="CN549" s="322"/>
      <c r="CO549" s="322"/>
      <c r="CP549" s="322"/>
      <c r="CQ549" s="322"/>
      <c r="CR549" s="322"/>
      <c r="CS549" s="322"/>
      <c r="CT549" s="322"/>
      <c r="CU549" s="322"/>
      <c r="CV549" s="322"/>
      <c r="CW549" s="322"/>
      <c r="CX549" s="322"/>
      <c r="CY549" s="322"/>
    </row>
    <row r="550" spans="1:103" s="432" customFormat="1">
      <c r="A550" s="509">
        <f t="shared" si="8"/>
        <v>549</v>
      </c>
      <c r="B550" s="1332" t="s">
        <v>43</v>
      </c>
      <c r="C550" s="943" t="s">
        <v>44</v>
      </c>
      <c r="D550" s="943" t="s">
        <v>45</v>
      </c>
      <c r="E550" s="432" t="s">
        <v>5903</v>
      </c>
      <c r="F550" s="434">
        <v>6</v>
      </c>
      <c r="G550" s="434"/>
      <c r="I550" s="434">
        <v>5</v>
      </c>
      <c r="J550" s="120" t="s">
        <v>48</v>
      </c>
      <c r="K550" s="434" t="s">
        <v>5405</v>
      </c>
      <c r="L550" s="434"/>
      <c r="M550" s="434" t="s">
        <v>1764</v>
      </c>
      <c r="N550" s="730">
        <v>65298</v>
      </c>
      <c r="O550" s="730">
        <v>65298</v>
      </c>
      <c r="P550" s="459">
        <v>65306</v>
      </c>
      <c r="Q550" s="432" t="s">
        <v>51</v>
      </c>
      <c r="R550" s="322"/>
      <c r="S550" s="322"/>
      <c r="T550" s="322"/>
      <c r="U550" s="322"/>
      <c r="V550" s="322"/>
      <c r="W550" s="322"/>
      <c r="X550" s="322"/>
      <c r="Y550" s="322"/>
      <c r="Z550" s="322"/>
      <c r="AA550" s="322"/>
      <c r="AB550" s="322"/>
      <c r="AC550" s="322"/>
      <c r="AD550" s="322"/>
      <c r="AE550" s="322"/>
      <c r="AF550" s="322"/>
      <c r="AG550" s="322"/>
      <c r="AH550" s="322"/>
      <c r="AI550" s="322"/>
      <c r="AJ550" s="322"/>
      <c r="AK550" s="322"/>
      <c r="AL550" s="322"/>
      <c r="AM550" s="322"/>
      <c r="AN550" s="322"/>
      <c r="AO550" s="322"/>
      <c r="AP550" s="322"/>
      <c r="AQ550" s="322"/>
      <c r="AR550" s="322"/>
      <c r="AS550" s="322"/>
      <c r="AT550" s="322"/>
      <c r="AU550" s="322"/>
      <c r="AV550" s="322"/>
      <c r="AW550" s="322"/>
      <c r="AX550" s="322"/>
      <c r="AY550" s="322"/>
      <c r="AZ550" s="322"/>
      <c r="BA550" s="322"/>
      <c r="BB550" s="322"/>
      <c r="BC550" s="322"/>
      <c r="BD550" s="322"/>
      <c r="BE550" s="322"/>
      <c r="BF550" s="322"/>
      <c r="BG550" s="322"/>
      <c r="BH550" s="322"/>
      <c r="BI550" s="322"/>
      <c r="BJ550" s="322"/>
      <c r="BK550" s="322"/>
      <c r="BL550" s="322"/>
      <c r="BM550" s="322"/>
      <c r="BN550" s="322"/>
      <c r="BO550" s="322"/>
      <c r="BP550" s="322"/>
      <c r="BQ550" s="322"/>
      <c r="BR550" s="322"/>
      <c r="BS550" s="322"/>
      <c r="BT550" s="322"/>
      <c r="BU550" s="322"/>
      <c r="BV550" s="322"/>
      <c r="BW550" s="322"/>
      <c r="BX550" s="322"/>
      <c r="BY550" s="322"/>
      <c r="BZ550" s="322"/>
      <c r="CA550" s="322"/>
      <c r="CB550" s="322"/>
      <c r="CC550" s="322"/>
      <c r="CD550" s="322"/>
      <c r="CE550" s="322"/>
      <c r="CF550" s="322"/>
      <c r="CG550" s="322"/>
      <c r="CH550" s="322"/>
      <c r="CI550" s="322"/>
      <c r="CJ550" s="322"/>
      <c r="CK550" s="322"/>
      <c r="CL550" s="322"/>
      <c r="CM550" s="322"/>
      <c r="CN550" s="322"/>
      <c r="CO550" s="322"/>
      <c r="CP550" s="322"/>
      <c r="CQ550" s="322"/>
      <c r="CR550" s="322"/>
      <c r="CS550" s="322"/>
      <c r="CT550" s="322"/>
      <c r="CU550" s="322"/>
      <c r="CV550" s="322"/>
      <c r="CW550" s="322"/>
      <c r="CX550" s="322"/>
      <c r="CY550" s="322"/>
    </row>
    <row r="551" spans="1:103" s="432" customFormat="1">
      <c r="A551" s="509">
        <f t="shared" si="8"/>
        <v>550</v>
      </c>
      <c r="B551" s="1332" t="s">
        <v>43</v>
      </c>
      <c r="C551" s="943" t="s">
        <v>44</v>
      </c>
      <c r="D551" s="943" t="s">
        <v>45</v>
      </c>
      <c r="E551" s="432" t="s">
        <v>5901</v>
      </c>
      <c r="F551" s="434">
        <v>8</v>
      </c>
      <c r="G551" s="434">
        <v>9866838138</v>
      </c>
      <c r="I551" s="434">
        <v>29</v>
      </c>
      <c r="J551" s="434" t="s">
        <v>90</v>
      </c>
      <c r="K551" s="434" t="s">
        <v>5405</v>
      </c>
      <c r="L551" s="434"/>
      <c r="M551" s="434" t="s">
        <v>1764</v>
      </c>
      <c r="N551" s="730">
        <v>65298</v>
      </c>
      <c r="O551" s="730">
        <v>65298</v>
      </c>
      <c r="P551" s="459">
        <v>65306</v>
      </c>
      <c r="Q551" s="432" t="s">
        <v>51</v>
      </c>
      <c r="R551" s="322"/>
      <c r="S551" s="322"/>
      <c r="T551" s="322"/>
      <c r="U551" s="322"/>
      <c r="V551" s="322"/>
      <c r="W551" s="322"/>
      <c r="X551" s="322"/>
      <c r="Y551" s="322"/>
      <c r="Z551" s="322"/>
      <c r="AA551" s="322"/>
      <c r="AB551" s="322"/>
      <c r="AC551" s="322"/>
      <c r="AD551" s="322"/>
      <c r="AE551" s="322"/>
      <c r="AF551" s="322"/>
      <c r="AG551" s="322"/>
      <c r="AH551" s="322"/>
      <c r="AI551" s="322"/>
      <c r="AJ551" s="322"/>
      <c r="AK551" s="322"/>
      <c r="AL551" s="322"/>
      <c r="AM551" s="322"/>
      <c r="AN551" s="322"/>
      <c r="AO551" s="322"/>
      <c r="AP551" s="322"/>
      <c r="AQ551" s="322"/>
      <c r="AR551" s="322"/>
      <c r="AS551" s="322"/>
      <c r="AT551" s="322"/>
      <c r="AU551" s="322"/>
      <c r="AV551" s="322"/>
      <c r="AW551" s="322"/>
      <c r="AX551" s="322"/>
      <c r="AY551" s="322"/>
      <c r="AZ551" s="322"/>
      <c r="BA551" s="322"/>
      <c r="BB551" s="322"/>
      <c r="BC551" s="322"/>
      <c r="BD551" s="322"/>
      <c r="BE551" s="322"/>
      <c r="BF551" s="322"/>
      <c r="BG551" s="322"/>
      <c r="BH551" s="322"/>
      <c r="BI551" s="322"/>
      <c r="BJ551" s="322"/>
      <c r="BK551" s="322"/>
      <c r="BL551" s="322"/>
      <c r="BM551" s="322"/>
      <c r="BN551" s="322"/>
      <c r="BO551" s="322"/>
      <c r="BP551" s="322"/>
      <c r="BQ551" s="322"/>
      <c r="BR551" s="322"/>
      <c r="BS551" s="322"/>
      <c r="BT551" s="322"/>
      <c r="BU551" s="322"/>
      <c r="BV551" s="322"/>
      <c r="BW551" s="322"/>
      <c r="BX551" s="322"/>
      <c r="BY551" s="322"/>
      <c r="BZ551" s="322"/>
      <c r="CA551" s="322"/>
      <c r="CB551" s="322"/>
      <c r="CC551" s="322"/>
      <c r="CD551" s="322"/>
      <c r="CE551" s="322"/>
      <c r="CF551" s="322"/>
      <c r="CG551" s="322"/>
      <c r="CH551" s="322"/>
      <c r="CI551" s="322"/>
      <c r="CJ551" s="322"/>
      <c r="CK551" s="322"/>
      <c r="CL551" s="322"/>
      <c r="CM551" s="322"/>
      <c r="CN551" s="322"/>
      <c r="CO551" s="322"/>
      <c r="CP551" s="322"/>
      <c r="CQ551" s="322"/>
      <c r="CR551" s="322"/>
      <c r="CS551" s="322"/>
      <c r="CT551" s="322"/>
      <c r="CU551" s="322"/>
      <c r="CV551" s="322"/>
      <c r="CW551" s="322"/>
      <c r="CX551" s="322"/>
      <c r="CY551" s="322"/>
    </row>
    <row r="552" spans="1:103" s="432" customFormat="1">
      <c r="A552" s="509">
        <f t="shared" si="8"/>
        <v>551</v>
      </c>
      <c r="B552" s="1332" t="s">
        <v>43</v>
      </c>
      <c r="C552" s="943" t="s">
        <v>44</v>
      </c>
      <c r="D552" s="943" t="s">
        <v>45</v>
      </c>
      <c r="E552" s="432" t="s">
        <v>5905</v>
      </c>
      <c r="F552" s="434">
        <v>7</v>
      </c>
      <c r="G552" s="434">
        <v>9847910230</v>
      </c>
      <c r="I552" s="434">
        <v>37</v>
      </c>
      <c r="J552" s="434" t="s">
        <v>90</v>
      </c>
      <c r="K552" s="434" t="s">
        <v>5405</v>
      </c>
      <c r="L552" s="434"/>
      <c r="M552" s="434" t="s">
        <v>1764</v>
      </c>
      <c r="N552" s="730">
        <v>65298</v>
      </c>
      <c r="O552" s="730">
        <v>65298</v>
      </c>
      <c r="P552" s="459">
        <v>65306</v>
      </c>
      <c r="Q552" s="432" t="s">
        <v>51</v>
      </c>
      <c r="R552" s="322"/>
      <c r="S552" s="322"/>
      <c r="T552" s="322"/>
      <c r="U552" s="322"/>
      <c r="V552" s="322"/>
      <c r="W552" s="322"/>
      <c r="X552" s="322"/>
      <c r="Y552" s="322"/>
      <c r="Z552" s="322"/>
      <c r="AA552" s="322"/>
      <c r="AB552" s="322"/>
      <c r="AC552" s="322"/>
      <c r="AD552" s="322"/>
      <c r="AE552" s="322"/>
      <c r="AF552" s="322"/>
      <c r="AG552" s="322"/>
      <c r="AH552" s="322"/>
      <c r="AI552" s="322"/>
      <c r="AJ552" s="322"/>
      <c r="AK552" s="322"/>
      <c r="AL552" s="322"/>
      <c r="AM552" s="322"/>
      <c r="AN552" s="322"/>
      <c r="AO552" s="322"/>
      <c r="AP552" s="322"/>
      <c r="AQ552" s="322"/>
      <c r="AR552" s="322"/>
      <c r="AS552" s="322"/>
      <c r="AT552" s="322"/>
      <c r="AU552" s="322"/>
      <c r="AV552" s="322"/>
      <c r="AW552" s="322"/>
      <c r="AX552" s="322"/>
      <c r="AY552" s="322"/>
      <c r="AZ552" s="322"/>
      <c r="BA552" s="322"/>
      <c r="BB552" s="322"/>
      <c r="BC552" s="322"/>
      <c r="BD552" s="322"/>
      <c r="BE552" s="322"/>
      <c r="BF552" s="322"/>
      <c r="BG552" s="322"/>
      <c r="BH552" s="322"/>
      <c r="BI552" s="322"/>
      <c r="BJ552" s="322"/>
      <c r="BK552" s="322"/>
      <c r="BL552" s="322"/>
      <c r="BM552" s="322"/>
      <c r="BN552" s="322"/>
      <c r="BO552" s="322"/>
      <c r="BP552" s="322"/>
      <c r="BQ552" s="322"/>
      <c r="BR552" s="322"/>
      <c r="BS552" s="322"/>
      <c r="BT552" s="322"/>
      <c r="BU552" s="322"/>
      <c r="BV552" s="322"/>
      <c r="BW552" s="322"/>
      <c r="BX552" s="322"/>
      <c r="BY552" s="322"/>
      <c r="BZ552" s="322"/>
      <c r="CA552" s="322"/>
      <c r="CB552" s="322"/>
      <c r="CC552" s="322"/>
      <c r="CD552" s="322"/>
      <c r="CE552" s="322"/>
      <c r="CF552" s="322"/>
      <c r="CG552" s="322"/>
      <c r="CH552" s="322"/>
      <c r="CI552" s="322"/>
      <c r="CJ552" s="322"/>
      <c r="CK552" s="322"/>
      <c r="CL552" s="322"/>
      <c r="CM552" s="322"/>
      <c r="CN552" s="322"/>
      <c r="CO552" s="322"/>
      <c r="CP552" s="322"/>
      <c r="CQ552" s="322"/>
      <c r="CR552" s="322"/>
      <c r="CS552" s="322"/>
      <c r="CT552" s="322"/>
      <c r="CU552" s="322"/>
      <c r="CV552" s="322"/>
      <c r="CW552" s="322"/>
      <c r="CX552" s="322"/>
      <c r="CY552" s="322"/>
    </row>
    <row r="553" spans="1:103" s="432" customFormat="1">
      <c r="A553" s="509">
        <f t="shared" si="8"/>
        <v>552</v>
      </c>
      <c r="B553" s="1332" t="s">
        <v>43</v>
      </c>
      <c r="C553" s="943" t="s">
        <v>44</v>
      </c>
      <c r="D553" s="943" t="s">
        <v>45</v>
      </c>
      <c r="E553" s="432" t="s">
        <v>5902</v>
      </c>
      <c r="F553" s="434">
        <v>9</v>
      </c>
      <c r="G553" s="434">
        <v>9847940922</v>
      </c>
      <c r="I553" s="434">
        <v>58</v>
      </c>
      <c r="J553" s="434" t="s">
        <v>90</v>
      </c>
      <c r="K553" s="434" t="s">
        <v>5405</v>
      </c>
      <c r="L553" s="434"/>
      <c r="M553" s="434" t="s">
        <v>1764</v>
      </c>
      <c r="N553" s="730">
        <v>65298</v>
      </c>
      <c r="O553" s="730">
        <v>65298</v>
      </c>
      <c r="P553" s="459">
        <v>65306</v>
      </c>
      <c r="Q553" s="432" t="s">
        <v>51</v>
      </c>
      <c r="R553" s="322"/>
      <c r="S553" s="322"/>
      <c r="T553" s="322"/>
      <c r="U553" s="322"/>
      <c r="V553" s="322"/>
      <c r="W553" s="322"/>
      <c r="X553" s="322"/>
      <c r="Y553" s="322"/>
      <c r="Z553" s="322"/>
      <c r="AA553" s="322"/>
      <c r="AB553" s="322"/>
      <c r="AC553" s="322"/>
      <c r="AD553" s="322"/>
      <c r="AE553" s="322"/>
      <c r="AF553" s="322"/>
      <c r="AG553" s="322"/>
      <c r="AH553" s="322"/>
      <c r="AI553" s="322"/>
      <c r="AJ553" s="322"/>
      <c r="AK553" s="322"/>
      <c r="AL553" s="322"/>
      <c r="AM553" s="322"/>
      <c r="AN553" s="322"/>
      <c r="AO553" s="322"/>
      <c r="AP553" s="322"/>
      <c r="AQ553" s="322"/>
      <c r="AR553" s="322"/>
      <c r="AS553" s="322"/>
      <c r="AT553" s="322"/>
      <c r="AU553" s="322"/>
      <c r="AV553" s="322"/>
      <c r="AW553" s="322"/>
      <c r="AX553" s="322"/>
      <c r="AY553" s="322"/>
      <c r="AZ553" s="322"/>
      <c r="BA553" s="322"/>
      <c r="BB553" s="322"/>
      <c r="BC553" s="322"/>
      <c r="BD553" s="322"/>
      <c r="BE553" s="322"/>
      <c r="BF553" s="322"/>
      <c r="BG553" s="322"/>
      <c r="BH553" s="322"/>
      <c r="BI553" s="322"/>
      <c r="BJ553" s="322"/>
      <c r="BK553" s="322"/>
      <c r="BL553" s="322"/>
      <c r="BM553" s="322"/>
      <c r="BN553" s="322"/>
      <c r="BO553" s="322"/>
      <c r="BP553" s="322"/>
      <c r="BQ553" s="322"/>
      <c r="BR553" s="322"/>
      <c r="BS553" s="322"/>
      <c r="BT553" s="322"/>
      <c r="BU553" s="322"/>
      <c r="BV553" s="322"/>
      <c r="BW553" s="322"/>
      <c r="BX553" s="322"/>
      <c r="BY553" s="322"/>
      <c r="BZ553" s="322"/>
      <c r="CA553" s="322"/>
      <c r="CB553" s="322"/>
      <c r="CC553" s="322"/>
      <c r="CD553" s="322"/>
      <c r="CE553" s="322"/>
      <c r="CF553" s="322"/>
      <c r="CG553" s="322"/>
      <c r="CH553" s="322"/>
      <c r="CI553" s="322"/>
      <c r="CJ553" s="322"/>
      <c r="CK553" s="322"/>
      <c r="CL553" s="322"/>
      <c r="CM553" s="322"/>
      <c r="CN553" s="322"/>
      <c r="CO553" s="322"/>
      <c r="CP553" s="322"/>
      <c r="CQ553" s="322"/>
      <c r="CR553" s="322"/>
      <c r="CS553" s="322"/>
      <c r="CT553" s="322"/>
      <c r="CU553" s="322"/>
      <c r="CV553" s="322"/>
      <c r="CW553" s="322"/>
      <c r="CX553" s="322"/>
      <c r="CY553" s="322"/>
    </row>
    <row r="554" spans="1:103" s="432" customFormat="1">
      <c r="A554" s="509">
        <f t="shared" si="8"/>
        <v>553</v>
      </c>
      <c r="B554" s="1332" t="s">
        <v>43</v>
      </c>
      <c r="C554" s="943" t="s">
        <v>44</v>
      </c>
      <c r="D554" s="943" t="s">
        <v>45</v>
      </c>
      <c r="E554" s="432" t="s">
        <v>5904</v>
      </c>
      <c r="F554" s="434">
        <v>5</v>
      </c>
      <c r="G554" s="434">
        <v>9847836849</v>
      </c>
      <c r="I554" s="434">
        <v>40</v>
      </c>
      <c r="J554" s="120" t="s">
        <v>48</v>
      </c>
      <c r="K554" s="434" t="s">
        <v>5405</v>
      </c>
      <c r="L554" s="434"/>
      <c r="M554" s="434" t="s">
        <v>1764</v>
      </c>
      <c r="N554" s="730">
        <v>65298</v>
      </c>
      <c r="O554" s="730">
        <v>65298</v>
      </c>
      <c r="P554" s="459">
        <v>65306</v>
      </c>
      <c r="Q554" s="432" t="s">
        <v>51</v>
      </c>
      <c r="R554" s="322"/>
      <c r="S554" s="322"/>
      <c r="T554" s="322"/>
      <c r="U554" s="322"/>
      <c r="V554" s="322"/>
      <c r="W554" s="322"/>
      <c r="X554" s="322"/>
      <c r="Y554" s="322"/>
      <c r="Z554" s="322"/>
      <c r="AA554" s="322"/>
      <c r="AB554" s="322"/>
      <c r="AC554" s="322"/>
      <c r="AD554" s="322"/>
      <c r="AE554" s="322"/>
      <c r="AF554" s="322"/>
      <c r="AG554" s="322"/>
      <c r="AH554" s="322"/>
      <c r="AI554" s="322"/>
      <c r="AJ554" s="322"/>
      <c r="AK554" s="322"/>
      <c r="AL554" s="322"/>
      <c r="AM554" s="322"/>
      <c r="AN554" s="322"/>
      <c r="AO554" s="322"/>
      <c r="AP554" s="322"/>
      <c r="AQ554" s="322"/>
      <c r="AR554" s="322"/>
      <c r="AS554" s="322"/>
      <c r="AT554" s="322"/>
      <c r="AU554" s="322"/>
      <c r="AV554" s="322"/>
      <c r="AW554" s="322"/>
      <c r="AX554" s="322"/>
      <c r="AY554" s="322"/>
      <c r="AZ554" s="322"/>
      <c r="BA554" s="322"/>
      <c r="BB554" s="322"/>
      <c r="BC554" s="322"/>
      <c r="BD554" s="322"/>
      <c r="BE554" s="322"/>
      <c r="BF554" s="322"/>
      <c r="BG554" s="322"/>
      <c r="BH554" s="322"/>
      <c r="BI554" s="322"/>
      <c r="BJ554" s="322"/>
      <c r="BK554" s="322"/>
      <c r="BL554" s="322"/>
      <c r="BM554" s="322"/>
      <c r="BN554" s="322"/>
      <c r="BO554" s="322"/>
      <c r="BP554" s="322"/>
      <c r="BQ554" s="322"/>
      <c r="BR554" s="322"/>
      <c r="BS554" s="322"/>
      <c r="BT554" s="322"/>
      <c r="BU554" s="322"/>
      <c r="BV554" s="322"/>
      <c r="BW554" s="322"/>
      <c r="BX554" s="322"/>
      <c r="BY554" s="322"/>
      <c r="BZ554" s="322"/>
      <c r="CA554" s="322"/>
      <c r="CB554" s="322"/>
      <c r="CC554" s="322"/>
      <c r="CD554" s="322"/>
      <c r="CE554" s="322"/>
      <c r="CF554" s="322"/>
      <c r="CG554" s="322"/>
      <c r="CH554" s="322"/>
      <c r="CI554" s="322"/>
      <c r="CJ554" s="322"/>
      <c r="CK554" s="322"/>
      <c r="CL554" s="322"/>
      <c r="CM554" s="322"/>
      <c r="CN554" s="322"/>
      <c r="CO554" s="322"/>
      <c r="CP554" s="322"/>
      <c r="CQ554" s="322"/>
      <c r="CR554" s="322"/>
      <c r="CS554" s="322"/>
      <c r="CT554" s="322"/>
      <c r="CU554" s="322"/>
      <c r="CV554" s="322"/>
      <c r="CW554" s="322"/>
      <c r="CX554" s="322"/>
      <c r="CY554" s="322"/>
    </row>
    <row r="555" spans="1:103" s="432" customFormat="1">
      <c r="A555" s="509">
        <f t="shared" si="8"/>
        <v>554</v>
      </c>
      <c r="B555" s="1332" t="s">
        <v>43</v>
      </c>
      <c r="C555" s="943" t="s">
        <v>44</v>
      </c>
      <c r="D555" s="943" t="s">
        <v>45</v>
      </c>
      <c r="E555" s="432" t="s">
        <v>5932</v>
      </c>
      <c r="F555" s="434">
        <v>5</v>
      </c>
      <c r="G555" s="434">
        <v>9841785844</v>
      </c>
      <c r="I555" s="434">
        <v>33</v>
      </c>
      <c r="J555" s="120" t="s">
        <v>48</v>
      </c>
      <c r="K555" s="434" t="s">
        <v>5405</v>
      </c>
      <c r="L555" s="434"/>
      <c r="M555" s="434" t="s">
        <v>1764</v>
      </c>
      <c r="N555" s="730">
        <v>65298</v>
      </c>
      <c r="O555" s="730">
        <v>65298</v>
      </c>
      <c r="P555" s="459">
        <v>65306</v>
      </c>
      <c r="Q555" s="432" t="s">
        <v>51</v>
      </c>
      <c r="R555" s="322"/>
      <c r="S555" s="322"/>
      <c r="T555" s="322"/>
      <c r="U555" s="322"/>
      <c r="V555" s="322"/>
      <c r="W555" s="322"/>
      <c r="X555" s="322"/>
      <c r="Y555" s="322"/>
      <c r="Z555" s="322"/>
      <c r="AA555" s="322"/>
      <c r="AB555" s="322"/>
      <c r="AC555" s="322"/>
      <c r="AD555" s="322"/>
      <c r="AE555" s="322"/>
      <c r="AF555" s="322"/>
      <c r="AG555" s="322"/>
      <c r="AH555" s="322"/>
      <c r="AI555" s="322"/>
      <c r="AJ555" s="322"/>
      <c r="AK555" s="322"/>
      <c r="AL555" s="322"/>
      <c r="AM555" s="322"/>
      <c r="AN555" s="322"/>
      <c r="AO555" s="322"/>
      <c r="AP555" s="322"/>
      <c r="AQ555" s="322"/>
      <c r="AR555" s="322"/>
      <c r="AS555" s="322"/>
      <c r="AT555" s="322"/>
      <c r="AU555" s="322"/>
      <c r="AV555" s="322"/>
      <c r="AW555" s="322"/>
      <c r="AX555" s="322"/>
      <c r="AY555" s="322"/>
      <c r="AZ555" s="322"/>
      <c r="BA555" s="322"/>
      <c r="BB555" s="322"/>
      <c r="BC555" s="322"/>
      <c r="BD555" s="322"/>
      <c r="BE555" s="322"/>
      <c r="BF555" s="322"/>
      <c r="BG555" s="322"/>
      <c r="BH555" s="322"/>
      <c r="BI555" s="322"/>
      <c r="BJ555" s="322"/>
      <c r="BK555" s="322"/>
      <c r="BL555" s="322"/>
      <c r="BM555" s="322"/>
      <c r="BN555" s="322"/>
      <c r="BO555" s="322"/>
      <c r="BP555" s="322"/>
      <c r="BQ555" s="322"/>
      <c r="BR555" s="322"/>
      <c r="BS555" s="322"/>
      <c r="BT555" s="322"/>
      <c r="BU555" s="322"/>
      <c r="BV555" s="322"/>
      <c r="BW555" s="322"/>
      <c r="BX555" s="322"/>
      <c r="BY555" s="322"/>
      <c r="BZ555" s="322"/>
      <c r="CA555" s="322"/>
      <c r="CB555" s="322"/>
      <c r="CC555" s="322"/>
      <c r="CD555" s="322"/>
      <c r="CE555" s="322"/>
      <c r="CF555" s="322"/>
      <c r="CG555" s="322"/>
      <c r="CH555" s="322"/>
      <c r="CI555" s="322"/>
      <c r="CJ555" s="322"/>
      <c r="CK555" s="322"/>
      <c r="CL555" s="322"/>
      <c r="CM555" s="322"/>
      <c r="CN555" s="322"/>
      <c r="CO555" s="322"/>
      <c r="CP555" s="322"/>
      <c r="CQ555" s="322"/>
      <c r="CR555" s="322"/>
      <c r="CS555" s="322"/>
      <c r="CT555" s="322"/>
      <c r="CU555" s="322"/>
      <c r="CV555" s="322"/>
      <c r="CW555" s="322"/>
      <c r="CX555" s="322"/>
      <c r="CY555" s="322"/>
    </row>
    <row r="556" spans="1:103" s="432" customFormat="1">
      <c r="A556" s="509">
        <f t="shared" si="8"/>
        <v>555</v>
      </c>
      <c r="B556" s="1332" t="s">
        <v>43</v>
      </c>
      <c r="C556" s="943" t="s">
        <v>44</v>
      </c>
      <c r="D556" s="943" t="s">
        <v>45</v>
      </c>
      <c r="E556" s="432" t="s">
        <v>5933</v>
      </c>
      <c r="F556" s="434">
        <v>6</v>
      </c>
      <c r="G556" s="434">
        <v>980625404</v>
      </c>
      <c r="I556" s="434">
        <v>24</v>
      </c>
      <c r="J556" s="434" t="s">
        <v>90</v>
      </c>
      <c r="K556" s="434" t="s">
        <v>5405</v>
      </c>
      <c r="L556" s="434"/>
      <c r="M556" s="434" t="s">
        <v>1764</v>
      </c>
      <c r="N556" s="730">
        <v>65298</v>
      </c>
      <c r="O556" s="730">
        <v>65298</v>
      </c>
      <c r="P556" s="459">
        <v>65306</v>
      </c>
      <c r="Q556" s="432" t="s">
        <v>51</v>
      </c>
      <c r="R556" s="322"/>
      <c r="S556" s="322"/>
      <c r="T556" s="322"/>
      <c r="U556" s="322"/>
      <c r="V556" s="322"/>
      <c r="W556" s="322"/>
      <c r="X556" s="322"/>
      <c r="Y556" s="322"/>
      <c r="Z556" s="322"/>
      <c r="AA556" s="322"/>
      <c r="AB556" s="322"/>
      <c r="AC556" s="322"/>
      <c r="AD556" s="322"/>
      <c r="AE556" s="322"/>
      <c r="AF556" s="322"/>
      <c r="AG556" s="322"/>
      <c r="AH556" s="322"/>
      <c r="AI556" s="322"/>
      <c r="AJ556" s="322"/>
      <c r="AK556" s="322"/>
      <c r="AL556" s="322"/>
      <c r="AM556" s="322"/>
      <c r="AN556" s="322"/>
      <c r="AO556" s="322"/>
      <c r="AP556" s="322"/>
      <c r="AQ556" s="322"/>
      <c r="AR556" s="322"/>
      <c r="AS556" s="322"/>
      <c r="AT556" s="322"/>
      <c r="AU556" s="322"/>
      <c r="AV556" s="322"/>
      <c r="AW556" s="322"/>
      <c r="AX556" s="322"/>
      <c r="AY556" s="322"/>
      <c r="AZ556" s="322"/>
      <c r="BA556" s="322"/>
      <c r="BB556" s="322"/>
      <c r="BC556" s="322"/>
      <c r="BD556" s="322"/>
      <c r="BE556" s="322"/>
      <c r="BF556" s="322"/>
      <c r="BG556" s="322"/>
      <c r="BH556" s="322"/>
      <c r="BI556" s="322"/>
      <c r="BJ556" s="322"/>
      <c r="BK556" s="322"/>
      <c r="BL556" s="322"/>
      <c r="BM556" s="322"/>
      <c r="BN556" s="322"/>
      <c r="BO556" s="322"/>
      <c r="BP556" s="322"/>
      <c r="BQ556" s="322"/>
      <c r="BR556" s="322"/>
      <c r="BS556" s="322"/>
      <c r="BT556" s="322"/>
      <c r="BU556" s="322"/>
      <c r="BV556" s="322"/>
      <c r="BW556" s="322"/>
      <c r="BX556" s="322"/>
      <c r="BY556" s="322"/>
      <c r="BZ556" s="322"/>
      <c r="CA556" s="322"/>
      <c r="CB556" s="322"/>
      <c r="CC556" s="322"/>
      <c r="CD556" s="322"/>
      <c r="CE556" s="322"/>
      <c r="CF556" s="322"/>
      <c r="CG556" s="322"/>
      <c r="CH556" s="322"/>
      <c r="CI556" s="322"/>
      <c r="CJ556" s="322"/>
      <c r="CK556" s="322"/>
      <c r="CL556" s="322"/>
      <c r="CM556" s="322"/>
      <c r="CN556" s="322"/>
      <c r="CO556" s="322"/>
      <c r="CP556" s="322"/>
      <c r="CQ556" s="322"/>
      <c r="CR556" s="322"/>
      <c r="CS556" s="322"/>
      <c r="CT556" s="322"/>
      <c r="CU556" s="322"/>
      <c r="CV556" s="322"/>
      <c r="CW556" s="322"/>
      <c r="CX556" s="322"/>
      <c r="CY556" s="322"/>
    </row>
    <row r="557" spans="1:103" s="432" customFormat="1">
      <c r="A557" s="509">
        <f t="shared" si="8"/>
        <v>556</v>
      </c>
      <c r="B557" s="1332" t="s">
        <v>43</v>
      </c>
      <c r="C557" s="943" t="s">
        <v>44</v>
      </c>
      <c r="D557" s="943" t="s">
        <v>45</v>
      </c>
      <c r="E557" s="432" t="s">
        <v>5934</v>
      </c>
      <c r="F557" s="434">
        <v>9</v>
      </c>
      <c r="G557" s="434">
        <v>9847870718</v>
      </c>
      <c r="I557" s="434">
        <v>56</v>
      </c>
      <c r="J557" s="120" t="s">
        <v>48</v>
      </c>
      <c r="K557" s="434" t="s">
        <v>5405</v>
      </c>
      <c r="L557" s="434"/>
      <c r="M557" s="434" t="s">
        <v>1764</v>
      </c>
      <c r="N557" s="730">
        <v>65298</v>
      </c>
      <c r="O557" s="730">
        <v>65298</v>
      </c>
      <c r="P557" s="459">
        <v>65306</v>
      </c>
      <c r="Q557" s="432" t="s">
        <v>51</v>
      </c>
      <c r="R557" s="322"/>
      <c r="S557" s="322"/>
      <c r="T557" s="322"/>
      <c r="U557" s="322"/>
      <c r="V557" s="322"/>
      <c r="W557" s="322"/>
      <c r="X557" s="322"/>
      <c r="Y557" s="322"/>
      <c r="Z557" s="322"/>
      <c r="AA557" s="322"/>
      <c r="AB557" s="322"/>
      <c r="AC557" s="322"/>
      <c r="AD557" s="322"/>
      <c r="AE557" s="322"/>
      <c r="AF557" s="322"/>
      <c r="AG557" s="322"/>
      <c r="AH557" s="322"/>
      <c r="AI557" s="322"/>
      <c r="AJ557" s="322"/>
      <c r="AK557" s="322"/>
      <c r="AL557" s="322"/>
      <c r="AM557" s="322"/>
      <c r="AN557" s="322"/>
      <c r="AO557" s="322"/>
      <c r="AP557" s="322"/>
      <c r="AQ557" s="322"/>
      <c r="AR557" s="322"/>
      <c r="AS557" s="322"/>
      <c r="AT557" s="322"/>
      <c r="AU557" s="322"/>
      <c r="AV557" s="322"/>
      <c r="AW557" s="322"/>
      <c r="AX557" s="322"/>
      <c r="AY557" s="322"/>
      <c r="AZ557" s="322"/>
      <c r="BA557" s="322"/>
      <c r="BB557" s="322"/>
      <c r="BC557" s="322"/>
      <c r="BD557" s="322"/>
      <c r="BE557" s="322"/>
      <c r="BF557" s="322"/>
      <c r="BG557" s="322"/>
      <c r="BH557" s="322"/>
      <c r="BI557" s="322"/>
      <c r="BJ557" s="322"/>
      <c r="BK557" s="322"/>
      <c r="BL557" s="322"/>
      <c r="BM557" s="322"/>
      <c r="BN557" s="322"/>
      <c r="BO557" s="322"/>
      <c r="BP557" s="322"/>
      <c r="BQ557" s="322"/>
      <c r="BR557" s="322"/>
      <c r="BS557" s="322"/>
      <c r="BT557" s="322"/>
      <c r="BU557" s="322"/>
      <c r="BV557" s="322"/>
      <c r="BW557" s="322"/>
      <c r="BX557" s="322"/>
      <c r="BY557" s="322"/>
      <c r="BZ557" s="322"/>
      <c r="CA557" s="322"/>
      <c r="CB557" s="322"/>
      <c r="CC557" s="322"/>
      <c r="CD557" s="322"/>
      <c r="CE557" s="322"/>
      <c r="CF557" s="322"/>
      <c r="CG557" s="322"/>
      <c r="CH557" s="322"/>
      <c r="CI557" s="322"/>
      <c r="CJ557" s="322"/>
      <c r="CK557" s="322"/>
      <c r="CL557" s="322"/>
      <c r="CM557" s="322"/>
      <c r="CN557" s="322"/>
      <c r="CO557" s="322"/>
      <c r="CP557" s="322"/>
      <c r="CQ557" s="322"/>
      <c r="CR557" s="322"/>
      <c r="CS557" s="322"/>
      <c r="CT557" s="322"/>
      <c r="CU557" s="322"/>
      <c r="CV557" s="322"/>
      <c r="CW557" s="322"/>
      <c r="CX557" s="322"/>
      <c r="CY557" s="322"/>
    </row>
    <row r="558" spans="1:103" s="432" customFormat="1">
      <c r="A558" s="509">
        <f t="shared" si="8"/>
        <v>557</v>
      </c>
      <c r="B558" s="1332" t="s">
        <v>43</v>
      </c>
      <c r="C558" s="943" t="s">
        <v>44</v>
      </c>
      <c r="D558" s="943" t="s">
        <v>45</v>
      </c>
      <c r="E558" s="432" t="s">
        <v>812</v>
      </c>
      <c r="F558" s="434">
        <v>4</v>
      </c>
      <c r="G558" s="434"/>
      <c r="I558" s="434">
        <v>30</v>
      </c>
      <c r="J558" s="434" t="s">
        <v>90</v>
      </c>
      <c r="K558" s="434" t="s">
        <v>5632</v>
      </c>
      <c r="L558" s="434"/>
      <c r="M558" s="434" t="s">
        <v>1764</v>
      </c>
      <c r="N558" s="730">
        <v>65298</v>
      </c>
      <c r="O558" s="730">
        <v>65298</v>
      </c>
      <c r="P558" s="459">
        <v>65306</v>
      </c>
      <c r="Q558" s="432" t="s">
        <v>51</v>
      </c>
      <c r="R558" s="322"/>
      <c r="S558" s="322"/>
      <c r="T558" s="322"/>
      <c r="U558" s="322"/>
      <c r="V558" s="322"/>
      <c r="W558" s="322"/>
      <c r="X558" s="322"/>
      <c r="Y558" s="322"/>
      <c r="Z558" s="322"/>
      <c r="AA558" s="322"/>
      <c r="AB558" s="322"/>
      <c r="AC558" s="322"/>
      <c r="AD558" s="322"/>
      <c r="AE558" s="322"/>
      <c r="AF558" s="322"/>
      <c r="AG558" s="322"/>
      <c r="AH558" s="322"/>
      <c r="AI558" s="322"/>
      <c r="AJ558" s="322"/>
      <c r="AK558" s="322"/>
      <c r="AL558" s="322"/>
      <c r="AM558" s="322"/>
      <c r="AN558" s="322"/>
      <c r="AO558" s="322"/>
      <c r="AP558" s="322"/>
      <c r="AQ558" s="322"/>
      <c r="AR558" s="322"/>
      <c r="AS558" s="322"/>
      <c r="AT558" s="322"/>
      <c r="AU558" s="322"/>
      <c r="AV558" s="322"/>
      <c r="AW558" s="322"/>
      <c r="AX558" s="322"/>
      <c r="AY558" s="322"/>
      <c r="AZ558" s="322"/>
      <c r="BA558" s="322"/>
      <c r="BB558" s="322"/>
      <c r="BC558" s="322"/>
      <c r="BD558" s="322"/>
      <c r="BE558" s="322"/>
      <c r="BF558" s="322"/>
      <c r="BG558" s="322"/>
      <c r="BH558" s="322"/>
      <c r="BI558" s="322"/>
      <c r="BJ558" s="322"/>
      <c r="BK558" s="322"/>
      <c r="BL558" s="322"/>
      <c r="BM558" s="322"/>
      <c r="BN558" s="322"/>
      <c r="BO558" s="322"/>
      <c r="BP558" s="322"/>
      <c r="BQ558" s="322"/>
      <c r="BR558" s="322"/>
      <c r="BS558" s="322"/>
      <c r="BT558" s="322"/>
      <c r="BU558" s="322"/>
      <c r="BV558" s="322"/>
      <c r="BW558" s="322"/>
      <c r="BX558" s="322"/>
      <c r="BY558" s="322"/>
      <c r="BZ558" s="322"/>
      <c r="CA558" s="322"/>
      <c r="CB558" s="322"/>
      <c r="CC558" s="322"/>
      <c r="CD558" s="322"/>
      <c r="CE558" s="322"/>
      <c r="CF558" s="322"/>
      <c r="CG558" s="322"/>
      <c r="CH558" s="322"/>
      <c r="CI558" s="322"/>
      <c r="CJ558" s="322"/>
      <c r="CK558" s="322"/>
      <c r="CL558" s="322"/>
      <c r="CM558" s="322"/>
      <c r="CN558" s="322"/>
      <c r="CO558" s="322"/>
      <c r="CP558" s="322"/>
      <c r="CQ558" s="322"/>
      <c r="CR558" s="322"/>
      <c r="CS558" s="322"/>
      <c r="CT558" s="322"/>
      <c r="CU558" s="322"/>
      <c r="CV558" s="322"/>
      <c r="CW558" s="322"/>
      <c r="CX558" s="322"/>
      <c r="CY558" s="322"/>
    </row>
    <row r="559" spans="1:103" s="432" customFormat="1">
      <c r="A559" s="509">
        <f t="shared" si="8"/>
        <v>558</v>
      </c>
      <c r="B559" s="1332" t="s">
        <v>43</v>
      </c>
      <c r="C559" s="943" t="s">
        <v>44</v>
      </c>
      <c r="D559" s="943" t="s">
        <v>45</v>
      </c>
      <c r="E559" s="432" t="s">
        <v>812</v>
      </c>
      <c r="F559" s="434">
        <v>4</v>
      </c>
      <c r="G559" s="434"/>
      <c r="I559" s="434">
        <v>30</v>
      </c>
      <c r="J559" s="120" t="s">
        <v>48</v>
      </c>
      <c r="K559" s="434" t="s">
        <v>5632</v>
      </c>
      <c r="L559" s="434"/>
      <c r="M559" s="434" t="s">
        <v>1764</v>
      </c>
      <c r="N559" s="730">
        <v>65298</v>
      </c>
      <c r="O559" s="730">
        <v>65298</v>
      </c>
      <c r="P559" s="459">
        <v>65306</v>
      </c>
      <c r="Q559" s="432" t="s">
        <v>51</v>
      </c>
      <c r="R559" s="322"/>
      <c r="S559" s="322"/>
      <c r="T559" s="322"/>
      <c r="U559" s="322"/>
      <c r="V559" s="322"/>
      <c r="W559" s="322"/>
      <c r="X559" s="322"/>
      <c r="Y559" s="322"/>
      <c r="Z559" s="322"/>
      <c r="AA559" s="322"/>
      <c r="AB559" s="322"/>
      <c r="AC559" s="322"/>
      <c r="AD559" s="322"/>
      <c r="AE559" s="322"/>
      <c r="AF559" s="322"/>
      <c r="AG559" s="322"/>
      <c r="AH559" s="322"/>
      <c r="AI559" s="322"/>
      <c r="AJ559" s="322"/>
      <c r="AK559" s="322"/>
      <c r="AL559" s="322"/>
      <c r="AM559" s="322"/>
      <c r="AN559" s="322"/>
      <c r="AO559" s="322"/>
      <c r="AP559" s="322"/>
      <c r="AQ559" s="322"/>
      <c r="AR559" s="322"/>
      <c r="AS559" s="322"/>
      <c r="AT559" s="322"/>
      <c r="AU559" s="322"/>
      <c r="AV559" s="322"/>
      <c r="AW559" s="322"/>
      <c r="AX559" s="322"/>
      <c r="AY559" s="322"/>
      <c r="AZ559" s="322"/>
      <c r="BA559" s="322"/>
      <c r="BB559" s="322"/>
      <c r="BC559" s="322"/>
      <c r="BD559" s="322"/>
      <c r="BE559" s="322"/>
      <c r="BF559" s="322"/>
      <c r="BG559" s="322"/>
      <c r="BH559" s="322"/>
      <c r="BI559" s="322"/>
      <c r="BJ559" s="322"/>
      <c r="BK559" s="322"/>
      <c r="BL559" s="322"/>
      <c r="BM559" s="322"/>
      <c r="BN559" s="322"/>
      <c r="BO559" s="322"/>
      <c r="BP559" s="322"/>
      <c r="BQ559" s="322"/>
      <c r="BR559" s="322"/>
      <c r="BS559" s="322"/>
      <c r="BT559" s="322"/>
      <c r="BU559" s="322"/>
      <c r="BV559" s="322"/>
      <c r="BW559" s="322"/>
      <c r="BX559" s="322"/>
      <c r="BY559" s="322"/>
      <c r="BZ559" s="322"/>
      <c r="CA559" s="322"/>
      <c r="CB559" s="322"/>
      <c r="CC559" s="322"/>
      <c r="CD559" s="322"/>
      <c r="CE559" s="322"/>
      <c r="CF559" s="322"/>
      <c r="CG559" s="322"/>
      <c r="CH559" s="322"/>
      <c r="CI559" s="322"/>
      <c r="CJ559" s="322"/>
      <c r="CK559" s="322"/>
      <c r="CL559" s="322"/>
      <c r="CM559" s="322"/>
      <c r="CN559" s="322"/>
      <c r="CO559" s="322"/>
      <c r="CP559" s="322"/>
      <c r="CQ559" s="322"/>
      <c r="CR559" s="322"/>
      <c r="CS559" s="322"/>
      <c r="CT559" s="322"/>
      <c r="CU559" s="322"/>
      <c r="CV559" s="322"/>
      <c r="CW559" s="322"/>
      <c r="CX559" s="322"/>
      <c r="CY559" s="322"/>
    </row>
    <row r="560" spans="1:103" s="432" customFormat="1">
      <c r="A560" s="509">
        <f t="shared" si="8"/>
        <v>559</v>
      </c>
      <c r="B560" s="1332" t="s">
        <v>43</v>
      </c>
      <c r="C560" s="943" t="s">
        <v>44</v>
      </c>
      <c r="D560" s="943" t="s">
        <v>45</v>
      </c>
      <c r="E560" s="432" t="s">
        <v>812</v>
      </c>
      <c r="F560" s="434">
        <v>4</v>
      </c>
      <c r="G560" s="434"/>
      <c r="I560" s="434">
        <v>30</v>
      </c>
      <c r="J560" s="120" t="s">
        <v>48</v>
      </c>
      <c r="K560" s="434" t="s">
        <v>5632</v>
      </c>
      <c r="L560" s="434"/>
      <c r="M560" s="434" t="s">
        <v>1764</v>
      </c>
      <c r="N560" s="730">
        <v>65298</v>
      </c>
      <c r="O560" s="730">
        <v>65298</v>
      </c>
      <c r="P560" s="459">
        <v>65306</v>
      </c>
      <c r="Q560" s="432" t="s">
        <v>51</v>
      </c>
      <c r="R560" s="322"/>
      <c r="S560" s="322"/>
      <c r="T560" s="322"/>
      <c r="U560" s="322"/>
      <c r="V560" s="322"/>
      <c r="W560" s="322"/>
      <c r="X560" s="322"/>
      <c r="Y560" s="322"/>
      <c r="Z560" s="322"/>
      <c r="AA560" s="322"/>
      <c r="AB560" s="322"/>
      <c r="AC560" s="322"/>
      <c r="AD560" s="322"/>
      <c r="AE560" s="322"/>
      <c r="AF560" s="322"/>
      <c r="AG560" s="322"/>
      <c r="AH560" s="322"/>
      <c r="AI560" s="322"/>
      <c r="AJ560" s="322"/>
      <c r="AK560" s="322"/>
      <c r="AL560" s="322"/>
      <c r="AM560" s="322"/>
      <c r="AN560" s="322"/>
      <c r="AO560" s="322"/>
      <c r="AP560" s="322"/>
      <c r="AQ560" s="322"/>
      <c r="AR560" s="322"/>
      <c r="AS560" s="322"/>
      <c r="AT560" s="322"/>
      <c r="AU560" s="322"/>
      <c r="AV560" s="322"/>
      <c r="AW560" s="322"/>
      <c r="AX560" s="322"/>
      <c r="AY560" s="322"/>
      <c r="AZ560" s="322"/>
      <c r="BA560" s="322"/>
      <c r="BB560" s="322"/>
      <c r="BC560" s="322"/>
      <c r="BD560" s="322"/>
      <c r="BE560" s="322"/>
      <c r="BF560" s="322"/>
      <c r="BG560" s="322"/>
      <c r="BH560" s="322"/>
      <c r="BI560" s="322"/>
      <c r="BJ560" s="322"/>
      <c r="BK560" s="322"/>
      <c r="BL560" s="322"/>
      <c r="BM560" s="322"/>
      <c r="BN560" s="322"/>
      <c r="BO560" s="322"/>
      <c r="BP560" s="322"/>
      <c r="BQ560" s="322"/>
      <c r="BR560" s="322"/>
      <c r="BS560" s="322"/>
      <c r="BT560" s="322"/>
      <c r="BU560" s="322"/>
      <c r="BV560" s="322"/>
      <c r="BW560" s="322"/>
      <c r="BX560" s="322"/>
      <c r="BY560" s="322"/>
      <c r="BZ560" s="322"/>
      <c r="CA560" s="322"/>
      <c r="CB560" s="322"/>
      <c r="CC560" s="322"/>
      <c r="CD560" s="322"/>
      <c r="CE560" s="322"/>
      <c r="CF560" s="322"/>
      <c r="CG560" s="322"/>
      <c r="CH560" s="322"/>
      <c r="CI560" s="322"/>
      <c r="CJ560" s="322"/>
      <c r="CK560" s="322"/>
      <c r="CL560" s="322"/>
      <c r="CM560" s="322"/>
      <c r="CN560" s="322"/>
      <c r="CO560" s="322"/>
      <c r="CP560" s="322"/>
      <c r="CQ560" s="322"/>
      <c r="CR560" s="322"/>
      <c r="CS560" s="322"/>
      <c r="CT560" s="322"/>
      <c r="CU560" s="322"/>
      <c r="CV560" s="322"/>
      <c r="CW560" s="322"/>
      <c r="CX560" s="322"/>
      <c r="CY560" s="322"/>
    </row>
    <row r="561" spans="1:103" s="432" customFormat="1">
      <c r="A561" s="509">
        <f t="shared" si="8"/>
        <v>560</v>
      </c>
      <c r="B561" s="1332" t="s">
        <v>43</v>
      </c>
      <c r="C561" s="943" t="s">
        <v>44</v>
      </c>
      <c r="D561" s="943" t="s">
        <v>45</v>
      </c>
      <c r="E561" s="432" t="s">
        <v>812</v>
      </c>
      <c r="F561" s="434">
        <v>5</v>
      </c>
      <c r="G561" s="434"/>
      <c r="I561" s="434">
        <v>35</v>
      </c>
      <c r="J561" s="434" t="s">
        <v>90</v>
      </c>
      <c r="K561" s="434" t="s">
        <v>5936</v>
      </c>
      <c r="L561" s="434"/>
      <c r="M561" s="434" t="s">
        <v>1764</v>
      </c>
      <c r="N561" s="730">
        <v>65298</v>
      </c>
      <c r="O561" s="730">
        <v>65298</v>
      </c>
      <c r="P561" s="459">
        <v>65306</v>
      </c>
      <c r="Q561" s="432" t="s">
        <v>51</v>
      </c>
      <c r="R561" s="322"/>
      <c r="S561" s="322"/>
      <c r="T561" s="322"/>
      <c r="U561" s="322"/>
      <c r="V561" s="322"/>
      <c r="W561" s="322"/>
      <c r="X561" s="322"/>
      <c r="Y561" s="322"/>
      <c r="Z561" s="322"/>
      <c r="AA561" s="322"/>
      <c r="AB561" s="322"/>
      <c r="AC561" s="322"/>
      <c r="AD561" s="322"/>
      <c r="AE561" s="322"/>
      <c r="AF561" s="322"/>
      <c r="AG561" s="322"/>
      <c r="AH561" s="322"/>
      <c r="AI561" s="322"/>
      <c r="AJ561" s="322"/>
      <c r="AK561" s="322"/>
      <c r="AL561" s="322"/>
      <c r="AM561" s="322"/>
      <c r="AN561" s="322"/>
      <c r="AO561" s="322"/>
      <c r="AP561" s="322"/>
      <c r="AQ561" s="322"/>
      <c r="AR561" s="322"/>
      <c r="AS561" s="322"/>
      <c r="AT561" s="322"/>
      <c r="AU561" s="322"/>
      <c r="AV561" s="322"/>
      <c r="AW561" s="322"/>
      <c r="AX561" s="322"/>
      <c r="AY561" s="322"/>
      <c r="AZ561" s="322"/>
      <c r="BA561" s="322"/>
      <c r="BB561" s="322"/>
      <c r="BC561" s="322"/>
      <c r="BD561" s="322"/>
      <c r="BE561" s="322"/>
      <c r="BF561" s="322"/>
      <c r="BG561" s="322"/>
      <c r="BH561" s="322"/>
      <c r="BI561" s="322"/>
      <c r="BJ561" s="322"/>
      <c r="BK561" s="322"/>
      <c r="BL561" s="322"/>
      <c r="BM561" s="322"/>
      <c r="BN561" s="322"/>
      <c r="BO561" s="322"/>
      <c r="BP561" s="322"/>
      <c r="BQ561" s="322"/>
      <c r="BR561" s="322"/>
      <c r="BS561" s="322"/>
      <c r="BT561" s="322"/>
      <c r="BU561" s="322"/>
      <c r="BV561" s="322"/>
      <c r="BW561" s="322"/>
      <c r="BX561" s="322"/>
      <c r="BY561" s="322"/>
      <c r="BZ561" s="322"/>
      <c r="CA561" s="322"/>
      <c r="CB561" s="322"/>
      <c r="CC561" s="322"/>
      <c r="CD561" s="322"/>
      <c r="CE561" s="322"/>
      <c r="CF561" s="322"/>
      <c r="CG561" s="322"/>
      <c r="CH561" s="322"/>
      <c r="CI561" s="322"/>
      <c r="CJ561" s="322"/>
      <c r="CK561" s="322"/>
      <c r="CL561" s="322"/>
      <c r="CM561" s="322"/>
      <c r="CN561" s="322"/>
      <c r="CO561" s="322"/>
      <c r="CP561" s="322"/>
      <c r="CQ561" s="322"/>
      <c r="CR561" s="322"/>
      <c r="CS561" s="322"/>
      <c r="CT561" s="322"/>
      <c r="CU561" s="322"/>
      <c r="CV561" s="322"/>
      <c r="CW561" s="322"/>
      <c r="CX561" s="322"/>
      <c r="CY561" s="322"/>
    </row>
    <row r="562" spans="1:103" s="432" customFormat="1">
      <c r="A562" s="509">
        <f t="shared" si="8"/>
        <v>561</v>
      </c>
      <c r="B562" s="1332" t="s">
        <v>43</v>
      </c>
      <c r="C562" s="943" t="s">
        <v>44</v>
      </c>
      <c r="D562" s="943" t="s">
        <v>45</v>
      </c>
      <c r="E562" s="432" t="s">
        <v>812</v>
      </c>
      <c r="F562" s="434">
        <v>5</v>
      </c>
      <c r="G562" s="434"/>
      <c r="I562" s="434">
        <v>35</v>
      </c>
      <c r="J562" s="434" t="s">
        <v>90</v>
      </c>
      <c r="K562" s="434" t="s">
        <v>5936</v>
      </c>
      <c r="L562" s="434"/>
      <c r="M562" s="434" t="s">
        <v>1764</v>
      </c>
      <c r="N562" s="730">
        <v>65298</v>
      </c>
      <c r="O562" s="730">
        <v>65298</v>
      </c>
      <c r="P562" s="459">
        <v>65306</v>
      </c>
      <c r="Q562" s="432" t="s">
        <v>51</v>
      </c>
      <c r="R562" s="322"/>
      <c r="S562" s="322"/>
      <c r="T562" s="322"/>
      <c r="U562" s="322"/>
      <c r="V562" s="322"/>
      <c r="W562" s="322"/>
      <c r="X562" s="322"/>
      <c r="Y562" s="322"/>
      <c r="Z562" s="322"/>
      <c r="AA562" s="322"/>
      <c r="AB562" s="322"/>
      <c r="AC562" s="322"/>
      <c r="AD562" s="322"/>
      <c r="AE562" s="322"/>
      <c r="AF562" s="322"/>
      <c r="AG562" s="322"/>
      <c r="AH562" s="322"/>
      <c r="AI562" s="322"/>
      <c r="AJ562" s="322"/>
      <c r="AK562" s="322"/>
      <c r="AL562" s="322"/>
      <c r="AM562" s="322"/>
      <c r="AN562" s="322"/>
      <c r="AO562" s="322"/>
      <c r="AP562" s="322"/>
      <c r="AQ562" s="322"/>
      <c r="AR562" s="322"/>
      <c r="AS562" s="322"/>
      <c r="AT562" s="322"/>
      <c r="AU562" s="322"/>
      <c r="AV562" s="322"/>
      <c r="AW562" s="322"/>
      <c r="AX562" s="322"/>
      <c r="AY562" s="322"/>
      <c r="AZ562" s="322"/>
      <c r="BA562" s="322"/>
      <c r="BB562" s="322"/>
      <c r="BC562" s="322"/>
      <c r="BD562" s="322"/>
      <c r="BE562" s="322"/>
      <c r="BF562" s="322"/>
      <c r="BG562" s="322"/>
      <c r="BH562" s="322"/>
      <c r="BI562" s="322"/>
      <c r="BJ562" s="322"/>
      <c r="BK562" s="322"/>
      <c r="BL562" s="322"/>
      <c r="BM562" s="322"/>
      <c r="BN562" s="322"/>
      <c r="BO562" s="322"/>
      <c r="BP562" s="322"/>
      <c r="BQ562" s="322"/>
      <c r="BR562" s="322"/>
      <c r="BS562" s="322"/>
      <c r="BT562" s="322"/>
      <c r="BU562" s="322"/>
      <c r="BV562" s="322"/>
      <c r="BW562" s="322"/>
      <c r="BX562" s="322"/>
      <c r="BY562" s="322"/>
      <c r="BZ562" s="322"/>
      <c r="CA562" s="322"/>
      <c r="CB562" s="322"/>
      <c r="CC562" s="322"/>
      <c r="CD562" s="322"/>
      <c r="CE562" s="322"/>
      <c r="CF562" s="322"/>
      <c r="CG562" s="322"/>
      <c r="CH562" s="322"/>
      <c r="CI562" s="322"/>
      <c r="CJ562" s="322"/>
      <c r="CK562" s="322"/>
      <c r="CL562" s="322"/>
      <c r="CM562" s="322"/>
      <c r="CN562" s="322"/>
      <c r="CO562" s="322"/>
      <c r="CP562" s="322"/>
      <c r="CQ562" s="322"/>
      <c r="CR562" s="322"/>
      <c r="CS562" s="322"/>
      <c r="CT562" s="322"/>
      <c r="CU562" s="322"/>
      <c r="CV562" s="322"/>
      <c r="CW562" s="322"/>
      <c r="CX562" s="322"/>
      <c r="CY562" s="322"/>
    </row>
    <row r="563" spans="1:103" s="432" customFormat="1">
      <c r="A563" s="509">
        <f t="shared" si="8"/>
        <v>562</v>
      </c>
      <c r="B563" s="1332" t="s">
        <v>43</v>
      </c>
      <c r="C563" s="943" t="s">
        <v>44</v>
      </c>
      <c r="D563" s="943" t="s">
        <v>45</v>
      </c>
      <c r="E563" s="432" t="s">
        <v>812</v>
      </c>
      <c r="F563" s="434">
        <v>5</v>
      </c>
      <c r="G563" s="434"/>
      <c r="I563" s="434">
        <v>35</v>
      </c>
      <c r="J563" s="434" t="s">
        <v>90</v>
      </c>
      <c r="K563" s="434" t="s">
        <v>5936</v>
      </c>
      <c r="L563" s="434"/>
      <c r="M563" s="434" t="s">
        <v>1764</v>
      </c>
      <c r="N563" s="730">
        <v>65298</v>
      </c>
      <c r="O563" s="730">
        <v>65298</v>
      </c>
      <c r="P563" s="459">
        <v>65306</v>
      </c>
      <c r="Q563" s="432" t="s">
        <v>51</v>
      </c>
      <c r="R563" s="322"/>
      <c r="S563" s="322"/>
      <c r="T563" s="322"/>
      <c r="U563" s="322"/>
      <c r="V563" s="322"/>
      <c r="W563" s="322"/>
      <c r="X563" s="322"/>
      <c r="Y563" s="322"/>
      <c r="Z563" s="322"/>
      <c r="AA563" s="322"/>
      <c r="AB563" s="322"/>
      <c r="AC563" s="322"/>
      <c r="AD563" s="322"/>
      <c r="AE563" s="322"/>
      <c r="AF563" s="322"/>
      <c r="AG563" s="322"/>
      <c r="AH563" s="322"/>
      <c r="AI563" s="322"/>
      <c r="AJ563" s="322"/>
      <c r="AK563" s="322"/>
      <c r="AL563" s="322"/>
      <c r="AM563" s="322"/>
      <c r="AN563" s="322"/>
      <c r="AO563" s="322"/>
      <c r="AP563" s="322"/>
      <c r="AQ563" s="322"/>
      <c r="AR563" s="322"/>
      <c r="AS563" s="322"/>
      <c r="AT563" s="322"/>
      <c r="AU563" s="322"/>
      <c r="AV563" s="322"/>
      <c r="AW563" s="322"/>
      <c r="AX563" s="322"/>
      <c r="AY563" s="322"/>
      <c r="AZ563" s="322"/>
      <c r="BA563" s="322"/>
      <c r="BB563" s="322"/>
      <c r="BC563" s="322"/>
      <c r="BD563" s="322"/>
      <c r="BE563" s="322"/>
      <c r="BF563" s="322"/>
      <c r="BG563" s="322"/>
      <c r="BH563" s="322"/>
      <c r="BI563" s="322"/>
      <c r="BJ563" s="322"/>
      <c r="BK563" s="322"/>
      <c r="BL563" s="322"/>
      <c r="BM563" s="322"/>
      <c r="BN563" s="322"/>
      <c r="BO563" s="322"/>
      <c r="BP563" s="322"/>
      <c r="BQ563" s="322"/>
      <c r="BR563" s="322"/>
      <c r="BS563" s="322"/>
      <c r="BT563" s="322"/>
      <c r="BU563" s="322"/>
      <c r="BV563" s="322"/>
      <c r="BW563" s="322"/>
      <c r="BX563" s="322"/>
      <c r="BY563" s="322"/>
      <c r="BZ563" s="322"/>
      <c r="CA563" s="322"/>
      <c r="CB563" s="322"/>
      <c r="CC563" s="322"/>
      <c r="CD563" s="322"/>
      <c r="CE563" s="322"/>
      <c r="CF563" s="322"/>
      <c r="CG563" s="322"/>
      <c r="CH563" s="322"/>
      <c r="CI563" s="322"/>
      <c r="CJ563" s="322"/>
      <c r="CK563" s="322"/>
      <c r="CL563" s="322"/>
      <c r="CM563" s="322"/>
      <c r="CN563" s="322"/>
      <c r="CO563" s="322"/>
      <c r="CP563" s="322"/>
      <c r="CQ563" s="322"/>
      <c r="CR563" s="322"/>
      <c r="CS563" s="322"/>
      <c r="CT563" s="322"/>
      <c r="CU563" s="322"/>
      <c r="CV563" s="322"/>
      <c r="CW563" s="322"/>
      <c r="CX563" s="322"/>
      <c r="CY563" s="322"/>
    </row>
    <row r="564" spans="1:103" s="432" customFormat="1">
      <c r="A564" s="509">
        <f t="shared" si="8"/>
        <v>563</v>
      </c>
      <c r="B564" s="1332" t="s">
        <v>43</v>
      </c>
      <c r="C564" s="943" t="s">
        <v>44</v>
      </c>
      <c r="D564" s="943" t="s">
        <v>45</v>
      </c>
      <c r="E564" s="432" t="s">
        <v>812</v>
      </c>
      <c r="F564" s="434">
        <v>5</v>
      </c>
      <c r="G564" s="434"/>
      <c r="I564" s="434">
        <v>35</v>
      </c>
      <c r="J564" s="434" t="s">
        <v>90</v>
      </c>
      <c r="K564" s="434" t="s">
        <v>5936</v>
      </c>
      <c r="L564" s="434"/>
      <c r="M564" s="434" t="s">
        <v>1764</v>
      </c>
      <c r="N564" s="730">
        <v>65298</v>
      </c>
      <c r="O564" s="730">
        <v>65298</v>
      </c>
      <c r="P564" s="459">
        <v>65306</v>
      </c>
      <c r="Q564" s="432" t="s">
        <v>51</v>
      </c>
      <c r="R564" s="322"/>
      <c r="S564" s="322"/>
      <c r="T564" s="322"/>
      <c r="U564" s="322"/>
      <c r="V564" s="322"/>
      <c r="W564" s="322"/>
      <c r="X564" s="322"/>
      <c r="Y564" s="322"/>
      <c r="Z564" s="322"/>
      <c r="AA564" s="322"/>
      <c r="AB564" s="322"/>
      <c r="AC564" s="322"/>
      <c r="AD564" s="322"/>
      <c r="AE564" s="322"/>
      <c r="AF564" s="322"/>
      <c r="AG564" s="322"/>
      <c r="AH564" s="322"/>
      <c r="AI564" s="322"/>
      <c r="AJ564" s="322"/>
      <c r="AK564" s="322"/>
      <c r="AL564" s="322"/>
      <c r="AM564" s="322"/>
      <c r="AN564" s="322"/>
      <c r="AO564" s="322"/>
      <c r="AP564" s="322"/>
      <c r="AQ564" s="322"/>
      <c r="AR564" s="322"/>
      <c r="AS564" s="322"/>
      <c r="AT564" s="322"/>
      <c r="AU564" s="322"/>
      <c r="AV564" s="322"/>
      <c r="AW564" s="322"/>
      <c r="AX564" s="322"/>
      <c r="AY564" s="322"/>
      <c r="AZ564" s="322"/>
      <c r="BA564" s="322"/>
      <c r="BB564" s="322"/>
      <c r="BC564" s="322"/>
      <c r="BD564" s="322"/>
      <c r="BE564" s="322"/>
      <c r="BF564" s="322"/>
      <c r="BG564" s="322"/>
      <c r="BH564" s="322"/>
      <c r="BI564" s="322"/>
      <c r="BJ564" s="322"/>
      <c r="BK564" s="322"/>
      <c r="BL564" s="322"/>
      <c r="BM564" s="322"/>
      <c r="BN564" s="322"/>
      <c r="BO564" s="322"/>
      <c r="BP564" s="322"/>
      <c r="BQ564" s="322"/>
      <c r="BR564" s="322"/>
      <c r="BS564" s="322"/>
      <c r="BT564" s="322"/>
      <c r="BU564" s="322"/>
      <c r="BV564" s="322"/>
      <c r="BW564" s="322"/>
      <c r="BX564" s="322"/>
      <c r="BY564" s="322"/>
      <c r="BZ564" s="322"/>
      <c r="CA564" s="322"/>
      <c r="CB564" s="322"/>
      <c r="CC564" s="322"/>
      <c r="CD564" s="322"/>
      <c r="CE564" s="322"/>
      <c r="CF564" s="322"/>
      <c r="CG564" s="322"/>
      <c r="CH564" s="322"/>
      <c r="CI564" s="322"/>
      <c r="CJ564" s="322"/>
      <c r="CK564" s="322"/>
      <c r="CL564" s="322"/>
      <c r="CM564" s="322"/>
      <c r="CN564" s="322"/>
      <c r="CO564" s="322"/>
      <c r="CP564" s="322"/>
      <c r="CQ564" s="322"/>
      <c r="CR564" s="322"/>
      <c r="CS564" s="322"/>
      <c r="CT564" s="322"/>
      <c r="CU564" s="322"/>
      <c r="CV564" s="322"/>
      <c r="CW564" s="322"/>
      <c r="CX564" s="322"/>
      <c r="CY564" s="322"/>
    </row>
    <row r="565" spans="1:103" s="432" customFormat="1">
      <c r="A565" s="509">
        <f t="shared" si="8"/>
        <v>564</v>
      </c>
      <c r="B565" s="1332" t="s">
        <v>43</v>
      </c>
      <c r="C565" s="943" t="s">
        <v>44</v>
      </c>
      <c r="D565" s="943" t="s">
        <v>45</v>
      </c>
      <c r="E565" s="432" t="s">
        <v>812</v>
      </c>
      <c r="F565" s="434">
        <v>5</v>
      </c>
      <c r="G565" s="434"/>
      <c r="I565" s="434">
        <v>30</v>
      </c>
      <c r="J565" s="434" t="s">
        <v>90</v>
      </c>
      <c r="K565" s="434" t="s">
        <v>5936</v>
      </c>
      <c r="L565" s="434"/>
      <c r="M565" s="434" t="s">
        <v>1764</v>
      </c>
      <c r="N565" s="730">
        <v>65298</v>
      </c>
      <c r="O565" s="730">
        <v>65298</v>
      </c>
      <c r="P565" s="459">
        <v>65306</v>
      </c>
      <c r="Q565" s="432" t="s">
        <v>51</v>
      </c>
      <c r="R565" s="322"/>
      <c r="S565" s="322"/>
      <c r="T565" s="322"/>
      <c r="U565" s="322"/>
      <c r="V565" s="322"/>
      <c r="W565" s="322"/>
      <c r="X565" s="322"/>
      <c r="Y565" s="322"/>
      <c r="Z565" s="322"/>
      <c r="AA565" s="322"/>
      <c r="AB565" s="322"/>
      <c r="AC565" s="322"/>
      <c r="AD565" s="322"/>
      <c r="AE565" s="322"/>
      <c r="AF565" s="322"/>
      <c r="AG565" s="322"/>
      <c r="AH565" s="322"/>
      <c r="AI565" s="322"/>
      <c r="AJ565" s="322"/>
      <c r="AK565" s="322"/>
      <c r="AL565" s="322"/>
      <c r="AM565" s="322"/>
      <c r="AN565" s="322"/>
      <c r="AO565" s="322"/>
      <c r="AP565" s="322"/>
      <c r="AQ565" s="322"/>
      <c r="AR565" s="322"/>
      <c r="AS565" s="322"/>
      <c r="AT565" s="322"/>
      <c r="AU565" s="322"/>
      <c r="AV565" s="322"/>
      <c r="AW565" s="322"/>
      <c r="AX565" s="322"/>
      <c r="AY565" s="322"/>
      <c r="AZ565" s="322"/>
      <c r="BA565" s="322"/>
      <c r="BB565" s="322"/>
      <c r="BC565" s="322"/>
      <c r="BD565" s="322"/>
      <c r="BE565" s="322"/>
      <c r="BF565" s="322"/>
      <c r="BG565" s="322"/>
      <c r="BH565" s="322"/>
      <c r="BI565" s="322"/>
      <c r="BJ565" s="322"/>
      <c r="BK565" s="322"/>
      <c r="BL565" s="322"/>
      <c r="BM565" s="322"/>
      <c r="BN565" s="322"/>
      <c r="BO565" s="322"/>
      <c r="BP565" s="322"/>
      <c r="BQ565" s="322"/>
      <c r="BR565" s="322"/>
      <c r="BS565" s="322"/>
      <c r="BT565" s="322"/>
      <c r="BU565" s="322"/>
      <c r="BV565" s="322"/>
      <c r="BW565" s="322"/>
      <c r="BX565" s="322"/>
      <c r="BY565" s="322"/>
      <c r="BZ565" s="322"/>
      <c r="CA565" s="322"/>
      <c r="CB565" s="322"/>
      <c r="CC565" s="322"/>
      <c r="CD565" s="322"/>
      <c r="CE565" s="322"/>
      <c r="CF565" s="322"/>
      <c r="CG565" s="322"/>
      <c r="CH565" s="322"/>
      <c r="CI565" s="322"/>
      <c r="CJ565" s="322"/>
      <c r="CK565" s="322"/>
      <c r="CL565" s="322"/>
      <c r="CM565" s="322"/>
      <c r="CN565" s="322"/>
      <c r="CO565" s="322"/>
      <c r="CP565" s="322"/>
      <c r="CQ565" s="322"/>
      <c r="CR565" s="322"/>
      <c r="CS565" s="322"/>
      <c r="CT565" s="322"/>
      <c r="CU565" s="322"/>
      <c r="CV565" s="322"/>
      <c r="CW565" s="322"/>
      <c r="CX565" s="322"/>
      <c r="CY565" s="322"/>
    </row>
    <row r="566" spans="1:103" s="432" customFormat="1">
      <c r="A566" s="509">
        <f t="shared" si="8"/>
        <v>565</v>
      </c>
      <c r="B566" s="1332" t="s">
        <v>43</v>
      </c>
      <c r="C566" s="943" t="s">
        <v>44</v>
      </c>
      <c r="D566" s="943" t="s">
        <v>45</v>
      </c>
      <c r="E566" s="432" t="s">
        <v>812</v>
      </c>
      <c r="F566" s="434">
        <v>5</v>
      </c>
      <c r="G566" s="434"/>
      <c r="I566" s="434">
        <v>30</v>
      </c>
      <c r="J566" s="434" t="s">
        <v>90</v>
      </c>
      <c r="K566" s="434" t="s">
        <v>5936</v>
      </c>
      <c r="L566" s="434"/>
      <c r="M566" s="434" t="s">
        <v>1764</v>
      </c>
      <c r="N566" s="730">
        <v>65298</v>
      </c>
      <c r="O566" s="730">
        <v>65298</v>
      </c>
      <c r="P566" s="459">
        <v>65306</v>
      </c>
      <c r="Q566" s="432" t="s">
        <v>51</v>
      </c>
      <c r="R566" s="322"/>
      <c r="S566" s="322"/>
      <c r="T566" s="322"/>
      <c r="U566" s="322"/>
      <c r="V566" s="322"/>
      <c r="W566" s="322"/>
      <c r="X566" s="322"/>
      <c r="Y566" s="322"/>
      <c r="Z566" s="322"/>
      <c r="AA566" s="322"/>
      <c r="AB566" s="322"/>
      <c r="AC566" s="322"/>
      <c r="AD566" s="322"/>
      <c r="AE566" s="322"/>
      <c r="AF566" s="322"/>
      <c r="AG566" s="322"/>
      <c r="AH566" s="322"/>
      <c r="AI566" s="322"/>
      <c r="AJ566" s="322"/>
      <c r="AK566" s="322"/>
      <c r="AL566" s="322"/>
      <c r="AM566" s="322"/>
      <c r="AN566" s="322"/>
      <c r="AO566" s="322"/>
      <c r="AP566" s="322"/>
      <c r="AQ566" s="322"/>
      <c r="AR566" s="322"/>
      <c r="AS566" s="322"/>
      <c r="AT566" s="322"/>
      <c r="AU566" s="322"/>
      <c r="AV566" s="322"/>
      <c r="AW566" s="322"/>
      <c r="AX566" s="322"/>
      <c r="AY566" s="322"/>
      <c r="AZ566" s="322"/>
      <c r="BA566" s="322"/>
      <c r="BB566" s="322"/>
      <c r="BC566" s="322"/>
      <c r="BD566" s="322"/>
      <c r="BE566" s="322"/>
      <c r="BF566" s="322"/>
      <c r="BG566" s="322"/>
      <c r="BH566" s="322"/>
      <c r="BI566" s="322"/>
      <c r="BJ566" s="322"/>
      <c r="BK566" s="322"/>
      <c r="BL566" s="322"/>
      <c r="BM566" s="322"/>
      <c r="BN566" s="322"/>
      <c r="BO566" s="322"/>
      <c r="BP566" s="322"/>
      <c r="BQ566" s="322"/>
      <c r="BR566" s="322"/>
      <c r="BS566" s="322"/>
      <c r="BT566" s="322"/>
      <c r="BU566" s="322"/>
      <c r="BV566" s="322"/>
      <c r="BW566" s="322"/>
      <c r="BX566" s="322"/>
      <c r="BY566" s="322"/>
      <c r="BZ566" s="322"/>
      <c r="CA566" s="322"/>
      <c r="CB566" s="322"/>
      <c r="CC566" s="322"/>
      <c r="CD566" s="322"/>
      <c r="CE566" s="322"/>
      <c r="CF566" s="322"/>
      <c r="CG566" s="322"/>
      <c r="CH566" s="322"/>
      <c r="CI566" s="322"/>
      <c r="CJ566" s="322"/>
      <c r="CK566" s="322"/>
      <c r="CL566" s="322"/>
      <c r="CM566" s="322"/>
      <c r="CN566" s="322"/>
      <c r="CO566" s="322"/>
      <c r="CP566" s="322"/>
      <c r="CQ566" s="322"/>
      <c r="CR566" s="322"/>
      <c r="CS566" s="322"/>
      <c r="CT566" s="322"/>
      <c r="CU566" s="322"/>
      <c r="CV566" s="322"/>
      <c r="CW566" s="322"/>
      <c r="CX566" s="322"/>
      <c r="CY566" s="322"/>
    </row>
    <row r="567" spans="1:103" s="432" customFormat="1">
      <c r="A567" s="509">
        <f t="shared" si="8"/>
        <v>566</v>
      </c>
      <c r="B567" s="1332" t="s">
        <v>43</v>
      </c>
      <c r="C567" s="943" t="s">
        <v>44</v>
      </c>
      <c r="D567" s="943" t="s">
        <v>45</v>
      </c>
      <c r="E567" s="432" t="s">
        <v>812</v>
      </c>
      <c r="F567" s="434">
        <v>6</v>
      </c>
      <c r="G567" s="434"/>
      <c r="I567" s="434">
        <v>30</v>
      </c>
      <c r="J567" s="434" t="s">
        <v>90</v>
      </c>
      <c r="K567" s="434" t="s">
        <v>5936</v>
      </c>
      <c r="L567" s="434"/>
      <c r="M567" s="434" t="s">
        <v>1764</v>
      </c>
      <c r="N567" s="730">
        <v>65298</v>
      </c>
      <c r="O567" s="730">
        <v>65298</v>
      </c>
      <c r="P567" s="459">
        <v>65306</v>
      </c>
      <c r="Q567" s="432" t="s">
        <v>51</v>
      </c>
      <c r="R567" s="322"/>
      <c r="S567" s="322"/>
      <c r="T567" s="322"/>
      <c r="U567" s="322"/>
      <c r="V567" s="322"/>
      <c r="W567" s="322"/>
      <c r="X567" s="322"/>
      <c r="Y567" s="322"/>
      <c r="Z567" s="322"/>
      <c r="AA567" s="322"/>
      <c r="AB567" s="322"/>
      <c r="AC567" s="322"/>
      <c r="AD567" s="322"/>
      <c r="AE567" s="322"/>
      <c r="AF567" s="322"/>
      <c r="AG567" s="322"/>
      <c r="AH567" s="322"/>
      <c r="AI567" s="322"/>
      <c r="AJ567" s="322"/>
      <c r="AK567" s="322"/>
      <c r="AL567" s="322"/>
      <c r="AM567" s="322"/>
      <c r="AN567" s="322"/>
      <c r="AO567" s="322"/>
      <c r="AP567" s="322"/>
      <c r="AQ567" s="322"/>
      <c r="AR567" s="322"/>
      <c r="AS567" s="322"/>
      <c r="AT567" s="322"/>
      <c r="AU567" s="322"/>
      <c r="AV567" s="322"/>
      <c r="AW567" s="322"/>
      <c r="AX567" s="322"/>
      <c r="AY567" s="322"/>
      <c r="AZ567" s="322"/>
      <c r="BA567" s="322"/>
      <c r="BB567" s="322"/>
      <c r="BC567" s="322"/>
      <c r="BD567" s="322"/>
      <c r="BE567" s="322"/>
      <c r="BF567" s="322"/>
      <c r="BG567" s="322"/>
      <c r="BH567" s="322"/>
      <c r="BI567" s="322"/>
      <c r="BJ567" s="322"/>
      <c r="BK567" s="322"/>
      <c r="BL567" s="322"/>
      <c r="BM567" s="322"/>
      <c r="BN567" s="322"/>
      <c r="BO567" s="322"/>
      <c r="BP567" s="322"/>
      <c r="BQ567" s="322"/>
      <c r="BR567" s="322"/>
      <c r="BS567" s="322"/>
      <c r="BT567" s="322"/>
      <c r="BU567" s="322"/>
      <c r="BV567" s="322"/>
      <c r="BW567" s="322"/>
      <c r="BX567" s="322"/>
      <c r="BY567" s="322"/>
      <c r="BZ567" s="322"/>
      <c r="CA567" s="322"/>
      <c r="CB567" s="322"/>
      <c r="CC567" s="322"/>
      <c r="CD567" s="322"/>
      <c r="CE567" s="322"/>
      <c r="CF567" s="322"/>
      <c r="CG567" s="322"/>
      <c r="CH567" s="322"/>
      <c r="CI567" s="322"/>
      <c r="CJ567" s="322"/>
      <c r="CK567" s="322"/>
      <c r="CL567" s="322"/>
      <c r="CM567" s="322"/>
      <c r="CN567" s="322"/>
      <c r="CO567" s="322"/>
      <c r="CP567" s="322"/>
      <c r="CQ567" s="322"/>
      <c r="CR567" s="322"/>
      <c r="CS567" s="322"/>
      <c r="CT567" s="322"/>
      <c r="CU567" s="322"/>
      <c r="CV567" s="322"/>
      <c r="CW567" s="322"/>
      <c r="CX567" s="322"/>
      <c r="CY567" s="322"/>
    </row>
    <row r="568" spans="1:103" s="432" customFormat="1">
      <c r="A568" s="509">
        <f t="shared" si="8"/>
        <v>567</v>
      </c>
      <c r="B568" s="1332" t="s">
        <v>43</v>
      </c>
      <c r="C568" s="943" t="s">
        <v>44</v>
      </c>
      <c r="D568" s="943" t="s">
        <v>45</v>
      </c>
      <c r="E568" s="432" t="s">
        <v>812</v>
      </c>
      <c r="F568" s="434">
        <v>6</v>
      </c>
      <c r="G568" s="434"/>
      <c r="I568" s="434">
        <v>30</v>
      </c>
      <c r="J568" s="434" t="s">
        <v>90</v>
      </c>
      <c r="K568" s="434" t="s">
        <v>5936</v>
      </c>
      <c r="L568" s="434"/>
      <c r="M568" s="434" t="s">
        <v>1764</v>
      </c>
      <c r="N568" s="730">
        <v>65298</v>
      </c>
      <c r="O568" s="730">
        <v>65298</v>
      </c>
      <c r="P568" s="459">
        <v>65306</v>
      </c>
      <c r="Q568" s="432" t="s">
        <v>51</v>
      </c>
      <c r="R568" s="322"/>
      <c r="S568" s="322"/>
      <c r="T568" s="322"/>
      <c r="U568" s="322"/>
      <c r="V568" s="322"/>
      <c r="W568" s="322"/>
      <c r="X568" s="322"/>
      <c r="Y568" s="322"/>
      <c r="Z568" s="322"/>
      <c r="AA568" s="322"/>
      <c r="AB568" s="322"/>
      <c r="AC568" s="322"/>
      <c r="AD568" s="322"/>
      <c r="AE568" s="322"/>
      <c r="AF568" s="322"/>
      <c r="AG568" s="322"/>
      <c r="AH568" s="322"/>
      <c r="AI568" s="322"/>
      <c r="AJ568" s="322"/>
      <c r="AK568" s="322"/>
      <c r="AL568" s="322"/>
      <c r="AM568" s="322"/>
      <c r="AN568" s="322"/>
      <c r="AO568" s="322"/>
      <c r="AP568" s="322"/>
      <c r="AQ568" s="322"/>
      <c r="AR568" s="322"/>
      <c r="AS568" s="322"/>
      <c r="AT568" s="322"/>
      <c r="AU568" s="322"/>
      <c r="AV568" s="322"/>
      <c r="AW568" s="322"/>
      <c r="AX568" s="322"/>
      <c r="AY568" s="322"/>
      <c r="AZ568" s="322"/>
      <c r="BA568" s="322"/>
      <c r="BB568" s="322"/>
      <c r="BC568" s="322"/>
      <c r="BD568" s="322"/>
      <c r="BE568" s="322"/>
      <c r="BF568" s="322"/>
      <c r="BG568" s="322"/>
      <c r="BH568" s="322"/>
      <c r="BI568" s="322"/>
      <c r="BJ568" s="322"/>
      <c r="BK568" s="322"/>
      <c r="BL568" s="322"/>
      <c r="BM568" s="322"/>
      <c r="BN568" s="322"/>
      <c r="BO568" s="322"/>
      <c r="BP568" s="322"/>
      <c r="BQ568" s="322"/>
      <c r="BR568" s="322"/>
      <c r="BS568" s="322"/>
      <c r="BT568" s="322"/>
      <c r="BU568" s="322"/>
      <c r="BV568" s="322"/>
      <c r="BW568" s="322"/>
      <c r="BX568" s="322"/>
      <c r="BY568" s="322"/>
      <c r="BZ568" s="322"/>
      <c r="CA568" s="322"/>
      <c r="CB568" s="322"/>
      <c r="CC568" s="322"/>
      <c r="CD568" s="322"/>
      <c r="CE568" s="322"/>
      <c r="CF568" s="322"/>
      <c r="CG568" s="322"/>
      <c r="CH568" s="322"/>
      <c r="CI568" s="322"/>
      <c r="CJ568" s="322"/>
      <c r="CK568" s="322"/>
      <c r="CL568" s="322"/>
      <c r="CM568" s="322"/>
      <c r="CN568" s="322"/>
      <c r="CO568" s="322"/>
      <c r="CP568" s="322"/>
      <c r="CQ568" s="322"/>
      <c r="CR568" s="322"/>
      <c r="CS568" s="322"/>
      <c r="CT568" s="322"/>
      <c r="CU568" s="322"/>
      <c r="CV568" s="322"/>
      <c r="CW568" s="322"/>
      <c r="CX568" s="322"/>
      <c r="CY568" s="322"/>
    </row>
    <row r="569" spans="1:103" s="432" customFormat="1">
      <c r="A569" s="509">
        <f t="shared" si="8"/>
        <v>568</v>
      </c>
      <c r="B569" s="1332" t="s">
        <v>43</v>
      </c>
      <c r="C569" s="943" t="s">
        <v>44</v>
      </c>
      <c r="D569" s="943" t="s">
        <v>45</v>
      </c>
      <c r="E569" s="432" t="s">
        <v>812</v>
      </c>
      <c r="F569" s="434">
        <v>6</v>
      </c>
      <c r="G569" s="434"/>
      <c r="I569" s="434">
        <v>30</v>
      </c>
      <c r="J569" s="434" t="s">
        <v>90</v>
      </c>
      <c r="K569" s="434" t="s">
        <v>5936</v>
      </c>
      <c r="L569" s="434"/>
      <c r="M569" s="434" t="s">
        <v>1764</v>
      </c>
      <c r="N569" s="730">
        <v>65298</v>
      </c>
      <c r="O569" s="730">
        <v>65298</v>
      </c>
      <c r="P569" s="459">
        <v>65306</v>
      </c>
      <c r="Q569" s="432" t="s">
        <v>51</v>
      </c>
      <c r="R569" s="322"/>
      <c r="S569" s="322"/>
      <c r="T569" s="322"/>
      <c r="U569" s="322"/>
      <c r="V569" s="322"/>
      <c r="W569" s="322"/>
      <c r="X569" s="322"/>
      <c r="Y569" s="322"/>
      <c r="Z569" s="322"/>
      <c r="AA569" s="322"/>
      <c r="AB569" s="322"/>
      <c r="AC569" s="322"/>
      <c r="AD569" s="322"/>
      <c r="AE569" s="322"/>
      <c r="AF569" s="322"/>
      <c r="AG569" s="322"/>
      <c r="AH569" s="322"/>
      <c r="AI569" s="322"/>
      <c r="AJ569" s="322"/>
      <c r="AK569" s="322"/>
      <c r="AL569" s="322"/>
      <c r="AM569" s="322"/>
      <c r="AN569" s="322"/>
      <c r="AO569" s="322"/>
      <c r="AP569" s="322"/>
      <c r="AQ569" s="322"/>
      <c r="AR569" s="322"/>
      <c r="AS569" s="322"/>
      <c r="AT569" s="322"/>
      <c r="AU569" s="322"/>
      <c r="AV569" s="322"/>
      <c r="AW569" s="322"/>
      <c r="AX569" s="322"/>
      <c r="AY569" s="322"/>
      <c r="AZ569" s="322"/>
      <c r="BA569" s="322"/>
      <c r="BB569" s="322"/>
      <c r="BC569" s="322"/>
      <c r="BD569" s="322"/>
      <c r="BE569" s="322"/>
      <c r="BF569" s="322"/>
      <c r="BG569" s="322"/>
      <c r="BH569" s="322"/>
      <c r="BI569" s="322"/>
      <c r="BJ569" s="322"/>
      <c r="BK569" s="322"/>
      <c r="BL569" s="322"/>
      <c r="BM569" s="322"/>
      <c r="BN569" s="322"/>
      <c r="BO569" s="322"/>
      <c r="BP569" s="322"/>
      <c r="BQ569" s="322"/>
      <c r="BR569" s="322"/>
      <c r="BS569" s="322"/>
      <c r="BT569" s="322"/>
      <c r="BU569" s="322"/>
      <c r="BV569" s="322"/>
      <c r="BW569" s="322"/>
      <c r="BX569" s="322"/>
      <c r="BY569" s="322"/>
      <c r="BZ569" s="322"/>
      <c r="CA569" s="322"/>
      <c r="CB569" s="322"/>
      <c r="CC569" s="322"/>
      <c r="CD569" s="322"/>
      <c r="CE569" s="322"/>
      <c r="CF569" s="322"/>
      <c r="CG569" s="322"/>
      <c r="CH569" s="322"/>
      <c r="CI569" s="322"/>
      <c r="CJ569" s="322"/>
      <c r="CK569" s="322"/>
      <c r="CL569" s="322"/>
      <c r="CM569" s="322"/>
      <c r="CN569" s="322"/>
      <c r="CO569" s="322"/>
      <c r="CP569" s="322"/>
      <c r="CQ569" s="322"/>
      <c r="CR569" s="322"/>
      <c r="CS569" s="322"/>
      <c r="CT569" s="322"/>
      <c r="CU569" s="322"/>
      <c r="CV569" s="322"/>
      <c r="CW569" s="322"/>
      <c r="CX569" s="322"/>
      <c r="CY569" s="322"/>
    </row>
    <row r="570" spans="1:103" s="432" customFormat="1">
      <c r="A570" s="509">
        <f t="shared" si="8"/>
        <v>569</v>
      </c>
      <c r="B570" s="1332" t="s">
        <v>43</v>
      </c>
      <c r="C570" s="943" t="s">
        <v>44</v>
      </c>
      <c r="D570" s="943" t="s">
        <v>45</v>
      </c>
      <c r="E570" s="432" t="s">
        <v>812</v>
      </c>
      <c r="F570" s="434">
        <v>6</v>
      </c>
      <c r="G570" s="434"/>
      <c r="I570" s="434">
        <v>30</v>
      </c>
      <c r="J570" s="120" t="s">
        <v>48</v>
      </c>
      <c r="K570" s="434" t="s">
        <v>5936</v>
      </c>
      <c r="L570" s="434"/>
      <c r="M570" s="434" t="s">
        <v>1764</v>
      </c>
      <c r="N570" s="730">
        <v>65298</v>
      </c>
      <c r="O570" s="730">
        <v>65298</v>
      </c>
      <c r="P570" s="459">
        <v>65306</v>
      </c>
      <c r="Q570" s="432" t="s">
        <v>51</v>
      </c>
      <c r="R570" s="322"/>
      <c r="S570" s="322"/>
      <c r="T570" s="322"/>
      <c r="U570" s="322"/>
      <c r="V570" s="322"/>
      <c r="W570" s="322"/>
      <c r="X570" s="322"/>
      <c r="Y570" s="322"/>
      <c r="Z570" s="322"/>
      <c r="AA570" s="322"/>
      <c r="AB570" s="322"/>
      <c r="AC570" s="322"/>
      <c r="AD570" s="322"/>
      <c r="AE570" s="322"/>
      <c r="AF570" s="322"/>
      <c r="AG570" s="322"/>
      <c r="AH570" s="322"/>
      <c r="AI570" s="322"/>
      <c r="AJ570" s="322"/>
      <c r="AK570" s="322"/>
      <c r="AL570" s="322"/>
      <c r="AM570" s="322"/>
      <c r="AN570" s="322"/>
      <c r="AO570" s="322"/>
      <c r="AP570" s="322"/>
      <c r="AQ570" s="322"/>
      <c r="AR570" s="322"/>
      <c r="AS570" s="322"/>
      <c r="AT570" s="322"/>
      <c r="AU570" s="322"/>
      <c r="AV570" s="322"/>
      <c r="AW570" s="322"/>
      <c r="AX570" s="322"/>
      <c r="AY570" s="322"/>
      <c r="AZ570" s="322"/>
      <c r="BA570" s="322"/>
      <c r="BB570" s="322"/>
      <c r="BC570" s="322"/>
      <c r="BD570" s="322"/>
      <c r="BE570" s="322"/>
      <c r="BF570" s="322"/>
      <c r="BG570" s="322"/>
      <c r="BH570" s="322"/>
      <c r="BI570" s="322"/>
      <c r="BJ570" s="322"/>
      <c r="BK570" s="322"/>
      <c r="BL570" s="322"/>
      <c r="BM570" s="322"/>
      <c r="BN570" s="322"/>
      <c r="BO570" s="322"/>
      <c r="BP570" s="322"/>
      <c r="BQ570" s="322"/>
      <c r="BR570" s="322"/>
      <c r="BS570" s="322"/>
      <c r="BT570" s="322"/>
      <c r="BU570" s="322"/>
      <c r="BV570" s="322"/>
      <c r="BW570" s="322"/>
      <c r="BX570" s="322"/>
      <c r="BY570" s="322"/>
      <c r="BZ570" s="322"/>
      <c r="CA570" s="322"/>
      <c r="CB570" s="322"/>
      <c r="CC570" s="322"/>
      <c r="CD570" s="322"/>
      <c r="CE570" s="322"/>
      <c r="CF570" s="322"/>
      <c r="CG570" s="322"/>
      <c r="CH570" s="322"/>
      <c r="CI570" s="322"/>
      <c r="CJ570" s="322"/>
      <c r="CK570" s="322"/>
      <c r="CL570" s="322"/>
      <c r="CM570" s="322"/>
      <c r="CN570" s="322"/>
      <c r="CO570" s="322"/>
      <c r="CP570" s="322"/>
      <c r="CQ570" s="322"/>
      <c r="CR570" s="322"/>
      <c r="CS570" s="322"/>
      <c r="CT570" s="322"/>
      <c r="CU570" s="322"/>
      <c r="CV570" s="322"/>
      <c r="CW570" s="322"/>
      <c r="CX570" s="322"/>
      <c r="CY570" s="322"/>
    </row>
    <row r="571" spans="1:103" s="432" customFormat="1">
      <c r="A571" s="509">
        <f t="shared" si="8"/>
        <v>570</v>
      </c>
      <c r="B571" s="1332" t="s">
        <v>43</v>
      </c>
      <c r="C571" s="943" t="s">
        <v>44</v>
      </c>
      <c r="D571" s="943" t="s">
        <v>45</v>
      </c>
      <c r="E571" s="432" t="s">
        <v>812</v>
      </c>
      <c r="F571" s="434">
        <v>6</v>
      </c>
      <c r="G571" s="434"/>
      <c r="I571" s="434">
        <v>30</v>
      </c>
      <c r="J571" s="120" t="s">
        <v>48</v>
      </c>
      <c r="K571" s="434" t="s">
        <v>5936</v>
      </c>
      <c r="L571" s="434"/>
      <c r="M571" s="434" t="s">
        <v>1764</v>
      </c>
      <c r="N571" s="730">
        <v>65298</v>
      </c>
      <c r="O571" s="730">
        <v>65298</v>
      </c>
      <c r="P571" s="459">
        <v>65306</v>
      </c>
      <c r="Q571" s="432" t="s">
        <v>51</v>
      </c>
      <c r="R571" s="322"/>
      <c r="S571" s="322"/>
      <c r="T571" s="322"/>
      <c r="U571" s="322"/>
      <c r="V571" s="322"/>
      <c r="W571" s="322"/>
      <c r="X571" s="322"/>
      <c r="Y571" s="322"/>
      <c r="Z571" s="322"/>
      <c r="AA571" s="322"/>
      <c r="AB571" s="322"/>
      <c r="AC571" s="322"/>
      <c r="AD571" s="322"/>
      <c r="AE571" s="322"/>
      <c r="AF571" s="322"/>
      <c r="AG571" s="322"/>
      <c r="AH571" s="322"/>
      <c r="AI571" s="322"/>
      <c r="AJ571" s="322"/>
      <c r="AK571" s="322"/>
      <c r="AL571" s="322"/>
      <c r="AM571" s="322"/>
      <c r="AN571" s="322"/>
      <c r="AO571" s="322"/>
      <c r="AP571" s="322"/>
      <c r="AQ571" s="322"/>
      <c r="AR571" s="322"/>
      <c r="AS571" s="322"/>
      <c r="AT571" s="322"/>
      <c r="AU571" s="322"/>
      <c r="AV571" s="322"/>
      <c r="AW571" s="322"/>
      <c r="AX571" s="322"/>
      <c r="AY571" s="322"/>
      <c r="AZ571" s="322"/>
      <c r="BA571" s="322"/>
      <c r="BB571" s="322"/>
      <c r="BC571" s="322"/>
      <c r="BD571" s="322"/>
      <c r="BE571" s="322"/>
      <c r="BF571" s="322"/>
      <c r="BG571" s="322"/>
      <c r="BH571" s="322"/>
      <c r="BI571" s="322"/>
      <c r="BJ571" s="322"/>
      <c r="BK571" s="322"/>
      <c r="BL571" s="322"/>
      <c r="BM571" s="322"/>
      <c r="BN571" s="322"/>
      <c r="BO571" s="322"/>
      <c r="BP571" s="322"/>
      <c r="BQ571" s="322"/>
      <c r="BR571" s="322"/>
      <c r="BS571" s="322"/>
      <c r="BT571" s="322"/>
      <c r="BU571" s="322"/>
      <c r="BV571" s="322"/>
      <c r="BW571" s="322"/>
      <c r="BX571" s="322"/>
      <c r="BY571" s="322"/>
      <c r="BZ571" s="322"/>
      <c r="CA571" s="322"/>
      <c r="CB571" s="322"/>
      <c r="CC571" s="322"/>
      <c r="CD571" s="322"/>
      <c r="CE571" s="322"/>
      <c r="CF571" s="322"/>
      <c r="CG571" s="322"/>
      <c r="CH571" s="322"/>
      <c r="CI571" s="322"/>
      <c r="CJ571" s="322"/>
      <c r="CK571" s="322"/>
      <c r="CL571" s="322"/>
      <c r="CM571" s="322"/>
      <c r="CN571" s="322"/>
      <c r="CO571" s="322"/>
      <c r="CP571" s="322"/>
      <c r="CQ571" s="322"/>
      <c r="CR571" s="322"/>
      <c r="CS571" s="322"/>
      <c r="CT571" s="322"/>
      <c r="CU571" s="322"/>
      <c r="CV571" s="322"/>
      <c r="CW571" s="322"/>
      <c r="CX571" s="322"/>
      <c r="CY571" s="322"/>
    </row>
    <row r="572" spans="1:103" s="432" customFormat="1">
      <c r="A572" s="509">
        <f t="shared" si="8"/>
        <v>571</v>
      </c>
      <c r="B572" s="1332" t="s">
        <v>43</v>
      </c>
      <c r="C572" s="943" t="s">
        <v>44</v>
      </c>
      <c r="D572" s="943" t="s">
        <v>45</v>
      </c>
      <c r="E572" s="432" t="s">
        <v>812</v>
      </c>
      <c r="F572" s="434">
        <v>6</v>
      </c>
      <c r="G572" s="434"/>
      <c r="I572" s="434">
        <v>30</v>
      </c>
      <c r="J572" s="120" t="s">
        <v>48</v>
      </c>
      <c r="K572" s="434" t="s">
        <v>5936</v>
      </c>
      <c r="L572" s="434"/>
      <c r="M572" s="434" t="s">
        <v>1764</v>
      </c>
      <c r="N572" s="730">
        <v>65298</v>
      </c>
      <c r="O572" s="730">
        <v>65298</v>
      </c>
      <c r="P572" s="459">
        <v>65306</v>
      </c>
      <c r="Q572" s="432" t="s">
        <v>51</v>
      </c>
      <c r="R572" s="322"/>
      <c r="S572" s="322"/>
      <c r="T572" s="322"/>
      <c r="U572" s="322"/>
      <c r="V572" s="322"/>
      <c r="W572" s="322"/>
      <c r="X572" s="322"/>
      <c r="Y572" s="322"/>
      <c r="Z572" s="322"/>
      <c r="AA572" s="322"/>
      <c r="AB572" s="322"/>
      <c r="AC572" s="322"/>
      <c r="AD572" s="322"/>
      <c r="AE572" s="322"/>
      <c r="AF572" s="322"/>
      <c r="AG572" s="322"/>
      <c r="AH572" s="322"/>
      <c r="AI572" s="322"/>
      <c r="AJ572" s="322"/>
      <c r="AK572" s="322"/>
      <c r="AL572" s="322"/>
      <c r="AM572" s="322"/>
      <c r="AN572" s="322"/>
      <c r="AO572" s="322"/>
      <c r="AP572" s="322"/>
      <c r="AQ572" s="322"/>
      <c r="AR572" s="322"/>
      <c r="AS572" s="322"/>
      <c r="AT572" s="322"/>
      <c r="AU572" s="322"/>
      <c r="AV572" s="322"/>
      <c r="AW572" s="322"/>
      <c r="AX572" s="322"/>
      <c r="AY572" s="322"/>
      <c r="AZ572" s="322"/>
      <c r="BA572" s="322"/>
      <c r="BB572" s="322"/>
      <c r="BC572" s="322"/>
      <c r="BD572" s="322"/>
      <c r="BE572" s="322"/>
      <c r="BF572" s="322"/>
      <c r="BG572" s="322"/>
      <c r="BH572" s="322"/>
      <c r="BI572" s="322"/>
      <c r="BJ572" s="322"/>
      <c r="BK572" s="322"/>
      <c r="BL572" s="322"/>
      <c r="BM572" s="322"/>
      <c r="BN572" s="322"/>
      <c r="BO572" s="322"/>
      <c r="BP572" s="322"/>
      <c r="BQ572" s="322"/>
      <c r="BR572" s="322"/>
      <c r="BS572" s="322"/>
      <c r="BT572" s="322"/>
      <c r="BU572" s="322"/>
      <c r="BV572" s="322"/>
      <c r="BW572" s="322"/>
      <c r="BX572" s="322"/>
      <c r="BY572" s="322"/>
      <c r="BZ572" s="322"/>
      <c r="CA572" s="322"/>
      <c r="CB572" s="322"/>
      <c r="CC572" s="322"/>
      <c r="CD572" s="322"/>
      <c r="CE572" s="322"/>
      <c r="CF572" s="322"/>
      <c r="CG572" s="322"/>
      <c r="CH572" s="322"/>
      <c r="CI572" s="322"/>
      <c r="CJ572" s="322"/>
      <c r="CK572" s="322"/>
      <c r="CL572" s="322"/>
      <c r="CM572" s="322"/>
      <c r="CN572" s="322"/>
      <c r="CO572" s="322"/>
      <c r="CP572" s="322"/>
      <c r="CQ572" s="322"/>
      <c r="CR572" s="322"/>
      <c r="CS572" s="322"/>
      <c r="CT572" s="322"/>
      <c r="CU572" s="322"/>
      <c r="CV572" s="322"/>
      <c r="CW572" s="322"/>
      <c r="CX572" s="322"/>
      <c r="CY572" s="322"/>
    </row>
    <row r="573" spans="1:103" s="432" customFormat="1">
      <c r="A573" s="509">
        <f t="shared" si="8"/>
        <v>572</v>
      </c>
      <c r="B573" s="1332" t="s">
        <v>43</v>
      </c>
      <c r="C573" s="943" t="s">
        <v>44</v>
      </c>
      <c r="D573" s="943" t="s">
        <v>45</v>
      </c>
      <c r="E573" s="432" t="s">
        <v>5935</v>
      </c>
      <c r="F573" s="434">
        <v>6</v>
      </c>
      <c r="G573" s="434">
        <v>9857825302</v>
      </c>
      <c r="I573" s="434">
        <v>63</v>
      </c>
      <c r="J573" s="120" t="s">
        <v>48</v>
      </c>
      <c r="K573" s="434" t="s">
        <v>5405</v>
      </c>
      <c r="L573" s="434"/>
      <c r="M573" s="434" t="s">
        <v>1764</v>
      </c>
      <c r="N573" s="730">
        <v>65299</v>
      </c>
      <c r="O573" s="730">
        <v>65299</v>
      </c>
      <c r="P573" s="459">
        <v>65308</v>
      </c>
      <c r="Q573" s="432" t="s">
        <v>51</v>
      </c>
      <c r="R573" s="322"/>
      <c r="S573" s="322"/>
      <c r="T573" s="322"/>
      <c r="U573" s="322"/>
      <c r="V573" s="322"/>
      <c r="W573" s="322"/>
      <c r="X573" s="322"/>
      <c r="Y573" s="322"/>
      <c r="Z573" s="322"/>
      <c r="AA573" s="322"/>
      <c r="AB573" s="322"/>
      <c r="AC573" s="322"/>
      <c r="AD573" s="322"/>
      <c r="AE573" s="322"/>
      <c r="AF573" s="322"/>
      <c r="AG573" s="322"/>
      <c r="AH573" s="322"/>
      <c r="AI573" s="322"/>
      <c r="AJ573" s="322"/>
      <c r="AK573" s="322"/>
      <c r="AL573" s="322"/>
      <c r="AM573" s="322"/>
      <c r="AN573" s="322"/>
      <c r="AO573" s="322"/>
      <c r="AP573" s="322"/>
      <c r="AQ573" s="322"/>
      <c r="AR573" s="322"/>
      <c r="AS573" s="322"/>
      <c r="AT573" s="322"/>
      <c r="AU573" s="322"/>
      <c r="AV573" s="322"/>
      <c r="AW573" s="322"/>
      <c r="AX573" s="322"/>
      <c r="AY573" s="322"/>
      <c r="AZ573" s="322"/>
      <c r="BA573" s="322"/>
      <c r="BB573" s="322"/>
      <c r="BC573" s="322"/>
      <c r="BD573" s="322"/>
      <c r="BE573" s="322"/>
      <c r="BF573" s="322"/>
      <c r="BG573" s="322"/>
      <c r="BH573" s="322"/>
      <c r="BI573" s="322"/>
      <c r="BJ573" s="322"/>
      <c r="BK573" s="322"/>
      <c r="BL573" s="322"/>
      <c r="BM573" s="322"/>
      <c r="BN573" s="322"/>
      <c r="BO573" s="322"/>
      <c r="BP573" s="322"/>
      <c r="BQ573" s="322"/>
      <c r="BR573" s="322"/>
      <c r="BS573" s="322"/>
      <c r="BT573" s="322"/>
      <c r="BU573" s="322"/>
      <c r="BV573" s="322"/>
      <c r="BW573" s="322"/>
      <c r="BX573" s="322"/>
      <c r="BY573" s="322"/>
      <c r="BZ573" s="322"/>
      <c r="CA573" s="322"/>
      <c r="CB573" s="322"/>
      <c r="CC573" s="322"/>
      <c r="CD573" s="322"/>
      <c r="CE573" s="322"/>
      <c r="CF573" s="322"/>
      <c r="CG573" s="322"/>
      <c r="CH573" s="322"/>
      <c r="CI573" s="322"/>
      <c r="CJ573" s="322"/>
      <c r="CK573" s="322"/>
      <c r="CL573" s="322"/>
      <c r="CM573" s="322"/>
      <c r="CN573" s="322"/>
      <c r="CO573" s="322"/>
      <c r="CP573" s="322"/>
      <c r="CQ573" s="322"/>
      <c r="CR573" s="322"/>
      <c r="CS573" s="322"/>
      <c r="CT573" s="322"/>
      <c r="CU573" s="322"/>
      <c r="CV573" s="322"/>
      <c r="CW573" s="322"/>
      <c r="CX573" s="322"/>
      <c r="CY573" s="322"/>
    </row>
    <row r="574" spans="1:103" s="432" customFormat="1">
      <c r="A574" s="509">
        <f t="shared" si="8"/>
        <v>573</v>
      </c>
      <c r="B574" s="1332" t="s">
        <v>43</v>
      </c>
      <c r="C574" s="943" t="s">
        <v>44</v>
      </c>
      <c r="D574" s="943" t="s">
        <v>45</v>
      </c>
      <c r="E574" s="432" t="s">
        <v>5937</v>
      </c>
      <c r="F574" s="434">
        <v>4</v>
      </c>
      <c r="G574" s="434">
        <v>982293077</v>
      </c>
      <c r="I574" s="434">
        <v>65</v>
      </c>
      <c r="J574" s="434" t="s">
        <v>90</v>
      </c>
      <c r="K574" s="434" t="s">
        <v>3293</v>
      </c>
      <c r="L574" s="434"/>
      <c r="M574" s="434" t="s">
        <v>1764</v>
      </c>
      <c r="N574" s="730">
        <v>65299</v>
      </c>
      <c r="O574" s="730">
        <v>65299</v>
      </c>
      <c r="P574" s="459">
        <v>65308</v>
      </c>
      <c r="Q574" s="432" t="s">
        <v>51</v>
      </c>
      <c r="R574" s="322"/>
      <c r="S574" s="322"/>
      <c r="T574" s="322"/>
      <c r="U574" s="322"/>
      <c r="V574" s="322"/>
      <c r="W574" s="322"/>
      <c r="X574" s="322"/>
      <c r="Y574" s="322"/>
      <c r="Z574" s="322"/>
      <c r="AA574" s="322"/>
      <c r="AB574" s="322"/>
      <c r="AC574" s="322"/>
      <c r="AD574" s="322"/>
      <c r="AE574" s="322"/>
      <c r="AF574" s="322"/>
      <c r="AG574" s="322"/>
      <c r="AH574" s="322"/>
      <c r="AI574" s="322"/>
      <c r="AJ574" s="322"/>
      <c r="AK574" s="322"/>
      <c r="AL574" s="322"/>
      <c r="AM574" s="322"/>
      <c r="AN574" s="322"/>
      <c r="AO574" s="322"/>
      <c r="AP574" s="322"/>
      <c r="AQ574" s="322"/>
      <c r="AR574" s="322"/>
      <c r="AS574" s="322"/>
      <c r="AT574" s="322"/>
      <c r="AU574" s="322"/>
      <c r="AV574" s="322"/>
      <c r="AW574" s="322"/>
      <c r="AX574" s="322"/>
      <c r="AY574" s="322"/>
      <c r="AZ574" s="322"/>
      <c r="BA574" s="322"/>
      <c r="BB574" s="322"/>
      <c r="BC574" s="322"/>
      <c r="BD574" s="322"/>
      <c r="BE574" s="322"/>
      <c r="BF574" s="322"/>
      <c r="BG574" s="322"/>
      <c r="BH574" s="322"/>
      <c r="BI574" s="322"/>
      <c r="BJ574" s="322"/>
      <c r="BK574" s="322"/>
      <c r="BL574" s="322"/>
      <c r="BM574" s="322"/>
      <c r="BN574" s="322"/>
      <c r="BO574" s="322"/>
      <c r="BP574" s="322"/>
      <c r="BQ574" s="322"/>
      <c r="BR574" s="322"/>
      <c r="BS574" s="322"/>
      <c r="BT574" s="322"/>
      <c r="BU574" s="322"/>
      <c r="BV574" s="322"/>
      <c r="BW574" s="322"/>
      <c r="BX574" s="322"/>
      <c r="BY574" s="322"/>
      <c r="BZ574" s="322"/>
      <c r="CA574" s="322"/>
      <c r="CB574" s="322"/>
      <c r="CC574" s="322"/>
      <c r="CD574" s="322"/>
      <c r="CE574" s="322"/>
      <c r="CF574" s="322"/>
      <c r="CG574" s="322"/>
      <c r="CH574" s="322"/>
      <c r="CI574" s="322"/>
      <c r="CJ574" s="322"/>
      <c r="CK574" s="322"/>
      <c r="CL574" s="322"/>
      <c r="CM574" s="322"/>
      <c r="CN574" s="322"/>
      <c r="CO574" s="322"/>
      <c r="CP574" s="322"/>
      <c r="CQ574" s="322"/>
      <c r="CR574" s="322"/>
      <c r="CS574" s="322"/>
      <c r="CT574" s="322"/>
      <c r="CU574" s="322"/>
      <c r="CV574" s="322"/>
      <c r="CW574" s="322"/>
      <c r="CX574" s="322"/>
      <c r="CY574" s="322"/>
    </row>
    <row r="575" spans="1:103" s="432" customFormat="1">
      <c r="A575" s="509">
        <f t="shared" si="8"/>
        <v>574</v>
      </c>
      <c r="B575" s="1332" t="s">
        <v>43</v>
      </c>
      <c r="C575" s="943" t="s">
        <v>44</v>
      </c>
      <c r="D575" s="943" t="s">
        <v>45</v>
      </c>
      <c r="E575" s="432" t="s">
        <v>5938</v>
      </c>
      <c r="F575" s="434">
        <v>6</v>
      </c>
      <c r="G575" s="434">
        <v>9809862944</v>
      </c>
      <c r="I575" s="434">
        <v>27</v>
      </c>
      <c r="J575" s="120" t="s">
        <v>48</v>
      </c>
      <c r="K575" s="434" t="s">
        <v>3293</v>
      </c>
      <c r="L575" s="434"/>
      <c r="M575" s="434" t="s">
        <v>1764</v>
      </c>
      <c r="N575" s="730">
        <v>65299</v>
      </c>
      <c r="O575" s="730">
        <v>65299</v>
      </c>
      <c r="P575" s="459">
        <v>65308</v>
      </c>
      <c r="Q575" s="432" t="s">
        <v>51</v>
      </c>
      <c r="R575" s="322"/>
      <c r="S575" s="322"/>
      <c r="T575" s="322"/>
      <c r="U575" s="322"/>
      <c r="V575" s="322"/>
      <c r="W575" s="322"/>
      <c r="X575" s="322"/>
      <c r="Y575" s="322"/>
      <c r="Z575" s="322"/>
      <c r="AA575" s="322"/>
      <c r="AB575" s="322"/>
      <c r="AC575" s="322"/>
      <c r="AD575" s="322"/>
      <c r="AE575" s="322"/>
      <c r="AF575" s="322"/>
      <c r="AG575" s="322"/>
      <c r="AH575" s="322"/>
      <c r="AI575" s="322"/>
      <c r="AJ575" s="322"/>
      <c r="AK575" s="322"/>
      <c r="AL575" s="322"/>
      <c r="AM575" s="322"/>
      <c r="AN575" s="322"/>
      <c r="AO575" s="322"/>
      <c r="AP575" s="322"/>
      <c r="AQ575" s="322"/>
      <c r="AR575" s="322"/>
      <c r="AS575" s="322"/>
      <c r="AT575" s="322"/>
      <c r="AU575" s="322"/>
      <c r="AV575" s="322"/>
      <c r="AW575" s="322"/>
      <c r="AX575" s="322"/>
      <c r="AY575" s="322"/>
      <c r="AZ575" s="322"/>
      <c r="BA575" s="322"/>
      <c r="BB575" s="322"/>
      <c r="BC575" s="322"/>
      <c r="BD575" s="322"/>
      <c r="BE575" s="322"/>
      <c r="BF575" s="322"/>
      <c r="BG575" s="322"/>
      <c r="BH575" s="322"/>
      <c r="BI575" s="322"/>
      <c r="BJ575" s="322"/>
      <c r="BK575" s="322"/>
      <c r="BL575" s="322"/>
      <c r="BM575" s="322"/>
      <c r="BN575" s="322"/>
      <c r="BO575" s="322"/>
      <c r="BP575" s="322"/>
      <c r="BQ575" s="322"/>
      <c r="BR575" s="322"/>
      <c r="BS575" s="322"/>
      <c r="BT575" s="322"/>
      <c r="BU575" s="322"/>
      <c r="BV575" s="322"/>
      <c r="BW575" s="322"/>
      <c r="BX575" s="322"/>
      <c r="BY575" s="322"/>
      <c r="BZ575" s="322"/>
      <c r="CA575" s="322"/>
      <c r="CB575" s="322"/>
      <c r="CC575" s="322"/>
      <c r="CD575" s="322"/>
      <c r="CE575" s="322"/>
      <c r="CF575" s="322"/>
      <c r="CG575" s="322"/>
      <c r="CH575" s="322"/>
      <c r="CI575" s="322"/>
      <c r="CJ575" s="322"/>
      <c r="CK575" s="322"/>
      <c r="CL575" s="322"/>
      <c r="CM575" s="322"/>
      <c r="CN575" s="322"/>
      <c r="CO575" s="322"/>
      <c r="CP575" s="322"/>
      <c r="CQ575" s="322"/>
      <c r="CR575" s="322"/>
      <c r="CS575" s="322"/>
      <c r="CT575" s="322"/>
      <c r="CU575" s="322"/>
      <c r="CV575" s="322"/>
      <c r="CW575" s="322"/>
      <c r="CX575" s="322"/>
      <c r="CY575" s="322"/>
    </row>
    <row r="576" spans="1:103" s="432" customFormat="1">
      <c r="A576" s="509">
        <f t="shared" si="8"/>
        <v>575</v>
      </c>
      <c r="B576" s="1332" t="s">
        <v>43</v>
      </c>
      <c r="C576" s="943" t="s">
        <v>44</v>
      </c>
      <c r="D576" s="943" t="s">
        <v>45</v>
      </c>
      <c r="E576" s="432" t="s">
        <v>5939</v>
      </c>
      <c r="F576" s="434">
        <v>12</v>
      </c>
      <c r="G576" s="434">
        <v>9812850599</v>
      </c>
      <c r="I576" s="434">
        <v>72</v>
      </c>
      <c r="J576" s="120" t="s">
        <v>48</v>
      </c>
      <c r="K576" s="434" t="s">
        <v>3293</v>
      </c>
      <c r="L576" s="434"/>
      <c r="M576" s="434" t="s">
        <v>1764</v>
      </c>
      <c r="N576" s="730">
        <v>65299</v>
      </c>
      <c r="O576" s="730">
        <v>65299</v>
      </c>
      <c r="P576" s="459">
        <v>65308</v>
      </c>
      <c r="Q576" s="432" t="s">
        <v>51</v>
      </c>
      <c r="R576" s="322"/>
      <c r="S576" s="322"/>
      <c r="T576" s="322"/>
      <c r="U576" s="322"/>
      <c r="V576" s="322"/>
      <c r="W576" s="322"/>
      <c r="X576" s="322"/>
      <c r="Y576" s="322"/>
      <c r="Z576" s="322"/>
      <c r="AA576" s="322"/>
      <c r="AB576" s="322"/>
      <c r="AC576" s="322"/>
      <c r="AD576" s="322"/>
      <c r="AE576" s="322"/>
      <c r="AF576" s="322"/>
      <c r="AG576" s="322"/>
      <c r="AH576" s="322"/>
      <c r="AI576" s="322"/>
      <c r="AJ576" s="322"/>
      <c r="AK576" s="322"/>
      <c r="AL576" s="322"/>
      <c r="AM576" s="322"/>
      <c r="AN576" s="322"/>
      <c r="AO576" s="322"/>
      <c r="AP576" s="322"/>
      <c r="AQ576" s="322"/>
      <c r="AR576" s="322"/>
      <c r="AS576" s="322"/>
      <c r="AT576" s="322"/>
      <c r="AU576" s="322"/>
      <c r="AV576" s="322"/>
      <c r="AW576" s="322"/>
      <c r="AX576" s="322"/>
      <c r="AY576" s="322"/>
      <c r="AZ576" s="322"/>
      <c r="BA576" s="322"/>
      <c r="BB576" s="322"/>
      <c r="BC576" s="322"/>
      <c r="BD576" s="322"/>
      <c r="BE576" s="322"/>
      <c r="BF576" s="322"/>
      <c r="BG576" s="322"/>
      <c r="BH576" s="322"/>
      <c r="BI576" s="322"/>
      <c r="BJ576" s="322"/>
      <c r="BK576" s="322"/>
      <c r="BL576" s="322"/>
      <c r="BM576" s="322"/>
      <c r="BN576" s="322"/>
      <c r="BO576" s="322"/>
      <c r="BP576" s="322"/>
      <c r="BQ576" s="322"/>
      <c r="BR576" s="322"/>
      <c r="BS576" s="322"/>
      <c r="BT576" s="322"/>
      <c r="BU576" s="322"/>
      <c r="BV576" s="322"/>
      <c r="BW576" s="322"/>
      <c r="BX576" s="322"/>
      <c r="BY576" s="322"/>
      <c r="BZ576" s="322"/>
      <c r="CA576" s="322"/>
      <c r="CB576" s="322"/>
      <c r="CC576" s="322"/>
      <c r="CD576" s="322"/>
      <c r="CE576" s="322"/>
      <c r="CF576" s="322"/>
      <c r="CG576" s="322"/>
      <c r="CH576" s="322"/>
      <c r="CI576" s="322"/>
      <c r="CJ576" s="322"/>
      <c r="CK576" s="322"/>
      <c r="CL576" s="322"/>
      <c r="CM576" s="322"/>
      <c r="CN576" s="322"/>
      <c r="CO576" s="322"/>
      <c r="CP576" s="322"/>
      <c r="CQ576" s="322"/>
      <c r="CR576" s="322"/>
      <c r="CS576" s="322"/>
      <c r="CT576" s="322"/>
      <c r="CU576" s="322"/>
      <c r="CV576" s="322"/>
      <c r="CW576" s="322"/>
      <c r="CX576" s="322"/>
      <c r="CY576" s="322"/>
    </row>
    <row r="577" spans="1:103" s="432" customFormat="1">
      <c r="A577" s="509">
        <f t="shared" si="8"/>
        <v>576</v>
      </c>
      <c r="B577" s="1332" t="s">
        <v>43</v>
      </c>
      <c r="C577" s="943" t="s">
        <v>44</v>
      </c>
      <c r="D577" s="943" t="s">
        <v>45</v>
      </c>
      <c r="E577" s="432" t="s">
        <v>5940</v>
      </c>
      <c r="F577" s="434">
        <v>6</v>
      </c>
      <c r="G577" s="434">
        <v>9812837437</v>
      </c>
      <c r="I577" s="434">
        <v>16</v>
      </c>
      <c r="J577" s="120" t="s">
        <v>48</v>
      </c>
      <c r="K577" s="434" t="s">
        <v>3293</v>
      </c>
      <c r="L577" s="434"/>
      <c r="M577" s="434" t="s">
        <v>1764</v>
      </c>
      <c r="N577" s="730">
        <v>65299</v>
      </c>
      <c r="O577" s="730">
        <v>65299</v>
      </c>
      <c r="P577" s="459">
        <v>65308</v>
      </c>
      <c r="Q577" s="432" t="s">
        <v>51</v>
      </c>
      <c r="R577" s="322"/>
      <c r="S577" s="322"/>
      <c r="T577" s="322"/>
      <c r="U577" s="322"/>
      <c r="V577" s="322"/>
      <c r="W577" s="322"/>
      <c r="X577" s="322"/>
      <c r="Y577" s="322"/>
      <c r="Z577" s="322"/>
      <c r="AA577" s="322"/>
      <c r="AB577" s="322"/>
      <c r="AC577" s="322"/>
      <c r="AD577" s="322"/>
      <c r="AE577" s="322"/>
      <c r="AF577" s="322"/>
      <c r="AG577" s="322"/>
      <c r="AH577" s="322"/>
      <c r="AI577" s="322"/>
      <c r="AJ577" s="322"/>
      <c r="AK577" s="322"/>
      <c r="AL577" s="322"/>
      <c r="AM577" s="322"/>
      <c r="AN577" s="322"/>
      <c r="AO577" s="322"/>
      <c r="AP577" s="322"/>
      <c r="AQ577" s="322"/>
      <c r="AR577" s="322"/>
      <c r="AS577" s="322"/>
      <c r="AT577" s="322"/>
      <c r="AU577" s="322"/>
      <c r="AV577" s="322"/>
      <c r="AW577" s="322"/>
      <c r="AX577" s="322"/>
      <c r="AY577" s="322"/>
      <c r="AZ577" s="322"/>
      <c r="BA577" s="322"/>
      <c r="BB577" s="322"/>
      <c r="BC577" s="322"/>
      <c r="BD577" s="322"/>
      <c r="BE577" s="322"/>
      <c r="BF577" s="322"/>
      <c r="BG577" s="322"/>
      <c r="BH577" s="322"/>
      <c r="BI577" s="322"/>
      <c r="BJ577" s="322"/>
      <c r="BK577" s="322"/>
      <c r="BL577" s="322"/>
      <c r="BM577" s="322"/>
      <c r="BN577" s="322"/>
      <c r="BO577" s="322"/>
      <c r="BP577" s="322"/>
      <c r="BQ577" s="322"/>
      <c r="BR577" s="322"/>
      <c r="BS577" s="322"/>
      <c r="BT577" s="322"/>
      <c r="BU577" s="322"/>
      <c r="BV577" s="322"/>
      <c r="BW577" s="322"/>
      <c r="BX577" s="322"/>
      <c r="BY577" s="322"/>
      <c r="BZ577" s="322"/>
      <c r="CA577" s="322"/>
      <c r="CB577" s="322"/>
      <c r="CC577" s="322"/>
      <c r="CD577" s="322"/>
      <c r="CE577" s="322"/>
      <c r="CF577" s="322"/>
      <c r="CG577" s="322"/>
      <c r="CH577" s="322"/>
      <c r="CI577" s="322"/>
      <c r="CJ577" s="322"/>
      <c r="CK577" s="322"/>
      <c r="CL577" s="322"/>
      <c r="CM577" s="322"/>
      <c r="CN577" s="322"/>
      <c r="CO577" s="322"/>
      <c r="CP577" s="322"/>
      <c r="CQ577" s="322"/>
      <c r="CR577" s="322"/>
      <c r="CS577" s="322"/>
      <c r="CT577" s="322"/>
      <c r="CU577" s="322"/>
      <c r="CV577" s="322"/>
      <c r="CW577" s="322"/>
      <c r="CX577" s="322"/>
      <c r="CY577" s="322"/>
    </row>
    <row r="578" spans="1:103" s="432" customFormat="1">
      <c r="A578" s="509">
        <f t="shared" si="8"/>
        <v>577</v>
      </c>
      <c r="B578" s="1332" t="s">
        <v>43</v>
      </c>
      <c r="C578" s="943" t="s">
        <v>44</v>
      </c>
      <c r="D578" s="943" t="s">
        <v>45</v>
      </c>
      <c r="E578" s="432" t="s">
        <v>5941</v>
      </c>
      <c r="F578" s="434">
        <v>7</v>
      </c>
      <c r="G578" s="434">
        <v>9809594300</v>
      </c>
      <c r="I578" s="434">
        <v>31</v>
      </c>
      <c r="J578" s="120" t="s">
        <v>48</v>
      </c>
      <c r="K578" s="434" t="s">
        <v>3293</v>
      </c>
      <c r="L578" s="434"/>
      <c r="M578" s="434" t="s">
        <v>1764</v>
      </c>
      <c r="N578" s="730">
        <v>65299</v>
      </c>
      <c r="O578" s="730">
        <v>65299</v>
      </c>
      <c r="P578" s="459">
        <v>65308</v>
      </c>
      <c r="Q578" s="432" t="s">
        <v>51</v>
      </c>
      <c r="R578" s="322"/>
      <c r="S578" s="322"/>
      <c r="T578" s="322"/>
      <c r="U578" s="322"/>
      <c r="V578" s="322"/>
      <c r="W578" s="322"/>
      <c r="X578" s="322"/>
      <c r="Y578" s="322"/>
      <c r="Z578" s="322"/>
      <c r="AA578" s="322"/>
      <c r="AB578" s="322"/>
      <c r="AC578" s="322"/>
      <c r="AD578" s="322"/>
      <c r="AE578" s="322"/>
      <c r="AF578" s="322"/>
      <c r="AG578" s="322"/>
      <c r="AH578" s="322"/>
      <c r="AI578" s="322"/>
      <c r="AJ578" s="322"/>
      <c r="AK578" s="322"/>
      <c r="AL578" s="322"/>
      <c r="AM578" s="322"/>
      <c r="AN578" s="322"/>
      <c r="AO578" s="322"/>
      <c r="AP578" s="322"/>
      <c r="AQ578" s="322"/>
      <c r="AR578" s="322"/>
      <c r="AS578" s="322"/>
      <c r="AT578" s="322"/>
      <c r="AU578" s="322"/>
      <c r="AV578" s="322"/>
      <c r="AW578" s="322"/>
      <c r="AX578" s="322"/>
      <c r="AY578" s="322"/>
      <c r="AZ578" s="322"/>
      <c r="BA578" s="322"/>
      <c r="BB578" s="322"/>
      <c r="BC578" s="322"/>
      <c r="BD578" s="322"/>
      <c r="BE578" s="322"/>
      <c r="BF578" s="322"/>
      <c r="BG578" s="322"/>
      <c r="BH578" s="322"/>
      <c r="BI578" s="322"/>
      <c r="BJ578" s="322"/>
      <c r="BK578" s="322"/>
      <c r="BL578" s="322"/>
      <c r="BM578" s="322"/>
      <c r="BN578" s="322"/>
      <c r="BO578" s="322"/>
      <c r="BP578" s="322"/>
      <c r="BQ578" s="322"/>
      <c r="BR578" s="322"/>
      <c r="BS578" s="322"/>
      <c r="BT578" s="322"/>
      <c r="BU578" s="322"/>
      <c r="BV578" s="322"/>
      <c r="BW578" s="322"/>
      <c r="BX578" s="322"/>
      <c r="BY578" s="322"/>
      <c r="BZ578" s="322"/>
      <c r="CA578" s="322"/>
      <c r="CB578" s="322"/>
      <c r="CC578" s="322"/>
      <c r="CD578" s="322"/>
      <c r="CE578" s="322"/>
      <c r="CF578" s="322"/>
      <c r="CG578" s="322"/>
      <c r="CH578" s="322"/>
      <c r="CI578" s="322"/>
      <c r="CJ578" s="322"/>
      <c r="CK578" s="322"/>
      <c r="CL578" s="322"/>
      <c r="CM578" s="322"/>
      <c r="CN578" s="322"/>
      <c r="CO578" s="322"/>
      <c r="CP578" s="322"/>
      <c r="CQ578" s="322"/>
      <c r="CR578" s="322"/>
      <c r="CS578" s="322"/>
      <c r="CT578" s="322"/>
      <c r="CU578" s="322"/>
      <c r="CV578" s="322"/>
      <c r="CW578" s="322"/>
      <c r="CX578" s="322"/>
      <c r="CY578" s="322"/>
    </row>
    <row r="579" spans="1:103" s="432" customFormat="1">
      <c r="A579" s="509">
        <f t="shared" ref="A579:A642" si="9">A578+1</f>
        <v>578</v>
      </c>
      <c r="B579" s="1332" t="s">
        <v>43</v>
      </c>
      <c r="C579" s="943" t="s">
        <v>44</v>
      </c>
      <c r="D579" s="943" t="s">
        <v>45</v>
      </c>
      <c r="E579" s="432" t="s">
        <v>5942</v>
      </c>
      <c r="F579" s="434">
        <v>7</v>
      </c>
      <c r="G579" s="434">
        <v>9543461999</v>
      </c>
      <c r="I579" s="434">
        <v>34</v>
      </c>
      <c r="J579" s="120" t="s">
        <v>48</v>
      </c>
      <c r="K579" s="434" t="s">
        <v>3293</v>
      </c>
      <c r="L579" s="434"/>
      <c r="M579" s="434" t="s">
        <v>1764</v>
      </c>
      <c r="N579" s="730">
        <v>65299</v>
      </c>
      <c r="O579" s="730">
        <v>65299</v>
      </c>
      <c r="P579" s="459">
        <v>65308</v>
      </c>
      <c r="Q579" s="432" t="s">
        <v>51</v>
      </c>
      <c r="R579" s="322"/>
      <c r="S579" s="322"/>
      <c r="T579" s="322"/>
      <c r="U579" s="322"/>
      <c r="V579" s="322"/>
      <c r="W579" s="322"/>
      <c r="X579" s="322"/>
      <c r="Y579" s="322"/>
      <c r="Z579" s="322"/>
      <c r="AA579" s="322"/>
      <c r="AB579" s="322"/>
      <c r="AC579" s="322"/>
      <c r="AD579" s="322"/>
      <c r="AE579" s="322"/>
      <c r="AF579" s="322"/>
      <c r="AG579" s="322"/>
      <c r="AH579" s="322"/>
      <c r="AI579" s="322"/>
      <c r="AJ579" s="322"/>
      <c r="AK579" s="322"/>
      <c r="AL579" s="322"/>
      <c r="AM579" s="322"/>
      <c r="AN579" s="322"/>
      <c r="AO579" s="322"/>
      <c r="AP579" s="322"/>
      <c r="AQ579" s="322"/>
      <c r="AR579" s="322"/>
      <c r="AS579" s="322"/>
      <c r="AT579" s="322"/>
      <c r="AU579" s="322"/>
      <c r="AV579" s="322"/>
      <c r="AW579" s="322"/>
      <c r="AX579" s="322"/>
      <c r="AY579" s="322"/>
      <c r="AZ579" s="322"/>
      <c r="BA579" s="322"/>
      <c r="BB579" s="322"/>
      <c r="BC579" s="322"/>
      <c r="BD579" s="322"/>
      <c r="BE579" s="322"/>
      <c r="BF579" s="322"/>
      <c r="BG579" s="322"/>
      <c r="BH579" s="322"/>
      <c r="BI579" s="322"/>
      <c r="BJ579" s="322"/>
      <c r="BK579" s="322"/>
      <c r="BL579" s="322"/>
      <c r="BM579" s="322"/>
      <c r="BN579" s="322"/>
      <c r="BO579" s="322"/>
      <c r="BP579" s="322"/>
      <c r="BQ579" s="322"/>
      <c r="BR579" s="322"/>
      <c r="BS579" s="322"/>
      <c r="BT579" s="322"/>
      <c r="BU579" s="322"/>
      <c r="BV579" s="322"/>
      <c r="BW579" s="322"/>
      <c r="BX579" s="322"/>
      <c r="BY579" s="322"/>
      <c r="BZ579" s="322"/>
      <c r="CA579" s="322"/>
      <c r="CB579" s="322"/>
      <c r="CC579" s="322"/>
      <c r="CD579" s="322"/>
      <c r="CE579" s="322"/>
      <c r="CF579" s="322"/>
      <c r="CG579" s="322"/>
      <c r="CH579" s="322"/>
      <c r="CI579" s="322"/>
      <c r="CJ579" s="322"/>
      <c r="CK579" s="322"/>
      <c r="CL579" s="322"/>
      <c r="CM579" s="322"/>
      <c r="CN579" s="322"/>
      <c r="CO579" s="322"/>
      <c r="CP579" s="322"/>
      <c r="CQ579" s="322"/>
      <c r="CR579" s="322"/>
      <c r="CS579" s="322"/>
      <c r="CT579" s="322"/>
      <c r="CU579" s="322"/>
      <c r="CV579" s="322"/>
      <c r="CW579" s="322"/>
      <c r="CX579" s="322"/>
      <c r="CY579" s="322"/>
    </row>
    <row r="580" spans="1:103" s="432" customFormat="1">
      <c r="A580" s="509">
        <f t="shared" si="9"/>
        <v>579</v>
      </c>
      <c r="B580" s="1332" t="s">
        <v>43</v>
      </c>
      <c r="C580" s="943" t="s">
        <v>44</v>
      </c>
      <c r="D580" s="943" t="s">
        <v>45</v>
      </c>
      <c r="E580" s="432" t="s">
        <v>5942</v>
      </c>
      <c r="F580" s="434">
        <v>7</v>
      </c>
      <c r="G580" s="434">
        <v>9843461994</v>
      </c>
      <c r="I580" s="434">
        <v>5</v>
      </c>
      <c r="J580" s="434" t="s">
        <v>90</v>
      </c>
      <c r="K580" s="434" t="s">
        <v>3293</v>
      </c>
      <c r="L580" s="434"/>
      <c r="M580" s="434" t="s">
        <v>1764</v>
      </c>
      <c r="N580" s="730">
        <v>65299</v>
      </c>
      <c r="O580" s="730">
        <v>65299</v>
      </c>
      <c r="P580" s="459">
        <v>65308</v>
      </c>
      <c r="Q580" s="432" t="s">
        <v>51</v>
      </c>
      <c r="R580" s="322"/>
      <c r="S580" s="322"/>
      <c r="T580" s="322"/>
      <c r="U580" s="322"/>
      <c r="V580" s="322"/>
      <c r="W580" s="322"/>
      <c r="X580" s="322"/>
      <c r="Y580" s="322"/>
      <c r="Z580" s="322"/>
      <c r="AA580" s="322"/>
      <c r="AB580" s="322"/>
      <c r="AC580" s="322"/>
      <c r="AD580" s="322"/>
      <c r="AE580" s="322"/>
      <c r="AF580" s="322"/>
      <c r="AG580" s="322"/>
      <c r="AH580" s="322"/>
      <c r="AI580" s="322"/>
      <c r="AJ580" s="322"/>
      <c r="AK580" s="322"/>
      <c r="AL580" s="322"/>
      <c r="AM580" s="322"/>
      <c r="AN580" s="322"/>
      <c r="AO580" s="322"/>
      <c r="AP580" s="322"/>
      <c r="AQ580" s="322"/>
      <c r="AR580" s="322"/>
      <c r="AS580" s="322"/>
      <c r="AT580" s="322"/>
      <c r="AU580" s="322"/>
      <c r="AV580" s="322"/>
      <c r="AW580" s="322"/>
      <c r="AX580" s="322"/>
      <c r="AY580" s="322"/>
      <c r="AZ580" s="322"/>
      <c r="BA580" s="322"/>
      <c r="BB580" s="322"/>
      <c r="BC580" s="322"/>
      <c r="BD580" s="322"/>
      <c r="BE580" s="322"/>
      <c r="BF580" s="322"/>
      <c r="BG580" s="322"/>
      <c r="BH580" s="322"/>
      <c r="BI580" s="322"/>
      <c r="BJ580" s="322"/>
      <c r="BK580" s="322"/>
      <c r="BL580" s="322"/>
      <c r="BM580" s="322"/>
      <c r="BN580" s="322"/>
      <c r="BO580" s="322"/>
      <c r="BP580" s="322"/>
      <c r="BQ580" s="322"/>
      <c r="BR580" s="322"/>
      <c r="BS580" s="322"/>
      <c r="BT580" s="322"/>
      <c r="BU580" s="322"/>
      <c r="BV580" s="322"/>
      <c r="BW580" s="322"/>
      <c r="BX580" s="322"/>
      <c r="BY580" s="322"/>
      <c r="BZ580" s="322"/>
      <c r="CA580" s="322"/>
      <c r="CB580" s="322"/>
      <c r="CC580" s="322"/>
      <c r="CD580" s="322"/>
      <c r="CE580" s="322"/>
      <c r="CF580" s="322"/>
      <c r="CG580" s="322"/>
      <c r="CH580" s="322"/>
      <c r="CI580" s="322"/>
      <c r="CJ580" s="322"/>
      <c r="CK580" s="322"/>
      <c r="CL580" s="322"/>
      <c r="CM580" s="322"/>
      <c r="CN580" s="322"/>
      <c r="CO580" s="322"/>
      <c r="CP580" s="322"/>
      <c r="CQ580" s="322"/>
      <c r="CR580" s="322"/>
      <c r="CS580" s="322"/>
      <c r="CT580" s="322"/>
      <c r="CU580" s="322"/>
      <c r="CV580" s="322"/>
      <c r="CW580" s="322"/>
      <c r="CX580" s="322"/>
      <c r="CY580" s="322"/>
    </row>
    <row r="581" spans="1:103" s="432" customFormat="1">
      <c r="A581" s="509">
        <f t="shared" si="9"/>
        <v>580</v>
      </c>
      <c r="B581" s="1332" t="s">
        <v>43</v>
      </c>
      <c r="C581" s="943" t="s">
        <v>44</v>
      </c>
      <c r="D581" s="943" t="s">
        <v>45</v>
      </c>
      <c r="E581" s="432" t="s">
        <v>5943</v>
      </c>
      <c r="F581" s="434">
        <v>7</v>
      </c>
      <c r="G581" s="434"/>
      <c r="I581" s="434">
        <v>54</v>
      </c>
      <c r="J581" s="120" t="s">
        <v>48</v>
      </c>
      <c r="K581" s="434" t="s">
        <v>3293</v>
      </c>
      <c r="L581" s="434"/>
      <c r="M581" s="434" t="s">
        <v>1764</v>
      </c>
      <c r="N581" s="730">
        <v>65299</v>
      </c>
      <c r="O581" s="730">
        <v>65299</v>
      </c>
      <c r="P581" s="459">
        <v>65308</v>
      </c>
      <c r="Q581" s="432" t="s">
        <v>51</v>
      </c>
      <c r="R581" s="322"/>
      <c r="S581" s="322"/>
      <c r="T581" s="322"/>
      <c r="U581" s="322"/>
      <c r="V581" s="322"/>
      <c r="W581" s="322"/>
      <c r="X581" s="322"/>
      <c r="Y581" s="322"/>
      <c r="Z581" s="322"/>
      <c r="AA581" s="322"/>
      <c r="AB581" s="322"/>
      <c r="AC581" s="322"/>
      <c r="AD581" s="322"/>
      <c r="AE581" s="322"/>
      <c r="AF581" s="322"/>
      <c r="AG581" s="322"/>
      <c r="AH581" s="322"/>
      <c r="AI581" s="322"/>
      <c r="AJ581" s="322"/>
      <c r="AK581" s="322"/>
      <c r="AL581" s="322"/>
      <c r="AM581" s="322"/>
      <c r="AN581" s="322"/>
      <c r="AO581" s="322"/>
      <c r="AP581" s="322"/>
      <c r="AQ581" s="322"/>
      <c r="AR581" s="322"/>
      <c r="AS581" s="322"/>
      <c r="AT581" s="322"/>
      <c r="AU581" s="322"/>
      <c r="AV581" s="322"/>
      <c r="AW581" s="322"/>
      <c r="AX581" s="322"/>
      <c r="AY581" s="322"/>
      <c r="AZ581" s="322"/>
      <c r="BA581" s="322"/>
      <c r="BB581" s="322"/>
      <c r="BC581" s="322"/>
      <c r="BD581" s="322"/>
      <c r="BE581" s="322"/>
      <c r="BF581" s="322"/>
      <c r="BG581" s="322"/>
      <c r="BH581" s="322"/>
      <c r="BI581" s="322"/>
      <c r="BJ581" s="322"/>
      <c r="BK581" s="322"/>
      <c r="BL581" s="322"/>
      <c r="BM581" s="322"/>
      <c r="BN581" s="322"/>
      <c r="BO581" s="322"/>
      <c r="BP581" s="322"/>
      <c r="BQ581" s="322"/>
      <c r="BR581" s="322"/>
      <c r="BS581" s="322"/>
      <c r="BT581" s="322"/>
      <c r="BU581" s="322"/>
      <c r="BV581" s="322"/>
      <c r="BW581" s="322"/>
      <c r="BX581" s="322"/>
      <c r="BY581" s="322"/>
      <c r="BZ581" s="322"/>
      <c r="CA581" s="322"/>
      <c r="CB581" s="322"/>
      <c r="CC581" s="322"/>
      <c r="CD581" s="322"/>
      <c r="CE581" s="322"/>
      <c r="CF581" s="322"/>
      <c r="CG581" s="322"/>
      <c r="CH581" s="322"/>
      <c r="CI581" s="322"/>
      <c r="CJ581" s="322"/>
      <c r="CK581" s="322"/>
      <c r="CL581" s="322"/>
      <c r="CM581" s="322"/>
      <c r="CN581" s="322"/>
      <c r="CO581" s="322"/>
      <c r="CP581" s="322"/>
      <c r="CQ581" s="322"/>
      <c r="CR581" s="322"/>
      <c r="CS581" s="322"/>
      <c r="CT581" s="322"/>
      <c r="CU581" s="322"/>
      <c r="CV581" s="322"/>
      <c r="CW581" s="322"/>
      <c r="CX581" s="322"/>
      <c r="CY581" s="322"/>
    </row>
    <row r="582" spans="1:103" s="432" customFormat="1">
      <c r="A582" s="509">
        <f t="shared" si="9"/>
        <v>581</v>
      </c>
      <c r="B582" s="1332" t="s">
        <v>43</v>
      </c>
      <c r="C582" s="943" t="s">
        <v>44</v>
      </c>
      <c r="D582" s="943" t="s">
        <v>45</v>
      </c>
      <c r="E582" s="432" t="s">
        <v>3957</v>
      </c>
      <c r="F582" s="434">
        <v>6</v>
      </c>
      <c r="G582" s="434"/>
      <c r="I582" s="434">
        <v>17</v>
      </c>
      <c r="J582" s="434" t="s">
        <v>90</v>
      </c>
      <c r="K582" s="434" t="s">
        <v>5405</v>
      </c>
      <c r="L582" s="434"/>
      <c r="M582" s="434" t="s">
        <v>1764</v>
      </c>
      <c r="N582" s="730">
        <v>65299</v>
      </c>
      <c r="O582" s="730">
        <v>65299</v>
      </c>
      <c r="P582" s="459">
        <v>65308</v>
      </c>
      <c r="Q582" s="432" t="s">
        <v>51</v>
      </c>
      <c r="R582" s="322"/>
      <c r="S582" s="322"/>
      <c r="T582" s="322"/>
      <c r="U582" s="322"/>
      <c r="V582" s="322"/>
      <c r="W582" s="322"/>
      <c r="X582" s="322"/>
      <c r="Y582" s="322"/>
      <c r="Z582" s="322"/>
      <c r="AA582" s="322"/>
      <c r="AB582" s="322"/>
      <c r="AC582" s="322"/>
      <c r="AD582" s="322"/>
      <c r="AE582" s="322"/>
      <c r="AF582" s="322"/>
      <c r="AG582" s="322"/>
      <c r="AH582" s="322"/>
      <c r="AI582" s="322"/>
      <c r="AJ582" s="322"/>
      <c r="AK582" s="322"/>
      <c r="AL582" s="322"/>
      <c r="AM582" s="322"/>
      <c r="AN582" s="322"/>
      <c r="AO582" s="322"/>
      <c r="AP582" s="322"/>
      <c r="AQ582" s="322"/>
      <c r="AR582" s="322"/>
      <c r="AS582" s="322"/>
      <c r="AT582" s="322"/>
      <c r="AU582" s="322"/>
      <c r="AV582" s="322"/>
      <c r="AW582" s="322"/>
      <c r="AX582" s="322"/>
      <c r="AY582" s="322"/>
      <c r="AZ582" s="322"/>
      <c r="BA582" s="322"/>
      <c r="BB582" s="322"/>
      <c r="BC582" s="322"/>
      <c r="BD582" s="322"/>
      <c r="BE582" s="322"/>
      <c r="BF582" s="322"/>
      <c r="BG582" s="322"/>
      <c r="BH582" s="322"/>
      <c r="BI582" s="322"/>
      <c r="BJ582" s="322"/>
      <c r="BK582" s="322"/>
      <c r="BL582" s="322"/>
      <c r="BM582" s="322"/>
      <c r="BN582" s="322"/>
      <c r="BO582" s="322"/>
      <c r="BP582" s="322"/>
      <c r="BQ582" s="322"/>
      <c r="BR582" s="322"/>
      <c r="BS582" s="322"/>
      <c r="BT582" s="322"/>
      <c r="BU582" s="322"/>
      <c r="BV582" s="322"/>
      <c r="BW582" s="322"/>
      <c r="BX582" s="322"/>
      <c r="BY582" s="322"/>
      <c r="BZ582" s="322"/>
      <c r="CA582" s="322"/>
      <c r="CB582" s="322"/>
      <c r="CC582" s="322"/>
      <c r="CD582" s="322"/>
      <c r="CE582" s="322"/>
      <c r="CF582" s="322"/>
      <c r="CG582" s="322"/>
      <c r="CH582" s="322"/>
      <c r="CI582" s="322"/>
      <c r="CJ582" s="322"/>
      <c r="CK582" s="322"/>
      <c r="CL582" s="322"/>
      <c r="CM582" s="322"/>
      <c r="CN582" s="322"/>
      <c r="CO582" s="322"/>
      <c r="CP582" s="322"/>
      <c r="CQ582" s="322"/>
      <c r="CR582" s="322"/>
      <c r="CS582" s="322"/>
      <c r="CT582" s="322"/>
      <c r="CU582" s="322"/>
      <c r="CV582" s="322"/>
      <c r="CW582" s="322"/>
      <c r="CX582" s="322"/>
      <c r="CY582" s="322"/>
    </row>
    <row r="583" spans="1:103" s="432" customFormat="1">
      <c r="A583" s="509">
        <f t="shared" si="9"/>
        <v>582</v>
      </c>
      <c r="B583" s="1332" t="s">
        <v>43</v>
      </c>
      <c r="C583" s="943" t="s">
        <v>44</v>
      </c>
      <c r="D583" s="943" t="s">
        <v>45</v>
      </c>
      <c r="E583" s="432" t="s">
        <v>5944</v>
      </c>
      <c r="F583" s="434">
        <v>16</v>
      </c>
      <c r="G583" s="434">
        <v>9860307985</v>
      </c>
      <c r="I583" s="434">
        <v>25</v>
      </c>
      <c r="J583" s="434" t="s">
        <v>90</v>
      </c>
      <c r="K583" s="434" t="s">
        <v>5405</v>
      </c>
      <c r="L583" s="434"/>
      <c r="M583" s="434" t="s">
        <v>1764</v>
      </c>
      <c r="N583" s="730">
        <v>65299</v>
      </c>
      <c r="O583" s="730">
        <v>65299</v>
      </c>
      <c r="P583" s="459">
        <v>65308</v>
      </c>
      <c r="Q583" s="432" t="s">
        <v>51</v>
      </c>
      <c r="R583" s="322"/>
      <c r="S583" s="322"/>
      <c r="T583" s="322"/>
      <c r="U583" s="322"/>
      <c r="V583" s="322"/>
      <c r="W583" s="322"/>
      <c r="X583" s="322"/>
      <c r="Y583" s="322"/>
      <c r="Z583" s="322"/>
      <c r="AA583" s="322"/>
      <c r="AB583" s="322"/>
      <c r="AC583" s="322"/>
      <c r="AD583" s="322"/>
      <c r="AE583" s="322"/>
      <c r="AF583" s="322"/>
      <c r="AG583" s="322"/>
      <c r="AH583" s="322"/>
      <c r="AI583" s="322"/>
      <c r="AJ583" s="322"/>
      <c r="AK583" s="322"/>
      <c r="AL583" s="322"/>
      <c r="AM583" s="322"/>
      <c r="AN583" s="322"/>
      <c r="AO583" s="322"/>
      <c r="AP583" s="322"/>
      <c r="AQ583" s="322"/>
      <c r="AR583" s="322"/>
      <c r="AS583" s="322"/>
      <c r="AT583" s="322"/>
      <c r="AU583" s="322"/>
      <c r="AV583" s="322"/>
      <c r="AW583" s="322"/>
      <c r="AX583" s="322"/>
      <c r="AY583" s="322"/>
      <c r="AZ583" s="322"/>
      <c r="BA583" s="322"/>
      <c r="BB583" s="322"/>
      <c r="BC583" s="322"/>
      <c r="BD583" s="322"/>
      <c r="BE583" s="322"/>
      <c r="BF583" s="322"/>
      <c r="BG583" s="322"/>
      <c r="BH583" s="322"/>
      <c r="BI583" s="322"/>
      <c r="BJ583" s="322"/>
      <c r="BK583" s="322"/>
      <c r="BL583" s="322"/>
      <c r="BM583" s="322"/>
      <c r="BN583" s="322"/>
      <c r="BO583" s="322"/>
      <c r="BP583" s="322"/>
      <c r="BQ583" s="322"/>
      <c r="BR583" s="322"/>
      <c r="BS583" s="322"/>
      <c r="BT583" s="322"/>
      <c r="BU583" s="322"/>
      <c r="BV583" s="322"/>
      <c r="BW583" s="322"/>
      <c r="BX583" s="322"/>
      <c r="BY583" s="322"/>
      <c r="BZ583" s="322"/>
      <c r="CA583" s="322"/>
      <c r="CB583" s="322"/>
      <c r="CC583" s="322"/>
      <c r="CD583" s="322"/>
      <c r="CE583" s="322"/>
      <c r="CF583" s="322"/>
      <c r="CG583" s="322"/>
      <c r="CH583" s="322"/>
      <c r="CI583" s="322"/>
      <c r="CJ583" s="322"/>
      <c r="CK583" s="322"/>
      <c r="CL583" s="322"/>
      <c r="CM583" s="322"/>
      <c r="CN583" s="322"/>
      <c r="CO583" s="322"/>
      <c r="CP583" s="322"/>
      <c r="CQ583" s="322"/>
      <c r="CR583" s="322"/>
      <c r="CS583" s="322"/>
      <c r="CT583" s="322"/>
      <c r="CU583" s="322"/>
      <c r="CV583" s="322"/>
      <c r="CW583" s="322"/>
      <c r="CX583" s="322"/>
      <c r="CY583" s="322"/>
    </row>
    <row r="584" spans="1:103" s="432" customFormat="1">
      <c r="A584" s="509">
        <f t="shared" si="9"/>
        <v>583</v>
      </c>
      <c r="B584" s="1332" t="s">
        <v>43</v>
      </c>
      <c r="C584" s="943" t="s">
        <v>44</v>
      </c>
      <c r="D584" s="943" t="s">
        <v>45</v>
      </c>
      <c r="E584" s="432" t="s">
        <v>5945</v>
      </c>
      <c r="F584" s="434">
        <v>5</v>
      </c>
      <c r="G584" s="434">
        <v>9847834408</v>
      </c>
      <c r="I584" s="434">
        <v>50</v>
      </c>
      <c r="J584" s="120" t="s">
        <v>48</v>
      </c>
      <c r="K584" s="434" t="s">
        <v>5405</v>
      </c>
      <c r="L584" s="434"/>
      <c r="M584" s="434" t="s">
        <v>1764</v>
      </c>
      <c r="N584" s="730">
        <v>65299</v>
      </c>
      <c r="O584" s="730">
        <v>65299</v>
      </c>
      <c r="P584" s="459">
        <v>65308</v>
      </c>
      <c r="Q584" s="432" t="s">
        <v>51</v>
      </c>
      <c r="R584" s="322"/>
      <c r="S584" s="322"/>
      <c r="T584" s="322"/>
      <c r="U584" s="322"/>
      <c r="V584" s="322"/>
      <c r="W584" s="322"/>
      <c r="X584" s="322"/>
      <c r="Y584" s="322"/>
      <c r="Z584" s="322"/>
      <c r="AA584" s="322"/>
      <c r="AB584" s="322"/>
      <c r="AC584" s="322"/>
      <c r="AD584" s="322"/>
      <c r="AE584" s="322"/>
      <c r="AF584" s="322"/>
      <c r="AG584" s="322"/>
      <c r="AH584" s="322"/>
      <c r="AI584" s="322"/>
      <c r="AJ584" s="322"/>
      <c r="AK584" s="322"/>
      <c r="AL584" s="322"/>
      <c r="AM584" s="322"/>
      <c r="AN584" s="322"/>
      <c r="AO584" s="322"/>
      <c r="AP584" s="322"/>
      <c r="AQ584" s="322"/>
      <c r="AR584" s="322"/>
      <c r="AS584" s="322"/>
      <c r="AT584" s="322"/>
      <c r="AU584" s="322"/>
      <c r="AV584" s="322"/>
      <c r="AW584" s="322"/>
      <c r="AX584" s="322"/>
      <c r="AY584" s="322"/>
      <c r="AZ584" s="322"/>
      <c r="BA584" s="322"/>
      <c r="BB584" s="322"/>
      <c r="BC584" s="322"/>
      <c r="BD584" s="322"/>
      <c r="BE584" s="322"/>
      <c r="BF584" s="322"/>
      <c r="BG584" s="322"/>
      <c r="BH584" s="322"/>
      <c r="BI584" s="322"/>
      <c r="BJ584" s="322"/>
      <c r="BK584" s="322"/>
      <c r="BL584" s="322"/>
      <c r="BM584" s="322"/>
      <c r="BN584" s="322"/>
      <c r="BO584" s="322"/>
      <c r="BP584" s="322"/>
      <c r="BQ584" s="322"/>
      <c r="BR584" s="322"/>
      <c r="BS584" s="322"/>
      <c r="BT584" s="322"/>
      <c r="BU584" s="322"/>
      <c r="BV584" s="322"/>
      <c r="BW584" s="322"/>
      <c r="BX584" s="322"/>
      <c r="BY584" s="322"/>
      <c r="BZ584" s="322"/>
      <c r="CA584" s="322"/>
      <c r="CB584" s="322"/>
      <c r="CC584" s="322"/>
      <c r="CD584" s="322"/>
      <c r="CE584" s="322"/>
      <c r="CF584" s="322"/>
      <c r="CG584" s="322"/>
      <c r="CH584" s="322"/>
      <c r="CI584" s="322"/>
      <c r="CJ584" s="322"/>
      <c r="CK584" s="322"/>
      <c r="CL584" s="322"/>
      <c r="CM584" s="322"/>
      <c r="CN584" s="322"/>
      <c r="CO584" s="322"/>
      <c r="CP584" s="322"/>
      <c r="CQ584" s="322"/>
      <c r="CR584" s="322"/>
      <c r="CS584" s="322"/>
      <c r="CT584" s="322"/>
      <c r="CU584" s="322"/>
      <c r="CV584" s="322"/>
      <c r="CW584" s="322"/>
      <c r="CX584" s="322"/>
      <c r="CY584" s="322"/>
    </row>
    <row r="585" spans="1:103" s="432" customFormat="1">
      <c r="A585" s="509">
        <f t="shared" si="9"/>
        <v>584</v>
      </c>
      <c r="B585" s="1332" t="s">
        <v>43</v>
      </c>
      <c r="C585" s="943" t="s">
        <v>44</v>
      </c>
      <c r="D585" s="943" t="s">
        <v>45</v>
      </c>
      <c r="E585" s="432" t="s">
        <v>5946</v>
      </c>
      <c r="F585" s="434">
        <v>5</v>
      </c>
      <c r="G585" s="434">
        <v>9857822945</v>
      </c>
      <c r="I585" s="434">
        <v>38</v>
      </c>
      <c r="J585" s="120" t="s">
        <v>48</v>
      </c>
      <c r="K585" s="434" t="s">
        <v>5405</v>
      </c>
      <c r="L585" s="434"/>
      <c r="M585" s="434" t="s">
        <v>1764</v>
      </c>
      <c r="N585" s="730">
        <v>65299</v>
      </c>
      <c r="O585" s="730">
        <v>65299</v>
      </c>
      <c r="P585" s="459">
        <v>65308</v>
      </c>
      <c r="Q585" s="432" t="s">
        <v>51</v>
      </c>
      <c r="R585" s="322"/>
      <c r="S585" s="322"/>
      <c r="T585" s="322"/>
      <c r="U585" s="322"/>
      <c r="V585" s="322"/>
      <c r="W585" s="322"/>
      <c r="X585" s="322"/>
      <c r="Y585" s="322"/>
      <c r="Z585" s="322"/>
      <c r="AA585" s="322"/>
      <c r="AB585" s="322"/>
      <c r="AC585" s="322"/>
      <c r="AD585" s="322"/>
      <c r="AE585" s="322"/>
      <c r="AF585" s="322"/>
      <c r="AG585" s="322"/>
      <c r="AH585" s="322"/>
      <c r="AI585" s="322"/>
      <c r="AJ585" s="322"/>
      <c r="AK585" s="322"/>
      <c r="AL585" s="322"/>
      <c r="AM585" s="322"/>
      <c r="AN585" s="322"/>
      <c r="AO585" s="322"/>
      <c r="AP585" s="322"/>
      <c r="AQ585" s="322"/>
      <c r="AR585" s="322"/>
      <c r="AS585" s="322"/>
      <c r="AT585" s="322"/>
      <c r="AU585" s="322"/>
      <c r="AV585" s="322"/>
      <c r="AW585" s="322"/>
      <c r="AX585" s="322"/>
      <c r="AY585" s="322"/>
      <c r="AZ585" s="322"/>
      <c r="BA585" s="322"/>
      <c r="BB585" s="322"/>
      <c r="BC585" s="322"/>
      <c r="BD585" s="322"/>
      <c r="BE585" s="322"/>
      <c r="BF585" s="322"/>
      <c r="BG585" s="322"/>
      <c r="BH585" s="322"/>
      <c r="BI585" s="322"/>
      <c r="BJ585" s="322"/>
      <c r="BK585" s="322"/>
      <c r="BL585" s="322"/>
      <c r="BM585" s="322"/>
      <c r="BN585" s="322"/>
      <c r="BO585" s="322"/>
      <c r="BP585" s="322"/>
      <c r="BQ585" s="322"/>
      <c r="BR585" s="322"/>
      <c r="BS585" s="322"/>
      <c r="BT585" s="322"/>
      <c r="BU585" s="322"/>
      <c r="BV585" s="322"/>
      <c r="BW585" s="322"/>
      <c r="BX585" s="322"/>
      <c r="BY585" s="322"/>
      <c r="BZ585" s="322"/>
      <c r="CA585" s="322"/>
      <c r="CB585" s="322"/>
      <c r="CC585" s="322"/>
      <c r="CD585" s="322"/>
      <c r="CE585" s="322"/>
      <c r="CF585" s="322"/>
      <c r="CG585" s="322"/>
      <c r="CH585" s="322"/>
      <c r="CI585" s="322"/>
      <c r="CJ585" s="322"/>
      <c r="CK585" s="322"/>
      <c r="CL585" s="322"/>
      <c r="CM585" s="322"/>
      <c r="CN585" s="322"/>
      <c r="CO585" s="322"/>
      <c r="CP585" s="322"/>
      <c r="CQ585" s="322"/>
      <c r="CR585" s="322"/>
      <c r="CS585" s="322"/>
      <c r="CT585" s="322"/>
      <c r="CU585" s="322"/>
      <c r="CV585" s="322"/>
      <c r="CW585" s="322"/>
      <c r="CX585" s="322"/>
      <c r="CY585" s="322"/>
    </row>
    <row r="586" spans="1:103" s="432" customFormat="1">
      <c r="A586" s="509">
        <f t="shared" si="9"/>
        <v>585</v>
      </c>
      <c r="B586" s="1332" t="s">
        <v>43</v>
      </c>
      <c r="C586" s="943" t="s">
        <v>44</v>
      </c>
      <c r="D586" s="943" t="s">
        <v>45</v>
      </c>
      <c r="E586" s="432" t="s">
        <v>5947</v>
      </c>
      <c r="F586" s="434">
        <v>17</v>
      </c>
      <c r="G586" s="434">
        <v>9868078353</v>
      </c>
      <c r="I586" s="434">
        <v>29</v>
      </c>
      <c r="J586" s="120" t="s">
        <v>48</v>
      </c>
      <c r="K586" s="434" t="s">
        <v>5405</v>
      </c>
      <c r="L586" s="434"/>
      <c r="M586" s="434" t="s">
        <v>1764</v>
      </c>
      <c r="N586" s="730">
        <v>65299</v>
      </c>
      <c r="O586" s="730">
        <v>65299</v>
      </c>
      <c r="P586" s="459">
        <v>65308</v>
      </c>
      <c r="Q586" s="432" t="s">
        <v>51</v>
      </c>
      <c r="R586" s="322"/>
      <c r="S586" s="322"/>
      <c r="T586" s="322"/>
      <c r="U586" s="322"/>
      <c r="V586" s="322"/>
      <c r="W586" s="322"/>
      <c r="X586" s="322"/>
      <c r="Y586" s="322"/>
      <c r="Z586" s="322"/>
      <c r="AA586" s="322"/>
      <c r="AB586" s="322"/>
      <c r="AC586" s="322"/>
      <c r="AD586" s="322"/>
      <c r="AE586" s="322"/>
      <c r="AF586" s="322"/>
      <c r="AG586" s="322"/>
      <c r="AH586" s="322"/>
      <c r="AI586" s="322"/>
      <c r="AJ586" s="322"/>
      <c r="AK586" s="322"/>
      <c r="AL586" s="322"/>
      <c r="AM586" s="322"/>
      <c r="AN586" s="322"/>
      <c r="AO586" s="322"/>
      <c r="AP586" s="322"/>
      <c r="AQ586" s="322"/>
      <c r="AR586" s="322"/>
      <c r="AS586" s="322"/>
      <c r="AT586" s="322"/>
      <c r="AU586" s="322"/>
      <c r="AV586" s="322"/>
      <c r="AW586" s="322"/>
      <c r="AX586" s="322"/>
      <c r="AY586" s="322"/>
      <c r="AZ586" s="322"/>
      <c r="BA586" s="322"/>
      <c r="BB586" s="322"/>
      <c r="BC586" s="322"/>
      <c r="BD586" s="322"/>
      <c r="BE586" s="322"/>
      <c r="BF586" s="322"/>
      <c r="BG586" s="322"/>
      <c r="BH586" s="322"/>
      <c r="BI586" s="322"/>
      <c r="BJ586" s="322"/>
      <c r="BK586" s="322"/>
      <c r="BL586" s="322"/>
      <c r="BM586" s="322"/>
      <c r="BN586" s="322"/>
      <c r="BO586" s="322"/>
      <c r="BP586" s="322"/>
      <c r="BQ586" s="322"/>
      <c r="BR586" s="322"/>
      <c r="BS586" s="322"/>
      <c r="BT586" s="322"/>
      <c r="BU586" s="322"/>
      <c r="BV586" s="322"/>
      <c r="BW586" s="322"/>
      <c r="BX586" s="322"/>
      <c r="BY586" s="322"/>
      <c r="BZ586" s="322"/>
      <c r="CA586" s="322"/>
      <c r="CB586" s="322"/>
      <c r="CC586" s="322"/>
      <c r="CD586" s="322"/>
      <c r="CE586" s="322"/>
      <c r="CF586" s="322"/>
      <c r="CG586" s="322"/>
      <c r="CH586" s="322"/>
      <c r="CI586" s="322"/>
      <c r="CJ586" s="322"/>
      <c r="CK586" s="322"/>
      <c r="CL586" s="322"/>
      <c r="CM586" s="322"/>
      <c r="CN586" s="322"/>
      <c r="CO586" s="322"/>
      <c r="CP586" s="322"/>
      <c r="CQ586" s="322"/>
      <c r="CR586" s="322"/>
      <c r="CS586" s="322"/>
      <c r="CT586" s="322"/>
      <c r="CU586" s="322"/>
      <c r="CV586" s="322"/>
      <c r="CW586" s="322"/>
      <c r="CX586" s="322"/>
      <c r="CY586" s="322"/>
    </row>
    <row r="587" spans="1:103" s="432" customFormat="1">
      <c r="A587" s="509">
        <f t="shared" si="9"/>
        <v>586</v>
      </c>
      <c r="B587" s="1332" t="s">
        <v>43</v>
      </c>
      <c r="C587" s="943" t="s">
        <v>44</v>
      </c>
      <c r="D587" s="943" t="s">
        <v>45</v>
      </c>
      <c r="E587" s="432" t="s">
        <v>5948</v>
      </c>
      <c r="F587" s="434">
        <v>3</v>
      </c>
      <c r="G587" s="434">
        <v>9844924678</v>
      </c>
      <c r="I587" s="434">
        <v>54</v>
      </c>
      <c r="J587" s="120" t="s">
        <v>48</v>
      </c>
      <c r="K587" s="434" t="s">
        <v>5405</v>
      </c>
      <c r="L587" s="434"/>
      <c r="M587" s="434" t="s">
        <v>1764</v>
      </c>
      <c r="N587" s="730">
        <v>65299</v>
      </c>
      <c r="O587" s="730">
        <v>65299</v>
      </c>
      <c r="P587" s="459">
        <v>65308</v>
      </c>
      <c r="Q587" s="432" t="s">
        <v>51</v>
      </c>
      <c r="R587" s="322"/>
      <c r="S587" s="322"/>
      <c r="T587" s="322"/>
      <c r="U587" s="322"/>
      <c r="V587" s="322"/>
      <c r="W587" s="322"/>
      <c r="X587" s="322"/>
      <c r="Y587" s="322"/>
      <c r="Z587" s="322"/>
      <c r="AA587" s="322"/>
      <c r="AB587" s="322"/>
      <c r="AC587" s="322"/>
      <c r="AD587" s="322"/>
      <c r="AE587" s="322"/>
      <c r="AF587" s="322"/>
      <c r="AG587" s="322"/>
      <c r="AH587" s="322"/>
      <c r="AI587" s="322"/>
      <c r="AJ587" s="322"/>
      <c r="AK587" s="322"/>
      <c r="AL587" s="322"/>
      <c r="AM587" s="322"/>
      <c r="AN587" s="322"/>
      <c r="AO587" s="322"/>
      <c r="AP587" s="322"/>
      <c r="AQ587" s="322"/>
      <c r="AR587" s="322"/>
      <c r="AS587" s="322"/>
      <c r="AT587" s="322"/>
      <c r="AU587" s="322"/>
      <c r="AV587" s="322"/>
      <c r="AW587" s="322"/>
      <c r="AX587" s="322"/>
      <c r="AY587" s="322"/>
      <c r="AZ587" s="322"/>
      <c r="BA587" s="322"/>
      <c r="BB587" s="322"/>
      <c r="BC587" s="322"/>
      <c r="BD587" s="322"/>
      <c r="BE587" s="322"/>
      <c r="BF587" s="322"/>
      <c r="BG587" s="322"/>
      <c r="BH587" s="322"/>
      <c r="BI587" s="322"/>
      <c r="BJ587" s="322"/>
      <c r="BK587" s="322"/>
      <c r="BL587" s="322"/>
      <c r="BM587" s="322"/>
      <c r="BN587" s="322"/>
      <c r="BO587" s="322"/>
      <c r="BP587" s="322"/>
      <c r="BQ587" s="322"/>
      <c r="BR587" s="322"/>
      <c r="BS587" s="322"/>
      <c r="BT587" s="322"/>
      <c r="BU587" s="322"/>
      <c r="BV587" s="322"/>
      <c r="BW587" s="322"/>
      <c r="BX587" s="322"/>
      <c r="BY587" s="322"/>
      <c r="BZ587" s="322"/>
      <c r="CA587" s="322"/>
      <c r="CB587" s="322"/>
      <c r="CC587" s="322"/>
      <c r="CD587" s="322"/>
      <c r="CE587" s="322"/>
      <c r="CF587" s="322"/>
      <c r="CG587" s="322"/>
      <c r="CH587" s="322"/>
      <c r="CI587" s="322"/>
      <c r="CJ587" s="322"/>
      <c r="CK587" s="322"/>
      <c r="CL587" s="322"/>
      <c r="CM587" s="322"/>
      <c r="CN587" s="322"/>
      <c r="CO587" s="322"/>
      <c r="CP587" s="322"/>
      <c r="CQ587" s="322"/>
      <c r="CR587" s="322"/>
      <c r="CS587" s="322"/>
      <c r="CT587" s="322"/>
      <c r="CU587" s="322"/>
      <c r="CV587" s="322"/>
      <c r="CW587" s="322"/>
      <c r="CX587" s="322"/>
      <c r="CY587" s="322"/>
    </row>
    <row r="588" spans="1:103" s="432" customFormat="1">
      <c r="A588" s="509">
        <f t="shared" si="9"/>
        <v>587</v>
      </c>
      <c r="B588" s="1332" t="s">
        <v>43</v>
      </c>
      <c r="C588" s="943" t="s">
        <v>44</v>
      </c>
      <c r="D588" s="943" t="s">
        <v>45</v>
      </c>
      <c r="E588" s="432" t="s">
        <v>5949</v>
      </c>
      <c r="F588" s="434">
        <v>11</v>
      </c>
      <c r="G588" s="434">
        <v>9848183530</v>
      </c>
      <c r="I588" s="434">
        <v>26</v>
      </c>
      <c r="J588" s="120" t="s">
        <v>48</v>
      </c>
      <c r="K588" s="434" t="s">
        <v>5405</v>
      </c>
      <c r="L588" s="434"/>
      <c r="M588" s="434" t="s">
        <v>1764</v>
      </c>
      <c r="N588" s="730">
        <v>65299</v>
      </c>
      <c r="O588" s="730">
        <v>65299</v>
      </c>
      <c r="P588" s="459">
        <v>65308</v>
      </c>
      <c r="Q588" s="432" t="s">
        <v>51</v>
      </c>
      <c r="R588" s="322"/>
      <c r="S588" s="322"/>
      <c r="T588" s="322"/>
      <c r="U588" s="322"/>
      <c r="V588" s="322"/>
      <c r="W588" s="322"/>
      <c r="X588" s="322"/>
      <c r="Y588" s="322"/>
      <c r="Z588" s="322"/>
      <c r="AA588" s="322"/>
      <c r="AB588" s="322"/>
      <c r="AC588" s="322"/>
      <c r="AD588" s="322"/>
      <c r="AE588" s="322"/>
      <c r="AF588" s="322"/>
      <c r="AG588" s="322"/>
      <c r="AH588" s="322"/>
      <c r="AI588" s="322"/>
      <c r="AJ588" s="322"/>
      <c r="AK588" s="322"/>
      <c r="AL588" s="322"/>
      <c r="AM588" s="322"/>
      <c r="AN588" s="322"/>
      <c r="AO588" s="322"/>
      <c r="AP588" s="322"/>
      <c r="AQ588" s="322"/>
      <c r="AR588" s="322"/>
      <c r="AS588" s="322"/>
      <c r="AT588" s="322"/>
      <c r="AU588" s="322"/>
      <c r="AV588" s="322"/>
      <c r="AW588" s="322"/>
      <c r="AX588" s="322"/>
      <c r="AY588" s="322"/>
      <c r="AZ588" s="322"/>
      <c r="BA588" s="322"/>
      <c r="BB588" s="322"/>
      <c r="BC588" s="322"/>
      <c r="BD588" s="322"/>
      <c r="BE588" s="322"/>
      <c r="BF588" s="322"/>
      <c r="BG588" s="322"/>
      <c r="BH588" s="322"/>
      <c r="BI588" s="322"/>
      <c r="BJ588" s="322"/>
      <c r="BK588" s="322"/>
      <c r="BL588" s="322"/>
      <c r="BM588" s="322"/>
      <c r="BN588" s="322"/>
      <c r="BO588" s="322"/>
      <c r="BP588" s="322"/>
      <c r="BQ588" s="322"/>
      <c r="BR588" s="322"/>
      <c r="BS588" s="322"/>
      <c r="BT588" s="322"/>
      <c r="BU588" s="322"/>
      <c r="BV588" s="322"/>
      <c r="BW588" s="322"/>
      <c r="BX588" s="322"/>
      <c r="BY588" s="322"/>
      <c r="BZ588" s="322"/>
      <c r="CA588" s="322"/>
      <c r="CB588" s="322"/>
      <c r="CC588" s="322"/>
      <c r="CD588" s="322"/>
      <c r="CE588" s="322"/>
      <c r="CF588" s="322"/>
      <c r="CG588" s="322"/>
      <c r="CH588" s="322"/>
      <c r="CI588" s="322"/>
      <c r="CJ588" s="322"/>
      <c r="CK588" s="322"/>
      <c r="CL588" s="322"/>
      <c r="CM588" s="322"/>
      <c r="CN588" s="322"/>
      <c r="CO588" s="322"/>
      <c r="CP588" s="322"/>
      <c r="CQ588" s="322"/>
      <c r="CR588" s="322"/>
      <c r="CS588" s="322"/>
      <c r="CT588" s="322"/>
      <c r="CU588" s="322"/>
      <c r="CV588" s="322"/>
      <c r="CW588" s="322"/>
      <c r="CX588" s="322"/>
      <c r="CY588" s="322"/>
    </row>
    <row r="589" spans="1:103" s="432" customFormat="1">
      <c r="A589" s="509">
        <f t="shared" si="9"/>
        <v>588</v>
      </c>
      <c r="B589" s="1332" t="s">
        <v>43</v>
      </c>
      <c r="C589" s="943" t="s">
        <v>44</v>
      </c>
      <c r="D589" s="943" t="s">
        <v>45</v>
      </c>
      <c r="E589" s="432" t="s">
        <v>5950</v>
      </c>
      <c r="F589" s="434">
        <v>17</v>
      </c>
      <c r="G589" s="434">
        <v>9847837633</v>
      </c>
      <c r="I589" s="434">
        <v>48</v>
      </c>
      <c r="J589" s="120" t="s">
        <v>48</v>
      </c>
      <c r="K589" s="434" t="s">
        <v>5405</v>
      </c>
      <c r="L589" s="434"/>
      <c r="M589" s="434" t="s">
        <v>1764</v>
      </c>
      <c r="N589" s="730">
        <v>65299</v>
      </c>
      <c r="O589" s="730">
        <v>65299</v>
      </c>
      <c r="P589" s="459">
        <v>65308</v>
      </c>
      <c r="Q589" s="432" t="s">
        <v>51</v>
      </c>
      <c r="R589" s="322"/>
      <c r="S589" s="322"/>
      <c r="T589" s="322"/>
      <c r="U589" s="322"/>
      <c r="V589" s="322"/>
      <c r="W589" s="322"/>
      <c r="X589" s="322"/>
      <c r="Y589" s="322"/>
      <c r="Z589" s="322"/>
      <c r="AA589" s="322"/>
      <c r="AB589" s="322"/>
      <c r="AC589" s="322"/>
      <c r="AD589" s="322"/>
      <c r="AE589" s="322"/>
      <c r="AF589" s="322"/>
      <c r="AG589" s="322"/>
      <c r="AH589" s="322"/>
      <c r="AI589" s="322"/>
      <c r="AJ589" s="322"/>
      <c r="AK589" s="322"/>
      <c r="AL589" s="322"/>
      <c r="AM589" s="322"/>
      <c r="AN589" s="322"/>
      <c r="AO589" s="322"/>
      <c r="AP589" s="322"/>
      <c r="AQ589" s="322"/>
      <c r="AR589" s="322"/>
      <c r="AS589" s="322"/>
      <c r="AT589" s="322"/>
      <c r="AU589" s="322"/>
      <c r="AV589" s="322"/>
      <c r="AW589" s="322"/>
      <c r="AX589" s="322"/>
      <c r="AY589" s="322"/>
      <c r="AZ589" s="322"/>
      <c r="BA589" s="322"/>
      <c r="BB589" s="322"/>
      <c r="BC589" s="322"/>
      <c r="BD589" s="322"/>
      <c r="BE589" s="322"/>
      <c r="BF589" s="322"/>
      <c r="BG589" s="322"/>
      <c r="BH589" s="322"/>
      <c r="BI589" s="322"/>
      <c r="BJ589" s="322"/>
      <c r="BK589" s="322"/>
      <c r="BL589" s="322"/>
      <c r="BM589" s="322"/>
      <c r="BN589" s="322"/>
      <c r="BO589" s="322"/>
      <c r="BP589" s="322"/>
      <c r="BQ589" s="322"/>
      <c r="BR589" s="322"/>
      <c r="BS589" s="322"/>
      <c r="BT589" s="322"/>
      <c r="BU589" s="322"/>
      <c r="BV589" s="322"/>
      <c r="BW589" s="322"/>
      <c r="BX589" s="322"/>
      <c r="BY589" s="322"/>
      <c r="BZ589" s="322"/>
      <c r="CA589" s="322"/>
      <c r="CB589" s="322"/>
      <c r="CC589" s="322"/>
      <c r="CD589" s="322"/>
      <c r="CE589" s="322"/>
      <c r="CF589" s="322"/>
      <c r="CG589" s="322"/>
      <c r="CH589" s="322"/>
      <c r="CI589" s="322"/>
      <c r="CJ589" s="322"/>
      <c r="CK589" s="322"/>
      <c r="CL589" s="322"/>
      <c r="CM589" s="322"/>
      <c r="CN589" s="322"/>
      <c r="CO589" s="322"/>
      <c r="CP589" s="322"/>
      <c r="CQ589" s="322"/>
      <c r="CR589" s="322"/>
      <c r="CS589" s="322"/>
      <c r="CT589" s="322"/>
      <c r="CU589" s="322"/>
      <c r="CV589" s="322"/>
      <c r="CW589" s="322"/>
      <c r="CX589" s="322"/>
      <c r="CY589" s="322"/>
    </row>
    <row r="590" spans="1:103" s="432" customFormat="1">
      <c r="A590" s="509">
        <f t="shared" si="9"/>
        <v>589</v>
      </c>
      <c r="B590" s="1332" t="s">
        <v>43</v>
      </c>
      <c r="C590" s="943" t="s">
        <v>44</v>
      </c>
      <c r="D590" s="943" t="s">
        <v>45</v>
      </c>
      <c r="E590" s="432" t="s">
        <v>5951</v>
      </c>
      <c r="F590" s="434">
        <v>10</v>
      </c>
      <c r="G590" s="434">
        <v>9847884705</v>
      </c>
      <c r="I590" s="434">
        <v>85</v>
      </c>
      <c r="J590" s="434" t="s">
        <v>90</v>
      </c>
      <c r="K590" s="434" t="s">
        <v>5405</v>
      </c>
      <c r="L590" s="434"/>
      <c r="M590" s="434" t="s">
        <v>1764</v>
      </c>
      <c r="N590" s="730">
        <v>65299</v>
      </c>
      <c r="O590" s="730">
        <v>65299</v>
      </c>
      <c r="P590" s="459">
        <v>65308</v>
      </c>
      <c r="Q590" s="432" t="s">
        <v>51</v>
      </c>
      <c r="R590" s="322"/>
      <c r="S590" s="322"/>
      <c r="T590" s="322"/>
      <c r="U590" s="322"/>
      <c r="V590" s="322"/>
      <c r="W590" s="322"/>
      <c r="X590" s="322"/>
      <c r="Y590" s="322"/>
      <c r="Z590" s="322"/>
      <c r="AA590" s="322"/>
      <c r="AB590" s="322"/>
      <c r="AC590" s="322"/>
      <c r="AD590" s="322"/>
      <c r="AE590" s="322"/>
      <c r="AF590" s="322"/>
      <c r="AG590" s="322"/>
      <c r="AH590" s="322"/>
      <c r="AI590" s="322"/>
      <c r="AJ590" s="322"/>
      <c r="AK590" s="322"/>
      <c r="AL590" s="322"/>
      <c r="AM590" s="322"/>
      <c r="AN590" s="322"/>
      <c r="AO590" s="322"/>
      <c r="AP590" s="322"/>
      <c r="AQ590" s="322"/>
      <c r="AR590" s="322"/>
      <c r="AS590" s="322"/>
      <c r="AT590" s="322"/>
      <c r="AU590" s="322"/>
      <c r="AV590" s="322"/>
      <c r="AW590" s="322"/>
      <c r="AX590" s="322"/>
      <c r="AY590" s="322"/>
      <c r="AZ590" s="322"/>
      <c r="BA590" s="322"/>
      <c r="BB590" s="322"/>
      <c r="BC590" s="322"/>
      <c r="BD590" s="322"/>
      <c r="BE590" s="322"/>
      <c r="BF590" s="322"/>
      <c r="BG590" s="322"/>
      <c r="BH590" s="322"/>
      <c r="BI590" s="322"/>
      <c r="BJ590" s="322"/>
      <c r="BK590" s="322"/>
      <c r="BL590" s="322"/>
      <c r="BM590" s="322"/>
      <c r="BN590" s="322"/>
      <c r="BO590" s="322"/>
      <c r="BP590" s="322"/>
      <c r="BQ590" s="322"/>
      <c r="BR590" s="322"/>
      <c r="BS590" s="322"/>
      <c r="BT590" s="322"/>
      <c r="BU590" s="322"/>
      <c r="BV590" s="322"/>
      <c r="BW590" s="322"/>
      <c r="BX590" s="322"/>
      <c r="BY590" s="322"/>
      <c r="BZ590" s="322"/>
      <c r="CA590" s="322"/>
      <c r="CB590" s="322"/>
      <c r="CC590" s="322"/>
      <c r="CD590" s="322"/>
      <c r="CE590" s="322"/>
      <c r="CF590" s="322"/>
      <c r="CG590" s="322"/>
      <c r="CH590" s="322"/>
      <c r="CI590" s="322"/>
      <c r="CJ590" s="322"/>
      <c r="CK590" s="322"/>
      <c r="CL590" s="322"/>
      <c r="CM590" s="322"/>
      <c r="CN590" s="322"/>
      <c r="CO590" s="322"/>
      <c r="CP590" s="322"/>
      <c r="CQ590" s="322"/>
      <c r="CR590" s="322"/>
      <c r="CS590" s="322"/>
      <c r="CT590" s="322"/>
      <c r="CU590" s="322"/>
      <c r="CV590" s="322"/>
      <c r="CW590" s="322"/>
      <c r="CX590" s="322"/>
      <c r="CY590" s="322"/>
    </row>
    <row r="591" spans="1:103" s="432" customFormat="1">
      <c r="A591" s="509">
        <f t="shared" si="9"/>
        <v>590</v>
      </c>
      <c r="B591" s="1332" t="s">
        <v>43</v>
      </c>
      <c r="C591" s="943" t="s">
        <v>44</v>
      </c>
      <c r="D591" s="943" t="s">
        <v>45</v>
      </c>
      <c r="E591" s="432" t="s">
        <v>5952</v>
      </c>
      <c r="F591" s="434">
        <v>17</v>
      </c>
      <c r="G591" s="434">
        <v>9868615842</v>
      </c>
      <c r="I591" s="434">
        <v>37</v>
      </c>
      <c r="J591" s="434" t="s">
        <v>90</v>
      </c>
      <c r="K591" s="434" t="s">
        <v>5405</v>
      </c>
      <c r="L591" s="434"/>
      <c r="M591" s="434" t="s">
        <v>1764</v>
      </c>
      <c r="N591" s="730">
        <v>65299</v>
      </c>
      <c r="O591" s="730">
        <v>65299</v>
      </c>
      <c r="P591" s="459">
        <v>65308</v>
      </c>
      <c r="Q591" s="432" t="s">
        <v>51</v>
      </c>
      <c r="R591" s="322"/>
      <c r="S591" s="322"/>
      <c r="T591" s="322"/>
      <c r="U591" s="322"/>
      <c r="V591" s="322"/>
      <c r="W591" s="322"/>
      <c r="X591" s="322"/>
      <c r="Y591" s="322"/>
      <c r="Z591" s="322"/>
      <c r="AA591" s="322"/>
      <c r="AB591" s="322"/>
      <c r="AC591" s="322"/>
      <c r="AD591" s="322"/>
      <c r="AE591" s="322"/>
      <c r="AF591" s="322"/>
      <c r="AG591" s="322"/>
      <c r="AH591" s="322"/>
      <c r="AI591" s="322"/>
      <c r="AJ591" s="322"/>
      <c r="AK591" s="322"/>
      <c r="AL591" s="322"/>
      <c r="AM591" s="322"/>
      <c r="AN591" s="322"/>
      <c r="AO591" s="322"/>
      <c r="AP591" s="322"/>
      <c r="AQ591" s="322"/>
      <c r="AR591" s="322"/>
      <c r="AS591" s="322"/>
      <c r="AT591" s="322"/>
      <c r="AU591" s="322"/>
      <c r="AV591" s="322"/>
      <c r="AW591" s="322"/>
      <c r="AX591" s="322"/>
      <c r="AY591" s="322"/>
      <c r="AZ591" s="322"/>
      <c r="BA591" s="322"/>
      <c r="BB591" s="322"/>
      <c r="BC591" s="322"/>
      <c r="BD591" s="322"/>
      <c r="BE591" s="322"/>
      <c r="BF591" s="322"/>
      <c r="BG591" s="322"/>
      <c r="BH591" s="322"/>
      <c r="BI591" s="322"/>
      <c r="BJ591" s="322"/>
      <c r="BK591" s="322"/>
      <c r="BL591" s="322"/>
      <c r="BM591" s="322"/>
      <c r="BN591" s="322"/>
      <c r="BO591" s="322"/>
      <c r="BP591" s="322"/>
      <c r="BQ591" s="322"/>
      <c r="BR591" s="322"/>
      <c r="BS591" s="322"/>
      <c r="BT591" s="322"/>
      <c r="BU591" s="322"/>
      <c r="BV591" s="322"/>
      <c r="BW591" s="322"/>
      <c r="BX591" s="322"/>
      <c r="BY591" s="322"/>
      <c r="BZ591" s="322"/>
      <c r="CA591" s="322"/>
      <c r="CB591" s="322"/>
      <c r="CC591" s="322"/>
      <c r="CD591" s="322"/>
      <c r="CE591" s="322"/>
      <c r="CF591" s="322"/>
      <c r="CG591" s="322"/>
      <c r="CH591" s="322"/>
      <c r="CI591" s="322"/>
      <c r="CJ591" s="322"/>
      <c r="CK591" s="322"/>
      <c r="CL591" s="322"/>
      <c r="CM591" s="322"/>
      <c r="CN591" s="322"/>
      <c r="CO591" s="322"/>
      <c r="CP591" s="322"/>
      <c r="CQ591" s="322"/>
      <c r="CR591" s="322"/>
      <c r="CS591" s="322"/>
      <c r="CT591" s="322"/>
      <c r="CU591" s="322"/>
      <c r="CV591" s="322"/>
      <c r="CW591" s="322"/>
      <c r="CX591" s="322"/>
      <c r="CY591" s="322"/>
    </row>
    <row r="592" spans="1:103" s="432" customFormat="1">
      <c r="A592" s="509">
        <f t="shared" si="9"/>
        <v>591</v>
      </c>
      <c r="B592" s="1332" t="s">
        <v>43</v>
      </c>
      <c r="C592" s="943" t="s">
        <v>44</v>
      </c>
      <c r="D592" s="943" t="s">
        <v>45</v>
      </c>
      <c r="E592" s="432" t="s">
        <v>5953</v>
      </c>
      <c r="F592" s="434">
        <v>5</v>
      </c>
      <c r="G592" s="434">
        <v>9847878366</v>
      </c>
      <c r="I592" s="434">
        <v>40</v>
      </c>
      <c r="J592" s="434" t="s">
        <v>90</v>
      </c>
      <c r="K592" s="434" t="s">
        <v>5405</v>
      </c>
      <c r="L592" s="434"/>
      <c r="M592" s="434" t="s">
        <v>1764</v>
      </c>
      <c r="N592" s="730">
        <v>65299</v>
      </c>
      <c r="O592" s="730">
        <v>65299</v>
      </c>
      <c r="P592" s="459">
        <v>65308</v>
      </c>
      <c r="Q592" s="432" t="s">
        <v>51</v>
      </c>
      <c r="R592" s="322"/>
      <c r="S592" s="322"/>
      <c r="T592" s="322"/>
      <c r="U592" s="322"/>
      <c r="V592" s="322"/>
      <c r="W592" s="322"/>
      <c r="X592" s="322"/>
      <c r="Y592" s="322"/>
      <c r="Z592" s="322"/>
      <c r="AA592" s="322"/>
      <c r="AB592" s="322"/>
      <c r="AC592" s="322"/>
      <c r="AD592" s="322"/>
      <c r="AE592" s="322"/>
      <c r="AF592" s="322"/>
      <c r="AG592" s="322"/>
      <c r="AH592" s="322"/>
      <c r="AI592" s="322"/>
      <c r="AJ592" s="322"/>
      <c r="AK592" s="322"/>
      <c r="AL592" s="322"/>
      <c r="AM592" s="322"/>
      <c r="AN592" s="322"/>
      <c r="AO592" s="322"/>
      <c r="AP592" s="322"/>
      <c r="AQ592" s="322"/>
      <c r="AR592" s="322"/>
      <c r="AS592" s="322"/>
      <c r="AT592" s="322"/>
      <c r="AU592" s="322"/>
      <c r="AV592" s="322"/>
      <c r="AW592" s="322"/>
      <c r="AX592" s="322"/>
      <c r="AY592" s="322"/>
      <c r="AZ592" s="322"/>
      <c r="BA592" s="322"/>
      <c r="BB592" s="322"/>
      <c r="BC592" s="322"/>
      <c r="BD592" s="322"/>
      <c r="BE592" s="322"/>
      <c r="BF592" s="322"/>
      <c r="BG592" s="322"/>
      <c r="BH592" s="322"/>
      <c r="BI592" s="322"/>
      <c r="BJ592" s="322"/>
      <c r="BK592" s="322"/>
      <c r="BL592" s="322"/>
      <c r="BM592" s="322"/>
      <c r="BN592" s="322"/>
      <c r="BO592" s="322"/>
      <c r="BP592" s="322"/>
      <c r="BQ592" s="322"/>
      <c r="BR592" s="322"/>
      <c r="BS592" s="322"/>
      <c r="BT592" s="322"/>
      <c r="BU592" s="322"/>
      <c r="BV592" s="322"/>
      <c r="BW592" s="322"/>
      <c r="BX592" s="322"/>
      <c r="BY592" s="322"/>
      <c r="BZ592" s="322"/>
      <c r="CA592" s="322"/>
      <c r="CB592" s="322"/>
      <c r="CC592" s="322"/>
      <c r="CD592" s="322"/>
      <c r="CE592" s="322"/>
      <c r="CF592" s="322"/>
      <c r="CG592" s="322"/>
      <c r="CH592" s="322"/>
      <c r="CI592" s="322"/>
      <c r="CJ592" s="322"/>
      <c r="CK592" s="322"/>
      <c r="CL592" s="322"/>
      <c r="CM592" s="322"/>
      <c r="CN592" s="322"/>
      <c r="CO592" s="322"/>
      <c r="CP592" s="322"/>
      <c r="CQ592" s="322"/>
      <c r="CR592" s="322"/>
      <c r="CS592" s="322"/>
      <c r="CT592" s="322"/>
      <c r="CU592" s="322"/>
      <c r="CV592" s="322"/>
      <c r="CW592" s="322"/>
      <c r="CX592" s="322"/>
      <c r="CY592" s="322"/>
    </row>
    <row r="593" spans="1:103" s="432" customFormat="1">
      <c r="A593" s="509">
        <f t="shared" si="9"/>
        <v>592</v>
      </c>
      <c r="B593" s="1332" t="s">
        <v>43</v>
      </c>
      <c r="C593" s="943" t="s">
        <v>44</v>
      </c>
      <c r="D593" s="943" t="s">
        <v>45</v>
      </c>
      <c r="E593" s="432" t="s">
        <v>5954</v>
      </c>
      <c r="F593" s="434">
        <v>14</v>
      </c>
      <c r="G593" s="434">
        <v>9809733479</v>
      </c>
      <c r="I593" s="434">
        <v>40</v>
      </c>
      <c r="J593" s="434" t="s">
        <v>90</v>
      </c>
      <c r="K593" s="434" t="s">
        <v>5405</v>
      </c>
      <c r="L593" s="434"/>
      <c r="M593" s="434" t="s">
        <v>1764</v>
      </c>
      <c r="N593" s="730">
        <v>65299</v>
      </c>
      <c r="O593" s="730">
        <v>65299</v>
      </c>
      <c r="P593" s="459">
        <v>65308</v>
      </c>
      <c r="Q593" s="432" t="s">
        <v>51</v>
      </c>
      <c r="R593" s="322"/>
      <c r="S593" s="322"/>
      <c r="T593" s="322"/>
      <c r="U593" s="322"/>
      <c r="V593" s="322"/>
      <c r="W593" s="322"/>
      <c r="X593" s="322"/>
      <c r="Y593" s="322"/>
      <c r="Z593" s="322"/>
      <c r="AA593" s="322"/>
      <c r="AB593" s="322"/>
      <c r="AC593" s="322"/>
      <c r="AD593" s="322"/>
      <c r="AE593" s="322"/>
      <c r="AF593" s="322"/>
      <c r="AG593" s="322"/>
      <c r="AH593" s="322"/>
      <c r="AI593" s="322"/>
      <c r="AJ593" s="322"/>
      <c r="AK593" s="322"/>
      <c r="AL593" s="322"/>
      <c r="AM593" s="322"/>
      <c r="AN593" s="322"/>
      <c r="AO593" s="322"/>
      <c r="AP593" s="322"/>
      <c r="AQ593" s="322"/>
      <c r="AR593" s="322"/>
      <c r="AS593" s="322"/>
      <c r="AT593" s="322"/>
      <c r="AU593" s="322"/>
      <c r="AV593" s="322"/>
      <c r="AW593" s="322"/>
      <c r="AX593" s="322"/>
      <c r="AY593" s="322"/>
      <c r="AZ593" s="322"/>
      <c r="BA593" s="322"/>
      <c r="BB593" s="322"/>
      <c r="BC593" s="322"/>
      <c r="BD593" s="322"/>
      <c r="BE593" s="322"/>
      <c r="BF593" s="322"/>
      <c r="BG593" s="322"/>
      <c r="BH593" s="322"/>
      <c r="BI593" s="322"/>
      <c r="BJ593" s="322"/>
      <c r="BK593" s="322"/>
      <c r="BL593" s="322"/>
      <c r="BM593" s="322"/>
      <c r="BN593" s="322"/>
      <c r="BO593" s="322"/>
      <c r="BP593" s="322"/>
      <c r="BQ593" s="322"/>
      <c r="BR593" s="322"/>
      <c r="BS593" s="322"/>
      <c r="BT593" s="322"/>
      <c r="BU593" s="322"/>
      <c r="BV593" s="322"/>
      <c r="BW593" s="322"/>
      <c r="BX593" s="322"/>
      <c r="BY593" s="322"/>
      <c r="BZ593" s="322"/>
      <c r="CA593" s="322"/>
      <c r="CB593" s="322"/>
      <c r="CC593" s="322"/>
      <c r="CD593" s="322"/>
      <c r="CE593" s="322"/>
      <c r="CF593" s="322"/>
      <c r="CG593" s="322"/>
      <c r="CH593" s="322"/>
      <c r="CI593" s="322"/>
      <c r="CJ593" s="322"/>
      <c r="CK593" s="322"/>
      <c r="CL593" s="322"/>
      <c r="CM593" s="322"/>
      <c r="CN593" s="322"/>
      <c r="CO593" s="322"/>
      <c r="CP593" s="322"/>
      <c r="CQ593" s="322"/>
      <c r="CR593" s="322"/>
      <c r="CS593" s="322"/>
      <c r="CT593" s="322"/>
      <c r="CU593" s="322"/>
      <c r="CV593" s="322"/>
      <c r="CW593" s="322"/>
      <c r="CX593" s="322"/>
      <c r="CY593" s="322"/>
    </row>
    <row r="594" spans="1:103" s="432" customFormat="1">
      <c r="A594" s="509">
        <f t="shared" si="9"/>
        <v>593</v>
      </c>
      <c r="B594" s="1332" t="s">
        <v>43</v>
      </c>
      <c r="C594" s="943" t="s">
        <v>44</v>
      </c>
      <c r="D594" s="943" t="s">
        <v>45</v>
      </c>
      <c r="E594" s="432" t="s">
        <v>5955</v>
      </c>
      <c r="F594" s="434">
        <v>5</v>
      </c>
      <c r="G594" s="434">
        <v>9803003619</v>
      </c>
      <c r="I594" s="434">
        <v>35</v>
      </c>
      <c r="J594" s="434" t="s">
        <v>90</v>
      </c>
      <c r="K594" s="434" t="s">
        <v>5405</v>
      </c>
      <c r="L594" s="434"/>
      <c r="M594" s="434" t="s">
        <v>1764</v>
      </c>
      <c r="N594" s="730">
        <v>65299</v>
      </c>
      <c r="O594" s="730">
        <v>65299</v>
      </c>
      <c r="P594" s="459">
        <v>65308</v>
      </c>
      <c r="Q594" s="432" t="s">
        <v>51</v>
      </c>
      <c r="R594" s="322"/>
      <c r="S594" s="322"/>
      <c r="T594" s="322"/>
      <c r="U594" s="322"/>
      <c r="V594" s="322"/>
      <c r="W594" s="322"/>
      <c r="X594" s="322"/>
      <c r="Y594" s="322"/>
      <c r="Z594" s="322"/>
      <c r="AA594" s="322"/>
      <c r="AB594" s="322"/>
      <c r="AC594" s="322"/>
      <c r="AD594" s="322"/>
      <c r="AE594" s="322"/>
      <c r="AF594" s="322"/>
      <c r="AG594" s="322"/>
      <c r="AH594" s="322"/>
      <c r="AI594" s="322"/>
      <c r="AJ594" s="322"/>
      <c r="AK594" s="322"/>
      <c r="AL594" s="322"/>
      <c r="AM594" s="322"/>
      <c r="AN594" s="322"/>
      <c r="AO594" s="322"/>
      <c r="AP594" s="322"/>
      <c r="AQ594" s="322"/>
      <c r="AR594" s="322"/>
      <c r="AS594" s="322"/>
      <c r="AT594" s="322"/>
      <c r="AU594" s="322"/>
      <c r="AV594" s="322"/>
      <c r="AW594" s="322"/>
      <c r="AX594" s="322"/>
      <c r="AY594" s="322"/>
      <c r="AZ594" s="322"/>
      <c r="BA594" s="322"/>
      <c r="BB594" s="322"/>
      <c r="BC594" s="322"/>
      <c r="BD594" s="322"/>
      <c r="BE594" s="322"/>
      <c r="BF594" s="322"/>
      <c r="BG594" s="322"/>
      <c r="BH594" s="322"/>
      <c r="BI594" s="322"/>
      <c r="BJ594" s="322"/>
      <c r="BK594" s="322"/>
      <c r="BL594" s="322"/>
      <c r="BM594" s="322"/>
      <c r="BN594" s="322"/>
      <c r="BO594" s="322"/>
      <c r="BP594" s="322"/>
      <c r="BQ594" s="322"/>
      <c r="BR594" s="322"/>
      <c r="BS594" s="322"/>
      <c r="BT594" s="322"/>
      <c r="BU594" s="322"/>
      <c r="BV594" s="322"/>
      <c r="BW594" s="322"/>
      <c r="BX594" s="322"/>
      <c r="BY594" s="322"/>
      <c r="BZ594" s="322"/>
      <c r="CA594" s="322"/>
      <c r="CB594" s="322"/>
      <c r="CC594" s="322"/>
      <c r="CD594" s="322"/>
      <c r="CE594" s="322"/>
      <c r="CF594" s="322"/>
      <c r="CG594" s="322"/>
      <c r="CH594" s="322"/>
      <c r="CI594" s="322"/>
      <c r="CJ594" s="322"/>
      <c r="CK594" s="322"/>
      <c r="CL594" s="322"/>
      <c r="CM594" s="322"/>
      <c r="CN594" s="322"/>
      <c r="CO594" s="322"/>
      <c r="CP594" s="322"/>
      <c r="CQ594" s="322"/>
      <c r="CR594" s="322"/>
      <c r="CS594" s="322"/>
      <c r="CT594" s="322"/>
      <c r="CU594" s="322"/>
      <c r="CV594" s="322"/>
      <c r="CW594" s="322"/>
      <c r="CX594" s="322"/>
      <c r="CY594" s="322"/>
    </row>
    <row r="595" spans="1:103" s="432" customFormat="1">
      <c r="A595" s="509">
        <f t="shared" si="9"/>
        <v>594</v>
      </c>
      <c r="B595" s="1332" t="s">
        <v>43</v>
      </c>
      <c r="C595" s="943" t="s">
        <v>44</v>
      </c>
      <c r="D595" s="943" t="s">
        <v>45</v>
      </c>
      <c r="E595" s="432" t="s">
        <v>5956</v>
      </c>
      <c r="F595" s="434">
        <v>7</v>
      </c>
      <c r="G595" s="434">
        <v>9812805981</v>
      </c>
      <c r="I595" s="434">
        <v>37</v>
      </c>
      <c r="J595" s="434" t="s">
        <v>90</v>
      </c>
      <c r="K595" s="434" t="s">
        <v>5405</v>
      </c>
      <c r="L595" s="434"/>
      <c r="M595" s="434" t="s">
        <v>1764</v>
      </c>
      <c r="N595" s="730">
        <v>65299</v>
      </c>
      <c r="O595" s="730">
        <v>65299</v>
      </c>
      <c r="P595" s="459">
        <v>65308</v>
      </c>
      <c r="Q595" s="432" t="s">
        <v>51</v>
      </c>
      <c r="R595" s="322"/>
      <c r="S595" s="322"/>
      <c r="T595" s="322"/>
      <c r="U595" s="322"/>
      <c r="V595" s="322"/>
      <c r="W595" s="322"/>
      <c r="X595" s="322"/>
      <c r="Y595" s="322"/>
      <c r="Z595" s="322"/>
      <c r="AA595" s="322"/>
      <c r="AB595" s="322"/>
      <c r="AC595" s="322"/>
      <c r="AD595" s="322"/>
      <c r="AE595" s="322"/>
      <c r="AF595" s="322"/>
      <c r="AG595" s="322"/>
      <c r="AH595" s="322"/>
      <c r="AI595" s="322"/>
      <c r="AJ595" s="322"/>
      <c r="AK595" s="322"/>
      <c r="AL595" s="322"/>
      <c r="AM595" s="322"/>
      <c r="AN595" s="322"/>
      <c r="AO595" s="322"/>
      <c r="AP595" s="322"/>
      <c r="AQ595" s="322"/>
      <c r="AR595" s="322"/>
      <c r="AS595" s="322"/>
      <c r="AT595" s="322"/>
      <c r="AU595" s="322"/>
      <c r="AV595" s="322"/>
      <c r="AW595" s="322"/>
      <c r="AX595" s="322"/>
      <c r="AY595" s="322"/>
      <c r="AZ595" s="322"/>
      <c r="BA595" s="322"/>
      <c r="BB595" s="322"/>
      <c r="BC595" s="322"/>
      <c r="BD595" s="322"/>
      <c r="BE595" s="322"/>
      <c r="BF595" s="322"/>
      <c r="BG595" s="322"/>
      <c r="BH595" s="322"/>
      <c r="BI595" s="322"/>
      <c r="BJ595" s="322"/>
      <c r="BK595" s="322"/>
      <c r="BL595" s="322"/>
      <c r="BM595" s="322"/>
      <c r="BN595" s="322"/>
      <c r="BO595" s="322"/>
      <c r="BP595" s="322"/>
      <c r="BQ595" s="322"/>
      <c r="BR595" s="322"/>
      <c r="BS595" s="322"/>
      <c r="BT595" s="322"/>
      <c r="BU595" s="322"/>
      <c r="BV595" s="322"/>
      <c r="BW595" s="322"/>
      <c r="BX595" s="322"/>
      <c r="BY595" s="322"/>
      <c r="BZ595" s="322"/>
      <c r="CA595" s="322"/>
      <c r="CB595" s="322"/>
      <c r="CC595" s="322"/>
      <c r="CD595" s="322"/>
      <c r="CE595" s="322"/>
      <c r="CF595" s="322"/>
      <c r="CG595" s="322"/>
      <c r="CH595" s="322"/>
      <c r="CI595" s="322"/>
      <c r="CJ595" s="322"/>
      <c r="CK595" s="322"/>
      <c r="CL595" s="322"/>
      <c r="CM595" s="322"/>
      <c r="CN595" s="322"/>
      <c r="CO595" s="322"/>
      <c r="CP595" s="322"/>
      <c r="CQ595" s="322"/>
      <c r="CR595" s="322"/>
      <c r="CS595" s="322"/>
      <c r="CT595" s="322"/>
      <c r="CU595" s="322"/>
      <c r="CV595" s="322"/>
      <c r="CW595" s="322"/>
      <c r="CX595" s="322"/>
      <c r="CY595" s="322"/>
    </row>
    <row r="596" spans="1:103" s="432" customFormat="1">
      <c r="A596" s="509">
        <f t="shared" si="9"/>
        <v>595</v>
      </c>
      <c r="B596" s="1332" t="s">
        <v>43</v>
      </c>
      <c r="C596" s="943" t="s">
        <v>44</v>
      </c>
      <c r="D596" s="943" t="s">
        <v>45</v>
      </c>
      <c r="E596" s="432" t="s">
        <v>5957</v>
      </c>
      <c r="F596" s="434">
        <v>5</v>
      </c>
      <c r="G596" s="434">
        <v>9857851005</v>
      </c>
      <c r="I596" s="434">
        <v>54</v>
      </c>
      <c r="J596" s="120" t="s">
        <v>48</v>
      </c>
      <c r="K596" s="434" t="s">
        <v>5405</v>
      </c>
      <c r="L596" s="434"/>
      <c r="M596" s="434" t="s">
        <v>1764</v>
      </c>
      <c r="N596" s="730">
        <v>65299</v>
      </c>
      <c r="O596" s="730">
        <v>65299</v>
      </c>
      <c r="P596" s="459">
        <v>65308</v>
      </c>
      <c r="Q596" s="432" t="s">
        <v>51</v>
      </c>
      <c r="R596" s="322"/>
      <c r="S596" s="322"/>
      <c r="T596" s="322"/>
      <c r="U596" s="322"/>
      <c r="V596" s="322"/>
      <c r="W596" s="322"/>
      <c r="X596" s="322"/>
      <c r="Y596" s="322"/>
      <c r="Z596" s="322"/>
      <c r="AA596" s="322"/>
      <c r="AB596" s="322"/>
      <c r="AC596" s="322"/>
      <c r="AD596" s="322"/>
      <c r="AE596" s="322"/>
      <c r="AF596" s="322"/>
      <c r="AG596" s="322"/>
      <c r="AH596" s="322"/>
      <c r="AI596" s="322"/>
      <c r="AJ596" s="322"/>
      <c r="AK596" s="322"/>
      <c r="AL596" s="322"/>
      <c r="AM596" s="322"/>
      <c r="AN596" s="322"/>
      <c r="AO596" s="322"/>
      <c r="AP596" s="322"/>
      <c r="AQ596" s="322"/>
      <c r="AR596" s="322"/>
      <c r="AS596" s="322"/>
      <c r="AT596" s="322"/>
      <c r="AU596" s="322"/>
      <c r="AV596" s="322"/>
      <c r="AW596" s="322"/>
      <c r="AX596" s="322"/>
      <c r="AY596" s="322"/>
      <c r="AZ596" s="322"/>
      <c r="BA596" s="322"/>
      <c r="BB596" s="322"/>
      <c r="BC596" s="322"/>
      <c r="BD596" s="322"/>
      <c r="BE596" s="322"/>
      <c r="BF596" s="322"/>
      <c r="BG596" s="322"/>
      <c r="BH596" s="322"/>
      <c r="BI596" s="322"/>
      <c r="BJ596" s="322"/>
      <c r="BK596" s="322"/>
      <c r="BL596" s="322"/>
      <c r="BM596" s="322"/>
      <c r="BN596" s="322"/>
      <c r="BO596" s="322"/>
      <c r="BP596" s="322"/>
      <c r="BQ596" s="322"/>
      <c r="BR596" s="322"/>
      <c r="BS596" s="322"/>
      <c r="BT596" s="322"/>
      <c r="BU596" s="322"/>
      <c r="BV596" s="322"/>
      <c r="BW596" s="322"/>
      <c r="BX596" s="322"/>
      <c r="BY596" s="322"/>
      <c r="BZ596" s="322"/>
      <c r="CA596" s="322"/>
      <c r="CB596" s="322"/>
      <c r="CC596" s="322"/>
      <c r="CD596" s="322"/>
      <c r="CE596" s="322"/>
      <c r="CF596" s="322"/>
      <c r="CG596" s="322"/>
      <c r="CH596" s="322"/>
      <c r="CI596" s="322"/>
      <c r="CJ596" s="322"/>
      <c r="CK596" s="322"/>
      <c r="CL596" s="322"/>
      <c r="CM596" s="322"/>
      <c r="CN596" s="322"/>
      <c r="CO596" s="322"/>
      <c r="CP596" s="322"/>
      <c r="CQ596" s="322"/>
      <c r="CR596" s="322"/>
      <c r="CS596" s="322"/>
      <c r="CT596" s="322"/>
      <c r="CU596" s="322"/>
      <c r="CV596" s="322"/>
      <c r="CW596" s="322"/>
      <c r="CX596" s="322"/>
      <c r="CY596" s="322"/>
    </row>
    <row r="597" spans="1:103" s="432" customFormat="1">
      <c r="A597" s="509">
        <f t="shared" si="9"/>
        <v>596</v>
      </c>
      <c r="B597" s="1332" t="s">
        <v>43</v>
      </c>
      <c r="C597" s="943" t="s">
        <v>44</v>
      </c>
      <c r="D597" s="943" t="s">
        <v>45</v>
      </c>
      <c r="E597" s="432" t="s">
        <v>5958</v>
      </c>
      <c r="F597" s="434">
        <v>17</v>
      </c>
      <c r="G597" s="434">
        <v>9857835593</v>
      </c>
      <c r="I597" s="434">
        <v>30</v>
      </c>
      <c r="J597" s="120" t="s">
        <v>48</v>
      </c>
      <c r="K597" s="434" t="s">
        <v>5405</v>
      </c>
      <c r="L597" s="434"/>
      <c r="M597" s="434" t="s">
        <v>1764</v>
      </c>
      <c r="N597" s="730">
        <v>65299</v>
      </c>
      <c r="O597" s="730">
        <v>65299</v>
      </c>
      <c r="P597" s="459">
        <v>65308</v>
      </c>
      <c r="Q597" s="432" t="s">
        <v>51</v>
      </c>
      <c r="R597" s="322"/>
      <c r="S597" s="322"/>
      <c r="T597" s="322"/>
      <c r="U597" s="322"/>
      <c r="V597" s="322"/>
      <c r="W597" s="322"/>
      <c r="X597" s="322"/>
      <c r="Y597" s="322"/>
      <c r="Z597" s="322"/>
      <c r="AA597" s="322"/>
      <c r="AB597" s="322"/>
      <c r="AC597" s="322"/>
      <c r="AD597" s="322"/>
      <c r="AE597" s="322"/>
      <c r="AF597" s="322"/>
      <c r="AG597" s="322"/>
      <c r="AH597" s="322"/>
      <c r="AI597" s="322"/>
      <c r="AJ597" s="322"/>
      <c r="AK597" s="322"/>
      <c r="AL597" s="322"/>
      <c r="AM597" s="322"/>
      <c r="AN597" s="322"/>
      <c r="AO597" s="322"/>
      <c r="AP597" s="322"/>
      <c r="AQ597" s="322"/>
      <c r="AR597" s="322"/>
      <c r="AS597" s="322"/>
      <c r="AT597" s="322"/>
      <c r="AU597" s="322"/>
      <c r="AV597" s="322"/>
      <c r="AW597" s="322"/>
      <c r="AX597" s="322"/>
      <c r="AY597" s="322"/>
      <c r="AZ597" s="322"/>
      <c r="BA597" s="322"/>
      <c r="BB597" s="322"/>
      <c r="BC597" s="322"/>
      <c r="BD597" s="322"/>
      <c r="BE597" s="322"/>
      <c r="BF597" s="322"/>
      <c r="BG597" s="322"/>
      <c r="BH597" s="322"/>
      <c r="BI597" s="322"/>
      <c r="BJ597" s="322"/>
      <c r="BK597" s="322"/>
      <c r="BL597" s="322"/>
      <c r="BM597" s="322"/>
      <c r="BN597" s="322"/>
      <c r="BO597" s="322"/>
      <c r="BP597" s="322"/>
      <c r="BQ597" s="322"/>
      <c r="BR597" s="322"/>
      <c r="BS597" s="322"/>
      <c r="BT597" s="322"/>
      <c r="BU597" s="322"/>
      <c r="BV597" s="322"/>
      <c r="BW597" s="322"/>
      <c r="BX597" s="322"/>
      <c r="BY597" s="322"/>
      <c r="BZ597" s="322"/>
      <c r="CA597" s="322"/>
      <c r="CB597" s="322"/>
      <c r="CC597" s="322"/>
      <c r="CD597" s="322"/>
      <c r="CE597" s="322"/>
      <c r="CF597" s="322"/>
      <c r="CG597" s="322"/>
      <c r="CH597" s="322"/>
      <c r="CI597" s="322"/>
      <c r="CJ597" s="322"/>
      <c r="CK597" s="322"/>
      <c r="CL597" s="322"/>
      <c r="CM597" s="322"/>
      <c r="CN597" s="322"/>
      <c r="CO597" s="322"/>
      <c r="CP597" s="322"/>
      <c r="CQ597" s="322"/>
      <c r="CR597" s="322"/>
      <c r="CS597" s="322"/>
      <c r="CT597" s="322"/>
      <c r="CU597" s="322"/>
      <c r="CV597" s="322"/>
      <c r="CW597" s="322"/>
      <c r="CX597" s="322"/>
      <c r="CY597" s="322"/>
    </row>
    <row r="598" spans="1:103" s="432" customFormat="1">
      <c r="A598" s="509">
        <f t="shared" si="9"/>
        <v>597</v>
      </c>
      <c r="B598" s="1332" t="s">
        <v>43</v>
      </c>
      <c r="C598" s="943" t="s">
        <v>44</v>
      </c>
      <c r="D598" s="943" t="s">
        <v>45</v>
      </c>
      <c r="E598" s="432" t="s">
        <v>5959</v>
      </c>
      <c r="F598" s="434">
        <v>8</v>
      </c>
      <c r="G598" s="434">
        <v>9864819977</v>
      </c>
      <c r="I598" s="434">
        <v>40</v>
      </c>
      <c r="J598" s="120" t="s">
        <v>48</v>
      </c>
      <c r="K598" s="434" t="s">
        <v>5405</v>
      </c>
      <c r="L598" s="434"/>
      <c r="M598" s="434" t="s">
        <v>1764</v>
      </c>
      <c r="N598" s="730">
        <v>65299</v>
      </c>
      <c r="O598" s="730">
        <v>65299</v>
      </c>
      <c r="P598" s="459">
        <v>65308</v>
      </c>
      <c r="Q598" s="432" t="s">
        <v>51</v>
      </c>
      <c r="R598" s="322"/>
      <c r="S598" s="322"/>
      <c r="T598" s="322"/>
      <c r="U598" s="322"/>
      <c r="V598" s="322"/>
      <c r="W598" s="322"/>
      <c r="X598" s="322"/>
      <c r="Y598" s="322"/>
      <c r="Z598" s="322"/>
      <c r="AA598" s="322"/>
      <c r="AB598" s="322"/>
      <c r="AC598" s="322"/>
      <c r="AD598" s="322"/>
      <c r="AE598" s="322"/>
      <c r="AF598" s="322"/>
      <c r="AG598" s="322"/>
      <c r="AH598" s="322"/>
      <c r="AI598" s="322"/>
      <c r="AJ598" s="322"/>
      <c r="AK598" s="322"/>
      <c r="AL598" s="322"/>
      <c r="AM598" s="322"/>
      <c r="AN598" s="322"/>
      <c r="AO598" s="322"/>
      <c r="AP598" s="322"/>
      <c r="AQ598" s="322"/>
      <c r="AR598" s="322"/>
      <c r="AS598" s="322"/>
      <c r="AT598" s="322"/>
      <c r="AU598" s="322"/>
      <c r="AV598" s="322"/>
      <c r="AW598" s="322"/>
      <c r="AX598" s="322"/>
      <c r="AY598" s="322"/>
      <c r="AZ598" s="322"/>
      <c r="BA598" s="322"/>
      <c r="BB598" s="322"/>
      <c r="BC598" s="322"/>
      <c r="BD598" s="322"/>
      <c r="BE598" s="322"/>
      <c r="BF598" s="322"/>
      <c r="BG598" s="322"/>
      <c r="BH598" s="322"/>
      <c r="BI598" s="322"/>
      <c r="BJ598" s="322"/>
      <c r="BK598" s="322"/>
      <c r="BL598" s="322"/>
      <c r="BM598" s="322"/>
      <c r="BN598" s="322"/>
      <c r="BO598" s="322"/>
      <c r="BP598" s="322"/>
      <c r="BQ598" s="322"/>
      <c r="BR598" s="322"/>
      <c r="BS598" s="322"/>
      <c r="BT598" s="322"/>
      <c r="BU598" s="322"/>
      <c r="BV598" s="322"/>
      <c r="BW598" s="322"/>
      <c r="BX598" s="322"/>
      <c r="BY598" s="322"/>
      <c r="BZ598" s="322"/>
      <c r="CA598" s="322"/>
      <c r="CB598" s="322"/>
      <c r="CC598" s="322"/>
      <c r="CD598" s="322"/>
      <c r="CE598" s="322"/>
      <c r="CF598" s="322"/>
      <c r="CG598" s="322"/>
      <c r="CH598" s="322"/>
      <c r="CI598" s="322"/>
      <c r="CJ598" s="322"/>
      <c r="CK598" s="322"/>
      <c r="CL598" s="322"/>
      <c r="CM598" s="322"/>
      <c r="CN598" s="322"/>
      <c r="CO598" s="322"/>
      <c r="CP598" s="322"/>
      <c r="CQ598" s="322"/>
      <c r="CR598" s="322"/>
      <c r="CS598" s="322"/>
      <c r="CT598" s="322"/>
      <c r="CU598" s="322"/>
      <c r="CV598" s="322"/>
      <c r="CW598" s="322"/>
      <c r="CX598" s="322"/>
      <c r="CY598" s="322"/>
    </row>
    <row r="599" spans="1:103" s="432" customFormat="1">
      <c r="A599" s="509">
        <f t="shared" si="9"/>
        <v>598</v>
      </c>
      <c r="B599" s="1332" t="s">
        <v>43</v>
      </c>
      <c r="C599" s="943" t="s">
        <v>44</v>
      </c>
      <c r="D599" s="943" t="s">
        <v>45</v>
      </c>
      <c r="E599" s="432" t="s">
        <v>5960</v>
      </c>
      <c r="F599" s="434">
        <v>9</v>
      </c>
      <c r="G599" s="434">
        <v>9857821068</v>
      </c>
      <c r="I599" s="434">
        <v>48</v>
      </c>
      <c r="J599" s="120" t="s">
        <v>48</v>
      </c>
      <c r="K599" s="434" t="s">
        <v>5405</v>
      </c>
      <c r="L599" s="434"/>
      <c r="M599" s="434" t="s">
        <v>1764</v>
      </c>
      <c r="N599" s="730">
        <v>65299</v>
      </c>
      <c r="O599" s="730">
        <v>65299</v>
      </c>
      <c r="P599" s="459">
        <v>65308</v>
      </c>
      <c r="Q599" s="432" t="s">
        <v>51</v>
      </c>
      <c r="R599" s="322"/>
      <c r="S599" s="322"/>
      <c r="T599" s="322"/>
      <c r="U599" s="322"/>
      <c r="V599" s="322"/>
      <c r="W599" s="322"/>
      <c r="X599" s="322"/>
      <c r="Y599" s="322"/>
      <c r="Z599" s="322"/>
      <c r="AA599" s="322"/>
      <c r="AB599" s="322"/>
      <c r="AC599" s="322"/>
      <c r="AD599" s="322"/>
      <c r="AE599" s="322"/>
      <c r="AF599" s="322"/>
      <c r="AG599" s="322"/>
      <c r="AH599" s="322"/>
      <c r="AI599" s="322"/>
      <c r="AJ599" s="322"/>
      <c r="AK599" s="322"/>
      <c r="AL599" s="322"/>
      <c r="AM599" s="322"/>
      <c r="AN599" s="322"/>
      <c r="AO599" s="322"/>
      <c r="AP599" s="322"/>
      <c r="AQ599" s="322"/>
      <c r="AR599" s="322"/>
      <c r="AS599" s="322"/>
      <c r="AT599" s="322"/>
      <c r="AU599" s="322"/>
      <c r="AV599" s="322"/>
      <c r="AW599" s="322"/>
      <c r="AX599" s="322"/>
      <c r="AY599" s="322"/>
      <c r="AZ599" s="322"/>
      <c r="BA599" s="322"/>
      <c r="BB599" s="322"/>
      <c r="BC599" s="322"/>
      <c r="BD599" s="322"/>
      <c r="BE599" s="322"/>
      <c r="BF599" s="322"/>
      <c r="BG599" s="322"/>
      <c r="BH599" s="322"/>
      <c r="BI599" s="322"/>
      <c r="BJ599" s="322"/>
      <c r="BK599" s="322"/>
      <c r="BL599" s="322"/>
      <c r="BM599" s="322"/>
      <c r="BN599" s="322"/>
      <c r="BO599" s="322"/>
      <c r="BP599" s="322"/>
      <c r="BQ599" s="322"/>
      <c r="BR599" s="322"/>
      <c r="BS599" s="322"/>
      <c r="BT599" s="322"/>
      <c r="BU599" s="322"/>
      <c r="BV599" s="322"/>
      <c r="BW599" s="322"/>
      <c r="BX599" s="322"/>
      <c r="BY599" s="322"/>
      <c r="BZ599" s="322"/>
      <c r="CA599" s="322"/>
      <c r="CB599" s="322"/>
      <c r="CC599" s="322"/>
      <c r="CD599" s="322"/>
      <c r="CE599" s="322"/>
      <c r="CF599" s="322"/>
      <c r="CG599" s="322"/>
      <c r="CH599" s="322"/>
      <c r="CI599" s="322"/>
      <c r="CJ599" s="322"/>
      <c r="CK599" s="322"/>
      <c r="CL599" s="322"/>
      <c r="CM599" s="322"/>
      <c r="CN599" s="322"/>
      <c r="CO599" s="322"/>
      <c r="CP599" s="322"/>
      <c r="CQ599" s="322"/>
      <c r="CR599" s="322"/>
      <c r="CS599" s="322"/>
      <c r="CT599" s="322"/>
      <c r="CU599" s="322"/>
      <c r="CV599" s="322"/>
      <c r="CW599" s="322"/>
      <c r="CX599" s="322"/>
      <c r="CY599" s="322"/>
    </row>
    <row r="600" spans="1:103" s="432" customFormat="1">
      <c r="A600" s="509">
        <f t="shared" si="9"/>
        <v>599</v>
      </c>
      <c r="B600" s="1332" t="s">
        <v>43</v>
      </c>
      <c r="C600" s="943" t="s">
        <v>44</v>
      </c>
      <c r="D600" s="943" t="s">
        <v>45</v>
      </c>
      <c r="E600" s="432" t="s">
        <v>5961</v>
      </c>
      <c r="F600" s="434">
        <v>8</v>
      </c>
      <c r="G600" s="434">
        <v>9822971830</v>
      </c>
      <c r="I600" s="434">
        <v>17</v>
      </c>
      <c r="J600" s="434" t="s">
        <v>90</v>
      </c>
      <c r="K600" s="434" t="s">
        <v>5405</v>
      </c>
      <c r="L600" s="434"/>
      <c r="M600" s="434" t="s">
        <v>1764</v>
      </c>
      <c r="N600" s="730">
        <v>65299</v>
      </c>
      <c r="O600" s="730">
        <v>65299</v>
      </c>
      <c r="P600" s="459">
        <v>65308</v>
      </c>
      <c r="Q600" s="432" t="s">
        <v>51</v>
      </c>
      <c r="R600" s="322"/>
      <c r="S600" s="322"/>
      <c r="T600" s="322"/>
      <c r="U600" s="322"/>
      <c r="V600" s="322"/>
      <c r="W600" s="322"/>
      <c r="X600" s="322"/>
      <c r="Y600" s="322"/>
      <c r="Z600" s="322"/>
      <c r="AA600" s="322"/>
      <c r="AB600" s="322"/>
      <c r="AC600" s="322"/>
      <c r="AD600" s="322"/>
      <c r="AE600" s="322"/>
      <c r="AF600" s="322"/>
      <c r="AG600" s="322"/>
      <c r="AH600" s="322"/>
      <c r="AI600" s="322"/>
      <c r="AJ600" s="322"/>
      <c r="AK600" s="322"/>
      <c r="AL600" s="322"/>
      <c r="AM600" s="322"/>
      <c r="AN600" s="322"/>
      <c r="AO600" s="322"/>
      <c r="AP600" s="322"/>
      <c r="AQ600" s="322"/>
      <c r="AR600" s="322"/>
      <c r="AS600" s="322"/>
      <c r="AT600" s="322"/>
      <c r="AU600" s="322"/>
      <c r="AV600" s="322"/>
      <c r="AW600" s="322"/>
      <c r="AX600" s="322"/>
      <c r="AY600" s="322"/>
      <c r="AZ600" s="322"/>
      <c r="BA600" s="322"/>
      <c r="BB600" s="322"/>
      <c r="BC600" s="322"/>
      <c r="BD600" s="322"/>
      <c r="BE600" s="322"/>
      <c r="BF600" s="322"/>
      <c r="BG600" s="322"/>
      <c r="BH600" s="322"/>
      <c r="BI600" s="322"/>
      <c r="BJ600" s="322"/>
      <c r="BK600" s="322"/>
      <c r="BL600" s="322"/>
      <c r="BM600" s="322"/>
      <c r="BN600" s="322"/>
      <c r="BO600" s="322"/>
      <c r="BP600" s="322"/>
      <c r="BQ600" s="322"/>
      <c r="BR600" s="322"/>
      <c r="BS600" s="322"/>
      <c r="BT600" s="322"/>
      <c r="BU600" s="322"/>
      <c r="BV600" s="322"/>
      <c r="BW600" s="322"/>
      <c r="BX600" s="322"/>
      <c r="BY600" s="322"/>
      <c r="BZ600" s="322"/>
      <c r="CA600" s="322"/>
      <c r="CB600" s="322"/>
      <c r="CC600" s="322"/>
      <c r="CD600" s="322"/>
      <c r="CE600" s="322"/>
      <c r="CF600" s="322"/>
      <c r="CG600" s="322"/>
      <c r="CH600" s="322"/>
      <c r="CI600" s="322"/>
      <c r="CJ600" s="322"/>
      <c r="CK600" s="322"/>
      <c r="CL600" s="322"/>
      <c r="CM600" s="322"/>
      <c r="CN600" s="322"/>
      <c r="CO600" s="322"/>
      <c r="CP600" s="322"/>
      <c r="CQ600" s="322"/>
      <c r="CR600" s="322"/>
      <c r="CS600" s="322"/>
      <c r="CT600" s="322"/>
      <c r="CU600" s="322"/>
      <c r="CV600" s="322"/>
      <c r="CW600" s="322"/>
      <c r="CX600" s="322"/>
      <c r="CY600" s="322"/>
    </row>
    <row r="601" spans="1:103" s="432" customFormat="1">
      <c r="A601" s="509">
        <f t="shared" si="9"/>
        <v>600</v>
      </c>
      <c r="B601" s="1332" t="s">
        <v>43</v>
      </c>
      <c r="C601" s="943" t="s">
        <v>44</v>
      </c>
      <c r="D601" s="943" t="s">
        <v>45</v>
      </c>
      <c r="E601" s="432" t="s">
        <v>5962</v>
      </c>
      <c r="F601" s="434">
        <v>5</v>
      </c>
      <c r="G601" s="434">
        <v>9860461062</v>
      </c>
      <c r="I601" s="434">
        <v>23</v>
      </c>
      <c r="J601" s="120" t="s">
        <v>48</v>
      </c>
      <c r="K601" s="434" t="s">
        <v>3293</v>
      </c>
      <c r="L601" s="434"/>
      <c r="M601" s="434" t="s">
        <v>1764</v>
      </c>
      <c r="N601" s="730">
        <v>65300</v>
      </c>
      <c r="O601" s="730">
        <v>65300</v>
      </c>
      <c r="P601" s="459">
        <v>65308</v>
      </c>
      <c r="Q601" s="432" t="s">
        <v>51</v>
      </c>
      <c r="R601" s="322"/>
      <c r="S601" s="322"/>
      <c r="T601" s="322"/>
      <c r="U601" s="322"/>
      <c r="V601" s="322"/>
      <c r="W601" s="322"/>
      <c r="X601" s="322"/>
      <c r="Y601" s="322"/>
      <c r="Z601" s="322"/>
      <c r="AA601" s="322"/>
      <c r="AB601" s="322"/>
      <c r="AC601" s="322"/>
      <c r="AD601" s="322"/>
      <c r="AE601" s="322"/>
      <c r="AF601" s="322"/>
      <c r="AG601" s="322"/>
      <c r="AH601" s="322"/>
      <c r="AI601" s="322"/>
      <c r="AJ601" s="322"/>
      <c r="AK601" s="322"/>
      <c r="AL601" s="322"/>
      <c r="AM601" s="322"/>
      <c r="AN601" s="322"/>
      <c r="AO601" s="322"/>
      <c r="AP601" s="322"/>
      <c r="AQ601" s="322"/>
      <c r="AR601" s="322"/>
      <c r="AS601" s="322"/>
      <c r="AT601" s="322"/>
      <c r="AU601" s="322"/>
      <c r="AV601" s="322"/>
      <c r="AW601" s="322"/>
      <c r="AX601" s="322"/>
      <c r="AY601" s="322"/>
      <c r="AZ601" s="322"/>
      <c r="BA601" s="322"/>
      <c r="BB601" s="322"/>
      <c r="BC601" s="322"/>
      <c r="BD601" s="322"/>
      <c r="BE601" s="322"/>
      <c r="BF601" s="322"/>
      <c r="BG601" s="322"/>
      <c r="BH601" s="322"/>
      <c r="BI601" s="322"/>
      <c r="BJ601" s="322"/>
      <c r="BK601" s="322"/>
      <c r="BL601" s="322"/>
      <c r="BM601" s="322"/>
      <c r="BN601" s="322"/>
      <c r="BO601" s="322"/>
      <c r="BP601" s="322"/>
      <c r="BQ601" s="322"/>
      <c r="BR601" s="322"/>
      <c r="BS601" s="322"/>
      <c r="BT601" s="322"/>
      <c r="BU601" s="322"/>
      <c r="BV601" s="322"/>
      <c r="BW601" s="322"/>
      <c r="BX601" s="322"/>
      <c r="BY601" s="322"/>
      <c r="BZ601" s="322"/>
      <c r="CA601" s="322"/>
      <c r="CB601" s="322"/>
      <c r="CC601" s="322"/>
      <c r="CD601" s="322"/>
      <c r="CE601" s="322"/>
      <c r="CF601" s="322"/>
      <c r="CG601" s="322"/>
      <c r="CH601" s="322"/>
      <c r="CI601" s="322"/>
      <c r="CJ601" s="322"/>
      <c r="CK601" s="322"/>
      <c r="CL601" s="322"/>
      <c r="CM601" s="322"/>
      <c r="CN601" s="322"/>
      <c r="CO601" s="322"/>
      <c r="CP601" s="322"/>
      <c r="CQ601" s="322"/>
      <c r="CR601" s="322"/>
      <c r="CS601" s="322"/>
      <c r="CT601" s="322"/>
      <c r="CU601" s="322"/>
      <c r="CV601" s="322"/>
      <c r="CW601" s="322"/>
      <c r="CX601" s="322"/>
      <c r="CY601" s="322"/>
    </row>
    <row r="602" spans="1:103" s="432" customFormat="1">
      <c r="A602" s="509">
        <f t="shared" si="9"/>
        <v>601</v>
      </c>
      <c r="B602" s="1332" t="s">
        <v>43</v>
      </c>
      <c r="C602" s="943" t="s">
        <v>44</v>
      </c>
      <c r="D602" s="943" t="s">
        <v>45</v>
      </c>
      <c r="E602" s="432" t="s">
        <v>5963</v>
      </c>
      <c r="F602" s="434">
        <v>18</v>
      </c>
      <c r="G602" s="434">
        <v>9847883801</v>
      </c>
      <c r="I602" s="434">
        <v>28</v>
      </c>
      <c r="J602" s="434" t="s">
        <v>90</v>
      </c>
      <c r="K602" s="434" t="s">
        <v>3293</v>
      </c>
      <c r="L602" s="434"/>
      <c r="M602" s="434" t="s">
        <v>1764</v>
      </c>
      <c r="N602" s="730">
        <v>65300</v>
      </c>
      <c r="O602" s="730">
        <v>65300</v>
      </c>
      <c r="P602" s="459">
        <v>65308</v>
      </c>
      <c r="Q602" s="432" t="s">
        <v>51</v>
      </c>
      <c r="R602" s="322"/>
      <c r="S602" s="322"/>
      <c r="T602" s="322"/>
      <c r="U602" s="322"/>
      <c r="V602" s="322"/>
      <c r="W602" s="322"/>
      <c r="X602" s="322"/>
      <c r="Y602" s="322"/>
      <c r="Z602" s="322"/>
      <c r="AA602" s="322"/>
      <c r="AB602" s="322"/>
      <c r="AC602" s="322"/>
      <c r="AD602" s="322"/>
      <c r="AE602" s="322"/>
      <c r="AF602" s="322"/>
      <c r="AG602" s="322"/>
      <c r="AH602" s="322"/>
      <c r="AI602" s="322"/>
      <c r="AJ602" s="322"/>
      <c r="AK602" s="322"/>
      <c r="AL602" s="322"/>
      <c r="AM602" s="322"/>
      <c r="AN602" s="322"/>
      <c r="AO602" s="322"/>
      <c r="AP602" s="322"/>
      <c r="AQ602" s="322"/>
      <c r="AR602" s="322"/>
      <c r="AS602" s="322"/>
      <c r="AT602" s="322"/>
      <c r="AU602" s="322"/>
      <c r="AV602" s="322"/>
      <c r="AW602" s="322"/>
      <c r="AX602" s="322"/>
      <c r="AY602" s="322"/>
      <c r="AZ602" s="322"/>
      <c r="BA602" s="322"/>
      <c r="BB602" s="322"/>
      <c r="BC602" s="322"/>
      <c r="BD602" s="322"/>
      <c r="BE602" s="322"/>
      <c r="BF602" s="322"/>
      <c r="BG602" s="322"/>
      <c r="BH602" s="322"/>
      <c r="BI602" s="322"/>
      <c r="BJ602" s="322"/>
      <c r="BK602" s="322"/>
      <c r="BL602" s="322"/>
      <c r="BM602" s="322"/>
      <c r="BN602" s="322"/>
      <c r="BO602" s="322"/>
      <c r="BP602" s="322"/>
      <c r="BQ602" s="322"/>
      <c r="BR602" s="322"/>
      <c r="BS602" s="322"/>
      <c r="BT602" s="322"/>
      <c r="BU602" s="322"/>
      <c r="BV602" s="322"/>
      <c r="BW602" s="322"/>
      <c r="BX602" s="322"/>
      <c r="BY602" s="322"/>
      <c r="BZ602" s="322"/>
      <c r="CA602" s="322"/>
      <c r="CB602" s="322"/>
      <c r="CC602" s="322"/>
      <c r="CD602" s="322"/>
      <c r="CE602" s="322"/>
      <c r="CF602" s="322"/>
      <c r="CG602" s="322"/>
      <c r="CH602" s="322"/>
      <c r="CI602" s="322"/>
      <c r="CJ602" s="322"/>
      <c r="CK602" s="322"/>
      <c r="CL602" s="322"/>
      <c r="CM602" s="322"/>
      <c r="CN602" s="322"/>
      <c r="CO602" s="322"/>
      <c r="CP602" s="322"/>
      <c r="CQ602" s="322"/>
      <c r="CR602" s="322"/>
      <c r="CS602" s="322"/>
      <c r="CT602" s="322"/>
      <c r="CU602" s="322"/>
      <c r="CV602" s="322"/>
      <c r="CW602" s="322"/>
      <c r="CX602" s="322"/>
      <c r="CY602" s="322"/>
    </row>
    <row r="603" spans="1:103" s="432" customFormat="1">
      <c r="A603" s="509">
        <f t="shared" si="9"/>
        <v>602</v>
      </c>
      <c r="B603" s="1332" t="s">
        <v>43</v>
      </c>
      <c r="C603" s="943" t="s">
        <v>44</v>
      </c>
      <c r="D603" s="943" t="s">
        <v>45</v>
      </c>
      <c r="E603" s="432" t="s">
        <v>5964</v>
      </c>
      <c r="F603" s="434">
        <v>5</v>
      </c>
      <c r="G603" s="434">
        <v>9818778399</v>
      </c>
      <c r="I603" s="434">
        <v>40</v>
      </c>
      <c r="J603" s="120" t="s">
        <v>48</v>
      </c>
      <c r="K603" s="434" t="s">
        <v>3293</v>
      </c>
      <c r="L603" s="434"/>
      <c r="M603" s="434" t="s">
        <v>1764</v>
      </c>
      <c r="N603" s="730">
        <v>65300</v>
      </c>
      <c r="O603" s="730">
        <v>65300</v>
      </c>
      <c r="P603" s="459">
        <v>65308</v>
      </c>
      <c r="Q603" s="432" t="s">
        <v>51</v>
      </c>
      <c r="R603" s="322"/>
      <c r="S603" s="322"/>
      <c r="T603" s="322"/>
      <c r="U603" s="322"/>
      <c r="V603" s="322"/>
      <c r="W603" s="322"/>
      <c r="X603" s="322"/>
      <c r="Y603" s="322"/>
      <c r="Z603" s="322"/>
      <c r="AA603" s="322"/>
      <c r="AB603" s="322"/>
      <c r="AC603" s="322"/>
      <c r="AD603" s="322"/>
      <c r="AE603" s="322"/>
      <c r="AF603" s="322"/>
      <c r="AG603" s="322"/>
      <c r="AH603" s="322"/>
      <c r="AI603" s="322"/>
      <c r="AJ603" s="322"/>
      <c r="AK603" s="322"/>
      <c r="AL603" s="322"/>
      <c r="AM603" s="322"/>
      <c r="AN603" s="322"/>
      <c r="AO603" s="322"/>
      <c r="AP603" s="322"/>
      <c r="AQ603" s="322"/>
      <c r="AR603" s="322"/>
      <c r="AS603" s="322"/>
      <c r="AT603" s="322"/>
      <c r="AU603" s="322"/>
      <c r="AV603" s="322"/>
      <c r="AW603" s="322"/>
      <c r="AX603" s="322"/>
      <c r="AY603" s="322"/>
      <c r="AZ603" s="322"/>
      <c r="BA603" s="322"/>
      <c r="BB603" s="322"/>
      <c r="BC603" s="322"/>
      <c r="BD603" s="322"/>
      <c r="BE603" s="322"/>
      <c r="BF603" s="322"/>
      <c r="BG603" s="322"/>
      <c r="BH603" s="322"/>
      <c r="BI603" s="322"/>
      <c r="BJ603" s="322"/>
      <c r="BK603" s="322"/>
      <c r="BL603" s="322"/>
      <c r="BM603" s="322"/>
      <c r="BN603" s="322"/>
      <c r="BO603" s="322"/>
      <c r="BP603" s="322"/>
      <c r="BQ603" s="322"/>
      <c r="BR603" s="322"/>
      <c r="BS603" s="322"/>
      <c r="BT603" s="322"/>
      <c r="BU603" s="322"/>
      <c r="BV603" s="322"/>
      <c r="BW603" s="322"/>
      <c r="BX603" s="322"/>
      <c r="BY603" s="322"/>
      <c r="BZ603" s="322"/>
      <c r="CA603" s="322"/>
      <c r="CB603" s="322"/>
      <c r="CC603" s="322"/>
      <c r="CD603" s="322"/>
      <c r="CE603" s="322"/>
      <c r="CF603" s="322"/>
      <c r="CG603" s="322"/>
      <c r="CH603" s="322"/>
      <c r="CI603" s="322"/>
      <c r="CJ603" s="322"/>
      <c r="CK603" s="322"/>
      <c r="CL603" s="322"/>
      <c r="CM603" s="322"/>
      <c r="CN603" s="322"/>
      <c r="CO603" s="322"/>
      <c r="CP603" s="322"/>
      <c r="CQ603" s="322"/>
      <c r="CR603" s="322"/>
      <c r="CS603" s="322"/>
      <c r="CT603" s="322"/>
      <c r="CU603" s="322"/>
      <c r="CV603" s="322"/>
      <c r="CW603" s="322"/>
      <c r="CX603" s="322"/>
      <c r="CY603" s="322"/>
    </row>
    <row r="604" spans="1:103" s="432" customFormat="1">
      <c r="A604" s="509">
        <f t="shared" si="9"/>
        <v>603</v>
      </c>
      <c r="B604" s="1332" t="s">
        <v>43</v>
      </c>
      <c r="C604" s="943" t="s">
        <v>44</v>
      </c>
      <c r="D604" s="943" t="s">
        <v>45</v>
      </c>
      <c r="E604" s="432" t="s">
        <v>5965</v>
      </c>
      <c r="F604" s="434">
        <v>6</v>
      </c>
      <c r="G604" s="434">
        <v>9868636493</v>
      </c>
      <c r="I604" s="434">
        <v>26</v>
      </c>
      <c r="J604" s="434" t="s">
        <v>90</v>
      </c>
      <c r="K604" s="434" t="s">
        <v>3293</v>
      </c>
      <c r="L604" s="434"/>
      <c r="M604" s="434" t="s">
        <v>1764</v>
      </c>
      <c r="N604" s="730">
        <v>65300</v>
      </c>
      <c r="O604" s="730">
        <v>65300</v>
      </c>
      <c r="P604" s="459">
        <v>65308</v>
      </c>
      <c r="Q604" s="432" t="s">
        <v>51</v>
      </c>
      <c r="R604" s="322"/>
      <c r="S604" s="322"/>
      <c r="T604" s="322"/>
      <c r="U604" s="322"/>
      <c r="V604" s="322"/>
      <c r="W604" s="322"/>
      <c r="X604" s="322"/>
      <c r="Y604" s="322"/>
      <c r="Z604" s="322"/>
      <c r="AA604" s="322"/>
      <c r="AB604" s="322"/>
      <c r="AC604" s="322"/>
      <c r="AD604" s="322"/>
      <c r="AE604" s="322"/>
      <c r="AF604" s="322"/>
      <c r="AG604" s="322"/>
      <c r="AH604" s="322"/>
      <c r="AI604" s="322"/>
      <c r="AJ604" s="322"/>
      <c r="AK604" s="322"/>
      <c r="AL604" s="322"/>
      <c r="AM604" s="322"/>
      <c r="AN604" s="322"/>
      <c r="AO604" s="322"/>
      <c r="AP604" s="322"/>
      <c r="AQ604" s="322"/>
      <c r="AR604" s="322"/>
      <c r="AS604" s="322"/>
      <c r="AT604" s="322"/>
      <c r="AU604" s="322"/>
      <c r="AV604" s="322"/>
      <c r="AW604" s="322"/>
      <c r="AX604" s="322"/>
      <c r="AY604" s="322"/>
      <c r="AZ604" s="322"/>
      <c r="BA604" s="322"/>
      <c r="BB604" s="322"/>
      <c r="BC604" s="322"/>
      <c r="BD604" s="322"/>
      <c r="BE604" s="322"/>
      <c r="BF604" s="322"/>
      <c r="BG604" s="322"/>
      <c r="BH604" s="322"/>
      <c r="BI604" s="322"/>
      <c r="BJ604" s="322"/>
      <c r="BK604" s="322"/>
      <c r="BL604" s="322"/>
      <c r="BM604" s="322"/>
      <c r="BN604" s="322"/>
      <c r="BO604" s="322"/>
      <c r="BP604" s="322"/>
      <c r="BQ604" s="322"/>
      <c r="BR604" s="322"/>
      <c r="BS604" s="322"/>
      <c r="BT604" s="322"/>
      <c r="BU604" s="322"/>
      <c r="BV604" s="322"/>
      <c r="BW604" s="322"/>
      <c r="BX604" s="322"/>
      <c r="BY604" s="322"/>
      <c r="BZ604" s="322"/>
      <c r="CA604" s="322"/>
      <c r="CB604" s="322"/>
      <c r="CC604" s="322"/>
      <c r="CD604" s="322"/>
      <c r="CE604" s="322"/>
      <c r="CF604" s="322"/>
      <c r="CG604" s="322"/>
      <c r="CH604" s="322"/>
      <c r="CI604" s="322"/>
      <c r="CJ604" s="322"/>
      <c r="CK604" s="322"/>
      <c r="CL604" s="322"/>
      <c r="CM604" s="322"/>
      <c r="CN604" s="322"/>
      <c r="CO604" s="322"/>
      <c r="CP604" s="322"/>
      <c r="CQ604" s="322"/>
      <c r="CR604" s="322"/>
      <c r="CS604" s="322"/>
      <c r="CT604" s="322"/>
      <c r="CU604" s="322"/>
      <c r="CV604" s="322"/>
      <c r="CW604" s="322"/>
      <c r="CX604" s="322"/>
      <c r="CY604" s="322"/>
    </row>
    <row r="605" spans="1:103" s="432" customFormat="1">
      <c r="A605" s="509">
        <f t="shared" si="9"/>
        <v>604</v>
      </c>
      <c r="B605" s="1332" t="s">
        <v>43</v>
      </c>
      <c r="C605" s="943" t="s">
        <v>44</v>
      </c>
      <c r="D605" s="943" t="s">
        <v>45</v>
      </c>
      <c r="E605" s="432" t="s">
        <v>5966</v>
      </c>
      <c r="F605" s="434">
        <v>5</v>
      </c>
      <c r="G605" s="434">
        <v>9849341578</v>
      </c>
      <c r="I605" s="434">
        <v>18</v>
      </c>
      <c r="J605" s="120" t="s">
        <v>48</v>
      </c>
      <c r="K605" s="434" t="s">
        <v>3293</v>
      </c>
      <c r="L605" s="434"/>
      <c r="M605" s="434" t="s">
        <v>1764</v>
      </c>
      <c r="N605" s="730">
        <v>65300</v>
      </c>
      <c r="O605" s="730">
        <v>65300</v>
      </c>
      <c r="P605" s="459">
        <v>65308</v>
      </c>
      <c r="Q605" s="432" t="s">
        <v>51</v>
      </c>
      <c r="R605" s="322"/>
      <c r="S605" s="322"/>
      <c r="T605" s="322"/>
      <c r="U605" s="322"/>
      <c r="V605" s="322"/>
      <c r="W605" s="322"/>
      <c r="X605" s="322"/>
      <c r="Y605" s="322"/>
      <c r="Z605" s="322"/>
      <c r="AA605" s="322"/>
      <c r="AB605" s="322"/>
      <c r="AC605" s="322"/>
      <c r="AD605" s="322"/>
      <c r="AE605" s="322"/>
      <c r="AF605" s="322"/>
      <c r="AG605" s="322"/>
      <c r="AH605" s="322"/>
      <c r="AI605" s="322"/>
      <c r="AJ605" s="322"/>
      <c r="AK605" s="322"/>
      <c r="AL605" s="322"/>
      <c r="AM605" s="322"/>
      <c r="AN605" s="322"/>
      <c r="AO605" s="322"/>
      <c r="AP605" s="322"/>
      <c r="AQ605" s="322"/>
      <c r="AR605" s="322"/>
      <c r="AS605" s="322"/>
      <c r="AT605" s="322"/>
      <c r="AU605" s="322"/>
      <c r="AV605" s="322"/>
      <c r="AW605" s="322"/>
      <c r="AX605" s="322"/>
      <c r="AY605" s="322"/>
      <c r="AZ605" s="322"/>
      <c r="BA605" s="322"/>
      <c r="BB605" s="322"/>
      <c r="BC605" s="322"/>
      <c r="BD605" s="322"/>
      <c r="BE605" s="322"/>
      <c r="BF605" s="322"/>
      <c r="BG605" s="322"/>
      <c r="BH605" s="322"/>
      <c r="BI605" s="322"/>
      <c r="BJ605" s="322"/>
      <c r="BK605" s="322"/>
      <c r="BL605" s="322"/>
      <c r="BM605" s="322"/>
      <c r="BN605" s="322"/>
      <c r="BO605" s="322"/>
      <c r="BP605" s="322"/>
      <c r="BQ605" s="322"/>
      <c r="BR605" s="322"/>
      <c r="BS605" s="322"/>
      <c r="BT605" s="322"/>
      <c r="BU605" s="322"/>
      <c r="BV605" s="322"/>
      <c r="BW605" s="322"/>
      <c r="BX605" s="322"/>
      <c r="BY605" s="322"/>
      <c r="BZ605" s="322"/>
      <c r="CA605" s="322"/>
      <c r="CB605" s="322"/>
      <c r="CC605" s="322"/>
      <c r="CD605" s="322"/>
      <c r="CE605" s="322"/>
      <c r="CF605" s="322"/>
      <c r="CG605" s="322"/>
      <c r="CH605" s="322"/>
      <c r="CI605" s="322"/>
      <c r="CJ605" s="322"/>
      <c r="CK605" s="322"/>
      <c r="CL605" s="322"/>
      <c r="CM605" s="322"/>
      <c r="CN605" s="322"/>
      <c r="CO605" s="322"/>
      <c r="CP605" s="322"/>
      <c r="CQ605" s="322"/>
      <c r="CR605" s="322"/>
      <c r="CS605" s="322"/>
      <c r="CT605" s="322"/>
      <c r="CU605" s="322"/>
      <c r="CV605" s="322"/>
      <c r="CW605" s="322"/>
      <c r="CX605" s="322"/>
      <c r="CY605" s="322"/>
    </row>
    <row r="606" spans="1:103" s="432" customFormat="1">
      <c r="A606" s="509">
        <f t="shared" si="9"/>
        <v>605</v>
      </c>
      <c r="B606" s="1332" t="s">
        <v>43</v>
      </c>
      <c r="C606" s="943" t="s">
        <v>44</v>
      </c>
      <c r="D606" s="943" t="s">
        <v>45</v>
      </c>
      <c r="E606" s="432" t="s">
        <v>5973</v>
      </c>
      <c r="F606" s="434">
        <v>5</v>
      </c>
      <c r="G606" s="434">
        <v>9806240566</v>
      </c>
      <c r="I606" s="434">
        <v>41</v>
      </c>
      <c r="J606" s="120" t="s">
        <v>48</v>
      </c>
      <c r="K606" s="434" t="s">
        <v>5405</v>
      </c>
      <c r="L606" s="434"/>
      <c r="M606" s="434" t="s">
        <v>1764</v>
      </c>
      <c r="N606" s="730">
        <v>65300</v>
      </c>
      <c r="O606" s="730">
        <v>65300</v>
      </c>
      <c r="P606" s="459">
        <v>65308</v>
      </c>
      <c r="Q606" s="432" t="s">
        <v>51</v>
      </c>
      <c r="R606" s="322"/>
      <c r="S606" s="322"/>
      <c r="T606" s="322"/>
      <c r="U606" s="322"/>
      <c r="V606" s="322"/>
      <c r="W606" s="322"/>
      <c r="X606" s="322"/>
      <c r="Y606" s="322"/>
      <c r="Z606" s="322"/>
      <c r="AA606" s="322"/>
      <c r="AB606" s="322"/>
      <c r="AC606" s="322"/>
      <c r="AD606" s="322"/>
      <c r="AE606" s="322"/>
      <c r="AF606" s="322"/>
      <c r="AG606" s="322"/>
      <c r="AH606" s="322"/>
      <c r="AI606" s="322"/>
      <c r="AJ606" s="322"/>
      <c r="AK606" s="322"/>
      <c r="AL606" s="322"/>
      <c r="AM606" s="322"/>
      <c r="AN606" s="322"/>
      <c r="AO606" s="322"/>
      <c r="AP606" s="322"/>
      <c r="AQ606" s="322"/>
      <c r="AR606" s="322"/>
      <c r="AS606" s="322"/>
      <c r="AT606" s="322"/>
      <c r="AU606" s="322"/>
      <c r="AV606" s="322"/>
      <c r="AW606" s="322"/>
      <c r="AX606" s="322"/>
      <c r="AY606" s="322"/>
      <c r="AZ606" s="322"/>
      <c r="BA606" s="322"/>
      <c r="BB606" s="322"/>
      <c r="BC606" s="322"/>
      <c r="BD606" s="322"/>
      <c r="BE606" s="322"/>
      <c r="BF606" s="322"/>
      <c r="BG606" s="322"/>
      <c r="BH606" s="322"/>
      <c r="BI606" s="322"/>
      <c r="BJ606" s="322"/>
      <c r="BK606" s="322"/>
      <c r="BL606" s="322"/>
      <c r="BM606" s="322"/>
      <c r="BN606" s="322"/>
      <c r="BO606" s="322"/>
      <c r="BP606" s="322"/>
      <c r="BQ606" s="322"/>
      <c r="BR606" s="322"/>
      <c r="BS606" s="322"/>
      <c r="BT606" s="322"/>
      <c r="BU606" s="322"/>
      <c r="BV606" s="322"/>
      <c r="BW606" s="322"/>
      <c r="BX606" s="322"/>
      <c r="BY606" s="322"/>
      <c r="BZ606" s="322"/>
      <c r="CA606" s="322"/>
      <c r="CB606" s="322"/>
      <c r="CC606" s="322"/>
      <c r="CD606" s="322"/>
      <c r="CE606" s="322"/>
      <c r="CF606" s="322"/>
      <c r="CG606" s="322"/>
      <c r="CH606" s="322"/>
      <c r="CI606" s="322"/>
      <c r="CJ606" s="322"/>
      <c r="CK606" s="322"/>
      <c r="CL606" s="322"/>
      <c r="CM606" s="322"/>
      <c r="CN606" s="322"/>
      <c r="CO606" s="322"/>
      <c r="CP606" s="322"/>
      <c r="CQ606" s="322"/>
      <c r="CR606" s="322"/>
      <c r="CS606" s="322"/>
      <c r="CT606" s="322"/>
      <c r="CU606" s="322"/>
      <c r="CV606" s="322"/>
      <c r="CW606" s="322"/>
      <c r="CX606" s="322"/>
      <c r="CY606" s="322"/>
    </row>
    <row r="607" spans="1:103" s="432" customFormat="1">
      <c r="A607" s="509">
        <f t="shared" si="9"/>
        <v>606</v>
      </c>
      <c r="B607" s="1332" t="s">
        <v>43</v>
      </c>
      <c r="C607" s="943" t="s">
        <v>44</v>
      </c>
      <c r="D607" s="943" t="s">
        <v>45</v>
      </c>
      <c r="E607" s="432" t="s">
        <v>5967</v>
      </c>
      <c r="F607" s="434">
        <v>16</v>
      </c>
      <c r="G607" s="434">
        <v>9806211397</v>
      </c>
      <c r="I607" s="434">
        <v>32</v>
      </c>
      <c r="J607" s="120" t="s">
        <v>48</v>
      </c>
      <c r="K607" s="434" t="s">
        <v>5405</v>
      </c>
      <c r="L607" s="434"/>
      <c r="M607" s="434" t="s">
        <v>1764</v>
      </c>
      <c r="N607" s="730">
        <v>65300</v>
      </c>
      <c r="O607" s="730">
        <v>65300</v>
      </c>
      <c r="P607" s="459">
        <v>65308</v>
      </c>
      <c r="Q607" s="432" t="s">
        <v>51</v>
      </c>
      <c r="R607" s="322"/>
      <c r="S607" s="322"/>
      <c r="T607" s="322"/>
      <c r="U607" s="322"/>
      <c r="V607" s="322"/>
      <c r="W607" s="322"/>
      <c r="X607" s="322"/>
      <c r="Y607" s="322"/>
      <c r="Z607" s="322"/>
      <c r="AA607" s="322"/>
      <c r="AB607" s="322"/>
      <c r="AC607" s="322"/>
      <c r="AD607" s="322"/>
      <c r="AE607" s="322"/>
      <c r="AF607" s="322"/>
      <c r="AG607" s="322"/>
      <c r="AH607" s="322"/>
      <c r="AI607" s="322"/>
      <c r="AJ607" s="322"/>
      <c r="AK607" s="322"/>
      <c r="AL607" s="322"/>
      <c r="AM607" s="322"/>
      <c r="AN607" s="322"/>
      <c r="AO607" s="322"/>
      <c r="AP607" s="322"/>
      <c r="AQ607" s="322"/>
      <c r="AR607" s="322"/>
      <c r="AS607" s="322"/>
      <c r="AT607" s="322"/>
      <c r="AU607" s="322"/>
      <c r="AV607" s="322"/>
      <c r="AW607" s="322"/>
      <c r="AX607" s="322"/>
      <c r="AY607" s="322"/>
      <c r="AZ607" s="322"/>
      <c r="BA607" s="322"/>
      <c r="BB607" s="322"/>
      <c r="BC607" s="322"/>
      <c r="BD607" s="322"/>
      <c r="BE607" s="322"/>
      <c r="BF607" s="322"/>
      <c r="BG607" s="322"/>
      <c r="BH607" s="322"/>
      <c r="BI607" s="322"/>
      <c r="BJ607" s="322"/>
      <c r="BK607" s="322"/>
      <c r="BL607" s="322"/>
      <c r="BM607" s="322"/>
      <c r="BN607" s="322"/>
      <c r="BO607" s="322"/>
      <c r="BP607" s="322"/>
      <c r="BQ607" s="322"/>
      <c r="BR607" s="322"/>
      <c r="BS607" s="322"/>
      <c r="BT607" s="322"/>
      <c r="BU607" s="322"/>
      <c r="BV607" s="322"/>
      <c r="BW607" s="322"/>
      <c r="BX607" s="322"/>
      <c r="BY607" s="322"/>
      <c r="BZ607" s="322"/>
      <c r="CA607" s="322"/>
      <c r="CB607" s="322"/>
      <c r="CC607" s="322"/>
      <c r="CD607" s="322"/>
      <c r="CE607" s="322"/>
      <c r="CF607" s="322"/>
      <c r="CG607" s="322"/>
      <c r="CH607" s="322"/>
      <c r="CI607" s="322"/>
      <c r="CJ607" s="322"/>
      <c r="CK607" s="322"/>
      <c r="CL607" s="322"/>
      <c r="CM607" s="322"/>
      <c r="CN607" s="322"/>
      <c r="CO607" s="322"/>
      <c r="CP607" s="322"/>
      <c r="CQ607" s="322"/>
      <c r="CR607" s="322"/>
      <c r="CS607" s="322"/>
      <c r="CT607" s="322"/>
      <c r="CU607" s="322"/>
      <c r="CV607" s="322"/>
      <c r="CW607" s="322"/>
      <c r="CX607" s="322"/>
      <c r="CY607" s="322"/>
    </row>
    <row r="608" spans="1:103" s="432" customFormat="1">
      <c r="A608" s="509">
        <f t="shared" si="9"/>
        <v>607</v>
      </c>
      <c r="B608" s="1332" t="s">
        <v>43</v>
      </c>
      <c r="C608" s="943" t="s">
        <v>44</v>
      </c>
      <c r="D608" s="943" t="s">
        <v>45</v>
      </c>
      <c r="E608" s="432" t="s">
        <v>5968</v>
      </c>
      <c r="F608" s="434">
        <v>17</v>
      </c>
      <c r="G608" s="434">
        <v>9829587195</v>
      </c>
      <c r="I608" s="434">
        <v>35</v>
      </c>
      <c r="J608" s="434" t="s">
        <v>90</v>
      </c>
      <c r="K608" s="434" t="s">
        <v>5405</v>
      </c>
      <c r="L608" s="434"/>
      <c r="M608" s="434" t="s">
        <v>1764</v>
      </c>
      <c r="N608" s="730">
        <v>65300</v>
      </c>
      <c r="O608" s="730">
        <v>65300</v>
      </c>
      <c r="P608" s="459">
        <v>65308</v>
      </c>
      <c r="Q608" s="432" t="s">
        <v>51</v>
      </c>
      <c r="R608" s="322"/>
      <c r="S608" s="322"/>
      <c r="T608" s="322"/>
      <c r="U608" s="322"/>
      <c r="V608" s="322"/>
      <c r="W608" s="322"/>
      <c r="X608" s="322"/>
      <c r="Y608" s="322"/>
      <c r="Z608" s="322"/>
      <c r="AA608" s="322"/>
      <c r="AB608" s="322"/>
      <c r="AC608" s="322"/>
      <c r="AD608" s="322"/>
      <c r="AE608" s="322"/>
      <c r="AF608" s="322"/>
      <c r="AG608" s="322"/>
      <c r="AH608" s="322"/>
      <c r="AI608" s="322"/>
      <c r="AJ608" s="322"/>
      <c r="AK608" s="322"/>
      <c r="AL608" s="322"/>
      <c r="AM608" s="322"/>
      <c r="AN608" s="322"/>
      <c r="AO608" s="322"/>
      <c r="AP608" s="322"/>
      <c r="AQ608" s="322"/>
      <c r="AR608" s="322"/>
      <c r="AS608" s="322"/>
      <c r="AT608" s="322"/>
      <c r="AU608" s="322"/>
      <c r="AV608" s="322"/>
      <c r="AW608" s="322"/>
      <c r="AX608" s="322"/>
      <c r="AY608" s="322"/>
      <c r="AZ608" s="322"/>
      <c r="BA608" s="322"/>
      <c r="BB608" s="322"/>
      <c r="BC608" s="322"/>
      <c r="BD608" s="322"/>
      <c r="BE608" s="322"/>
      <c r="BF608" s="322"/>
      <c r="BG608" s="322"/>
      <c r="BH608" s="322"/>
      <c r="BI608" s="322"/>
      <c r="BJ608" s="322"/>
      <c r="BK608" s="322"/>
      <c r="BL608" s="322"/>
      <c r="BM608" s="322"/>
      <c r="BN608" s="322"/>
      <c r="BO608" s="322"/>
      <c r="BP608" s="322"/>
      <c r="BQ608" s="322"/>
      <c r="BR608" s="322"/>
      <c r="BS608" s="322"/>
      <c r="BT608" s="322"/>
      <c r="BU608" s="322"/>
      <c r="BV608" s="322"/>
      <c r="BW608" s="322"/>
      <c r="BX608" s="322"/>
      <c r="BY608" s="322"/>
      <c r="BZ608" s="322"/>
      <c r="CA608" s="322"/>
      <c r="CB608" s="322"/>
      <c r="CC608" s="322"/>
      <c r="CD608" s="322"/>
      <c r="CE608" s="322"/>
      <c r="CF608" s="322"/>
      <c r="CG608" s="322"/>
      <c r="CH608" s="322"/>
      <c r="CI608" s="322"/>
      <c r="CJ608" s="322"/>
      <c r="CK608" s="322"/>
      <c r="CL608" s="322"/>
      <c r="CM608" s="322"/>
      <c r="CN608" s="322"/>
      <c r="CO608" s="322"/>
      <c r="CP608" s="322"/>
      <c r="CQ608" s="322"/>
      <c r="CR608" s="322"/>
      <c r="CS608" s="322"/>
      <c r="CT608" s="322"/>
      <c r="CU608" s="322"/>
      <c r="CV608" s="322"/>
      <c r="CW608" s="322"/>
      <c r="CX608" s="322"/>
      <c r="CY608" s="322"/>
    </row>
    <row r="609" spans="1:103" s="432" customFormat="1">
      <c r="A609" s="509">
        <f t="shared" si="9"/>
        <v>608</v>
      </c>
      <c r="B609" s="1332" t="s">
        <v>43</v>
      </c>
      <c r="C609" s="943" t="s">
        <v>44</v>
      </c>
      <c r="D609" s="943" t="s">
        <v>45</v>
      </c>
      <c r="E609" s="432" t="s">
        <v>5969</v>
      </c>
      <c r="F609" s="434">
        <v>6</v>
      </c>
      <c r="G609" s="434">
        <v>9868634637</v>
      </c>
      <c r="I609" s="434">
        <v>22</v>
      </c>
      <c r="J609" s="120" t="s">
        <v>48</v>
      </c>
      <c r="K609" s="434" t="s">
        <v>5405</v>
      </c>
      <c r="L609" s="434"/>
      <c r="M609" s="434" t="s">
        <v>1764</v>
      </c>
      <c r="N609" s="730">
        <v>65300</v>
      </c>
      <c r="O609" s="730">
        <v>65300</v>
      </c>
      <c r="P609" s="459">
        <v>65308</v>
      </c>
      <c r="Q609" s="432" t="s">
        <v>51</v>
      </c>
      <c r="R609" s="322"/>
      <c r="S609" s="322"/>
      <c r="T609" s="322"/>
      <c r="U609" s="322"/>
      <c r="V609" s="322"/>
      <c r="W609" s="322"/>
      <c r="X609" s="322"/>
      <c r="Y609" s="322"/>
      <c r="Z609" s="322"/>
      <c r="AA609" s="322"/>
      <c r="AB609" s="322"/>
      <c r="AC609" s="322"/>
      <c r="AD609" s="322"/>
      <c r="AE609" s="322"/>
      <c r="AF609" s="322"/>
      <c r="AG609" s="322"/>
      <c r="AH609" s="322"/>
      <c r="AI609" s="322"/>
      <c r="AJ609" s="322"/>
      <c r="AK609" s="322"/>
      <c r="AL609" s="322"/>
      <c r="AM609" s="322"/>
      <c r="AN609" s="322"/>
      <c r="AO609" s="322"/>
      <c r="AP609" s="322"/>
      <c r="AQ609" s="322"/>
      <c r="AR609" s="322"/>
      <c r="AS609" s="322"/>
      <c r="AT609" s="322"/>
      <c r="AU609" s="322"/>
      <c r="AV609" s="322"/>
      <c r="AW609" s="322"/>
      <c r="AX609" s="322"/>
      <c r="AY609" s="322"/>
      <c r="AZ609" s="322"/>
      <c r="BA609" s="322"/>
      <c r="BB609" s="322"/>
      <c r="BC609" s="322"/>
      <c r="BD609" s="322"/>
      <c r="BE609" s="322"/>
      <c r="BF609" s="322"/>
      <c r="BG609" s="322"/>
      <c r="BH609" s="322"/>
      <c r="BI609" s="322"/>
      <c r="BJ609" s="322"/>
      <c r="BK609" s="322"/>
      <c r="BL609" s="322"/>
      <c r="BM609" s="322"/>
      <c r="BN609" s="322"/>
      <c r="BO609" s="322"/>
      <c r="BP609" s="322"/>
      <c r="BQ609" s="322"/>
      <c r="BR609" s="322"/>
      <c r="BS609" s="322"/>
      <c r="BT609" s="322"/>
      <c r="BU609" s="322"/>
      <c r="BV609" s="322"/>
      <c r="BW609" s="322"/>
      <c r="BX609" s="322"/>
      <c r="BY609" s="322"/>
      <c r="BZ609" s="322"/>
      <c r="CA609" s="322"/>
      <c r="CB609" s="322"/>
      <c r="CC609" s="322"/>
      <c r="CD609" s="322"/>
      <c r="CE609" s="322"/>
      <c r="CF609" s="322"/>
      <c r="CG609" s="322"/>
      <c r="CH609" s="322"/>
      <c r="CI609" s="322"/>
      <c r="CJ609" s="322"/>
      <c r="CK609" s="322"/>
      <c r="CL609" s="322"/>
      <c r="CM609" s="322"/>
      <c r="CN609" s="322"/>
      <c r="CO609" s="322"/>
      <c r="CP609" s="322"/>
      <c r="CQ609" s="322"/>
      <c r="CR609" s="322"/>
      <c r="CS609" s="322"/>
      <c r="CT609" s="322"/>
      <c r="CU609" s="322"/>
      <c r="CV609" s="322"/>
      <c r="CW609" s="322"/>
      <c r="CX609" s="322"/>
      <c r="CY609" s="322"/>
    </row>
    <row r="610" spans="1:103" s="432" customFormat="1">
      <c r="A610" s="509">
        <f t="shared" si="9"/>
        <v>609</v>
      </c>
      <c r="B610" s="1332" t="s">
        <v>43</v>
      </c>
      <c r="C610" s="943" t="s">
        <v>44</v>
      </c>
      <c r="D610" s="943" t="s">
        <v>45</v>
      </c>
      <c r="E610" s="432" t="s">
        <v>5970</v>
      </c>
      <c r="F610" s="434">
        <v>5</v>
      </c>
      <c r="G610" s="434">
        <v>9868634637</v>
      </c>
      <c r="I610" s="434">
        <v>22</v>
      </c>
      <c r="J610" s="434" t="s">
        <v>90</v>
      </c>
      <c r="K610" s="434" t="s">
        <v>5405</v>
      </c>
      <c r="L610" s="434"/>
      <c r="M610" s="434" t="s">
        <v>1764</v>
      </c>
      <c r="N610" s="730">
        <v>65300</v>
      </c>
      <c r="O610" s="730">
        <v>65300</v>
      </c>
      <c r="P610" s="459">
        <v>65308</v>
      </c>
      <c r="Q610" s="432" t="s">
        <v>51</v>
      </c>
      <c r="R610" s="322"/>
      <c r="S610" s="322"/>
      <c r="T610" s="322"/>
      <c r="U610" s="322"/>
      <c r="V610" s="322"/>
      <c r="W610" s="322"/>
      <c r="X610" s="322"/>
      <c r="Y610" s="322"/>
      <c r="Z610" s="322"/>
      <c r="AA610" s="322"/>
      <c r="AB610" s="322"/>
      <c r="AC610" s="322"/>
      <c r="AD610" s="322"/>
      <c r="AE610" s="322"/>
      <c r="AF610" s="322"/>
      <c r="AG610" s="322"/>
      <c r="AH610" s="322"/>
      <c r="AI610" s="322"/>
      <c r="AJ610" s="322"/>
      <c r="AK610" s="322"/>
      <c r="AL610" s="322"/>
      <c r="AM610" s="322"/>
      <c r="AN610" s="322"/>
      <c r="AO610" s="322"/>
      <c r="AP610" s="322"/>
      <c r="AQ610" s="322"/>
      <c r="AR610" s="322"/>
      <c r="AS610" s="322"/>
      <c r="AT610" s="322"/>
      <c r="AU610" s="322"/>
      <c r="AV610" s="322"/>
      <c r="AW610" s="322"/>
      <c r="AX610" s="322"/>
      <c r="AY610" s="322"/>
      <c r="AZ610" s="322"/>
      <c r="BA610" s="322"/>
      <c r="BB610" s="322"/>
      <c r="BC610" s="322"/>
      <c r="BD610" s="322"/>
      <c r="BE610" s="322"/>
      <c r="BF610" s="322"/>
      <c r="BG610" s="322"/>
      <c r="BH610" s="322"/>
      <c r="BI610" s="322"/>
      <c r="BJ610" s="322"/>
      <c r="BK610" s="322"/>
      <c r="BL610" s="322"/>
      <c r="BM610" s="322"/>
      <c r="BN610" s="322"/>
      <c r="BO610" s="322"/>
      <c r="BP610" s="322"/>
      <c r="BQ610" s="322"/>
      <c r="BR610" s="322"/>
      <c r="BS610" s="322"/>
      <c r="BT610" s="322"/>
      <c r="BU610" s="322"/>
      <c r="BV610" s="322"/>
      <c r="BW610" s="322"/>
      <c r="BX610" s="322"/>
      <c r="BY610" s="322"/>
      <c r="BZ610" s="322"/>
      <c r="CA610" s="322"/>
      <c r="CB610" s="322"/>
      <c r="CC610" s="322"/>
      <c r="CD610" s="322"/>
      <c r="CE610" s="322"/>
      <c r="CF610" s="322"/>
      <c r="CG610" s="322"/>
      <c r="CH610" s="322"/>
      <c r="CI610" s="322"/>
      <c r="CJ610" s="322"/>
      <c r="CK610" s="322"/>
      <c r="CL610" s="322"/>
      <c r="CM610" s="322"/>
      <c r="CN610" s="322"/>
      <c r="CO610" s="322"/>
      <c r="CP610" s="322"/>
      <c r="CQ610" s="322"/>
      <c r="CR610" s="322"/>
      <c r="CS610" s="322"/>
      <c r="CT610" s="322"/>
      <c r="CU610" s="322"/>
      <c r="CV610" s="322"/>
      <c r="CW610" s="322"/>
      <c r="CX610" s="322"/>
      <c r="CY610" s="322"/>
    </row>
    <row r="611" spans="1:103" s="432" customFormat="1">
      <c r="A611" s="509">
        <f t="shared" si="9"/>
        <v>610</v>
      </c>
      <c r="B611" s="1332" t="s">
        <v>43</v>
      </c>
      <c r="C611" s="943" t="s">
        <v>44</v>
      </c>
      <c r="D611" s="943" t="s">
        <v>45</v>
      </c>
      <c r="E611" s="432" t="s">
        <v>5971</v>
      </c>
      <c r="F611" s="434">
        <v>5</v>
      </c>
      <c r="G611" s="1477">
        <v>9847822642</v>
      </c>
      <c r="I611" s="434">
        <v>51</v>
      </c>
      <c r="J611" s="120" t="s">
        <v>48</v>
      </c>
      <c r="K611" s="434" t="s">
        <v>5405</v>
      </c>
      <c r="L611" s="434"/>
      <c r="M611" s="434" t="s">
        <v>1764</v>
      </c>
      <c r="N611" s="730">
        <v>65300</v>
      </c>
      <c r="O611" s="730">
        <v>65300</v>
      </c>
      <c r="P611" s="459">
        <v>65308</v>
      </c>
      <c r="Q611" s="432" t="s">
        <v>51</v>
      </c>
      <c r="R611" s="322"/>
      <c r="S611" s="322"/>
      <c r="T611" s="322"/>
      <c r="U611" s="322"/>
      <c r="V611" s="322"/>
      <c r="W611" s="322"/>
      <c r="X611" s="322"/>
      <c r="Y611" s="322"/>
      <c r="Z611" s="322"/>
      <c r="AA611" s="322"/>
      <c r="AB611" s="322"/>
      <c r="AC611" s="322"/>
      <c r="AD611" s="322"/>
      <c r="AE611" s="322"/>
      <c r="AF611" s="322"/>
      <c r="AG611" s="322"/>
      <c r="AH611" s="322"/>
      <c r="AI611" s="322"/>
      <c r="AJ611" s="322"/>
      <c r="AK611" s="322"/>
      <c r="AL611" s="322"/>
      <c r="AM611" s="322"/>
      <c r="AN611" s="322"/>
      <c r="AO611" s="322"/>
      <c r="AP611" s="322"/>
      <c r="AQ611" s="322"/>
      <c r="AR611" s="322"/>
      <c r="AS611" s="322"/>
      <c r="AT611" s="322"/>
      <c r="AU611" s="322"/>
      <c r="AV611" s="322"/>
      <c r="AW611" s="322"/>
      <c r="AX611" s="322"/>
      <c r="AY611" s="322"/>
      <c r="AZ611" s="322"/>
      <c r="BA611" s="322"/>
      <c r="BB611" s="322"/>
      <c r="BC611" s="322"/>
      <c r="BD611" s="322"/>
      <c r="BE611" s="322"/>
      <c r="BF611" s="322"/>
      <c r="BG611" s="322"/>
      <c r="BH611" s="322"/>
      <c r="BI611" s="322"/>
      <c r="BJ611" s="322"/>
      <c r="BK611" s="322"/>
      <c r="BL611" s="322"/>
      <c r="BM611" s="322"/>
      <c r="BN611" s="322"/>
      <c r="BO611" s="322"/>
      <c r="BP611" s="322"/>
      <c r="BQ611" s="322"/>
      <c r="BR611" s="322"/>
      <c r="BS611" s="322"/>
      <c r="BT611" s="322"/>
      <c r="BU611" s="322"/>
      <c r="BV611" s="322"/>
      <c r="BW611" s="322"/>
      <c r="BX611" s="322"/>
      <c r="BY611" s="322"/>
      <c r="BZ611" s="322"/>
      <c r="CA611" s="322"/>
      <c r="CB611" s="322"/>
      <c r="CC611" s="322"/>
      <c r="CD611" s="322"/>
      <c r="CE611" s="322"/>
      <c r="CF611" s="322"/>
      <c r="CG611" s="322"/>
      <c r="CH611" s="322"/>
      <c r="CI611" s="322"/>
      <c r="CJ611" s="322"/>
      <c r="CK611" s="322"/>
      <c r="CL611" s="322"/>
      <c r="CM611" s="322"/>
      <c r="CN611" s="322"/>
      <c r="CO611" s="322"/>
      <c r="CP611" s="322"/>
      <c r="CQ611" s="322"/>
      <c r="CR611" s="322"/>
      <c r="CS611" s="322"/>
      <c r="CT611" s="322"/>
      <c r="CU611" s="322"/>
      <c r="CV611" s="322"/>
      <c r="CW611" s="322"/>
      <c r="CX611" s="322"/>
      <c r="CY611" s="322"/>
    </row>
    <row r="612" spans="1:103" s="432" customFormat="1">
      <c r="A612" s="509">
        <f t="shared" si="9"/>
        <v>611</v>
      </c>
      <c r="B612" s="1332" t="s">
        <v>43</v>
      </c>
      <c r="C612" s="943" t="s">
        <v>44</v>
      </c>
      <c r="D612" s="943" t="s">
        <v>45</v>
      </c>
      <c r="E612" s="432" t="s">
        <v>5972</v>
      </c>
      <c r="F612" s="434">
        <v>11</v>
      </c>
      <c r="G612" s="434">
        <v>9849269433</v>
      </c>
      <c r="I612" s="434">
        <v>31</v>
      </c>
      <c r="J612" s="120" t="s">
        <v>48</v>
      </c>
      <c r="K612" s="434" t="s">
        <v>5405</v>
      </c>
      <c r="L612" s="434"/>
      <c r="M612" s="434" t="s">
        <v>1764</v>
      </c>
      <c r="N612" s="730">
        <v>65300</v>
      </c>
      <c r="O612" s="730">
        <v>65300</v>
      </c>
      <c r="P612" s="459">
        <v>65308</v>
      </c>
      <c r="Q612" s="432" t="s">
        <v>51</v>
      </c>
      <c r="R612" s="322"/>
      <c r="S612" s="322"/>
      <c r="T612" s="322"/>
      <c r="U612" s="322"/>
      <c r="V612" s="322"/>
      <c r="W612" s="322"/>
      <c r="X612" s="322"/>
      <c r="Y612" s="322"/>
      <c r="Z612" s="322"/>
      <c r="AA612" s="322"/>
      <c r="AB612" s="322"/>
      <c r="AC612" s="322"/>
      <c r="AD612" s="322"/>
      <c r="AE612" s="322"/>
      <c r="AF612" s="322"/>
      <c r="AG612" s="322"/>
      <c r="AH612" s="322"/>
      <c r="AI612" s="322"/>
      <c r="AJ612" s="322"/>
      <c r="AK612" s="322"/>
      <c r="AL612" s="322"/>
      <c r="AM612" s="322"/>
      <c r="AN612" s="322"/>
      <c r="AO612" s="322"/>
      <c r="AP612" s="322"/>
      <c r="AQ612" s="322"/>
      <c r="AR612" s="322"/>
      <c r="AS612" s="322"/>
      <c r="AT612" s="322"/>
      <c r="AU612" s="322"/>
      <c r="AV612" s="322"/>
      <c r="AW612" s="322"/>
      <c r="AX612" s="322"/>
      <c r="AY612" s="322"/>
      <c r="AZ612" s="322"/>
      <c r="BA612" s="322"/>
      <c r="BB612" s="322"/>
      <c r="BC612" s="322"/>
      <c r="BD612" s="322"/>
      <c r="BE612" s="322"/>
      <c r="BF612" s="322"/>
      <c r="BG612" s="322"/>
      <c r="BH612" s="322"/>
      <c r="BI612" s="322"/>
      <c r="BJ612" s="322"/>
      <c r="BK612" s="322"/>
      <c r="BL612" s="322"/>
      <c r="BM612" s="322"/>
      <c r="BN612" s="322"/>
      <c r="BO612" s="322"/>
      <c r="BP612" s="322"/>
      <c r="BQ612" s="322"/>
      <c r="BR612" s="322"/>
      <c r="BS612" s="322"/>
      <c r="BT612" s="322"/>
      <c r="BU612" s="322"/>
      <c r="BV612" s="322"/>
      <c r="BW612" s="322"/>
      <c r="BX612" s="322"/>
      <c r="BY612" s="322"/>
      <c r="BZ612" s="322"/>
      <c r="CA612" s="322"/>
      <c r="CB612" s="322"/>
      <c r="CC612" s="322"/>
      <c r="CD612" s="322"/>
      <c r="CE612" s="322"/>
      <c r="CF612" s="322"/>
      <c r="CG612" s="322"/>
      <c r="CH612" s="322"/>
      <c r="CI612" s="322"/>
      <c r="CJ612" s="322"/>
      <c r="CK612" s="322"/>
      <c r="CL612" s="322"/>
      <c r="CM612" s="322"/>
      <c r="CN612" s="322"/>
      <c r="CO612" s="322"/>
      <c r="CP612" s="322"/>
      <c r="CQ612" s="322"/>
      <c r="CR612" s="322"/>
      <c r="CS612" s="322"/>
      <c r="CT612" s="322"/>
      <c r="CU612" s="322"/>
      <c r="CV612" s="322"/>
      <c r="CW612" s="322"/>
      <c r="CX612" s="322"/>
      <c r="CY612" s="322"/>
    </row>
    <row r="613" spans="1:103" s="432" customFormat="1">
      <c r="A613" s="509">
        <f t="shared" si="9"/>
        <v>612</v>
      </c>
      <c r="B613" s="1332" t="s">
        <v>43</v>
      </c>
      <c r="C613" s="943" t="s">
        <v>44</v>
      </c>
      <c r="D613" s="943" t="s">
        <v>45</v>
      </c>
      <c r="E613" s="432" t="s">
        <v>5974</v>
      </c>
      <c r="F613" s="434">
        <v>8</v>
      </c>
      <c r="G613" s="434">
        <v>9847944504</v>
      </c>
      <c r="I613" s="434">
        <v>21</v>
      </c>
      <c r="J613" s="434" t="s">
        <v>90</v>
      </c>
      <c r="K613" s="434" t="s">
        <v>5405</v>
      </c>
      <c r="L613" s="434"/>
      <c r="M613" s="434" t="s">
        <v>1764</v>
      </c>
      <c r="N613" s="730">
        <v>65300</v>
      </c>
      <c r="O613" s="730">
        <v>65300</v>
      </c>
      <c r="P613" s="459">
        <v>65308</v>
      </c>
      <c r="Q613" s="432" t="s">
        <v>51</v>
      </c>
      <c r="R613" s="322"/>
      <c r="S613" s="322"/>
      <c r="T613" s="322"/>
      <c r="U613" s="322"/>
      <c r="V613" s="322"/>
      <c r="W613" s="322"/>
      <c r="X613" s="322"/>
      <c r="Y613" s="322"/>
      <c r="Z613" s="322"/>
      <c r="AA613" s="322"/>
      <c r="AB613" s="322"/>
      <c r="AC613" s="322"/>
      <c r="AD613" s="322"/>
      <c r="AE613" s="322"/>
      <c r="AF613" s="322"/>
      <c r="AG613" s="322"/>
      <c r="AH613" s="322"/>
      <c r="AI613" s="322"/>
      <c r="AJ613" s="322"/>
      <c r="AK613" s="322"/>
      <c r="AL613" s="322"/>
      <c r="AM613" s="322"/>
      <c r="AN613" s="322"/>
      <c r="AO613" s="322"/>
      <c r="AP613" s="322"/>
      <c r="AQ613" s="322"/>
      <c r="AR613" s="322"/>
      <c r="AS613" s="322"/>
      <c r="AT613" s="322"/>
      <c r="AU613" s="322"/>
      <c r="AV613" s="322"/>
      <c r="AW613" s="322"/>
      <c r="AX613" s="322"/>
      <c r="AY613" s="322"/>
      <c r="AZ613" s="322"/>
      <c r="BA613" s="322"/>
      <c r="BB613" s="322"/>
      <c r="BC613" s="322"/>
      <c r="BD613" s="322"/>
      <c r="BE613" s="322"/>
      <c r="BF613" s="322"/>
      <c r="BG613" s="322"/>
      <c r="BH613" s="322"/>
      <c r="BI613" s="322"/>
      <c r="BJ613" s="322"/>
      <c r="BK613" s="322"/>
      <c r="BL613" s="322"/>
      <c r="BM613" s="322"/>
      <c r="BN613" s="322"/>
      <c r="BO613" s="322"/>
      <c r="BP613" s="322"/>
      <c r="BQ613" s="322"/>
      <c r="BR613" s="322"/>
      <c r="BS613" s="322"/>
      <c r="BT613" s="322"/>
      <c r="BU613" s="322"/>
      <c r="BV613" s="322"/>
      <c r="BW613" s="322"/>
      <c r="BX613" s="322"/>
      <c r="BY613" s="322"/>
      <c r="BZ613" s="322"/>
      <c r="CA613" s="322"/>
      <c r="CB613" s="322"/>
      <c r="CC613" s="322"/>
      <c r="CD613" s="322"/>
      <c r="CE613" s="322"/>
      <c r="CF613" s="322"/>
      <c r="CG613" s="322"/>
      <c r="CH613" s="322"/>
      <c r="CI613" s="322"/>
      <c r="CJ613" s="322"/>
      <c r="CK613" s="322"/>
      <c r="CL613" s="322"/>
      <c r="CM613" s="322"/>
      <c r="CN613" s="322"/>
      <c r="CO613" s="322"/>
      <c r="CP613" s="322"/>
      <c r="CQ613" s="322"/>
      <c r="CR613" s="322"/>
      <c r="CS613" s="322"/>
      <c r="CT613" s="322"/>
      <c r="CU613" s="322"/>
      <c r="CV613" s="322"/>
      <c r="CW613" s="322"/>
      <c r="CX613" s="322"/>
      <c r="CY613" s="322"/>
    </row>
    <row r="614" spans="1:103" s="432" customFormat="1">
      <c r="A614" s="509">
        <f t="shared" si="9"/>
        <v>613</v>
      </c>
      <c r="B614" s="1332" t="s">
        <v>43</v>
      </c>
      <c r="C614" s="943" t="s">
        <v>44</v>
      </c>
      <c r="D614" s="943" t="s">
        <v>45</v>
      </c>
      <c r="E614" s="432" t="s">
        <v>5975</v>
      </c>
      <c r="F614" s="434">
        <v>7</v>
      </c>
      <c r="G614" s="434">
        <v>9847906960</v>
      </c>
      <c r="I614" s="434">
        <v>25</v>
      </c>
      <c r="J614" s="434" t="s">
        <v>90</v>
      </c>
      <c r="K614" s="434" t="s">
        <v>5405</v>
      </c>
      <c r="L614" s="434"/>
      <c r="M614" s="434" t="s">
        <v>1764</v>
      </c>
      <c r="N614" s="730">
        <v>65300</v>
      </c>
      <c r="O614" s="730">
        <v>65300</v>
      </c>
      <c r="P614" s="459">
        <v>65308</v>
      </c>
      <c r="Q614" s="432" t="s">
        <v>51</v>
      </c>
      <c r="R614" s="322"/>
      <c r="S614" s="322"/>
      <c r="T614" s="322"/>
      <c r="U614" s="322"/>
      <c r="V614" s="322"/>
      <c r="W614" s="322"/>
      <c r="X614" s="322"/>
      <c r="Y614" s="322"/>
      <c r="Z614" s="322"/>
      <c r="AA614" s="322"/>
      <c r="AB614" s="322"/>
      <c r="AC614" s="322"/>
      <c r="AD614" s="322"/>
      <c r="AE614" s="322"/>
      <c r="AF614" s="322"/>
      <c r="AG614" s="322"/>
      <c r="AH614" s="322"/>
      <c r="AI614" s="322"/>
      <c r="AJ614" s="322"/>
      <c r="AK614" s="322"/>
      <c r="AL614" s="322"/>
      <c r="AM614" s="322"/>
      <c r="AN614" s="322"/>
      <c r="AO614" s="322"/>
      <c r="AP614" s="322"/>
      <c r="AQ614" s="322"/>
      <c r="AR614" s="322"/>
      <c r="AS614" s="322"/>
      <c r="AT614" s="322"/>
      <c r="AU614" s="322"/>
      <c r="AV614" s="322"/>
      <c r="AW614" s="322"/>
      <c r="AX614" s="322"/>
      <c r="AY614" s="322"/>
      <c r="AZ614" s="322"/>
      <c r="BA614" s="322"/>
      <c r="BB614" s="322"/>
      <c r="BC614" s="322"/>
      <c r="BD614" s="322"/>
      <c r="BE614" s="322"/>
      <c r="BF614" s="322"/>
      <c r="BG614" s="322"/>
      <c r="BH614" s="322"/>
      <c r="BI614" s="322"/>
      <c r="BJ614" s="322"/>
      <c r="BK614" s="322"/>
      <c r="BL614" s="322"/>
      <c r="BM614" s="322"/>
      <c r="BN614" s="322"/>
      <c r="BO614" s="322"/>
      <c r="BP614" s="322"/>
      <c r="BQ614" s="322"/>
      <c r="BR614" s="322"/>
      <c r="BS614" s="322"/>
      <c r="BT614" s="322"/>
      <c r="BU614" s="322"/>
      <c r="BV614" s="322"/>
      <c r="BW614" s="322"/>
      <c r="BX614" s="322"/>
      <c r="BY614" s="322"/>
      <c r="BZ614" s="322"/>
      <c r="CA614" s="322"/>
      <c r="CB614" s="322"/>
      <c r="CC614" s="322"/>
      <c r="CD614" s="322"/>
      <c r="CE614" s="322"/>
      <c r="CF614" s="322"/>
      <c r="CG614" s="322"/>
      <c r="CH614" s="322"/>
      <c r="CI614" s="322"/>
      <c r="CJ614" s="322"/>
      <c r="CK614" s="322"/>
      <c r="CL614" s="322"/>
      <c r="CM614" s="322"/>
      <c r="CN614" s="322"/>
      <c r="CO614" s="322"/>
      <c r="CP614" s="322"/>
      <c r="CQ614" s="322"/>
      <c r="CR614" s="322"/>
      <c r="CS614" s="322"/>
      <c r="CT614" s="322"/>
      <c r="CU614" s="322"/>
      <c r="CV614" s="322"/>
      <c r="CW614" s="322"/>
      <c r="CX614" s="322"/>
      <c r="CY614" s="322"/>
    </row>
    <row r="615" spans="1:103" s="432" customFormat="1">
      <c r="A615" s="509">
        <f t="shared" si="9"/>
        <v>614</v>
      </c>
      <c r="B615" s="1332" t="s">
        <v>43</v>
      </c>
      <c r="C615" s="943" t="s">
        <v>44</v>
      </c>
      <c r="D615" s="943" t="s">
        <v>45</v>
      </c>
      <c r="E615" s="432" t="s">
        <v>5976</v>
      </c>
      <c r="F615" s="434">
        <v>5</v>
      </c>
      <c r="G615" s="434">
        <v>9849050483</v>
      </c>
      <c r="I615" s="434">
        <v>32</v>
      </c>
      <c r="J615" s="120" t="s">
        <v>48</v>
      </c>
      <c r="K615" s="434" t="s">
        <v>5405</v>
      </c>
      <c r="L615" s="434"/>
      <c r="M615" s="434" t="s">
        <v>1764</v>
      </c>
      <c r="N615" s="730">
        <v>65300</v>
      </c>
      <c r="O615" s="730">
        <v>65300</v>
      </c>
      <c r="P615" s="459">
        <v>65308</v>
      </c>
      <c r="Q615" s="432" t="s">
        <v>51</v>
      </c>
      <c r="R615" s="322"/>
      <c r="S615" s="322"/>
      <c r="T615" s="322"/>
      <c r="U615" s="322"/>
      <c r="V615" s="322"/>
      <c r="W615" s="322"/>
      <c r="X615" s="322"/>
      <c r="Y615" s="322"/>
      <c r="Z615" s="322"/>
      <c r="AA615" s="322"/>
      <c r="AB615" s="322"/>
      <c r="AC615" s="322"/>
      <c r="AD615" s="322"/>
      <c r="AE615" s="322"/>
      <c r="AF615" s="322"/>
      <c r="AG615" s="322"/>
      <c r="AH615" s="322"/>
      <c r="AI615" s="322"/>
      <c r="AJ615" s="322"/>
      <c r="AK615" s="322"/>
      <c r="AL615" s="322"/>
      <c r="AM615" s="322"/>
      <c r="AN615" s="322"/>
      <c r="AO615" s="322"/>
      <c r="AP615" s="322"/>
      <c r="AQ615" s="322"/>
      <c r="AR615" s="322"/>
      <c r="AS615" s="322"/>
      <c r="AT615" s="322"/>
      <c r="AU615" s="322"/>
      <c r="AV615" s="322"/>
      <c r="AW615" s="322"/>
      <c r="AX615" s="322"/>
      <c r="AY615" s="322"/>
      <c r="AZ615" s="322"/>
      <c r="BA615" s="322"/>
      <c r="BB615" s="322"/>
      <c r="BC615" s="322"/>
      <c r="BD615" s="322"/>
      <c r="BE615" s="322"/>
      <c r="BF615" s="322"/>
      <c r="BG615" s="322"/>
      <c r="BH615" s="322"/>
      <c r="BI615" s="322"/>
      <c r="BJ615" s="322"/>
      <c r="BK615" s="322"/>
      <c r="BL615" s="322"/>
      <c r="BM615" s="322"/>
      <c r="BN615" s="322"/>
      <c r="BO615" s="322"/>
      <c r="BP615" s="322"/>
      <c r="BQ615" s="322"/>
      <c r="BR615" s="322"/>
      <c r="BS615" s="322"/>
      <c r="BT615" s="322"/>
      <c r="BU615" s="322"/>
      <c r="BV615" s="322"/>
      <c r="BW615" s="322"/>
      <c r="BX615" s="322"/>
      <c r="BY615" s="322"/>
      <c r="BZ615" s="322"/>
      <c r="CA615" s="322"/>
      <c r="CB615" s="322"/>
      <c r="CC615" s="322"/>
      <c r="CD615" s="322"/>
      <c r="CE615" s="322"/>
      <c r="CF615" s="322"/>
      <c r="CG615" s="322"/>
      <c r="CH615" s="322"/>
      <c r="CI615" s="322"/>
      <c r="CJ615" s="322"/>
      <c r="CK615" s="322"/>
      <c r="CL615" s="322"/>
      <c r="CM615" s="322"/>
      <c r="CN615" s="322"/>
      <c r="CO615" s="322"/>
      <c r="CP615" s="322"/>
      <c r="CQ615" s="322"/>
      <c r="CR615" s="322"/>
      <c r="CS615" s="322"/>
      <c r="CT615" s="322"/>
      <c r="CU615" s="322"/>
      <c r="CV615" s="322"/>
      <c r="CW615" s="322"/>
      <c r="CX615" s="322"/>
      <c r="CY615" s="322"/>
    </row>
    <row r="616" spans="1:103" s="432" customFormat="1">
      <c r="A616" s="509">
        <f t="shared" si="9"/>
        <v>615</v>
      </c>
      <c r="B616" s="1332" t="s">
        <v>43</v>
      </c>
      <c r="C616" s="943" t="s">
        <v>44</v>
      </c>
      <c r="D616" s="943" t="s">
        <v>45</v>
      </c>
      <c r="E616" s="432" t="s">
        <v>5977</v>
      </c>
      <c r="F616" s="434">
        <v>7</v>
      </c>
      <c r="G616" s="434">
        <v>9857877614</v>
      </c>
      <c r="I616" s="434">
        <v>33</v>
      </c>
      <c r="J616" s="120" t="s">
        <v>48</v>
      </c>
      <c r="K616" s="434" t="s">
        <v>5405</v>
      </c>
      <c r="L616" s="434"/>
      <c r="M616" s="434" t="s">
        <v>1764</v>
      </c>
      <c r="N616" s="730">
        <v>65300</v>
      </c>
      <c r="O616" s="730">
        <v>65300</v>
      </c>
      <c r="P616" s="459">
        <v>65308</v>
      </c>
      <c r="Q616" s="432" t="s">
        <v>51</v>
      </c>
      <c r="R616" s="322"/>
      <c r="S616" s="322"/>
      <c r="T616" s="322"/>
      <c r="U616" s="322"/>
      <c r="V616" s="322"/>
      <c r="W616" s="322"/>
      <c r="X616" s="322"/>
      <c r="Y616" s="322"/>
      <c r="Z616" s="322"/>
      <c r="AA616" s="322"/>
      <c r="AB616" s="322"/>
      <c r="AC616" s="322"/>
      <c r="AD616" s="322"/>
      <c r="AE616" s="322"/>
      <c r="AF616" s="322"/>
      <c r="AG616" s="322"/>
      <c r="AH616" s="322"/>
      <c r="AI616" s="322"/>
      <c r="AJ616" s="322"/>
      <c r="AK616" s="322"/>
      <c r="AL616" s="322"/>
      <c r="AM616" s="322"/>
      <c r="AN616" s="322"/>
      <c r="AO616" s="322"/>
      <c r="AP616" s="322"/>
      <c r="AQ616" s="322"/>
      <c r="AR616" s="322"/>
      <c r="AS616" s="322"/>
      <c r="AT616" s="322"/>
      <c r="AU616" s="322"/>
      <c r="AV616" s="322"/>
      <c r="AW616" s="322"/>
      <c r="AX616" s="322"/>
      <c r="AY616" s="322"/>
      <c r="AZ616" s="322"/>
      <c r="BA616" s="322"/>
      <c r="BB616" s="322"/>
      <c r="BC616" s="322"/>
      <c r="BD616" s="322"/>
      <c r="BE616" s="322"/>
      <c r="BF616" s="322"/>
      <c r="BG616" s="322"/>
      <c r="BH616" s="322"/>
      <c r="BI616" s="322"/>
      <c r="BJ616" s="322"/>
      <c r="BK616" s="322"/>
      <c r="BL616" s="322"/>
      <c r="BM616" s="322"/>
      <c r="BN616" s="322"/>
      <c r="BO616" s="322"/>
      <c r="BP616" s="322"/>
      <c r="BQ616" s="322"/>
      <c r="BR616" s="322"/>
      <c r="BS616" s="322"/>
      <c r="BT616" s="322"/>
      <c r="BU616" s="322"/>
      <c r="BV616" s="322"/>
      <c r="BW616" s="322"/>
      <c r="BX616" s="322"/>
      <c r="BY616" s="322"/>
      <c r="BZ616" s="322"/>
      <c r="CA616" s="322"/>
      <c r="CB616" s="322"/>
      <c r="CC616" s="322"/>
      <c r="CD616" s="322"/>
      <c r="CE616" s="322"/>
      <c r="CF616" s="322"/>
      <c r="CG616" s="322"/>
      <c r="CH616" s="322"/>
      <c r="CI616" s="322"/>
      <c r="CJ616" s="322"/>
      <c r="CK616" s="322"/>
      <c r="CL616" s="322"/>
      <c r="CM616" s="322"/>
      <c r="CN616" s="322"/>
      <c r="CO616" s="322"/>
      <c r="CP616" s="322"/>
      <c r="CQ616" s="322"/>
      <c r="CR616" s="322"/>
      <c r="CS616" s="322"/>
      <c r="CT616" s="322"/>
      <c r="CU616" s="322"/>
      <c r="CV616" s="322"/>
      <c r="CW616" s="322"/>
      <c r="CX616" s="322"/>
      <c r="CY616" s="322"/>
    </row>
    <row r="617" spans="1:103" s="432" customFormat="1">
      <c r="A617" s="509">
        <f t="shared" si="9"/>
        <v>616</v>
      </c>
      <c r="B617" s="1332" t="s">
        <v>43</v>
      </c>
      <c r="C617" s="943" t="s">
        <v>44</v>
      </c>
      <c r="D617" s="943" t="s">
        <v>45</v>
      </c>
      <c r="E617" s="432" t="s">
        <v>5978</v>
      </c>
      <c r="F617" s="434">
        <v>5</v>
      </c>
      <c r="G617" s="434">
        <v>9803003619</v>
      </c>
      <c r="I617" s="434">
        <v>15</v>
      </c>
      <c r="J617" s="434" t="s">
        <v>90</v>
      </c>
      <c r="K617" s="434" t="s">
        <v>5405</v>
      </c>
      <c r="L617" s="434"/>
      <c r="M617" s="434" t="s">
        <v>1764</v>
      </c>
      <c r="N617" s="730">
        <v>65300</v>
      </c>
      <c r="O617" s="730">
        <v>65300</v>
      </c>
      <c r="P617" s="459">
        <v>65308</v>
      </c>
      <c r="Q617" s="432" t="s">
        <v>51</v>
      </c>
      <c r="R617" s="322"/>
      <c r="S617" s="322"/>
      <c r="T617" s="322"/>
      <c r="U617" s="322"/>
      <c r="V617" s="322"/>
      <c r="W617" s="322"/>
      <c r="X617" s="322"/>
      <c r="Y617" s="322"/>
      <c r="Z617" s="322"/>
      <c r="AA617" s="322"/>
      <c r="AB617" s="322"/>
      <c r="AC617" s="322"/>
      <c r="AD617" s="322"/>
      <c r="AE617" s="322"/>
      <c r="AF617" s="322"/>
      <c r="AG617" s="322"/>
      <c r="AH617" s="322"/>
      <c r="AI617" s="322"/>
      <c r="AJ617" s="322"/>
      <c r="AK617" s="322"/>
      <c r="AL617" s="322"/>
      <c r="AM617" s="322"/>
      <c r="AN617" s="322"/>
      <c r="AO617" s="322"/>
      <c r="AP617" s="322"/>
      <c r="AQ617" s="322"/>
      <c r="AR617" s="322"/>
      <c r="AS617" s="322"/>
      <c r="AT617" s="322"/>
      <c r="AU617" s="322"/>
      <c r="AV617" s="322"/>
      <c r="AW617" s="322"/>
      <c r="AX617" s="322"/>
      <c r="AY617" s="322"/>
      <c r="AZ617" s="322"/>
      <c r="BA617" s="322"/>
      <c r="BB617" s="322"/>
      <c r="BC617" s="322"/>
      <c r="BD617" s="322"/>
      <c r="BE617" s="322"/>
      <c r="BF617" s="322"/>
      <c r="BG617" s="322"/>
      <c r="BH617" s="322"/>
      <c r="BI617" s="322"/>
      <c r="BJ617" s="322"/>
      <c r="BK617" s="322"/>
      <c r="BL617" s="322"/>
      <c r="BM617" s="322"/>
      <c r="BN617" s="322"/>
      <c r="BO617" s="322"/>
      <c r="BP617" s="322"/>
      <c r="BQ617" s="322"/>
      <c r="BR617" s="322"/>
      <c r="BS617" s="322"/>
      <c r="BT617" s="322"/>
      <c r="BU617" s="322"/>
      <c r="BV617" s="322"/>
      <c r="BW617" s="322"/>
      <c r="BX617" s="322"/>
      <c r="BY617" s="322"/>
      <c r="BZ617" s="322"/>
      <c r="CA617" s="322"/>
      <c r="CB617" s="322"/>
      <c r="CC617" s="322"/>
      <c r="CD617" s="322"/>
      <c r="CE617" s="322"/>
      <c r="CF617" s="322"/>
      <c r="CG617" s="322"/>
      <c r="CH617" s="322"/>
      <c r="CI617" s="322"/>
      <c r="CJ617" s="322"/>
      <c r="CK617" s="322"/>
      <c r="CL617" s="322"/>
      <c r="CM617" s="322"/>
      <c r="CN617" s="322"/>
      <c r="CO617" s="322"/>
      <c r="CP617" s="322"/>
      <c r="CQ617" s="322"/>
      <c r="CR617" s="322"/>
      <c r="CS617" s="322"/>
      <c r="CT617" s="322"/>
      <c r="CU617" s="322"/>
      <c r="CV617" s="322"/>
      <c r="CW617" s="322"/>
      <c r="CX617" s="322"/>
      <c r="CY617" s="322"/>
    </row>
    <row r="618" spans="1:103" s="432" customFormat="1">
      <c r="A618" s="509">
        <f t="shared" si="9"/>
        <v>617</v>
      </c>
      <c r="B618" s="1332" t="s">
        <v>43</v>
      </c>
      <c r="C618" s="943" t="s">
        <v>44</v>
      </c>
      <c r="D618" s="943" t="s">
        <v>45</v>
      </c>
      <c r="E618" s="432" t="s">
        <v>5979</v>
      </c>
      <c r="F618" s="434">
        <v>5</v>
      </c>
      <c r="G618" s="434">
        <v>9803003619</v>
      </c>
      <c r="I618" s="434">
        <v>12</v>
      </c>
      <c r="J618" s="120" t="s">
        <v>48</v>
      </c>
      <c r="K618" s="434" t="s">
        <v>5405</v>
      </c>
      <c r="L618" s="434"/>
      <c r="M618" s="434" t="s">
        <v>1764</v>
      </c>
      <c r="N618" s="730">
        <v>65300</v>
      </c>
      <c r="O618" s="730">
        <v>65300</v>
      </c>
      <c r="P618" s="459">
        <v>65308</v>
      </c>
      <c r="Q618" s="432" t="s">
        <v>51</v>
      </c>
      <c r="R618" s="322"/>
      <c r="S618" s="322"/>
      <c r="T618" s="322"/>
      <c r="U618" s="322"/>
      <c r="V618" s="322"/>
      <c r="W618" s="322"/>
      <c r="X618" s="322"/>
      <c r="Y618" s="322"/>
      <c r="Z618" s="322"/>
      <c r="AA618" s="322"/>
      <c r="AB618" s="322"/>
      <c r="AC618" s="322"/>
      <c r="AD618" s="322"/>
      <c r="AE618" s="322"/>
      <c r="AF618" s="322"/>
      <c r="AG618" s="322"/>
      <c r="AH618" s="322"/>
      <c r="AI618" s="322"/>
      <c r="AJ618" s="322"/>
      <c r="AK618" s="322"/>
      <c r="AL618" s="322"/>
      <c r="AM618" s="322"/>
      <c r="AN618" s="322"/>
      <c r="AO618" s="322"/>
      <c r="AP618" s="322"/>
      <c r="AQ618" s="322"/>
      <c r="AR618" s="322"/>
      <c r="AS618" s="322"/>
      <c r="AT618" s="322"/>
      <c r="AU618" s="322"/>
      <c r="AV618" s="322"/>
      <c r="AW618" s="322"/>
      <c r="AX618" s="322"/>
      <c r="AY618" s="322"/>
      <c r="AZ618" s="322"/>
      <c r="BA618" s="322"/>
      <c r="BB618" s="322"/>
      <c r="BC618" s="322"/>
      <c r="BD618" s="322"/>
      <c r="BE618" s="322"/>
      <c r="BF618" s="322"/>
      <c r="BG618" s="322"/>
      <c r="BH618" s="322"/>
      <c r="BI618" s="322"/>
      <c r="BJ618" s="322"/>
      <c r="BK618" s="322"/>
      <c r="BL618" s="322"/>
      <c r="BM618" s="322"/>
      <c r="BN618" s="322"/>
      <c r="BO618" s="322"/>
      <c r="BP618" s="322"/>
      <c r="BQ618" s="322"/>
      <c r="BR618" s="322"/>
      <c r="BS618" s="322"/>
      <c r="BT618" s="322"/>
      <c r="BU618" s="322"/>
      <c r="BV618" s="322"/>
      <c r="BW618" s="322"/>
      <c r="BX618" s="322"/>
      <c r="BY618" s="322"/>
      <c r="BZ618" s="322"/>
      <c r="CA618" s="322"/>
      <c r="CB618" s="322"/>
      <c r="CC618" s="322"/>
      <c r="CD618" s="322"/>
      <c r="CE618" s="322"/>
      <c r="CF618" s="322"/>
      <c r="CG618" s="322"/>
      <c r="CH618" s="322"/>
      <c r="CI618" s="322"/>
      <c r="CJ618" s="322"/>
      <c r="CK618" s="322"/>
      <c r="CL618" s="322"/>
      <c r="CM618" s="322"/>
      <c r="CN618" s="322"/>
      <c r="CO618" s="322"/>
      <c r="CP618" s="322"/>
      <c r="CQ618" s="322"/>
      <c r="CR618" s="322"/>
      <c r="CS618" s="322"/>
      <c r="CT618" s="322"/>
      <c r="CU618" s="322"/>
      <c r="CV618" s="322"/>
      <c r="CW618" s="322"/>
      <c r="CX618" s="322"/>
      <c r="CY618" s="322"/>
    </row>
    <row r="619" spans="1:103" s="432" customFormat="1">
      <c r="A619" s="509">
        <f t="shared" si="9"/>
        <v>618</v>
      </c>
      <c r="B619" s="1332" t="s">
        <v>43</v>
      </c>
      <c r="C619" s="943" t="s">
        <v>44</v>
      </c>
      <c r="D619" s="943" t="s">
        <v>45</v>
      </c>
      <c r="E619" s="432" t="s">
        <v>5980</v>
      </c>
      <c r="F619" s="434">
        <v>6</v>
      </c>
      <c r="G619" s="434">
        <v>9841676533</v>
      </c>
      <c r="I619" s="434">
        <v>35</v>
      </c>
      <c r="J619" s="120" t="s">
        <v>48</v>
      </c>
      <c r="K619" s="434" t="s">
        <v>5405</v>
      </c>
      <c r="L619" s="434"/>
      <c r="M619" s="434" t="s">
        <v>1764</v>
      </c>
      <c r="N619" s="730">
        <v>65301</v>
      </c>
      <c r="O619" s="730">
        <v>65301</v>
      </c>
      <c r="P619" s="459">
        <v>65308</v>
      </c>
      <c r="Q619" s="432" t="s">
        <v>51</v>
      </c>
      <c r="R619" s="322"/>
      <c r="S619" s="322"/>
      <c r="T619" s="322"/>
      <c r="U619" s="322"/>
      <c r="V619" s="322"/>
      <c r="W619" s="322"/>
      <c r="X619" s="322"/>
      <c r="Y619" s="322"/>
      <c r="Z619" s="322"/>
      <c r="AA619" s="322"/>
      <c r="AB619" s="322"/>
      <c r="AC619" s="322"/>
      <c r="AD619" s="322"/>
      <c r="AE619" s="322"/>
      <c r="AF619" s="322"/>
      <c r="AG619" s="322"/>
      <c r="AH619" s="322"/>
      <c r="AI619" s="322"/>
      <c r="AJ619" s="322"/>
      <c r="AK619" s="322"/>
      <c r="AL619" s="322"/>
      <c r="AM619" s="322"/>
      <c r="AN619" s="322"/>
      <c r="AO619" s="322"/>
      <c r="AP619" s="322"/>
      <c r="AQ619" s="322"/>
      <c r="AR619" s="322"/>
      <c r="AS619" s="322"/>
      <c r="AT619" s="322"/>
      <c r="AU619" s="322"/>
      <c r="AV619" s="322"/>
      <c r="AW619" s="322"/>
      <c r="AX619" s="322"/>
      <c r="AY619" s="322"/>
      <c r="AZ619" s="322"/>
      <c r="BA619" s="322"/>
      <c r="BB619" s="322"/>
      <c r="BC619" s="322"/>
      <c r="BD619" s="322"/>
      <c r="BE619" s="322"/>
      <c r="BF619" s="322"/>
      <c r="BG619" s="322"/>
      <c r="BH619" s="322"/>
      <c r="BI619" s="322"/>
      <c r="BJ619" s="322"/>
      <c r="BK619" s="322"/>
      <c r="BL619" s="322"/>
      <c r="BM619" s="322"/>
      <c r="BN619" s="322"/>
      <c r="BO619" s="322"/>
      <c r="BP619" s="322"/>
      <c r="BQ619" s="322"/>
      <c r="BR619" s="322"/>
      <c r="BS619" s="322"/>
      <c r="BT619" s="322"/>
      <c r="BU619" s="322"/>
      <c r="BV619" s="322"/>
      <c r="BW619" s="322"/>
      <c r="BX619" s="322"/>
      <c r="BY619" s="322"/>
      <c r="BZ619" s="322"/>
      <c r="CA619" s="322"/>
      <c r="CB619" s="322"/>
      <c r="CC619" s="322"/>
      <c r="CD619" s="322"/>
      <c r="CE619" s="322"/>
      <c r="CF619" s="322"/>
      <c r="CG619" s="322"/>
      <c r="CH619" s="322"/>
      <c r="CI619" s="322"/>
      <c r="CJ619" s="322"/>
      <c r="CK619" s="322"/>
      <c r="CL619" s="322"/>
      <c r="CM619" s="322"/>
      <c r="CN619" s="322"/>
      <c r="CO619" s="322"/>
      <c r="CP619" s="322"/>
      <c r="CQ619" s="322"/>
      <c r="CR619" s="322"/>
      <c r="CS619" s="322"/>
      <c r="CT619" s="322"/>
      <c r="CU619" s="322"/>
      <c r="CV619" s="322"/>
      <c r="CW619" s="322"/>
      <c r="CX619" s="322"/>
      <c r="CY619" s="322"/>
    </row>
    <row r="620" spans="1:103" s="432" customFormat="1">
      <c r="A620" s="509">
        <f t="shared" si="9"/>
        <v>619</v>
      </c>
      <c r="B620" s="1332" t="s">
        <v>43</v>
      </c>
      <c r="C620" s="943" t="s">
        <v>44</v>
      </c>
      <c r="D620" s="943" t="s">
        <v>45</v>
      </c>
      <c r="E620" s="432" t="s">
        <v>5981</v>
      </c>
      <c r="F620" s="434">
        <v>19</v>
      </c>
      <c r="G620" s="434">
        <v>9847827035</v>
      </c>
      <c r="I620" s="434">
        <v>47</v>
      </c>
      <c r="J620" s="120" t="s">
        <v>48</v>
      </c>
      <c r="K620" s="434" t="s">
        <v>5405</v>
      </c>
      <c r="L620" s="434"/>
      <c r="M620" s="434" t="s">
        <v>1764</v>
      </c>
      <c r="N620" s="730">
        <v>65301</v>
      </c>
      <c r="O620" s="730">
        <v>65301</v>
      </c>
      <c r="P620" s="459">
        <v>65308</v>
      </c>
      <c r="Q620" s="432" t="s">
        <v>51</v>
      </c>
      <c r="R620" s="322"/>
      <c r="S620" s="322"/>
      <c r="T620" s="322"/>
      <c r="U620" s="322"/>
      <c r="V620" s="322"/>
      <c r="W620" s="322"/>
      <c r="X620" s="322"/>
      <c r="Y620" s="322"/>
      <c r="Z620" s="322"/>
      <c r="AA620" s="322"/>
      <c r="AB620" s="322"/>
      <c r="AC620" s="322"/>
      <c r="AD620" s="322"/>
      <c r="AE620" s="322"/>
      <c r="AF620" s="322"/>
      <c r="AG620" s="322"/>
      <c r="AH620" s="322"/>
      <c r="AI620" s="322"/>
      <c r="AJ620" s="322"/>
      <c r="AK620" s="322"/>
      <c r="AL620" s="322"/>
      <c r="AM620" s="322"/>
      <c r="AN620" s="322"/>
      <c r="AO620" s="322"/>
      <c r="AP620" s="322"/>
      <c r="AQ620" s="322"/>
      <c r="AR620" s="322"/>
      <c r="AS620" s="322"/>
      <c r="AT620" s="322"/>
      <c r="AU620" s="322"/>
      <c r="AV620" s="322"/>
      <c r="AW620" s="322"/>
      <c r="AX620" s="322"/>
      <c r="AY620" s="322"/>
      <c r="AZ620" s="322"/>
      <c r="BA620" s="322"/>
      <c r="BB620" s="322"/>
      <c r="BC620" s="322"/>
      <c r="BD620" s="322"/>
      <c r="BE620" s="322"/>
      <c r="BF620" s="322"/>
      <c r="BG620" s="322"/>
      <c r="BH620" s="322"/>
      <c r="BI620" s="322"/>
      <c r="BJ620" s="322"/>
      <c r="BK620" s="322"/>
      <c r="BL620" s="322"/>
      <c r="BM620" s="322"/>
      <c r="BN620" s="322"/>
      <c r="BO620" s="322"/>
      <c r="BP620" s="322"/>
      <c r="BQ620" s="322"/>
      <c r="BR620" s="322"/>
      <c r="BS620" s="322"/>
      <c r="BT620" s="322"/>
      <c r="BU620" s="322"/>
      <c r="BV620" s="322"/>
      <c r="BW620" s="322"/>
      <c r="BX620" s="322"/>
      <c r="BY620" s="322"/>
      <c r="BZ620" s="322"/>
      <c r="CA620" s="322"/>
      <c r="CB620" s="322"/>
      <c r="CC620" s="322"/>
      <c r="CD620" s="322"/>
      <c r="CE620" s="322"/>
      <c r="CF620" s="322"/>
      <c r="CG620" s="322"/>
      <c r="CH620" s="322"/>
      <c r="CI620" s="322"/>
      <c r="CJ620" s="322"/>
      <c r="CK620" s="322"/>
      <c r="CL620" s="322"/>
      <c r="CM620" s="322"/>
      <c r="CN620" s="322"/>
      <c r="CO620" s="322"/>
      <c r="CP620" s="322"/>
      <c r="CQ620" s="322"/>
      <c r="CR620" s="322"/>
      <c r="CS620" s="322"/>
      <c r="CT620" s="322"/>
      <c r="CU620" s="322"/>
      <c r="CV620" s="322"/>
      <c r="CW620" s="322"/>
      <c r="CX620" s="322"/>
      <c r="CY620" s="322"/>
    </row>
    <row r="621" spans="1:103" s="432" customFormat="1">
      <c r="A621" s="509">
        <f t="shared" si="9"/>
        <v>620</v>
      </c>
      <c r="B621" s="1332" t="s">
        <v>43</v>
      </c>
      <c r="C621" s="943" t="s">
        <v>44</v>
      </c>
      <c r="D621" s="943" t="s">
        <v>45</v>
      </c>
      <c r="E621" s="432" t="s">
        <v>5982</v>
      </c>
      <c r="F621" s="434">
        <v>16</v>
      </c>
      <c r="G621" s="434">
        <v>9843683790</v>
      </c>
      <c r="I621" s="434">
        <v>28</v>
      </c>
      <c r="J621" s="120" t="s">
        <v>48</v>
      </c>
      <c r="K621" s="434" t="s">
        <v>5405</v>
      </c>
      <c r="L621" s="434"/>
      <c r="M621" s="434" t="s">
        <v>1764</v>
      </c>
      <c r="N621" s="730">
        <v>65301</v>
      </c>
      <c r="O621" s="730">
        <v>65301</v>
      </c>
      <c r="P621" s="459">
        <v>65308</v>
      </c>
      <c r="Q621" s="432" t="s">
        <v>51</v>
      </c>
      <c r="R621" s="322"/>
      <c r="S621" s="322"/>
      <c r="T621" s="322"/>
      <c r="U621" s="322"/>
      <c r="V621" s="322"/>
      <c r="W621" s="322"/>
      <c r="X621" s="322"/>
      <c r="Y621" s="322"/>
      <c r="Z621" s="322"/>
      <c r="AA621" s="322"/>
      <c r="AB621" s="322"/>
      <c r="AC621" s="322"/>
      <c r="AD621" s="322"/>
      <c r="AE621" s="322"/>
      <c r="AF621" s="322"/>
      <c r="AG621" s="322"/>
      <c r="AH621" s="322"/>
      <c r="AI621" s="322"/>
      <c r="AJ621" s="322"/>
      <c r="AK621" s="322"/>
      <c r="AL621" s="322"/>
      <c r="AM621" s="322"/>
      <c r="AN621" s="322"/>
      <c r="AO621" s="322"/>
      <c r="AP621" s="322"/>
      <c r="AQ621" s="322"/>
      <c r="AR621" s="322"/>
      <c r="AS621" s="322"/>
      <c r="AT621" s="322"/>
      <c r="AU621" s="322"/>
      <c r="AV621" s="322"/>
      <c r="AW621" s="322"/>
      <c r="AX621" s="322"/>
      <c r="AY621" s="322"/>
      <c r="AZ621" s="322"/>
      <c r="BA621" s="322"/>
      <c r="BB621" s="322"/>
      <c r="BC621" s="322"/>
      <c r="BD621" s="322"/>
      <c r="BE621" s="322"/>
      <c r="BF621" s="322"/>
      <c r="BG621" s="322"/>
      <c r="BH621" s="322"/>
      <c r="BI621" s="322"/>
      <c r="BJ621" s="322"/>
      <c r="BK621" s="322"/>
      <c r="BL621" s="322"/>
      <c r="BM621" s="322"/>
      <c r="BN621" s="322"/>
      <c r="BO621" s="322"/>
      <c r="BP621" s="322"/>
      <c r="BQ621" s="322"/>
      <c r="BR621" s="322"/>
      <c r="BS621" s="322"/>
      <c r="BT621" s="322"/>
      <c r="BU621" s="322"/>
      <c r="BV621" s="322"/>
      <c r="BW621" s="322"/>
      <c r="BX621" s="322"/>
      <c r="BY621" s="322"/>
      <c r="BZ621" s="322"/>
      <c r="CA621" s="322"/>
      <c r="CB621" s="322"/>
      <c r="CC621" s="322"/>
      <c r="CD621" s="322"/>
      <c r="CE621" s="322"/>
      <c r="CF621" s="322"/>
      <c r="CG621" s="322"/>
      <c r="CH621" s="322"/>
      <c r="CI621" s="322"/>
      <c r="CJ621" s="322"/>
      <c r="CK621" s="322"/>
      <c r="CL621" s="322"/>
      <c r="CM621" s="322"/>
      <c r="CN621" s="322"/>
      <c r="CO621" s="322"/>
      <c r="CP621" s="322"/>
      <c r="CQ621" s="322"/>
      <c r="CR621" s="322"/>
      <c r="CS621" s="322"/>
      <c r="CT621" s="322"/>
      <c r="CU621" s="322"/>
      <c r="CV621" s="322"/>
      <c r="CW621" s="322"/>
      <c r="CX621" s="322"/>
      <c r="CY621" s="322"/>
    </row>
    <row r="622" spans="1:103">
      <c r="A622" s="509">
        <f t="shared" si="9"/>
        <v>621</v>
      </c>
      <c r="B622" s="1332" t="s">
        <v>43</v>
      </c>
      <c r="C622" s="943" t="s">
        <v>44</v>
      </c>
      <c r="D622" s="943" t="s">
        <v>45</v>
      </c>
      <c r="E622" s="432" t="s">
        <v>1571</v>
      </c>
      <c r="F622" s="434">
        <v>3</v>
      </c>
      <c r="G622" s="434">
        <v>9844846566</v>
      </c>
      <c r="I622" s="434">
        <v>28</v>
      </c>
      <c r="J622" s="434" t="s">
        <v>90</v>
      </c>
      <c r="K622" s="434" t="s">
        <v>5405</v>
      </c>
      <c r="M622" s="434" t="s">
        <v>1764</v>
      </c>
      <c r="N622" s="730">
        <v>65301</v>
      </c>
      <c r="O622" s="730">
        <v>65301</v>
      </c>
      <c r="P622" s="459">
        <v>65308</v>
      </c>
      <c r="Q622" s="432" t="s">
        <v>51</v>
      </c>
    </row>
    <row r="623" spans="1:103">
      <c r="A623" s="509">
        <f t="shared" si="9"/>
        <v>622</v>
      </c>
      <c r="B623" s="1332" t="s">
        <v>43</v>
      </c>
      <c r="C623" s="943" t="s">
        <v>44</v>
      </c>
      <c r="D623" s="943" t="s">
        <v>45</v>
      </c>
      <c r="E623" s="432" t="s">
        <v>5983</v>
      </c>
      <c r="F623" s="434">
        <v>6</v>
      </c>
      <c r="G623" s="434">
        <v>9857850112</v>
      </c>
      <c r="I623" s="434">
        <v>28</v>
      </c>
      <c r="J623" s="120" t="s">
        <v>48</v>
      </c>
      <c r="K623" s="434" t="s">
        <v>5405</v>
      </c>
      <c r="M623" s="434" t="s">
        <v>1764</v>
      </c>
      <c r="N623" s="730">
        <v>65301</v>
      </c>
      <c r="O623" s="730">
        <v>65301</v>
      </c>
      <c r="P623" s="459">
        <v>65308</v>
      </c>
      <c r="Q623" s="432" t="s">
        <v>51</v>
      </c>
    </row>
    <row r="624" spans="1:103">
      <c r="A624" s="509">
        <f t="shared" si="9"/>
        <v>623</v>
      </c>
      <c r="B624" s="1332" t="s">
        <v>43</v>
      </c>
      <c r="C624" s="943" t="s">
        <v>44</v>
      </c>
      <c r="D624" s="943" t="s">
        <v>45</v>
      </c>
      <c r="E624" s="432" t="s">
        <v>5984</v>
      </c>
      <c r="F624" s="434">
        <v>1</v>
      </c>
      <c r="G624" s="434">
        <v>9868016096</v>
      </c>
      <c r="I624" s="434">
        <v>65</v>
      </c>
      <c r="J624" s="120" t="s">
        <v>48</v>
      </c>
      <c r="K624" s="434" t="s">
        <v>5405</v>
      </c>
      <c r="M624" s="434" t="s">
        <v>1764</v>
      </c>
      <c r="N624" s="730">
        <v>65301</v>
      </c>
      <c r="O624" s="730">
        <v>65301</v>
      </c>
      <c r="P624" s="459">
        <v>65308</v>
      </c>
      <c r="Q624" s="432" t="s">
        <v>51</v>
      </c>
    </row>
    <row r="625" spans="1:17">
      <c r="A625" s="509">
        <f t="shared" si="9"/>
        <v>624</v>
      </c>
      <c r="B625" s="1332" t="s">
        <v>43</v>
      </c>
      <c r="C625" s="943" t="s">
        <v>44</v>
      </c>
      <c r="D625" s="943" t="s">
        <v>45</v>
      </c>
      <c r="E625" s="432" t="s">
        <v>5985</v>
      </c>
      <c r="F625" s="434">
        <v>9</v>
      </c>
      <c r="G625" s="434">
        <v>9848179290</v>
      </c>
      <c r="I625" s="434">
        <v>32</v>
      </c>
      <c r="J625" s="120" t="s">
        <v>48</v>
      </c>
      <c r="K625" s="434" t="s">
        <v>5405</v>
      </c>
      <c r="M625" s="434" t="s">
        <v>1764</v>
      </c>
      <c r="N625" s="730">
        <v>65301</v>
      </c>
      <c r="O625" s="730">
        <v>65301</v>
      </c>
      <c r="P625" s="459">
        <v>65308</v>
      </c>
      <c r="Q625" s="432" t="s">
        <v>51</v>
      </c>
    </row>
    <row r="626" spans="1:17">
      <c r="A626" s="509">
        <f t="shared" si="9"/>
        <v>625</v>
      </c>
      <c r="B626" s="1332" t="s">
        <v>43</v>
      </c>
      <c r="C626" s="943" t="s">
        <v>44</v>
      </c>
      <c r="D626" s="943" t="s">
        <v>45</v>
      </c>
      <c r="E626" s="432" t="s">
        <v>5986</v>
      </c>
      <c r="F626" s="434">
        <v>9</v>
      </c>
      <c r="G626" s="434">
        <v>9868673279</v>
      </c>
      <c r="I626" s="434">
        <v>28</v>
      </c>
      <c r="J626" s="120" t="s">
        <v>48</v>
      </c>
      <c r="K626" s="434" t="s">
        <v>5405</v>
      </c>
      <c r="M626" s="434" t="s">
        <v>1764</v>
      </c>
      <c r="N626" s="730">
        <v>65301</v>
      </c>
      <c r="O626" s="730">
        <v>65301</v>
      </c>
      <c r="P626" s="459">
        <v>65308</v>
      </c>
      <c r="Q626" s="432" t="s">
        <v>51</v>
      </c>
    </row>
    <row r="627" spans="1:17">
      <c r="A627" s="509">
        <f t="shared" si="9"/>
        <v>626</v>
      </c>
      <c r="B627" s="1332" t="s">
        <v>43</v>
      </c>
      <c r="C627" s="943" t="s">
        <v>44</v>
      </c>
      <c r="D627" s="943" t="s">
        <v>45</v>
      </c>
      <c r="E627" s="432" t="s">
        <v>5987</v>
      </c>
      <c r="F627" s="434">
        <v>14</v>
      </c>
      <c r="G627" s="434">
        <v>9863164529</v>
      </c>
      <c r="I627" s="434">
        <v>32</v>
      </c>
      <c r="J627" s="120" t="s">
        <v>48</v>
      </c>
      <c r="K627" s="434" t="s">
        <v>5405</v>
      </c>
      <c r="M627" s="434" t="s">
        <v>1764</v>
      </c>
      <c r="N627" s="730">
        <v>65301</v>
      </c>
      <c r="O627" s="730">
        <v>65301</v>
      </c>
      <c r="P627" s="459">
        <v>65308</v>
      </c>
      <c r="Q627" s="432" t="s">
        <v>51</v>
      </c>
    </row>
    <row r="628" spans="1:17">
      <c r="A628" s="509">
        <f t="shared" si="9"/>
        <v>627</v>
      </c>
      <c r="B628" s="1332" t="s">
        <v>43</v>
      </c>
      <c r="C628" s="943" t="s">
        <v>44</v>
      </c>
      <c r="D628" s="943" t="s">
        <v>45</v>
      </c>
      <c r="E628" s="432" t="s">
        <v>5988</v>
      </c>
      <c r="F628" s="434">
        <v>16</v>
      </c>
      <c r="G628" s="434">
        <v>9841744367</v>
      </c>
      <c r="I628" s="434">
        <v>42</v>
      </c>
      <c r="J628" s="120" t="s">
        <v>48</v>
      </c>
      <c r="K628" s="434" t="s">
        <v>5405</v>
      </c>
      <c r="M628" s="434" t="s">
        <v>1764</v>
      </c>
      <c r="N628" s="730">
        <v>65301</v>
      </c>
      <c r="O628" s="730">
        <v>65301</v>
      </c>
      <c r="P628" s="459">
        <v>65308</v>
      </c>
      <c r="Q628" s="432" t="s">
        <v>51</v>
      </c>
    </row>
    <row r="629" spans="1:17">
      <c r="A629" s="509">
        <f t="shared" si="9"/>
        <v>628</v>
      </c>
      <c r="B629" s="1332" t="s">
        <v>43</v>
      </c>
      <c r="C629" s="943" t="s">
        <v>44</v>
      </c>
      <c r="D629" s="943" t="s">
        <v>45</v>
      </c>
      <c r="E629" s="432" t="s">
        <v>5989</v>
      </c>
      <c r="F629" s="434">
        <v>12</v>
      </c>
      <c r="G629" s="434">
        <v>9847873404</v>
      </c>
      <c r="I629" s="434">
        <v>46</v>
      </c>
      <c r="J629" s="120" t="s">
        <v>48</v>
      </c>
      <c r="K629" s="434" t="s">
        <v>5405</v>
      </c>
      <c r="M629" s="434" t="s">
        <v>1764</v>
      </c>
      <c r="N629" s="730">
        <v>65301</v>
      </c>
      <c r="O629" s="730">
        <v>65301</v>
      </c>
      <c r="P629" s="459">
        <v>65308</v>
      </c>
      <c r="Q629" s="432" t="s">
        <v>51</v>
      </c>
    </row>
    <row r="630" spans="1:17">
      <c r="A630" s="509">
        <f t="shared" si="9"/>
        <v>629</v>
      </c>
      <c r="B630" s="1332" t="s">
        <v>43</v>
      </c>
      <c r="C630" s="943" t="s">
        <v>44</v>
      </c>
      <c r="D630" s="943" t="s">
        <v>45</v>
      </c>
      <c r="E630" s="432" t="s">
        <v>5990</v>
      </c>
      <c r="F630" s="434">
        <v>6</v>
      </c>
      <c r="G630" s="434">
        <v>9857822712</v>
      </c>
      <c r="I630" s="434">
        <v>49</v>
      </c>
      <c r="J630" s="120" t="s">
        <v>48</v>
      </c>
      <c r="K630" s="434" t="s">
        <v>5405</v>
      </c>
      <c r="M630" s="434" t="s">
        <v>1764</v>
      </c>
      <c r="N630" s="730">
        <v>65301</v>
      </c>
      <c r="O630" s="730">
        <v>65301</v>
      </c>
      <c r="P630" s="459">
        <v>65308</v>
      </c>
      <c r="Q630" s="432" t="s">
        <v>51</v>
      </c>
    </row>
    <row r="631" spans="1:17">
      <c r="A631" s="509">
        <f t="shared" si="9"/>
        <v>630</v>
      </c>
      <c r="B631" s="1332" t="s">
        <v>43</v>
      </c>
      <c r="C631" s="943" t="s">
        <v>44</v>
      </c>
      <c r="D631" s="943" t="s">
        <v>45</v>
      </c>
      <c r="E631" s="432" t="s">
        <v>5991</v>
      </c>
      <c r="F631" s="434">
        <v>1</v>
      </c>
      <c r="G631" s="434">
        <v>9847932111</v>
      </c>
      <c r="I631" s="434">
        <v>41</v>
      </c>
      <c r="J631" s="434" t="s">
        <v>90</v>
      </c>
      <c r="K631" s="434" t="s">
        <v>5405</v>
      </c>
      <c r="M631" s="434" t="s">
        <v>1764</v>
      </c>
      <c r="N631" s="730">
        <v>65301</v>
      </c>
      <c r="O631" s="730">
        <v>65301</v>
      </c>
      <c r="P631" s="459">
        <v>65308</v>
      </c>
      <c r="Q631" s="432" t="s">
        <v>51</v>
      </c>
    </row>
    <row r="632" spans="1:17">
      <c r="A632" s="509">
        <f t="shared" si="9"/>
        <v>631</v>
      </c>
      <c r="B632" s="1332" t="s">
        <v>43</v>
      </c>
      <c r="C632" s="943" t="s">
        <v>44</v>
      </c>
      <c r="D632" s="943" t="s">
        <v>45</v>
      </c>
      <c r="E632" s="432" t="s">
        <v>5992</v>
      </c>
      <c r="F632" s="434">
        <v>1</v>
      </c>
      <c r="G632" s="434">
        <v>9844932713</v>
      </c>
      <c r="I632" s="434">
        <v>25</v>
      </c>
      <c r="J632" s="120" t="s">
        <v>48</v>
      </c>
      <c r="K632" s="434" t="s">
        <v>5405</v>
      </c>
      <c r="M632" s="434" t="s">
        <v>1764</v>
      </c>
      <c r="N632" s="730">
        <v>65301</v>
      </c>
      <c r="O632" s="730">
        <v>65301</v>
      </c>
      <c r="P632" s="459">
        <v>65308</v>
      </c>
      <c r="Q632" s="432" t="s">
        <v>51</v>
      </c>
    </row>
    <row r="633" spans="1:17">
      <c r="A633" s="509">
        <f t="shared" si="9"/>
        <v>632</v>
      </c>
      <c r="B633" s="1332" t="s">
        <v>43</v>
      </c>
      <c r="C633" s="943" t="s">
        <v>44</v>
      </c>
      <c r="D633" s="943" t="s">
        <v>45</v>
      </c>
      <c r="E633" s="432" t="s">
        <v>5993</v>
      </c>
      <c r="F633" s="434">
        <v>9</v>
      </c>
      <c r="G633" s="434">
        <v>9844935835</v>
      </c>
      <c r="I633" s="434">
        <v>27</v>
      </c>
      <c r="J633" s="120" t="s">
        <v>48</v>
      </c>
      <c r="K633" s="434" t="s">
        <v>5405</v>
      </c>
      <c r="M633" s="434" t="s">
        <v>1764</v>
      </c>
      <c r="N633" s="730">
        <v>65301</v>
      </c>
      <c r="O633" s="730">
        <v>65301</v>
      </c>
      <c r="P633" s="459">
        <v>65308</v>
      </c>
      <c r="Q633" s="432" t="s">
        <v>51</v>
      </c>
    </row>
    <row r="634" spans="1:17">
      <c r="A634" s="509">
        <f t="shared" si="9"/>
        <v>633</v>
      </c>
      <c r="B634" s="1332" t="s">
        <v>43</v>
      </c>
      <c r="C634" s="943" t="s">
        <v>44</v>
      </c>
      <c r="D634" s="943" t="s">
        <v>45</v>
      </c>
      <c r="E634" s="432" t="s">
        <v>5994</v>
      </c>
      <c r="F634" s="434">
        <v>7</v>
      </c>
      <c r="G634" s="434">
        <v>9847989791</v>
      </c>
      <c r="I634" s="434">
        <v>35</v>
      </c>
      <c r="J634" s="120" t="s">
        <v>48</v>
      </c>
      <c r="K634" s="434" t="s">
        <v>3293</v>
      </c>
      <c r="M634" s="434" t="s">
        <v>1764</v>
      </c>
      <c r="N634" s="730">
        <v>65301</v>
      </c>
      <c r="O634" s="730">
        <v>65301</v>
      </c>
      <c r="P634" s="459">
        <v>65308</v>
      </c>
      <c r="Q634" s="432" t="s">
        <v>51</v>
      </c>
    </row>
    <row r="635" spans="1:17">
      <c r="A635" s="509">
        <f t="shared" si="9"/>
        <v>634</v>
      </c>
      <c r="B635" s="1332" t="s">
        <v>43</v>
      </c>
      <c r="C635" s="943" t="s">
        <v>44</v>
      </c>
      <c r="D635" s="943" t="s">
        <v>45</v>
      </c>
      <c r="E635" s="432" t="s">
        <v>5995</v>
      </c>
      <c r="F635" s="434">
        <v>19</v>
      </c>
      <c r="G635" s="434">
        <v>9847833690</v>
      </c>
      <c r="I635" s="434">
        <v>28</v>
      </c>
      <c r="J635" s="120" t="s">
        <v>48</v>
      </c>
      <c r="K635" s="434" t="s">
        <v>3293</v>
      </c>
      <c r="M635" s="434" t="s">
        <v>1764</v>
      </c>
      <c r="N635" s="730">
        <v>65301</v>
      </c>
      <c r="O635" s="730">
        <v>65301</v>
      </c>
      <c r="P635" s="459">
        <v>65308</v>
      </c>
      <c r="Q635" s="432" t="s">
        <v>51</v>
      </c>
    </row>
    <row r="636" spans="1:17">
      <c r="A636" s="509">
        <f t="shared" si="9"/>
        <v>635</v>
      </c>
      <c r="B636" s="1332" t="s">
        <v>43</v>
      </c>
      <c r="C636" s="943" t="s">
        <v>44</v>
      </c>
      <c r="D636" s="943" t="s">
        <v>45</v>
      </c>
      <c r="E636" s="432" t="s">
        <v>5996</v>
      </c>
      <c r="F636" s="434">
        <v>8</v>
      </c>
      <c r="G636" s="434">
        <v>9860677054</v>
      </c>
      <c r="I636" s="434">
        <v>26</v>
      </c>
      <c r="J636" s="120" t="s">
        <v>48</v>
      </c>
      <c r="K636" s="434" t="s">
        <v>3293</v>
      </c>
      <c r="M636" s="434" t="s">
        <v>1764</v>
      </c>
      <c r="N636" s="730">
        <v>65301</v>
      </c>
      <c r="O636" s="730">
        <v>65301</v>
      </c>
      <c r="P636" s="459">
        <v>65308</v>
      </c>
      <c r="Q636" s="432" t="s">
        <v>51</v>
      </c>
    </row>
    <row r="637" spans="1:17">
      <c r="A637" s="509">
        <f t="shared" si="9"/>
        <v>636</v>
      </c>
      <c r="B637" s="1332" t="s">
        <v>43</v>
      </c>
      <c r="C637" s="943" t="s">
        <v>44</v>
      </c>
      <c r="D637" s="943" t="s">
        <v>45</v>
      </c>
      <c r="E637" s="432" t="s">
        <v>5997</v>
      </c>
      <c r="F637" s="434">
        <v>6</v>
      </c>
      <c r="G637" s="434">
        <v>9847965101</v>
      </c>
      <c r="I637" s="434">
        <v>31</v>
      </c>
      <c r="J637" s="120" t="s">
        <v>48</v>
      </c>
      <c r="K637" s="434" t="s">
        <v>3293</v>
      </c>
      <c r="M637" s="434" t="s">
        <v>1764</v>
      </c>
      <c r="N637" s="730">
        <v>65301</v>
      </c>
      <c r="O637" s="730">
        <v>65301</v>
      </c>
      <c r="P637" s="459">
        <v>65308</v>
      </c>
      <c r="Q637" s="432" t="s">
        <v>51</v>
      </c>
    </row>
    <row r="638" spans="1:17">
      <c r="A638" s="509">
        <f t="shared" si="9"/>
        <v>637</v>
      </c>
      <c r="B638" s="1332" t="s">
        <v>43</v>
      </c>
      <c r="C638" s="943" t="s">
        <v>44</v>
      </c>
      <c r="D638" s="943" t="s">
        <v>45</v>
      </c>
      <c r="E638" s="432" t="s">
        <v>5998</v>
      </c>
      <c r="F638" s="434">
        <v>9</v>
      </c>
      <c r="G638" s="434">
        <v>9863117705</v>
      </c>
      <c r="I638" s="434">
        <v>42</v>
      </c>
      <c r="J638" s="434" t="s">
        <v>90</v>
      </c>
      <c r="K638" s="434" t="s">
        <v>3293</v>
      </c>
      <c r="M638" s="434" t="s">
        <v>1764</v>
      </c>
      <c r="N638" s="730">
        <v>65301</v>
      </c>
      <c r="O638" s="730">
        <v>65301</v>
      </c>
      <c r="P638" s="459">
        <v>65308</v>
      </c>
      <c r="Q638" s="432" t="s">
        <v>51</v>
      </c>
    </row>
    <row r="639" spans="1:17">
      <c r="A639" s="509">
        <f t="shared" si="9"/>
        <v>638</v>
      </c>
      <c r="B639" s="1332" t="s">
        <v>43</v>
      </c>
      <c r="C639" s="943" t="s">
        <v>44</v>
      </c>
      <c r="D639" s="943" t="s">
        <v>45</v>
      </c>
      <c r="E639" s="432" t="s">
        <v>5999</v>
      </c>
      <c r="F639" s="434">
        <v>17</v>
      </c>
      <c r="G639" s="434">
        <v>9866900615</v>
      </c>
      <c r="I639" s="434">
        <v>25</v>
      </c>
      <c r="J639" s="434" t="s">
        <v>90</v>
      </c>
      <c r="K639" s="434" t="s">
        <v>3293</v>
      </c>
      <c r="M639" s="434" t="s">
        <v>1764</v>
      </c>
      <c r="N639" s="730">
        <v>65301</v>
      </c>
      <c r="O639" s="730">
        <v>65301</v>
      </c>
      <c r="P639" s="459">
        <v>65308</v>
      </c>
      <c r="Q639" s="432" t="s">
        <v>51</v>
      </c>
    </row>
    <row r="640" spans="1:17">
      <c r="A640" s="509">
        <f t="shared" si="9"/>
        <v>639</v>
      </c>
      <c r="B640" s="1332" t="s">
        <v>43</v>
      </c>
      <c r="C640" s="943" t="s">
        <v>44</v>
      </c>
      <c r="D640" s="943" t="s">
        <v>45</v>
      </c>
      <c r="E640" s="432" t="s">
        <v>6000</v>
      </c>
      <c r="F640" s="434">
        <v>11</v>
      </c>
      <c r="G640" s="434">
        <v>9806239925</v>
      </c>
      <c r="I640" s="434">
        <v>88</v>
      </c>
      <c r="J640" s="120" t="s">
        <v>48</v>
      </c>
      <c r="K640" s="434" t="s">
        <v>3293</v>
      </c>
      <c r="M640" s="434" t="s">
        <v>1764</v>
      </c>
      <c r="N640" s="730">
        <v>65301</v>
      </c>
      <c r="O640" s="730">
        <v>65301</v>
      </c>
      <c r="P640" s="459">
        <v>65308</v>
      </c>
      <c r="Q640" s="432" t="s">
        <v>51</v>
      </c>
    </row>
    <row r="641" spans="1:17">
      <c r="A641" s="509">
        <f t="shared" si="9"/>
        <v>640</v>
      </c>
      <c r="B641" s="1332" t="s">
        <v>43</v>
      </c>
      <c r="C641" s="943" t="s">
        <v>44</v>
      </c>
      <c r="D641" s="943" t="s">
        <v>45</v>
      </c>
      <c r="E641" s="432" t="s">
        <v>149</v>
      </c>
      <c r="F641" s="434">
        <v>6</v>
      </c>
      <c r="G641" s="434">
        <v>9857832273</v>
      </c>
      <c r="I641" s="434">
        <v>35</v>
      </c>
      <c r="J641" s="120" t="s">
        <v>48</v>
      </c>
      <c r="K641" s="434" t="s">
        <v>3293</v>
      </c>
      <c r="M641" s="434" t="s">
        <v>1764</v>
      </c>
      <c r="N641" s="730">
        <v>65301</v>
      </c>
      <c r="O641" s="730">
        <v>65301</v>
      </c>
      <c r="P641" s="459">
        <v>65308</v>
      </c>
      <c r="Q641" s="432" t="s">
        <v>51</v>
      </c>
    </row>
    <row r="642" spans="1:17">
      <c r="A642" s="509">
        <f t="shared" si="9"/>
        <v>641</v>
      </c>
      <c r="B642" s="1332" t="s">
        <v>43</v>
      </c>
      <c r="C642" s="943" t="s">
        <v>44</v>
      </c>
      <c r="D642" s="943" t="s">
        <v>45</v>
      </c>
      <c r="E642" s="432" t="s">
        <v>294</v>
      </c>
      <c r="F642" s="434">
        <v>1</v>
      </c>
      <c r="G642" s="434">
        <v>9840912130</v>
      </c>
      <c r="I642" s="434">
        <v>22</v>
      </c>
      <c r="J642" s="434" t="s">
        <v>90</v>
      </c>
      <c r="K642" s="434" t="s">
        <v>5405</v>
      </c>
      <c r="M642" s="434" t="s">
        <v>1764</v>
      </c>
      <c r="N642" s="730">
        <v>65302</v>
      </c>
      <c r="O642" s="730">
        <v>65302</v>
      </c>
      <c r="P642" s="459">
        <v>65309</v>
      </c>
      <c r="Q642" s="432" t="s">
        <v>51</v>
      </c>
    </row>
    <row r="643" spans="1:17">
      <c r="A643" s="509">
        <f t="shared" ref="A643:A706" si="10">A642+1</f>
        <v>642</v>
      </c>
      <c r="B643" s="1332" t="s">
        <v>43</v>
      </c>
      <c r="C643" s="943" t="s">
        <v>44</v>
      </c>
      <c r="D643" s="943" t="s">
        <v>45</v>
      </c>
      <c r="E643" s="432" t="s">
        <v>6001</v>
      </c>
      <c r="F643" s="434">
        <v>12</v>
      </c>
      <c r="G643" s="434">
        <v>9822940888</v>
      </c>
      <c r="I643" s="434">
        <v>26</v>
      </c>
      <c r="J643" s="434" t="s">
        <v>90</v>
      </c>
      <c r="K643" s="434" t="s">
        <v>5405</v>
      </c>
      <c r="M643" s="434" t="s">
        <v>1764</v>
      </c>
      <c r="N643" s="730">
        <v>65302</v>
      </c>
      <c r="O643" s="730">
        <v>65302</v>
      </c>
      <c r="P643" s="459">
        <v>65309</v>
      </c>
      <c r="Q643" s="432" t="s">
        <v>51</v>
      </c>
    </row>
    <row r="644" spans="1:17">
      <c r="A644" s="509">
        <f t="shared" si="10"/>
        <v>643</v>
      </c>
      <c r="B644" s="1332" t="s">
        <v>43</v>
      </c>
      <c r="C644" s="943" t="s">
        <v>44</v>
      </c>
      <c r="D644" s="943" t="s">
        <v>45</v>
      </c>
      <c r="E644" s="432" t="s">
        <v>6002</v>
      </c>
      <c r="F644" s="434">
        <v>6</v>
      </c>
      <c r="G644" s="434">
        <v>9866854996</v>
      </c>
      <c r="I644" s="434">
        <v>46</v>
      </c>
      <c r="J644" s="120" t="s">
        <v>48</v>
      </c>
      <c r="K644" s="434" t="s">
        <v>5405</v>
      </c>
      <c r="M644" s="434" t="s">
        <v>1764</v>
      </c>
      <c r="N644" s="730">
        <v>65302</v>
      </c>
      <c r="O644" s="730">
        <v>65302</v>
      </c>
      <c r="P644" s="459">
        <v>65309</v>
      </c>
      <c r="Q644" s="432" t="s">
        <v>51</v>
      </c>
    </row>
    <row r="645" spans="1:17">
      <c r="A645" s="509">
        <f t="shared" si="10"/>
        <v>644</v>
      </c>
      <c r="B645" s="1332" t="s">
        <v>43</v>
      </c>
      <c r="C645" s="943" t="s">
        <v>44</v>
      </c>
      <c r="D645" s="943" t="s">
        <v>45</v>
      </c>
      <c r="E645" s="432" t="s">
        <v>6003</v>
      </c>
      <c r="F645" s="434">
        <v>8</v>
      </c>
      <c r="G645" s="434">
        <v>9841303678</v>
      </c>
      <c r="I645" s="434">
        <v>57</v>
      </c>
      <c r="J645" s="120" t="s">
        <v>48</v>
      </c>
      <c r="K645" s="434" t="s">
        <v>5405</v>
      </c>
      <c r="M645" s="434" t="s">
        <v>1764</v>
      </c>
      <c r="N645" s="730">
        <v>65302</v>
      </c>
      <c r="O645" s="730">
        <v>65302</v>
      </c>
      <c r="P645" s="459">
        <v>65309</v>
      </c>
      <c r="Q645" s="432" t="s">
        <v>51</v>
      </c>
    </row>
    <row r="646" spans="1:17">
      <c r="A646" s="509">
        <f t="shared" si="10"/>
        <v>645</v>
      </c>
      <c r="B646" s="1332" t="s">
        <v>43</v>
      </c>
      <c r="C646" s="943" t="s">
        <v>44</v>
      </c>
      <c r="D646" s="943" t="s">
        <v>45</v>
      </c>
      <c r="E646" s="432" t="s">
        <v>1805</v>
      </c>
      <c r="F646" s="434">
        <v>8</v>
      </c>
      <c r="G646" s="434">
        <v>9841303678</v>
      </c>
      <c r="I646" s="434">
        <v>56</v>
      </c>
      <c r="J646" s="434" t="s">
        <v>90</v>
      </c>
      <c r="K646" s="434" t="s">
        <v>5405</v>
      </c>
      <c r="M646" s="434" t="s">
        <v>1764</v>
      </c>
      <c r="N646" s="730">
        <v>65302</v>
      </c>
      <c r="O646" s="730">
        <v>65302</v>
      </c>
      <c r="P646" s="459">
        <v>65309</v>
      </c>
      <c r="Q646" s="432" t="s">
        <v>51</v>
      </c>
    </row>
    <row r="647" spans="1:17">
      <c r="A647" s="509">
        <f t="shared" si="10"/>
        <v>646</v>
      </c>
      <c r="B647" s="1332" t="s">
        <v>43</v>
      </c>
      <c r="C647" s="943" t="s">
        <v>44</v>
      </c>
      <c r="D647" s="943" t="s">
        <v>45</v>
      </c>
      <c r="E647" s="432" t="s">
        <v>6004</v>
      </c>
      <c r="F647" s="434">
        <v>8</v>
      </c>
      <c r="G647" s="434">
        <v>9847915976</v>
      </c>
      <c r="I647" s="434">
        <v>56</v>
      </c>
      <c r="J647" s="120" t="s">
        <v>48</v>
      </c>
      <c r="K647" s="434" t="s">
        <v>5405</v>
      </c>
      <c r="M647" s="434" t="s">
        <v>1764</v>
      </c>
      <c r="N647" s="730">
        <v>65302</v>
      </c>
      <c r="O647" s="730">
        <v>65302</v>
      </c>
      <c r="P647" s="459">
        <v>65309</v>
      </c>
      <c r="Q647" s="432" t="s">
        <v>51</v>
      </c>
    </row>
    <row r="648" spans="1:17">
      <c r="A648" s="509">
        <f t="shared" si="10"/>
        <v>647</v>
      </c>
      <c r="B648" s="1332" t="s">
        <v>43</v>
      </c>
      <c r="C648" s="943" t="s">
        <v>44</v>
      </c>
      <c r="D648" s="943" t="s">
        <v>45</v>
      </c>
      <c r="E648" s="432" t="s">
        <v>6005</v>
      </c>
      <c r="F648" s="434">
        <v>6</v>
      </c>
      <c r="G648" s="434">
        <v>9857824605</v>
      </c>
      <c r="I648" s="434">
        <v>43</v>
      </c>
      <c r="J648" s="120" t="s">
        <v>48</v>
      </c>
      <c r="K648" s="434" t="s">
        <v>5405</v>
      </c>
      <c r="M648" s="434" t="s">
        <v>1764</v>
      </c>
      <c r="N648" s="730">
        <v>65302</v>
      </c>
      <c r="O648" s="730">
        <v>65302</v>
      </c>
      <c r="P648" s="459">
        <v>65309</v>
      </c>
      <c r="Q648" s="432" t="s">
        <v>51</v>
      </c>
    </row>
    <row r="649" spans="1:17">
      <c r="A649" s="509">
        <f t="shared" si="10"/>
        <v>648</v>
      </c>
      <c r="B649" s="1332" t="s">
        <v>43</v>
      </c>
      <c r="C649" s="943" t="s">
        <v>44</v>
      </c>
      <c r="D649" s="943" t="s">
        <v>45</v>
      </c>
      <c r="E649" s="432" t="s">
        <v>6006</v>
      </c>
      <c r="F649" s="434">
        <v>5</v>
      </c>
      <c r="G649" s="434">
        <v>9809506214</v>
      </c>
      <c r="I649" s="434">
        <v>19</v>
      </c>
      <c r="J649" s="434" t="s">
        <v>90</v>
      </c>
      <c r="K649" s="434" t="s">
        <v>5405</v>
      </c>
      <c r="M649" s="434" t="s">
        <v>1764</v>
      </c>
      <c r="N649" s="730">
        <v>65302</v>
      </c>
      <c r="O649" s="730">
        <v>65302</v>
      </c>
      <c r="P649" s="459">
        <v>65309</v>
      </c>
      <c r="Q649" s="432" t="s">
        <v>51</v>
      </c>
    </row>
    <row r="650" spans="1:17">
      <c r="A650" s="509">
        <f t="shared" si="10"/>
        <v>649</v>
      </c>
      <c r="B650" s="1332" t="s">
        <v>43</v>
      </c>
      <c r="C650" s="943" t="s">
        <v>44</v>
      </c>
      <c r="D650" s="943" t="s">
        <v>45</v>
      </c>
      <c r="E650" s="432" t="s">
        <v>6007</v>
      </c>
      <c r="F650" s="434">
        <v>5</v>
      </c>
      <c r="G650" s="434">
        <v>9847944993</v>
      </c>
      <c r="I650" s="434">
        <v>39</v>
      </c>
      <c r="J650" s="434" t="s">
        <v>90</v>
      </c>
      <c r="K650" s="434" t="s">
        <v>5405</v>
      </c>
      <c r="M650" s="434" t="s">
        <v>1764</v>
      </c>
      <c r="N650" s="730">
        <v>65302</v>
      </c>
      <c r="O650" s="730">
        <v>65302</v>
      </c>
      <c r="P650" s="459">
        <v>65309</v>
      </c>
      <c r="Q650" s="432" t="s">
        <v>51</v>
      </c>
    </row>
    <row r="651" spans="1:17">
      <c r="A651" s="509">
        <f t="shared" si="10"/>
        <v>650</v>
      </c>
      <c r="B651" s="1332" t="s">
        <v>43</v>
      </c>
      <c r="C651" s="943" t="s">
        <v>44</v>
      </c>
      <c r="D651" s="943" t="s">
        <v>45</v>
      </c>
      <c r="E651" s="432" t="s">
        <v>6008</v>
      </c>
      <c r="F651" s="434">
        <v>9</v>
      </c>
      <c r="G651" s="434">
        <v>9829654430</v>
      </c>
      <c r="I651" s="434">
        <v>30</v>
      </c>
      <c r="J651" s="120" t="s">
        <v>48</v>
      </c>
      <c r="K651" s="434" t="s">
        <v>5405</v>
      </c>
      <c r="M651" s="434" t="s">
        <v>1764</v>
      </c>
      <c r="N651" s="730">
        <v>65302</v>
      </c>
      <c r="O651" s="730">
        <v>65302</v>
      </c>
      <c r="P651" s="459">
        <v>65309</v>
      </c>
      <c r="Q651" s="432" t="s">
        <v>51</v>
      </c>
    </row>
    <row r="652" spans="1:17">
      <c r="A652" s="509">
        <f t="shared" si="10"/>
        <v>651</v>
      </c>
      <c r="B652" s="1332" t="s">
        <v>43</v>
      </c>
      <c r="C652" s="943" t="s">
        <v>44</v>
      </c>
      <c r="D652" s="943" t="s">
        <v>45</v>
      </c>
      <c r="E652" s="432" t="s">
        <v>4822</v>
      </c>
      <c r="F652" s="434">
        <v>18</v>
      </c>
      <c r="G652" s="434">
        <v>9849351308</v>
      </c>
      <c r="I652" s="434">
        <v>51</v>
      </c>
      <c r="J652" s="120" t="s">
        <v>48</v>
      </c>
      <c r="K652" s="434" t="s">
        <v>5405</v>
      </c>
      <c r="M652" s="434" t="s">
        <v>1764</v>
      </c>
      <c r="N652" s="730">
        <v>65302</v>
      </c>
      <c r="O652" s="730">
        <v>65302</v>
      </c>
      <c r="P652" s="459">
        <v>65309</v>
      </c>
      <c r="Q652" s="432" t="s">
        <v>51</v>
      </c>
    </row>
    <row r="653" spans="1:17">
      <c r="A653" s="509">
        <f t="shared" si="10"/>
        <v>652</v>
      </c>
      <c r="B653" s="1332" t="s">
        <v>43</v>
      </c>
      <c r="C653" s="943" t="s">
        <v>44</v>
      </c>
      <c r="D653" s="943" t="s">
        <v>45</v>
      </c>
      <c r="E653" s="432" t="s">
        <v>6009</v>
      </c>
      <c r="F653" s="434">
        <v>6</v>
      </c>
      <c r="G653" s="434">
        <v>9847824928</v>
      </c>
      <c r="I653" s="434">
        <v>93</v>
      </c>
      <c r="J653" s="434" t="s">
        <v>90</v>
      </c>
      <c r="K653" s="434" t="s">
        <v>5405</v>
      </c>
      <c r="M653" s="434" t="s">
        <v>1764</v>
      </c>
      <c r="N653" s="730">
        <v>65302</v>
      </c>
      <c r="O653" s="730">
        <v>65302</v>
      </c>
      <c r="P653" s="459">
        <v>65309</v>
      </c>
      <c r="Q653" s="432" t="s">
        <v>51</v>
      </c>
    </row>
    <row r="654" spans="1:17">
      <c r="A654" s="509">
        <f t="shared" si="10"/>
        <v>653</v>
      </c>
      <c r="B654" s="1332" t="s">
        <v>43</v>
      </c>
      <c r="C654" s="943" t="s">
        <v>44</v>
      </c>
      <c r="D654" s="943" t="s">
        <v>45</v>
      </c>
      <c r="E654" s="432" t="s">
        <v>6010</v>
      </c>
      <c r="F654" s="434">
        <v>5</v>
      </c>
      <c r="G654" s="434">
        <v>9847843592</v>
      </c>
      <c r="I654" s="434">
        <v>27</v>
      </c>
      <c r="J654" s="120" t="s">
        <v>48</v>
      </c>
      <c r="K654" s="434" t="s">
        <v>5405</v>
      </c>
      <c r="M654" s="434" t="s">
        <v>1764</v>
      </c>
      <c r="N654" s="730">
        <v>65302</v>
      </c>
      <c r="O654" s="730">
        <v>65302</v>
      </c>
      <c r="P654" s="459">
        <v>65309</v>
      </c>
      <c r="Q654" s="432" t="s">
        <v>51</v>
      </c>
    </row>
    <row r="655" spans="1:17">
      <c r="A655" s="509">
        <f t="shared" si="10"/>
        <v>654</v>
      </c>
      <c r="B655" s="1332" t="s">
        <v>43</v>
      </c>
      <c r="C655" s="943" t="s">
        <v>44</v>
      </c>
      <c r="D655" s="943" t="s">
        <v>45</v>
      </c>
      <c r="E655" s="432" t="s">
        <v>6011</v>
      </c>
      <c r="F655" s="434">
        <v>7</v>
      </c>
      <c r="G655" s="434">
        <v>9868625979</v>
      </c>
      <c r="I655" s="434">
        <v>25</v>
      </c>
      <c r="J655" s="120" t="s">
        <v>48</v>
      </c>
      <c r="K655" s="434" t="s">
        <v>5405</v>
      </c>
      <c r="M655" s="434" t="s">
        <v>1764</v>
      </c>
      <c r="N655" s="730">
        <v>65302</v>
      </c>
      <c r="O655" s="730">
        <v>65302</v>
      </c>
      <c r="P655" s="459">
        <v>65309</v>
      </c>
      <c r="Q655" s="432" t="s">
        <v>51</v>
      </c>
    </row>
    <row r="656" spans="1:17">
      <c r="A656" s="509">
        <f t="shared" si="10"/>
        <v>655</v>
      </c>
      <c r="B656" s="1332" t="s">
        <v>43</v>
      </c>
      <c r="C656" s="943" t="s">
        <v>44</v>
      </c>
      <c r="D656" s="943" t="s">
        <v>45</v>
      </c>
      <c r="E656" s="432" t="s">
        <v>6012</v>
      </c>
      <c r="F656" s="434">
        <v>5</v>
      </c>
      <c r="G656" s="434">
        <v>9847812301</v>
      </c>
      <c r="I656" s="434">
        <v>38</v>
      </c>
      <c r="J656" s="120" t="s">
        <v>48</v>
      </c>
      <c r="K656" s="434" t="s">
        <v>5405</v>
      </c>
      <c r="M656" s="434" t="s">
        <v>1764</v>
      </c>
      <c r="N656" s="730">
        <v>65302</v>
      </c>
      <c r="O656" s="730">
        <v>65302</v>
      </c>
      <c r="P656" s="459">
        <v>65309</v>
      </c>
      <c r="Q656" s="432" t="s">
        <v>51</v>
      </c>
    </row>
    <row r="657" spans="1:17">
      <c r="A657" s="509">
        <f t="shared" si="10"/>
        <v>656</v>
      </c>
      <c r="B657" s="1332" t="s">
        <v>43</v>
      </c>
      <c r="C657" s="943" t="s">
        <v>44</v>
      </c>
      <c r="D657" s="943" t="s">
        <v>45</v>
      </c>
      <c r="E657" s="432" t="s">
        <v>6013</v>
      </c>
      <c r="F657" s="434">
        <v>6</v>
      </c>
      <c r="G657" s="434">
        <v>9866917807</v>
      </c>
      <c r="I657" s="434">
        <v>24</v>
      </c>
      <c r="J657" s="434" t="s">
        <v>90</v>
      </c>
      <c r="K657" s="434" t="s">
        <v>5405</v>
      </c>
      <c r="M657" s="434" t="s">
        <v>1764</v>
      </c>
      <c r="N657" s="730">
        <v>65302</v>
      </c>
      <c r="O657" s="730">
        <v>65302</v>
      </c>
      <c r="P657" s="459">
        <v>65309</v>
      </c>
      <c r="Q657" s="432" t="s">
        <v>51</v>
      </c>
    </row>
    <row r="658" spans="1:17">
      <c r="A658" s="509">
        <f t="shared" si="10"/>
        <v>657</v>
      </c>
      <c r="B658" s="1332" t="s">
        <v>43</v>
      </c>
      <c r="C658" s="943" t="s">
        <v>44</v>
      </c>
      <c r="D658" s="943" t="s">
        <v>45</v>
      </c>
      <c r="E658" s="432" t="s">
        <v>6014</v>
      </c>
      <c r="F658" s="434">
        <v>6</v>
      </c>
      <c r="G658" s="434">
        <v>9847946661</v>
      </c>
      <c r="I658" s="434">
        <v>53</v>
      </c>
      <c r="J658" s="434" t="s">
        <v>90</v>
      </c>
      <c r="K658" s="434" t="s">
        <v>5405</v>
      </c>
      <c r="M658" s="434" t="s">
        <v>1764</v>
      </c>
      <c r="N658" s="730">
        <v>65302</v>
      </c>
      <c r="O658" s="730">
        <v>65302</v>
      </c>
      <c r="P658" s="459">
        <v>65309</v>
      </c>
      <c r="Q658" s="432" t="s">
        <v>51</v>
      </c>
    </row>
    <row r="659" spans="1:17">
      <c r="A659" s="509">
        <f t="shared" si="10"/>
        <v>658</v>
      </c>
      <c r="B659" s="1332" t="s">
        <v>43</v>
      </c>
      <c r="C659" s="943" t="s">
        <v>44</v>
      </c>
      <c r="D659" s="943" t="s">
        <v>45</v>
      </c>
      <c r="E659" s="432" t="s">
        <v>6015</v>
      </c>
      <c r="F659" s="434">
        <v>6</v>
      </c>
      <c r="G659" s="434">
        <v>9869879526</v>
      </c>
      <c r="I659" s="434">
        <v>17</v>
      </c>
      <c r="J659" s="434" t="s">
        <v>90</v>
      </c>
      <c r="K659" s="434" t="s">
        <v>5405</v>
      </c>
      <c r="M659" s="434" t="s">
        <v>1764</v>
      </c>
      <c r="N659" s="730">
        <v>65302</v>
      </c>
      <c r="O659" s="730">
        <v>65302</v>
      </c>
      <c r="P659" s="459">
        <v>65309</v>
      </c>
      <c r="Q659" s="432" t="s">
        <v>51</v>
      </c>
    </row>
    <row r="660" spans="1:17">
      <c r="A660" s="509">
        <f t="shared" si="10"/>
        <v>659</v>
      </c>
      <c r="B660" s="1332" t="s">
        <v>43</v>
      </c>
      <c r="C660" s="943" t="s">
        <v>44</v>
      </c>
      <c r="D660" s="943" t="s">
        <v>45</v>
      </c>
      <c r="E660" s="432" t="s">
        <v>6016</v>
      </c>
      <c r="F660" s="434">
        <v>5</v>
      </c>
      <c r="G660" s="434">
        <v>9812804804</v>
      </c>
      <c r="I660" s="434">
        <v>22</v>
      </c>
      <c r="J660" s="434" t="s">
        <v>90</v>
      </c>
      <c r="K660" s="434" t="s">
        <v>3293</v>
      </c>
      <c r="M660" s="434" t="s">
        <v>1764</v>
      </c>
      <c r="N660" s="730">
        <v>65302</v>
      </c>
      <c r="O660" s="730">
        <v>65302</v>
      </c>
      <c r="P660" s="459">
        <v>65309</v>
      </c>
      <c r="Q660" s="432" t="s">
        <v>51</v>
      </c>
    </row>
    <row r="661" spans="1:17">
      <c r="A661" s="509">
        <f t="shared" si="10"/>
        <v>660</v>
      </c>
      <c r="B661" s="1332" t="s">
        <v>43</v>
      </c>
      <c r="C661" s="943" t="s">
        <v>44</v>
      </c>
      <c r="D661" s="943" t="s">
        <v>45</v>
      </c>
      <c r="E661" s="432" t="s">
        <v>6017</v>
      </c>
      <c r="F661" s="434">
        <v>7</v>
      </c>
      <c r="G661" s="434">
        <v>9847941148</v>
      </c>
      <c r="I661" s="434">
        <v>2.5</v>
      </c>
      <c r="J661" s="120" t="s">
        <v>48</v>
      </c>
      <c r="K661" s="434" t="s">
        <v>3293</v>
      </c>
      <c r="M661" s="434" t="s">
        <v>1764</v>
      </c>
      <c r="N661" s="730">
        <v>65302</v>
      </c>
      <c r="O661" s="730">
        <v>65302</v>
      </c>
      <c r="P661" s="459">
        <v>65309</v>
      </c>
      <c r="Q661" s="432" t="s">
        <v>51</v>
      </c>
    </row>
    <row r="662" spans="1:17">
      <c r="A662" s="509">
        <f t="shared" si="10"/>
        <v>661</v>
      </c>
      <c r="B662" s="1332" t="s">
        <v>43</v>
      </c>
      <c r="C662" s="943" t="s">
        <v>44</v>
      </c>
      <c r="D662" s="943" t="s">
        <v>45</v>
      </c>
      <c r="E662" s="432" t="s">
        <v>6018</v>
      </c>
      <c r="F662" s="434">
        <v>7</v>
      </c>
      <c r="G662" s="434">
        <v>9847941148</v>
      </c>
      <c r="I662" s="434">
        <v>8</v>
      </c>
      <c r="J662" s="434" t="s">
        <v>90</v>
      </c>
      <c r="K662" s="434" t="s">
        <v>3293</v>
      </c>
      <c r="M662" s="434" t="s">
        <v>1764</v>
      </c>
      <c r="N662" s="730">
        <v>65302</v>
      </c>
      <c r="O662" s="730">
        <v>65302</v>
      </c>
      <c r="P662" s="459">
        <v>65309</v>
      </c>
      <c r="Q662" s="432" t="s">
        <v>51</v>
      </c>
    </row>
    <row r="663" spans="1:17">
      <c r="A663" s="509">
        <f t="shared" si="10"/>
        <v>662</v>
      </c>
      <c r="B663" s="1332" t="s">
        <v>43</v>
      </c>
      <c r="C663" s="943" t="s">
        <v>44</v>
      </c>
      <c r="D663" s="943" t="s">
        <v>45</v>
      </c>
      <c r="E663" s="432" t="s">
        <v>6019</v>
      </c>
      <c r="F663" s="434">
        <v>6</v>
      </c>
      <c r="G663" s="434">
        <v>9847876754</v>
      </c>
      <c r="I663" s="434">
        <v>46</v>
      </c>
      <c r="J663" s="120" t="s">
        <v>48</v>
      </c>
      <c r="K663" s="434" t="s">
        <v>3293</v>
      </c>
      <c r="M663" s="434" t="s">
        <v>1764</v>
      </c>
      <c r="N663" s="730">
        <v>65302</v>
      </c>
      <c r="O663" s="730">
        <v>65302</v>
      </c>
      <c r="P663" s="459">
        <v>65309</v>
      </c>
      <c r="Q663" s="432" t="s">
        <v>51</v>
      </c>
    </row>
    <row r="664" spans="1:17">
      <c r="A664" s="509">
        <f t="shared" si="10"/>
        <v>663</v>
      </c>
      <c r="B664" s="1332" t="s">
        <v>43</v>
      </c>
      <c r="C664" s="943" t="s">
        <v>44</v>
      </c>
      <c r="D664" s="943" t="s">
        <v>45</v>
      </c>
      <c r="E664" s="432" t="s">
        <v>6020</v>
      </c>
      <c r="F664" s="434">
        <v>6</v>
      </c>
      <c r="G664" s="434">
        <v>9849738037</v>
      </c>
      <c r="I664" s="434">
        <v>51</v>
      </c>
      <c r="J664" s="120" t="s">
        <v>48</v>
      </c>
      <c r="K664" s="434" t="s">
        <v>3293</v>
      </c>
      <c r="M664" s="434" t="s">
        <v>1764</v>
      </c>
      <c r="N664" s="730">
        <v>65302</v>
      </c>
      <c r="O664" s="730">
        <v>65302</v>
      </c>
      <c r="P664" s="459">
        <v>65309</v>
      </c>
      <c r="Q664" s="432" t="s">
        <v>51</v>
      </c>
    </row>
    <row r="665" spans="1:17">
      <c r="A665" s="509">
        <f t="shared" si="10"/>
        <v>664</v>
      </c>
      <c r="B665" s="1332" t="s">
        <v>43</v>
      </c>
      <c r="C665" s="943" t="s">
        <v>44</v>
      </c>
      <c r="D665" s="943" t="s">
        <v>45</v>
      </c>
      <c r="E665" s="432" t="s">
        <v>6021</v>
      </c>
      <c r="F665" s="434">
        <v>18</v>
      </c>
      <c r="G665" s="434">
        <v>9847884362</v>
      </c>
      <c r="I665" s="434">
        <v>39</v>
      </c>
      <c r="J665" s="120" t="s">
        <v>48</v>
      </c>
      <c r="K665" s="434" t="s">
        <v>3293</v>
      </c>
      <c r="M665" s="434" t="s">
        <v>1764</v>
      </c>
      <c r="N665" s="730">
        <v>65302</v>
      </c>
      <c r="O665" s="730">
        <v>65302</v>
      </c>
      <c r="P665" s="459">
        <v>65309</v>
      </c>
      <c r="Q665" s="432" t="s">
        <v>51</v>
      </c>
    </row>
    <row r="666" spans="1:17">
      <c r="A666" s="509">
        <f t="shared" si="10"/>
        <v>665</v>
      </c>
      <c r="B666" s="1332" t="s">
        <v>43</v>
      </c>
      <c r="C666" s="943" t="s">
        <v>44</v>
      </c>
      <c r="D666" s="943" t="s">
        <v>45</v>
      </c>
      <c r="E666" s="432" t="s">
        <v>5179</v>
      </c>
      <c r="F666" s="434">
        <v>19</v>
      </c>
      <c r="G666" s="434">
        <v>9868277449</v>
      </c>
      <c r="I666" s="434">
        <v>23</v>
      </c>
      <c r="J666" s="434" t="s">
        <v>90</v>
      </c>
      <c r="K666" s="434" t="s">
        <v>3293</v>
      </c>
      <c r="M666" s="434" t="s">
        <v>1764</v>
      </c>
      <c r="N666" s="730">
        <v>65302</v>
      </c>
      <c r="O666" s="730">
        <v>65302</v>
      </c>
      <c r="P666" s="459">
        <v>65309</v>
      </c>
      <c r="Q666" s="432" t="s">
        <v>51</v>
      </c>
    </row>
    <row r="667" spans="1:17">
      <c r="A667" s="509">
        <f t="shared" si="10"/>
        <v>666</v>
      </c>
      <c r="B667" s="1332" t="s">
        <v>43</v>
      </c>
      <c r="C667" s="943" t="s">
        <v>44</v>
      </c>
      <c r="D667" s="943" t="s">
        <v>45</v>
      </c>
      <c r="E667" s="432" t="s">
        <v>6022</v>
      </c>
      <c r="F667" s="434">
        <v>6</v>
      </c>
      <c r="G667" s="434">
        <v>9847843524</v>
      </c>
      <c r="I667" s="434">
        <v>27</v>
      </c>
      <c r="J667" s="434" t="s">
        <v>90</v>
      </c>
      <c r="K667" s="434" t="s">
        <v>3293</v>
      </c>
      <c r="M667" s="434" t="s">
        <v>1764</v>
      </c>
      <c r="N667" s="730">
        <v>65302</v>
      </c>
      <c r="O667" s="730">
        <v>65302</v>
      </c>
      <c r="P667" s="459">
        <v>65309</v>
      </c>
      <c r="Q667" s="432" t="s">
        <v>51</v>
      </c>
    </row>
    <row r="668" spans="1:17">
      <c r="A668" s="509">
        <f t="shared" si="10"/>
        <v>667</v>
      </c>
      <c r="B668" s="1332" t="s">
        <v>43</v>
      </c>
      <c r="C668" s="943" t="s">
        <v>44</v>
      </c>
      <c r="D668" s="943" t="s">
        <v>45</v>
      </c>
      <c r="E668" s="432" t="s">
        <v>6023</v>
      </c>
      <c r="F668" s="434">
        <v>6</v>
      </c>
      <c r="G668" s="434">
        <v>9847843524</v>
      </c>
      <c r="I668" s="434">
        <v>33</v>
      </c>
      <c r="J668" s="120" t="s">
        <v>48</v>
      </c>
      <c r="K668" s="434" t="s">
        <v>3293</v>
      </c>
      <c r="M668" s="434" t="s">
        <v>1764</v>
      </c>
      <c r="N668" s="730">
        <v>65302</v>
      </c>
      <c r="O668" s="730">
        <v>65302</v>
      </c>
      <c r="P668" s="459">
        <v>65309</v>
      </c>
      <c r="Q668" s="432" t="s">
        <v>51</v>
      </c>
    </row>
    <row r="669" spans="1:17">
      <c r="A669" s="509">
        <f t="shared" si="10"/>
        <v>668</v>
      </c>
      <c r="B669" s="1332" t="s">
        <v>43</v>
      </c>
      <c r="C669" s="943" t="s">
        <v>44</v>
      </c>
      <c r="D669" s="943" t="s">
        <v>45</v>
      </c>
      <c r="E669" s="432" t="s">
        <v>6050</v>
      </c>
      <c r="F669" s="434">
        <v>12</v>
      </c>
      <c r="G669" s="434">
        <v>9866916611</v>
      </c>
      <c r="I669" s="434">
        <v>48</v>
      </c>
      <c r="J669" s="120" t="s">
        <v>48</v>
      </c>
      <c r="K669" s="434" t="s">
        <v>5405</v>
      </c>
      <c r="M669" s="434" t="s">
        <v>1764</v>
      </c>
      <c r="N669" s="730">
        <v>65303</v>
      </c>
      <c r="O669" s="730">
        <v>65303</v>
      </c>
      <c r="P669" s="459">
        <v>65311</v>
      </c>
      <c r="Q669" s="432" t="s">
        <v>51</v>
      </c>
    </row>
    <row r="670" spans="1:17">
      <c r="A670" s="509">
        <f t="shared" si="10"/>
        <v>669</v>
      </c>
      <c r="B670" s="1332" t="s">
        <v>43</v>
      </c>
      <c r="C670" s="943" t="s">
        <v>44</v>
      </c>
      <c r="D670" s="943" t="s">
        <v>45</v>
      </c>
      <c r="E670" s="432" t="s">
        <v>6051</v>
      </c>
      <c r="F670" s="434">
        <v>5</v>
      </c>
      <c r="G670" s="434">
        <v>9866740416</v>
      </c>
      <c r="I670" s="434">
        <v>21</v>
      </c>
      <c r="J670" s="434" t="s">
        <v>90</v>
      </c>
      <c r="K670" s="434" t="s">
        <v>5405</v>
      </c>
      <c r="M670" s="434" t="s">
        <v>1764</v>
      </c>
      <c r="N670" s="730">
        <v>65303</v>
      </c>
      <c r="O670" s="730">
        <v>65303</v>
      </c>
      <c r="P670" s="459">
        <v>65311</v>
      </c>
      <c r="Q670" s="432" t="s">
        <v>51</v>
      </c>
    </row>
    <row r="671" spans="1:17">
      <c r="A671" s="509">
        <f t="shared" si="10"/>
        <v>670</v>
      </c>
      <c r="B671" s="1332" t="s">
        <v>43</v>
      </c>
      <c r="C671" s="943" t="s">
        <v>44</v>
      </c>
      <c r="D671" s="943" t="s">
        <v>45</v>
      </c>
      <c r="E671" s="432" t="s">
        <v>6052</v>
      </c>
      <c r="F671" s="434">
        <v>6</v>
      </c>
      <c r="G671" s="434">
        <v>9868600925</v>
      </c>
      <c r="I671" s="434">
        <v>54</v>
      </c>
      <c r="J671" s="434" t="s">
        <v>90</v>
      </c>
      <c r="K671" s="434" t="s">
        <v>5405</v>
      </c>
      <c r="M671" s="434" t="s">
        <v>1764</v>
      </c>
      <c r="N671" s="730">
        <v>65303</v>
      </c>
      <c r="O671" s="730">
        <v>65303</v>
      </c>
      <c r="P671" s="459">
        <v>65311</v>
      </c>
      <c r="Q671" s="432" t="s">
        <v>51</v>
      </c>
    </row>
    <row r="672" spans="1:17">
      <c r="A672" s="509">
        <f t="shared" si="10"/>
        <v>671</v>
      </c>
      <c r="B672" s="1332" t="s">
        <v>43</v>
      </c>
      <c r="C672" s="943" t="s">
        <v>44</v>
      </c>
      <c r="D672" s="943" t="s">
        <v>45</v>
      </c>
      <c r="E672" s="432" t="s">
        <v>6053</v>
      </c>
      <c r="F672" s="434">
        <v>6</v>
      </c>
      <c r="G672" s="434">
        <v>9868600925</v>
      </c>
      <c r="I672" s="434">
        <v>55</v>
      </c>
      <c r="J672" s="120" t="s">
        <v>48</v>
      </c>
      <c r="K672" s="434" t="s">
        <v>5405</v>
      </c>
      <c r="M672" s="434" t="s">
        <v>1764</v>
      </c>
      <c r="N672" s="730">
        <v>65303</v>
      </c>
      <c r="O672" s="730">
        <v>65303</v>
      </c>
      <c r="P672" s="459">
        <v>65311</v>
      </c>
      <c r="Q672" s="432" t="s">
        <v>51</v>
      </c>
    </row>
    <row r="673" spans="1:17">
      <c r="A673" s="509">
        <f t="shared" si="10"/>
        <v>672</v>
      </c>
      <c r="B673" s="1332" t="s">
        <v>43</v>
      </c>
      <c r="C673" s="943" t="s">
        <v>44</v>
      </c>
      <c r="D673" s="943" t="s">
        <v>45</v>
      </c>
      <c r="E673" s="432" t="s">
        <v>6054</v>
      </c>
      <c r="F673" s="434">
        <v>8</v>
      </c>
      <c r="G673" s="434">
        <v>9845016951</v>
      </c>
      <c r="I673" s="434">
        <v>21</v>
      </c>
      <c r="J673" s="434" t="s">
        <v>90</v>
      </c>
      <c r="K673" s="434" t="s">
        <v>5405</v>
      </c>
      <c r="M673" s="434" t="s">
        <v>1764</v>
      </c>
      <c r="N673" s="730">
        <v>65303</v>
      </c>
      <c r="O673" s="730">
        <v>65303</v>
      </c>
      <c r="P673" s="459">
        <v>65311</v>
      </c>
      <c r="Q673" s="432" t="s">
        <v>51</v>
      </c>
    </row>
    <row r="674" spans="1:17">
      <c r="A674" s="509">
        <f t="shared" si="10"/>
        <v>673</v>
      </c>
      <c r="B674" s="1332" t="s">
        <v>43</v>
      </c>
      <c r="C674" s="943" t="s">
        <v>44</v>
      </c>
      <c r="D674" s="943" t="s">
        <v>45</v>
      </c>
      <c r="E674" s="432" t="s">
        <v>6055</v>
      </c>
      <c r="F674" s="434">
        <v>6</v>
      </c>
      <c r="G674" s="434">
        <v>9857885900</v>
      </c>
      <c r="I674" s="434">
        <v>50</v>
      </c>
      <c r="J674" s="434" t="s">
        <v>90</v>
      </c>
      <c r="K674" s="434" t="s">
        <v>5405</v>
      </c>
      <c r="M674" s="434" t="s">
        <v>1764</v>
      </c>
      <c r="N674" s="730">
        <v>65303</v>
      </c>
      <c r="O674" s="730">
        <v>65303</v>
      </c>
      <c r="P674" s="459">
        <v>65311</v>
      </c>
      <c r="Q674" s="432" t="s">
        <v>51</v>
      </c>
    </row>
    <row r="675" spans="1:17">
      <c r="A675" s="509">
        <f t="shared" si="10"/>
        <v>674</v>
      </c>
      <c r="B675" s="1332" t="s">
        <v>43</v>
      </c>
      <c r="C675" s="943" t="s">
        <v>44</v>
      </c>
      <c r="D675" s="943" t="s">
        <v>45</v>
      </c>
      <c r="E675" s="432" t="s">
        <v>6056</v>
      </c>
      <c r="F675" s="434">
        <v>5</v>
      </c>
      <c r="G675" s="434">
        <v>9847960399</v>
      </c>
      <c r="I675" s="434">
        <v>32</v>
      </c>
      <c r="J675" s="434" t="s">
        <v>90</v>
      </c>
      <c r="K675" s="434" t="s">
        <v>5405</v>
      </c>
      <c r="M675" s="434" t="s">
        <v>1764</v>
      </c>
      <c r="N675" s="730">
        <v>65303</v>
      </c>
      <c r="O675" s="730">
        <v>65303</v>
      </c>
      <c r="P675" s="459">
        <v>65311</v>
      </c>
      <c r="Q675" s="432" t="s">
        <v>51</v>
      </c>
    </row>
    <row r="676" spans="1:17">
      <c r="A676" s="509">
        <f t="shared" si="10"/>
        <v>675</v>
      </c>
      <c r="B676" s="1332" t="s">
        <v>43</v>
      </c>
      <c r="C676" s="943" t="s">
        <v>44</v>
      </c>
      <c r="D676" s="943" t="s">
        <v>45</v>
      </c>
      <c r="E676" s="432" t="s">
        <v>6057</v>
      </c>
      <c r="F676" s="434">
        <v>9</v>
      </c>
      <c r="G676" s="434">
        <v>9866917333</v>
      </c>
      <c r="I676" s="434">
        <v>36</v>
      </c>
      <c r="J676" s="434" t="s">
        <v>90</v>
      </c>
      <c r="K676" s="434" t="s">
        <v>5405</v>
      </c>
      <c r="M676" s="434" t="s">
        <v>1764</v>
      </c>
      <c r="N676" s="730">
        <v>65303</v>
      </c>
      <c r="O676" s="730">
        <v>65303</v>
      </c>
      <c r="P676" s="459">
        <v>65311</v>
      </c>
      <c r="Q676" s="432" t="s">
        <v>51</v>
      </c>
    </row>
    <row r="677" spans="1:17">
      <c r="A677" s="509">
        <f t="shared" si="10"/>
        <v>676</v>
      </c>
      <c r="B677" s="1332" t="s">
        <v>43</v>
      </c>
      <c r="C677" s="943" t="s">
        <v>44</v>
      </c>
      <c r="D677" s="943" t="s">
        <v>45</v>
      </c>
      <c r="E677" s="432" t="s">
        <v>6058</v>
      </c>
      <c r="F677" s="434">
        <v>5</v>
      </c>
      <c r="G677" s="434">
        <v>9844903944</v>
      </c>
      <c r="I677" s="434">
        <v>40</v>
      </c>
      <c r="J677" s="120" t="s">
        <v>48</v>
      </c>
      <c r="K677" s="434" t="s">
        <v>5405</v>
      </c>
      <c r="M677" s="434" t="s">
        <v>1764</v>
      </c>
      <c r="N677" s="730">
        <v>65303</v>
      </c>
      <c r="O677" s="730">
        <v>65303</v>
      </c>
      <c r="P677" s="459">
        <v>65311</v>
      </c>
      <c r="Q677" s="432" t="s">
        <v>51</v>
      </c>
    </row>
    <row r="678" spans="1:17">
      <c r="A678" s="509">
        <f t="shared" si="10"/>
        <v>677</v>
      </c>
      <c r="B678" s="1332" t="s">
        <v>43</v>
      </c>
      <c r="C678" s="943" t="s">
        <v>44</v>
      </c>
      <c r="D678" s="943" t="s">
        <v>45</v>
      </c>
      <c r="E678" s="432" t="s">
        <v>6059</v>
      </c>
      <c r="F678" s="434">
        <v>5</v>
      </c>
      <c r="I678" s="434">
        <v>71</v>
      </c>
      <c r="J678" s="120" t="s">
        <v>48</v>
      </c>
      <c r="K678" s="434" t="s">
        <v>5405</v>
      </c>
      <c r="M678" s="434" t="s">
        <v>1764</v>
      </c>
      <c r="N678" s="730">
        <v>65303</v>
      </c>
      <c r="O678" s="730">
        <v>65303</v>
      </c>
      <c r="P678" s="459">
        <v>65311</v>
      </c>
      <c r="Q678" s="432" t="s">
        <v>51</v>
      </c>
    </row>
    <row r="679" spans="1:17">
      <c r="A679" s="509">
        <f t="shared" si="10"/>
        <v>678</v>
      </c>
      <c r="B679" s="1332" t="s">
        <v>43</v>
      </c>
      <c r="C679" s="943" t="s">
        <v>44</v>
      </c>
      <c r="D679" s="943" t="s">
        <v>45</v>
      </c>
      <c r="E679" s="432" t="s">
        <v>6060</v>
      </c>
      <c r="F679" s="434">
        <v>5</v>
      </c>
      <c r="G679" s="434">
        <v>9847940152</v>
      </c>
      <c r="I679" s="434">
        <v>51</v>
      </c>
      <c r="J679" s="434" t="s">
        <v>90</v>
      </c>
      <c r="K679" s="434" t="s">
        <v>5405</v>
      </c>
      <c r="M679" s="434" t="s">
        <v>1764</v>
      </c>
      <c r="N679" s="730">
        <v>65303</v>
      </c>
      <c r="O679" s="730">
        <v>65303</v>
      </c>
      <c r="P679" s="459">
        <v>65311</v>
      </c>
      <c r="Q679" s="432" t="s">
        <v>51</v>
      </c>
    </row>
    <row r="680" spans="1:17">
      <c r="A680" s="509">
        <f t="shared" si="10"/>
        <v>679</v>
      </c>
      <c r="B680" s="1332" t="s">
        <v>43</v>
      </c>
      <c r="C680" s="943" t="s">
        <v>44</v>
      </c>
      <c r="D680" s="943" t="s">
        <v>45</v>
      </c>
      <c r="E680" s="432" t="s">
        <v>6061</v>
      </c>
      <c r="F680" s="434">
        <v>5</v>
      </c>
      <c r="G680" s="434">
        <v>9847984771</v>
      </c>
      <c r="I680" s="434">
        <v>25</v>
      </c>
      <c r="J680" s="434" t="s">
        <v>90</v>
      </c>
      <c r="K680" s="434" t="s">
        <v>5405</v>
      </c>
      <c r="M680" s="434" t="s">
        <v>1764</v>
      </c>
      <c r="N680" s="730">
        <v>65303</v>
      </c>
      <c r="O680" s="730">
        <v>65303</v>
      </c>
      <c r="P680" s="459">
        <v>65311</v>
      </c>
      <c r="Q680" s="432" t="s">
        <v>51</v>
      </c>
    </row>
    <row r="681" spans="1:17">
      <c r="A681" s="509">
        <f t="shared" si="10"/>
        <v>680</v>
      </c>
      <c r="B681" s="1332" t="s">
        <v>43</v>
      </c>
      <c r="C681" s="943" t="s">
        <v>44</v>
      </c>
      <c r="D681" s="943" t="s">
        <v>45</v>
      </c>
      <c r="E681" s="432" t="s">
        <v>6024</v>
      </c>
      <c r="F681" s="434">
        <v>5</v>
      </c>
      <c r="G681" s="434">
        <v>9857880428</v>
      </c>
      <c r="I681" s="434">
        <v>28</v>
      </c>
      <c r="J681" s="120" t="s">
        <v>48</v>
      </c>
      <c r="K681" s="434" t="s">
        <v>5405</v>
      </c>
      <c r="M681" s="434" t="s">
        <v>1764</v>
      </c>
      <c r="N681" s="730">
        <v>65304</v>
      </c>
      <c r="O681" s="730">
        <v>65304</v>
      </c>
      <c r="P681" s="459">
        <v>65311</v>
      </c>
      <c r="Q681" s="432" t="s">
        <v>51</v>
      </c>
    </row>
    <row r="682" spans="1:17">
      <c r="A682" s="509">
        <f t="shared" si="10"/>
        <v>681</v>
      </c>
      <c r="B682" s="1332" t="s">
        <v>43</v>
      </c>
      <c r="C682" s="943" t="s">
        <v>44</v>
      </c>
      <c r="D682" s="943" t="s">
        <v>45</v>
      </c>
      <c r="E682" s="432" t="s">
        <v>6025</v>
      </c>
      <c r="F682" s="434">
        <v>6</v>
      </c>
      <c r="G682" s="434">
        <v>9847884118</v>
      </c>
      <c r="I682" s="434">
        <v>60</v>
      </c>
      <c r="J682" s="120" t="s">
        <v>48</v>
      </c>
      <c r="K682" s="434" t="s">
        <v>5405</v>
      </c>
      <c r="M682" s="434" t="s">
        <v>1764</v>
      </c>
      <c r="N682" s="730">
        <v>65304</v>
      </c>
      <c r="O682" s="730">
        <v>65304</v>
      </c>
      <c r="P682" s="459">
        <v>65311</v>
      </c>
      <c r="Q682" s="432" t="s">
        <v>51</v>
      </c>
    </row>
    <row r="683" spans="1:17">
      <c r="A683" s="509">
        <f t="shared" si="10"/>
        <v>682</v>
      </c>
      <c r="B683" s="1332" t="s">
        <v>43</v>
      </c>
      <c r="C683" s="943" t="s">
        <v>44</v>
      </c>
      <c r="D683" s="943" t="s">
        <v>45</v>
      </c>
      <c r="E683" s="432" t="s">
        <v>6026</v>
      </c>
      <c r="F683" s="434">
        <v>6</v>
      </c>
      <c r="G683" s="434">
        <v>9847884118</v>
      </c>
      <c r="I683" s="434">
        <v>55</v>
      </c>
      <c r="J683" s="434" t="s">
        <v>90</v>
      </c>
      <c r="K683" s="434" t="s">
        <v>5405</v>
      </c>
      <c r="M683" s="434" t="s">
        <v>1764</v>
      </c>
      <c r="N683" s="730">
        <v>65304</v>
      </c>
      <c r="O683" s="730">
        <v>65304</v>
      </c>
      <c r="P683" s="459">
        <v>65311</v>
      </c>
      <c r="Q683" s="432" t="s">
        <v>51</v>
      </c>
    </row>
    <row r="684" spans="1:17">
      <c r="A684" s="509">
        <f t="shared" si="10"/>
        <v>683</v>
      </c>
      <c r="B684" s="1332" t="s">
        <v>43</v>
      </c>
      <c r="C684" s="943" t="s">
        <v>44</v>
      </c>
      <c r="D684" s="943" t="s">
        <v>45</v>
      </c>
      <c r="E684" s="432" t="s">
        <v>6027</v>
      </c>
      <c r="F684" s="434">
        <v>9</v>
      </c>
      <c r="G684" s="434">
        <v>9857822156</v>
      </c>
      <c r="I684" s="434">
        <v>38</v>
      </c>
      <c r="J684" s="120" t="s">
        <v>48</v>
      </c>
      <c r="K684" s="434" t="s">
        <v>5405</v>
      </c>
      <c r="M684" s="434" t="s">
        <v>1764</v>
      </c>
      <c r="N684" s="730">
        <v>65304</v>
      </c>
      <c r="O684" s="730">
        <v>65304</v>
      </c>
      <c r="P684" s="459">
        <v>65311</v>
      </c>
      <c r="Q684" s="432" t="s">
        <v>51</v>
      </c>
    </row>
    <row r="685" spans="1:17">
      <c r="A685" s="509">
        <f t="shared" si="10"/>
        <v>684</v>
      </c>
      <c r="B685" s="1332" t="s">
        <v>43</v>
      </c>
      <c r="C685" s="943" t="s">
        <v>44</v>
      </c>
      <c r="D685" s="943" t="s">
        <v>45</v>
      </c>
      <c r="E685" s="432" t="s">
        <v>6028</v>
      </c>
      <c r="F685" s="434">
        <v>5</v>
      </c>
      <c r="G685" s="434">
        <v>9810847383</v>
      </c>
      <c r="I685" s="434">
        <v>44</v>
      </c>
      <c r="J685" s="120" t="s">
        <v>48</v>
      </c>
      <c r="K685" s="434" t="s">
        <v>5405</v>
      </c>
      <c r="M685" s="434" t="s">
        <v>1764</v>
      </c>
      <c r="N685" s="730">
        <v>65304</v>
      </c>
      <c r="O685" s="730">
        <v>65304</v>
      </c>
      <c r="P685" s="459">
        <v>65311</v>
      </c>
      <c r="Q685" s="432" t="s">
        <v>51</v>
      </c>
    </row>
    <row r="686" spans="1:17">
      <c r="A686" s="509">
        <f t="shared" si="10"/>
        <v>685</v>
      </c>
      <c r="B686" s="1332" t="s">
        <v>43</v>
      </c>
      <c r="C686" s="943" t="s">
        <v>44</v>
      </c>
      <c r="D686" s="943" t="s">
        <v>45</v>
      </c>
      <c r="E686" s="432" t="s">
        <v>6029</v>
      </c>
      <c r="F686" s="434">
        <v>8</v>
      </c>
      <c r="G686" s="434">
        <v>9810847383</v>
      </c>
      <c r="I686" s="434">
        <v>65</v>
      </c>
      <c r="J686" s="434" t="s">
        <v>90</v>
      </c>
      <c r="K686" s="434" t="s">
        <v>5405</v>
      </c>
      <c r="M686" s="434" t="s">
        <v>1764</v>
      </c>
      <c r="N686" s="730">
        <v>65304</v>
      </c>
      <c r="O686" s="730">
        <v>65304</v>
      </c>
      <c r="P686" s="459">
        <v>65311</v>
      </c>
      <c r="Q686" s="432" t="s">
        <v>51</v>
      </c>
    </row>
    <row r="687" spans="1:17">
      <c r="A687" s="509">
        <f t="shared" si="10"/>
        <v>686</v>
      </c>
      <c r="B687" s="1332" t="s">
        <v>43</v>
      </c>
      <c r="C687" s="943" t="s">
        <v>44</v>
      </c>
      <c r="D687" s="943" t="s">
        <v>45</v>
      </c>
      <c r="E687" s="432" t="s">
        <v>6030</v>
      </c>
      <c r="F687" s="434">
        <v>6</v>
      </c>
      <c r="G687" s="434">
        <v>9809578601</v>
      </c>
      <c r="I687" s="434">
        <v>59</v>
      </c>
      <c r="J687" s="120" t="s">
        <v>48</v>
      </c>
      <c r="K687" s="434" t="s">
        <v>5405</v>
      </c>
      <c r="M687" s="434" t="s">
        <v>1764</v>
      </c>
      <c r="N687" s="730">
        <v>65304</v>
      </c>
      <c r="O687" s="730">
        <v>65304</v>
      </c>
      <c r="P687" s="459">
        <v>65311</v>
      </c>
      <c r="Q687" s="432" t="s">
        <v>51</v>
      </c>
    </row>
    <row r="688" spans="1:17">
      <c r="A688" s="509">
        <f t="shared" si="10"/>
        <v>687</v>
      </c>
      <c r="B688" s="1332" t="s">
        <v>43</v>
      </c>
      <c r="C688" s="943" t="s">
        <v>44</v>
      </c>
      <c r="D688" s="943" t="s">
        <v>45</v>
      </c>
      <c r="E688" s="432" t="s">
        <v>6031</v>
      </c>
      <c r="F688" s="434">
        <v>6</v>
      </c>
      <c r="G688" s="434">
        <v>9809578601</v>
      </c>
      <c r="I688" s="434">
        <v>34</v>
      </c>
      <c r="J688" s="120" t="s">
        <v>48</v>
      </c>
      <c r="K688" s="434" t="s">
        <v>5405</v>
      </c>
      <c r="M688" s="434" t="s">
        <v>1764</v>
      </c>
      <c r="N688" s="730">
        <v>65304</v>
      </c>
      <c r="O688" s="730">
        <v>65304</v>
      </c>
      <c r="P688" s="459">
        <v>65311</v>
      </c>
      <c r="Q688" s="432" t="s">
        <v>51</v>
      </c>
    </row>
    <row r="689" spans="1:17">
      <c r="A689" s="509">
        <f t="shared" si="10"/>
        <v>688</v>
      </c>
      <c r="B689" s="1332" t="s">
        <v>43</v>
      </c>
      <c r="C689" s="943" t="s">
        <v>44</v>
      </c>
      <c r="D689" s="943" t="s">
        <v>45</v>
      </c>
      <c r="E689" s="432" t="s">
        <v>6032</v>
      </c>
      <c r="F689" s="434">
        <v>5</v>
      </c>
      <c r="G689" s="434">
        <v>984179701</v>
      </c>
      <c r="I689" s="434">
        <v>19</v>
      </c>
      <c r="J689" s="120" t="s">
        <v>48</v>
      </c>
      <c r="K689" s="434" t="s">
        <v>5405</v>
      </c>
      <c r="M689" s="434" t="s">
        <v>1764</v>
      </c>
      <c r="N689" s="730">
        <v>65304</v>
      </c>
      <c r="O689" s="730">
        <v>65304</v>
      </c>
      <c r="P689" s="459">
        <v>65311</v>
      </c>
      <c r="Q689" s="432" t="s">
        <v>51</v>
      </c>
    </row>
    <row r="690" spans="1:17">
      <c r="A690" s="509">
        <f t="shared" si="10"/>
        <v>689</v>
      </c>
      <c r="B690" s="1332" t="s">
        <v>43</v>
      </c>
      <c r="C690" s="943" t="s">
        <v>44</v>
      </c>
      <c r="D690" s="943" t="s">
        <v>45</v>
      </c>
      <c r="E690" s="432" t="s">
        <v>6033</v>
      </c>
      <c r="F690" s="434">
        <v>18</v>
      </c>
      <c r="G690" s="434">
        <v>9847849215</v>
      </c>
      <c r="I690" s="434">
        <v>42</v>
      </c>
      <c r="J690" s="434" t="s">
        <v>90</v>
      </c>
      <c r="K690" s="434" t="s">
        <v>5405</v>
      </c>
      <c r="M690" s="434" t="s">
        <v>1764</v>
      </c>
      <c r="N690" s="730">
        <v>65304</v>
      </c>
      <c r="O690" s="730">
        <v>65304</v>
      </c>
      <c r="P690" s="459">
        <v>65311</v>
      </c>
      <c r="Q690" s="432" t="s">
        <v>51</v>
      </c>
    </row>
    <row r="691" spans="1:17">
      <c r="A691" s="509">
        <f t="shared" si="10"/>
        <v>690</v>
      </c>
      <c r="B691" s="1332" t="s">
        <v>43</v>
      </c>
      <c r="C691" s="943" t="s">
        <v>44</v>
      </c>
      <c r="D691" s="943" t="s">
        <v>45</v>
      </c>
      <c r="E691" s="432" t="s">
        <v>6034</v>
      </c>
      <c r="F691" s="434">
        <v>9</v>
      </c>
      <c r="G691" s="434">
        <v>9847886444</v>
      </c>
      <c r="I691" s="434">
        <v>32</v>
      </c>
      <c r="J691" s="434" t="s">
        <v>90</v>
      </c>
      <c r="K691" s="434" t="s">
        <v>5405</v>
      </c>
      <c r="M691" s="434" t="s">
        <v>1764</v>
      </c>
      <c r="N691" s="730">
        <v>65304</v>
      </c>
      <c r="O691" s="730">
        <v>65304</v>
      </c>
      <c r="P691" s="459">
        <v>65311</v>
      </c>
      <c r="Q691" s="432" t="s">
        <v>51</v>
      </c>
    </row>
    <row r="692" spans="1:17">
      <c r="A692" s="509">
        <f t="shared" si="10"/>
        <v>691</v>
      </c>
      <c r="B692" s="1332" t="s">
        <v>43</v>
      </c>
      <c r="C692" s="943" t="s">
        <v>44</v>
      </c>
      <c r="D692" s="943" t="s">
        <v>45</v>
      </c>
      <c r="E692" s="432" t="s">
        <v>6035</v>
      </c>
      <c r="F692" s="434">
        <v>5</v>
      </c>
      <c r="G692" s="434">
        <v>9847908400</v>
      </c>
      <c r="I692" s="434">
        <v>22</v>
      </c>
      <c r="J692" s="434" t="s">
        <v>90</v>
      </c>
      <c r="K692" s="434" t="s">
        <v>5405</v>
      </c>
      <c r="M692" s="434" t="s">
        <v>1764</v>
      </c>
      <c r="N692" s="730">
        <v>65304</v>
      </c>
      <c r="O692" s="730">
        <v>65304</v>
      </c>
      <c r="P692" s="459">
        <v>65311</v>
      </c>
      <c r="Q692" s="432" t="s">
        <v>51</v>
      </c>
    </row>
    <row r="693" spans="1:17">
      <c r="A693" s="509">
        <f t="shared" si="10"/>
        <v>692</v>
      </c>
      <c r="B693" s="1332" t="s">
        <v>43</v>
      </c>
      <c r="C693" s="943" t="s">
        <v>44</v>
      </c>
      <c r="D693" s="943" t="s">
        <v>45</v>
      </c>
      <c r="E693" s="432" t="s">
        <v>6036</v>
      </c>
      <c r="F693" s="434">
        <v>18</v>
      </c>
      <c r="G693" s="434">
        <v>9857822334</v>
      </c>
      <c r="I693" s="434">
        <v>54</v>
      </c>
      <c r="J693" s="120" t="s">
        <v>48</v>
      </c>
      <c r="K693" s="434" t="s">
        <v>5405</v>
      </c>
      <c r="M693" s="434" t="s">
        <v>1764</v>
      </c>
      <c r="N693" s="730">
        <v>65304</v>
      </c>
      <c r="O693" s="730">
        <v>65304</v>
      </c>
      <c r="P693" s="459">
        <v>65311</v>
      </c>
      <c r="Q693" s="432" t="s">
        <v>51</v>
      </c>
    </row>
    <row r="694" spans="1:17">
      <c r="A694" s="509">
        <f t="shared" si="10"/>
        <v>693</v>
      </c>
      <c r="B694" s="1332" t="s">
        <v>43</v>
      </c>
      <c r="C694" s="943" t="s">
        <v>44</v>
      </c>
      <c r="D694" s="943" t="s">
        <v>45</v>
      </c>
      <c r="E694" s="432" t="s">
        <v>6037</v>
      </c>
      <c r="F694" s="434">
        <v>3</v>
      </c>
      <c r="G694" s="434">
        <v>9848017483</v>
      </c>
      <c r="I694" s="434">
        <v>22</v>
      </c>
      <c r="J694" s="120" t="s">
        <v>48</v>
      </c>
      <c r="K694" s="434" t="s">
        <v>5405</v>
      </c>
      <c r="M694" s="434" t="s">
        <v>1764</v>
      </c>
      <c r="N694" s="730">
        <v>65304</v>
      </c>
      <c r="O694" s="730">
        <v>65304</v>
      </c>
      <c r="P694" s="459">
        <v>65311</v>
      </c>
      <c r="Q694" s="432" t="s">
        <v>51</v>
      </c>
    </row>
    <row r="695" spans="1:17">
      <c r="A695" s="509">
        <f t="shared" si="10"/>
        <v>694</v>
      </c>
      <c r="B695" s="1332" t="s">
        <v>43</v>
      </c>
      <c r="C695" s="943" t="s">
        <v>44</v>
      </c>
      <c r="D695" s="943" t="s">
        <v>45</v>
      </c>
      <c r="E695" s="432" t="s">
        <v>6038</v>
      </c>
      <c r="F695" s="434">
        <v>5</v>
      </c>
      <c r="G695" s="434">
        <v>9866948021</v>
      </c>
      <c r="I695" s="434">
        <v>20</v>
      </c>
      <c r="J695" s="434" t="s">
        <v>90</v>
      </c>
      <c r="K695" s="434" t="s">
        <v>3293</v>
      </c>
      <c r="M695" s="434" t="s">
        <v>1764</v>
      </c>
      <c r="N695" s="730">
        <v>65304</v>
      </c>
      <c r="O695" s="730">
        <v>65304</v>
      </c>
      <c r="P695" s="459">
        <v>65311</v>
      </c>
      <c r="Q695" s="432" t="s">
        <v>51</v>
      </c>
    </row>
    <row r="696" spans="1:17">
      <c r="A696" s="509">
        <f t="shared" si="10"/>
        <v>695</v>
      </c>
      <c r="B696" s="1332" t="s">
        <v>43</v>
      </c>
      <c r="C696" s="943" t="s">
        <v>44</v>
      </c>
      <c r="D696" s="943" t="s">
        <v>45</v>
      </c>
      <c r="E696" s="432" t="s">
        <v>6039</v>
      </c>
      <c r="F696" s="434">
        <v>7</v>
      </c>
      <c r="G696" s="434">
        <v>9847844382</v>
      </c>
      <c r="I696" s="434">
        <v>45</v>
      </c>
      <c r="J696" s="120" t="s">
        <v>48</v>
      </c>
      <c r="K696" s="434" t="s">
        <v>3293</v>
      </c>
      <c r="M696" s="434" t="s">
        <v>1764</v>
      </c>
      <c r="N696" s="730">
        <v>65304</v>
      </c>
      <c r="O696" s="730">
        <v>65304</v>
      </c>
      <c r="P696" s="459">
        <v>65311</v>
      </c>
      <c r="Q696" s="432" t="s">
        <v>51</v>
      </c>
    </row>
    <row r="697" spans="1:17">
      <c r="A697" s="509">
        <f t="shared" si="10"/>
        <v>696</v>
      </c>
      <c r="B697" s="1332" t="s">
        <v>43</v>
      </c>
      <c r="C697" s="943" t="s">
        <v>44</v>
      </c>
      <c r="D697" s="943" t="s">
        <v>45</v>
      </c>
      <c r="E697" s="432" t="s">
        <v>6040</v>
      </c>
      <c r="F697" s="434">
        <v>5</v>
      </c>
      <c r="G697" s="434">
        <v>9810968439</v>
      </c>
      <c r="I697" s="434">
        <v>38</v>
      </c>
      <c r="J697" s="120" t="s">
        <v>48</v>
      </c>
      <c r="K697" s="434" t="s">
        <v>3293</v>
      </c>
      <c r="M697" s="434" t="s">
        <v>1764</v>
      </c>
      <c r="N697" s="730">
        <v>65304</v>
      </c>
      <c r="O697" s="730">
        <v>65304</v>
      </c>
      <c r="P697" s="459">
        <v>65311</v>
      </c>
      <c r="Q697" s="432" t="s">
        <v>51</v>
      </c>
    </row>
    <row r="698" spans="1:17">
      <c r="A698" s="509">
        <f t="shared" si="10"/>
        <v>697</v>
      </c>
      <c r="B698" s="1332" t="s">
        <v>43</v>
      </c>
      <c r="C698" s="943" t="s">
        <v>44</v>
      </c>
      <c r="D698" s="943" t="s">
        <v>45</v>
      </c>
      <c r="E698" s="432" t="s">
        <v>6041</v>
      </c>
      <c r="F698" s="434">
        <v>5</v>
      </c>
      <c r="G698" s="434">
        <v>9861897908</v>
      </c>
      <c r="I698" s="434">
        <v>32</v>
      </c>
      <c r="J698" s="434" t="s">
        <v>90</v>
      </c>
      <c r="K698" s="434" t="s">
        <v>3293</v>
      </c>
      <c r="M698" s="434" t="s">
        <v>1764</v>
      </c>
      <c r="N698" s="730">
        <v>65304</v>
      </c>
      <c r="O698" s="730">
        <v>65304</v>
      </c>
      <c r="P698" s="459">
        <v>65311</v>
      </c>
      <c r="Q698" s="432" t="s">
        <v>51</v>
      </c>
    </row>
    <row r="699" spans="1:17">
      <c r="A699" s="509">
        <f t="shared" si="10"/>
        <v>698</v>
      </c>
      <c r="B699" s="1332" t="s">
        <v>43</v>
      </c>
      <c r="C699" s="943" t="s">
        <v>44</v>
      </c>
      <c r="D699" s="943" t="s">
        <v>45</v>
      </c>
      <c r="E699" s="432" t="s">
        <v>6042</v>
      </c>
      <c r="F699" s="434">
        <v>5</v>
      </c>
      <c r="G699" s="434">
        <v>9866164345</v>
      </c>
      <c r="I699" s="434">
        <v>23</v>
      </c>
      <c r="J699" s="434" t="s">
        <v>90</v>
      </c>
      <c r="K699" s="434" t="s">
        <v>3293</v>
      </c>
      <c r="M699" s="434" t="s">
        <v>1764</v>
      </c>
      <c r="N699" s="730">
        <v>65304</v>
      </c>
      <c r="O699" s="730">
        <v>65304</v>
      </c>
      <c r="P699" s="459">
        <v>65311</v>
      </c>
      <c r="Q699" s="432" t="s">
        <v>51</v>
      </c>
    </row>
    <row r="700" spans="1:17">
      <c r="A700" s="509">
        <f t="shared" si="10"/>
        <v>699</v>
      </c>
      <c r="B700" s="1332" t="s">
        <v>43</v>
      </c>
      <c r="C700" s="943" t="s">
        <v>44</v>
      </c>
      <c r="D700" s="943" t="s">
        <v>45</v>
      </c>
      <c r="E700" s="432" t="s">
        <v>6043</v>
      </c>
      <c r="F700" s="434">
        <v>5</v>
      </c>
      <c r="G700" s="434">
        <v>9810988383</v>
      </c>
      <c r="I700" s="434">
        <v>88</v>
      </c>
      <c r="J700" s="120" t="s">
        <v>48</v>
      </c>
      <c r="K700" s="434" t="s">
        <v>3293</v>
      </c>
      <c r="M700" s="434" t="s">
        <v>1764</v>
      </c>
      <c r="N700" s="730">
        <v>65304</v>
      </c>
      <c r="O700" s="730">
        <v>65304</v>
      </c>
      <c r="P700" s="459">
        <v>65311</v>
      </c>
      <c r="Q700" s="432" t="s">
        <v>51</v>
      </c>
    </row>
    <row r="701" spans="1:17">
      <c r="A701" s="509">
        <f t="shared" si="10"/>
        <v>700</v>
      </c>
      <c r="B701" s="1332" t="s">
        <v>43</v>
      </c>
      <c r="C701" s="943" t="s">
        <v>44</v>
      </c>
      <c r="D701" s="943" t="s">
        <v>45</v>
      </c>
      <c r="E701" s="432" t="s">
        <v>6044</v>
      </c>
      <c r="F701" s="434">
        <v>5</v>
      </c>
      <c r="G701" s="434">
        <v>9823141188</v>
      </c>
      <c r="I701" s="434">
        <v>83</v>
      </c>
      <c r="J701" s="120" t="s">
        <v>48</v>
      </c>
      <c r="K701" s="434" t="s">
        <v>3293</v>
      </c>
      <c r="M701" s="434" t="s">
        <v>1764</v>
      </c>
      <c r="N701" s="730">
        <v>65304</v>
      </c>
      <c r="O701" s="730">
        <v>65304</v>
      </c>
      <c r="P701" s="459">
        <v>65311</v>
      </c>
      <c r="Q701" s="432" t="s">
        <v>51</v>
      </c>
    </row>
    <row r="702" spans="1:17">
      <c r="A702" s="509">
        <f t="shared" si="10"/>
        <v>701</v>
      </c>
      <c r="B702" s="1332" t="s">
        <v>43</v>
      </c>
      <c r="C702" s="943" t="s">
        <v>44</v>
      </c>
      <c r="D702" s="943" t="s">
        <v>45</v>
      </c>
      <c r="E702" s="432" t="s">
        <v>6045</v>
      </c>
      <c r="F702" s="434">
        <v>5</v>
      </c>
      <c r="G702" s="434">
        <v>9822844039</v>
      </c>
      <c r="I702" s="434">
        <v>21</v>
      </c>
      <c r="J702" s="434" t="s">
        <v>90</v>
      </c>
      <c r="K702" s="434" t="s">
        <v>3293</v>
      </c>
      <c r="M702" s="434" t="s">
        <v>1764</v>
      </c>
      <c r="N702" s="730">
        <v>65304</v>
      </c>
      <c r="O702" s="730">
        <v>65304</v>
      </c>
      <c r="P702" s="459">
        <v>65311</v>
      </c>
      <c r="Q702" s="432" t="s">
        <v>51</v>
      </c>
    </row>
    <row r="703" spans="1:17">
      <c r="A703" s="509">
        <f t="shared" si="10"/>
        <v>702</v>
      </c>
      <c r="B703" s="1332" t="s">
        <v>43</v>
      </c>
      <c r="C703" s="943" t="s">
        <v>44</v>
      </c>
      <c r="D703" s="943" t="s">
        <v>45</v>
      </c>
      <c r="E703" s="432" t="s">
        <v>6046</v>
      </c>
      <c r="F703" s="434">
        <v>5</v>
      </c>
      <c r="G703" s="434">
        <v>9847899848</v>
      </c>
      <c r="I703" s="434">
        <v>30</v>
      </c>
      <c r="J703" s="120" t="s">
        <v>48</v>
      </c>
      <c r="K703" s="434" t="s">
        <v>3293</v>
      </c>
      <c r="M703" s="434" t="s">
        <v>1764</v>
      </c>
      <c r="N703" s="730">
        <v>65304</v>
      </c>
      <c r="O703" s="730">
        <v>65304</v>
      </c>
      <c r="P703" s="459">
        <v>65311</v>
      </c>
      <c r="Q703" s="432" t="s">
        <v>51</v>
      </c>
    </row>
    <row r="704" spans="1:17">
      <c r="A704" s="509">
        <f t="shared" si="10"/>
        <v>703</v>
      </c>
      <c r="B704" s="1332" t="s">
        <v>43</v>
      </c>
      <c r="C704" s="943" t="s">
        <v>44</v>
      </c>
      <c r="D704" s="943" t="s">
        <v>45</v>
      </c>
      <c r="E704" s="432" t="s">
        <v>6047</v>
      </c>
      <c r="F704" s="434">
        <v>6</v>
      </c>
      <c r="G704" s="434">
        <v>9844941160</v>
      </c>
      <c r="I704" s="434">
        <v>13</v>
      </c>
      <c r="J704" s="120" t="s">
        <v>48</v>
      </c>
      <c r="K704" s="434" t="s">
        <v>3293</v>
      </c>
      <c r="M704" s="434" t="s">
        <v>1764</v>
      </c>
      <c r="N704" s="730">
        <v>65304</v>
      </c>
      <c r="O704" s="730">
        <v>65304</v>
      </c>
      <c r="P704" s="459">
        <v>65311</v>
      </c>
      <c r="Q704" s="432" t="s">
        <v>51</v>
      </c>
    </row>
    <row r="705" spans="1:17">
      <c r="A705" s="509">
        <f t="shared" si="10"/>
        <v>704</v>
      </c>
      <c r="B705" s="1332" t="s">
        <v>43</v>
      </c>
      <c r="C705" s="943" t="s">
        <v>44</v>
      </c>
      <c r="D705" s="943" t="s">
        <v>45</v>
      </c>
      <c r="E705" s="432" t="s">
        <v>6048</v>
      </c>
      <c r="F705" s="434">
        <v>7</v>
      </c>
      <c r="G705" s="434">
        <v>9805225161</v>
      </c>
      <c r="I705" s="434">
        <v>68</v>
      </c>
      <c r="J705" s="434" t="s">
        <v>90</v>
      </c>
      <c r="K705" s="434" t="s">
        <v>3293</v>
      </c>
      <c r="M705" s="434" t="s">
        <v>1764</v>
      </c>
      <c r="N705" s="730">
        <v>65304</v>
      </c>
      <c r="O705" s="730">
        <v>65304</v>
      </c>
      <c r="P705" s="459">
        <v>65311</v>
      </c>
      <c r="Q705" s="432" t="s">
        <v>51</v>
      </c>
    </row>
    <row r="706" spans="1:17">
      <c r="A706" s="509">
        <f t="shared" si="10"/>
        <v>705</v>
      </c>
      <c r="B706" s="1332" t="s">
        <v>43</v>
      </c>
      <c r="C706" s="943" t="s">
        <v>44</v>
      </c>
      <c r="D706" s="943" t="s">
        <v>45</v>
      </c>
      <c r="E706" s="432" t="s">
        <v>6049</v>
      </c>
      <c r="F706" s="434">
        <v>11</v>
      </c>
      <c r="G706" s="434">
        <v>9857843517</v>
      </c>
      <c r="I706" s="434">
        <v>21</v>
      </c>
      <c r="J706" s="434" t="s">
        <v>90</v>
      </c>
      <c r="K706" s="434" t="s">
        <v>3293</v>
      </c>
      <c r="M706" s="434" t="s">
        <v>1764</v>
      </c>
      <c r="N706" s="730">
        <v>65304</v>
      </c>
      <c r="O706" s="730">
        <v>65304</v>
      </c>
      <c r="P706" s="459">
        <v>65311</v>
      </c>
      <c r="Q706" s="432" t="s">
        <v>51</v>
      </c>
    </row>
    <row r="707" spans="1:17">
      <c r="A707" s="509">
        <f t="shared" ref="A707:A770" si="11">A706+1</f>
        <v>706</v>
      </c>
      <c r="B707" s="1332" t="s">
        <v>43</v>
      </c>
      <c r="C707" s="943" t="s">
        <v>44</v>
      </c>
      <c r="D707" s="943" t="s">
        <v>45</v>
      </c>
      <c r="E707" s="432" t="s">
        <v>812</v>
      </c>
      <c r="F707" s="434">
        <v>4</v>
      </c>
      <c r="I707" s="434">
        <v>37</v>
      </c>
      <c r="J707" s="120" t="s">
        <v>48</v>
      </c>
      <c r="K707" s="434" t="s">
        <v>5632</v>
      </c>
      <c r="M707" s="434" t="s">
        <v>1764</v>
      </c>
      <c r="N707" s="730">
        <v>65304</v>
      </c>
      <c r="O707" s="730">
        <v>65304</v>
      </c>
      <c r="P707" s="459">
        <v>65311</v>
      </c>
      <c r="Q707" s="432" t="s">
        <v>51</v>
      </c>
    </row>
    <row r="708" spans="1:17">
      <c r="A708" s="509">
        <f t="shared" si="11"/>
        <v>707</v>
      </c>
      <c r="B708" s="1332" t="s">
        <v>43</v>
      </c>
      <c r="C708" s="943" t="s">
        <v>44</v>
      </c>
      <c r="D708" s="943" t="s">
        <v>45</v>
      </c>
      <c r="E708" s="432" t="s">
        <v>812</v>
      </c>
      <c r="F708" s="434">
        <v>5</v>
      </c>
      <c r="I708" s="434">
        <v>36</v>
      </c>
      <c r="J708" s="120" t="s">
        <v>48</v>
      </c>
      <c r="K708" s="434" t="s">
        <v>5874</v>
      </c>
      <c r="M708" s="434" t="s">
        <v>1764</v>
      </c>
      <c r="N708" s="730">
        <v>65304</v>
      </c>
      <c r="O708" s="730">
        <v>65304</v>
      </c>
      <c r="P708" s="459">
        <v>65311</v>
      </c>
      <c r="Q708" s="432" t="s">
        <v>51</v>
      </c>
    </row>
    <row r="709" spans="1:17">
      <c r="A709" s="509">
        <f t="shared" si="11"/>
        <v>708</v>
      </c>
      <c r="B709" s="1332" t="s">
        <v>43</v>
      </c>
      <c r="C709" s="943" t="s">
        <v>44</v>
      </c>
      <c r="D709" s="943" t="s">
        <v>45</v>
      </c>
      <c r="E709" s="432" t="s">
        <v>812</v>
      </c>
      <c r="F709" s="434">
        <v>6</v>
      </c>
      <c r="I709" s="434">
        <v>39</v>
      </c>
      <c r="J709" s="120" t="s">
        <v>48</v>
      </c>
      <c r="K709" s="434" t="s">
        <v>5874</v>
      </c>
      <c r="M709" s="434" t="s">
        <v>1764</v>
      </c>
      <c r="N709" s="730">
        <v>65304</v>
      </c>
      <c r="O709" s="730">
        <v>65304</v>
      </c>
      <c r="P709" s="459">
        <v>65311</v>
      </c>
      <c r="Q709" s="432" t="s">
        <v>51</v>
      </c>
    </row>
    <row r="710" spans="1:17">
      <c r="A710" s="509">
        <f t="shared" si="11"/>
        <v>709</v>
      </c>
      <c r="B710" s="1332" t="s">
        <v>43</v>
      </c>
      <c r="C710" s="943" t="s">
        <v>44</v>
      </c>
      <c r="D710" s="943" t="s">
        <v>45</v>
      </c>
      <c r="E710" s="432" t="s">
        <v>6062</v>
      </c>
      <c r="F710" s="434">
        <v>17</v>
      </c>
      <c r="G710" s="434">
        <v>9847834652</v>
      </c>
      <c r="I710" s="434">
        <v>58</v>
      </c>
      <c r="J710" s="434" t="s">
        <v>90</v>
      </c>
      <c r="K710" s="434" t="s">
        <v>5405</v>
      </c>
      <c r="M710" s="434" t="s">
        <v>1764</v>
      </c>
      <c r="N710" s="730">
        <v>65304</v>
      </c>
      <c r="O710" s="730">
        <v>65304</v>
      </c>
      <c r="P710" s="459">
        <v>65311</v>
      </c>
      <c r="Q710" s="432" t="s">
        <v>51</v>
      </c>
    </row>
    <row r="711" spans="1:17">
      <c r="A711" s="509">
        <f t="shared" si="11"/>
        <v>710</v>
      </c>
      <c r="B711" s="1332" t="s">
        <v>43</v>
      </c>
      <c r="C711" s="943" t="s">
        <v>44</v>
      </c>
      <c r="D711" s="943" t="s">
        <v>45</v>
      </c>
      <c r="E711" s="432" t="s">
        <v>6063</v>
      </c>
      <c r="F711" s="434">
        <v>5</v>
      </c>
      <c r="G711" s="434">
        <v>9866847479</v>
      </c>
      <c r="I711" s="434">
        <v>29</v>
      </c>
      <c r="J711" s="120" t="s">
        <v>48</v>
      </c>
      <c r="K711" s="434" t="s">
        <v>5405</v>
      </c>
      <c r="M711" s="434" t="s">
        <v>1764</v>
      </c>
      <c r="N711" s="730">
        <v>65304</v>
      </c>
      <c r="O711" s="730">
        <v>65304</v>
      </c>
      <c r="P711" s="459">
        <v>65311</v>
      </c>
      <c r="Q711" s="432" t="s">
        <v>51</v>
      </c>
    </row>
    <row r="712" spans="1:17">
      <c r="A712" s="509">
        <f t="shared" si="11"/>
        <v>711</v>
      </c>
      <c r="B712" s="1332" t="s">
        <v>43</v>
      </c>
      <c r="C712" s="943" t="s">
        <v>44</v>
      </c>
      <c r="D712" s="943" t="s">
        <v>45</v>
      </c>
      <c r="E712" s="432" t="s">
        <v>6064</v>
      </c>
      <c r="F712" s="434">
        <v>7</v>
      </c>
      <c r="G712" s="434">
        <v>9840222432</v>
      </c>
      <c r="I712" s="434">
        <v>29</v>
      </c>
      <c r="J712" s="434" t="s">
        <v>90</v>
      </c>
      <c r="K712" s="434" t="s">
        <v>5405</v>
      </c>
      <c r="M712" s="434" t="s">
        <v>1764</v>
      </c>
      <c r="N712" s="730">
        <v>65304</v>
      </c>
      <c r="O712" s="730">
        <v>65304</v>
      </c>
      <c r="P712" s="459">
        <v>65311</v>
      </c>
      <c r="Q712" s="432" t="s">
        <v>51</v>
      </c>
    </row>
    <row r="713" spans="1:17">
      <c r="A713" s="509">
        <f t="shared" si="11"/>
        <v>712</v>
      </c>
      <c r="B713" s="1332" t="s">
        <v>43</v>
      </c>
      <c r="C713" s="943" t="s">
        <v>44</v>
      </c>
      <c r="D713" s="943" t="s">
        <v>45</v>
      </c>
      <c r="E713" s="432" t="s">
        <v>6065</v>
      </c>
      <c r="F713" s="434">
        <v>7</v>
      </c>
      <c r="G713" s="434">
        <v>9809830230</v>
      </c>
      <c r="I713" s="434">
        <v>29</v>
      </c>
      <c r="J713" s="434" t="s">
        <v>90</v>
      </c>
      <c r="K713" s="434" t="s">
        <v>5405</v>
      </c>
      <c r="M713" s="434" t="s">
        <v>1764</v>
      </c>
      <c r="N713" s="730">
        <v>65304</v>
      </c>
      <c r="O713" s="730">
        <v>65304</v>
      </c>
      <c r="P713" s="459">
        <v>65311</v>
      </c>
      <c r="Q713" s="432" t="s">
        <v>51</v>
      </c>
    </row>
    <row r="714" spans="1:17">
      <c r="A714" s="509">
        <f t="shared" si="11"/>
        <v>713</v>
      </c>
      <c r="B714" s="1332" t="s">
        <v>43</v>
      </c>
      <c r="C714" s="943" t="s">
        <v>44</v>
      </c>
      <c r="D714" s="943" t="s">
        <v>45</v>
      </c>
      <c r="E714" s="432" t="s">
        <v>1104</v>
      </c>
      <c r="F714" s="434">
        <v>5</v>
      </c>
      <c r="G714" s="434">
        <v>9829566167</v>
      </c>
      <c r="I714" s="434">
        <v>52</v>
      </c>
      <c r="J714" s="434" t="s">
        <v>90</v>
      </c>
      <c r="K714" s="434" t="s">
        <v>5405</v>
      </c>
      <c r="M714" s="434" t="s">
        <v>1764</v>
      </c>
      <c r="N714" s="730">
        <v>65304</v>
      </c>
      <c r="O714" s="730">
        <v>65304</v>
      </c>
      <c r="P714" s="459">
        <v>65311</v>
      </c>
      <c r="Q714" s="432" t="s">
        <v>51</v>
      </c>
    </row>
    <row r="715" spans="1:17">
      <c r="A715" s="509">
        <f t="shared" si="11"/>
        <v>714</v>
      </c>
      <c r="B715" s="1332" t="s">
        <v>43</v>
      </c>
      <c r="C715" s="943" t="s">
        <v>44</v>
      </c>
      <c r="D715" s="943" t="s">
        <v>45</v>
      </c>
      <c r="E715" s="432" t="s">
        <v>6066</v>
      </c>
      <c r="F715" s="434">
        <v>18</v>
      </c>
      <c r="G715" s="434">
        <v>9847830359</v>
      </c>
      <c r="I715" s="434">
        <v>51</v>
      </c>
      <c r="J715" s="434" t="s">
        <v>90</v>
      </c>
      <c r="K715" s="434" t="s">
        <v>5405</v>
      </c>
      <c r="M715" s="434" t="s">
        <v>1764</v>
      </c>
      <c r="N715" s="730">
        <v>65305</v>
      </c>
      <c r="O715" s="730">
        <v>65305</v>
      </c>
      <c r="P715" s="459">
        <v>65312</v>
      </c>
      <c r="Q715" s="432" t="s">
        <v>51</v>
      </c>
    </row>
    <row r="716" spans="1:17">
      <c r="A716" s="509">
        <f t="shared" si="11"/>
        <v>715</v>
      </c>
      <c r="B716" s="1332" t="s">
        <v>43</v>
      </c>
      <c r="C716" s="943" t="s">
        <v>44</v>
      </c>
      <c r="D716" s="943" t="s">
        <v>45</v>
      </c>
      <c r="E716" s="432" t="s">
        <v>6067</v>
      </c>
      <c r="F716" s="434">
        <v>13</v>
      </c>
      <c r="G716" s="434">
        <v>9866838056</v>
      </c>
      <c r="I716" s="434">
        <v>31</v>
      </c>
      <c r="J716" s="434" t="s">
        <v>90</v>
      </c>
      <c r="K716" s="434" t="s">
        <v>5405</v>
      </c>
      <c r="M716" s="434" t="s">
        <v>1764</v>
      </c>
      <c r="N716" s="730">
        <v>65305</v>
      </c>
      <c r="O716" s="730">
        <v>65305</v>
      </c>
      <c r="P716" s="459">
        <v>65312</v>
      </c>
      <c r="Q716" s="432" t="s">
        <v>51</v>
      </c>
    </row>
    <row r="717" spans="1:17">
      <c r="A717" s="509">
        <f t="shared" si="11"/>
        <v>716</v>
      </c>
      <c r="B717" s="1332" t="s">
        <v>43</v>
      </c>
      <c r="C717" s="943" t="s">
        <v>44</v>
      </c>
      <c r="D717" s="943" t="s">
        <v>45</v>
      </c>
      <c r="E717" s="432" t="s">
        <v>6068</v>
      </c>
      <c r="F717" s="434">
        <v>9</v>
      </c>
      <c r="G717" s="434">
        <v>9866870752</v>
      </c>
      <c r="I717" s="434">
        <v>29</v>
      </c>
      <c r="J717" s="434" t="s">
        <v>90</v>
      </c>
      <c r="K717" s="434" t="s">
        <v>5405</v>
      </c>
      <c r="M717" s="434" t="s">
        <v>1764</v>
      </c>
      <c r="N717" s="730">
        <v>65305</v>
      </c>
      <c r="O717" s="730">
        <v>65305</v>
      </c>
      <c r="P717" s="459">
        <v>65312</v>
      </c>
      <c r="Q717" s="432" t="s">
        <v>51</v>
      </c>
    </row>
    <row r="718" spans="1:17">
      <c r="A718" s="509">
        <f t="shared" si="11"/>
        <v>717</v>
      </c>
      <c r="B718" s="1332" t="s">
        <v>43</v>
      </c>
      <c r="C718" s="943" t="s">
        <v>44</v>
      </c>
      <c r="D718" s="943" t="s">
        <v>45</v>
      </c>
      <c r="E718" s="432" t="s">
        <v>6069</v>
      </c>
      <c r="F718" s="434">
        <v>5</v>
      </c>
      <c r="G718" s="434">
        <v>9866539862</v>
      </c>
      <c r="I718" s="434">
        <v>29</v>
      </c>
      <c r="J718" s="120" t="s">
        <v>48</v>
      </c>
      <c r="K718" s="434" t="s">
        <v>5405</v>
      </c>
      <c r="M718" s="434" t="s">
        <v>1764</v>
      </c>
      <c r="N718" s="730">
        <v>65305</v>
      </c>
      <c r="O718" s="730">
        <v>65305</v>
      </c>
      <c r="P718" s="459">
        <v>65312</v>
      </c>
      <c r="Q718" s="432" t="s">
        <v>51</v>
      </c>
    </row>
    <row r="719" spans="1:17">
      <c r="A719" s="509">
        <f t="shared" si="11"/>
        <v>718</v>
      </c>
      <c r="B719" s="1332" t="s">
        <v>43</v>
      </c>
      <c r="C719" s="943" t="s">
        <v>44</v>
      </c>
      <c r="D719" s="943" t="s">
        <v>45</v>
      </c>
      <c r="E719" s="432" t="s">
        <v>996</v>
      </c>
      <c r="F719" s="434">
        <v>6</v>
      </c>
      <c r="G719" s="434">
        <v>9868606278</v>
      </c>
      <c r="I719" s="434">
        <v>46</v>
      </c>
      <c r="J719" s="434" t="s">
        <v>90</v>
      </c>
      <c r="K719" s="434" t="s">
        <v>5405</v>
      </c>
      <c r="M719" s="434" t="s">
        <v>1764</v>
      </c>
      <c r="N719" s="730">
        <v>65305</v>
      </c>
      <c r="O719" s="730">
        <v>65305</v>
      </c>
      <c r="P719" s="459">
        <v>65312</v>
      </c>
      <c r="Q719" s="432" t="s">
        <v>51</v>
      </c>
    </row>
    <row r="720" spans="1:17">
      <c r="A720" s="509">
        <f t="shared" si="11"/>
        <v>719</v>
      </c>
      <c r="B720" s="1332" t="s">
        <v>43</v>
      </c>
      <c r="C720" s="943" t="s">
        <v>44</v>
      </c>
      <c r="D720" s="943" t="s">
        <v>45</v>
      </c>
      <c r="E720" s="432" t="s">
        <v>6076</v>
      </c>
      <c r="F720" s="434">
        <v>1</v>
      </c>
      <c r="G720" s="434">
        <v>9844933091</v>
      </c>
      <c r="I720" s="434">
        <v>64</v>
      </c>
      <c r="J720" s="120" t="s">
        <v>48</v>
      </c>
      <c r="K720" s="434" t="s">
        <v>5405</v>
      </c>
      <c r="M720" s="434" t="s">
        <v>1764</v>
      </c>
      <c r="N720" s="730">
        <v>65305</v>
      </c>
      <c r="O720" s="730">
        <v>65305</v>
      </c>
      <c r="P720" s="459">
        <v>65312</v>
      </c>
      <c r="Q720" s="432" t="s">
        <v>51</v>
      </c>
    </row>
    <row r="721" spans="1:17">
      <c r="A721" s="509">
        <f t="shared" si="11"/>
        <v>720</v>
      </c>
      <c r="B721" s="1332" t="s">
        <v>43</v>
      </c>
      <c r="C721" s="943" t="s">
        <v>44</v>
      </c>
      <c r="D721" s="943" t="s">
        <v>45</v>
      </c>
      <c r="E721" s="432" t="s">
        <v>6070</v>
      </c>
      <c r="F721" s="434">
        <v>8</v>
      </c>
      <c r="G721" s="434">
        <v>9864819977</v>
      </c>
      <c r="I721" s="434">
        <v>17</v>
      </c>
      <c r="J721" s="434" t="s">
        <v>90</v>
      </c>
      <c r="K721" s="434" t="s">
        <v>5405</v>
      </c>
      <c r="M721" s="434" t="s">
        <v>1764</v>
      </c>
      <c r="N721" s="730">
        <v>65305</v>
      </c>
      <c r="O721" s="730">
        <v>65305</v>
      </c>
      <c r="P721" s="459">
        <v>65312</v>
      </c>
      <c r="Q721" s="432" t="s">
        <v>51</v>
      </c>
    </row>
    <row r="722" spans="1:17">
      <c r="A722" s="509">
        <f t="shared" si="11"/>
        <v>721</v>
      </c>
      <c r="B722" s="1332" t="s">
        <v>43</v>
      </c>
      <c r="C722" s="943" t="s">
        <v>44</v>
      </c>
      <c r="D722" s="943" t="s">
        <v>45</v>
      </c>
      <c r="E722" s="432" t="s">
        <v>6071</v>
      </c>
      <c r="F722" s="434">
        <v>6</v>
      </c>
      <c r="G722" s="434">
        <v>9868636414</v>
      </c>
      <c r="I722" s="434">
        <v>38</v>
      </c>
      <c r="J722" s="434" t="s">
        <v>90</v>
      </c>
      <c r="K722" s="434" t="s">
        <v>5405</v>
      </c>
      <c r="M722" s="434" t="s">
        <v>1764</v>
      </c>
      <c r="N722" s="730">
        <v>65305</v>
      </c>
      <c r="O722" s="730">
        <v>65305</v>
      </c>
      <c r="P722" s="459">
        <v>65312</v>
      </c>
      <c r="Q722" s="432" t="s">
        <v>51</v>
      </c>
    </row>
    <row r="723" spans="1:17">
      <c r="A723" s="509">
        <f t="shared" si="11"/>
        <v>722</v>
      </c>
      <c r="B723" s="1332" t="s">
        <v>43</v>
      </c>
      <c r="C723" s="943" t="s">
        <v>44</v>
      </c>
      <c r="D723" s="943" t="s">
        <v>45</v>
      </c>
      <c r="E723" s="432" t="s">
        <v>6072</v>
      </c>
      <c r="F723" s="434">
        <v>12</v>
      </c>
      <c r="G723" s="434">
        <v>9847836010</v>
      </c>
      <c r="I723" s="434">
        <v>46</v>
      </c>
      <c r="J723" s="434" t="s">
        <v>90</v>
      </c>
      <c r="K723" s="434" t="s">
        <v>5405</v>
      </c>
      <c r="M723" s="434" t="s">
        <v>1764</v>
      </c>
      <c r="N723" s="730">
        <v>65305</v>
      </c>
      <c r="O723" s="730">
        <v>65305</v>
      </c>
      <c r="P723" s="459">
        <v>65312</v>
      </c>
      <c r="Q723" s="432" t="s">
        <v>51</v>
      </c>
    </row>
    <row r="724" spans="1:17">
      <c r="A724" s="509">
        <f t="shared" si="11"/>
        <v>723</v>
      </c>
      <c r="B724" s="1332" t="s">
        <v>43</v>
      </c>
      <c r="C724" s="943" t="s">
        <v>44</v>
      </c>
      <c r="D724" s="943" t="s">
        <v>45</v>
      </c>
      <c r="E724" s="432" t="s">
        <v>6073</v>
      </c>
      <c r="F724" s="434">
        <v>6</v>
      </c>
      <c r="G724" s="434">
        <v>9809838102</v>
      </c>
      <c r="I724" s="434">
        <v>23</v>
      </c>
      <c r="J724" s="434" t="s">
        <v>90</v>
      </c>
      <c r="K724" s="434" t="s">
        <v>5405</v>
      </c>
      <c r="M724" s="434" t="s">
        <v>1764</v>
      </c>
      <c r="N724" s="730">
        <v>65305</v>
      </c>
      <c r="O724" s="730">
        <v>65305</v>
      </c>
      <c r="P724" s="459">
        <v>65312</v>
      </c>
      <c r="Q724" s="432" t="s">
        <v>51</v>
      </c>
    </row>
    <row r="725" spans="1:17">
      <c r="A725" s="509">
        <f t="shared" si="11"/>
        <v>724</v>
      </c>
      <c r="B725" s="1332" t="s">
        <v>43</v>
      </c>
      <c r="C725" s="943" t="s">
        <v>44</v>
      </c>
      <c r="D725" s="943" t="s">
        <v>45</v>
      </c>
      <c r="E725" s="432" t="s">
        <v>6074</v>
      </c>
      <c r="F725" s="434">
        <v>3</v>
      </c>
      <c r="G725" s="1477">
        <v>9809820824</v>
      </c>
      <c r="I725" s="434">
        <v>29</v>
      </c>
      <c r="J725" s="120" t="s">
        <v>48</v>
      </c>
      <c r="K725" s="434" t="s">
        <v>5405</v>
      </c>
      <c r="M725" s="434" t="s">
        <v>1764</v>
      </c>
      <c r="N725" s="730">
        <v>65305</v>
      </c>
      <c r="O725" s="730">
        <v>65305</v>
      </c>
      <c r="P725" s="459">
        <v>65312</v>
      </c>
      <c r="Q725" s="432" t="s">
        <v>51</v>
      </c>
    </row>
    <row r="726" spans="1:17">
      <c r="A726" s="509">
        <f t="shared" si="11"/>
        <v>725</v>
      </c>
      <c r="B726" s="1332" t="s">
        <v>43</v>
      </c>
      <c r="C726" s="943" t="s">
        <v>44</v>
      </c>
      <c r="D726" s="943" t="s">
        <v>45</v>
      </c>
      <c r="E726" s="432" t="s">
        <v>6075</v>
      </c>
      <c r="F726" s="434">
        <v>8</v>
      </c>
      <c r="G726" s="434">
        <v>9810060602</v>
      </c>
      <c r="I726" s="434">
        <v>38</v>
      </c>
      <c r="J726" s="120" t="s">
        <v>48</v>
      </c>
      <c r="K726" s="434" t="s">
        <v>5405</v>
      </c>
      <c r="M726" s="434" t="s">
        <v>1764</v>
      </c>
      <c r="N726" s="730">
        <v>65305</v>
      </c>
      <c r="O726" s="730">
        <v>65305</v>
      </c>
      <c r="P726" s="459">
        <v>65312</v>
      </c>
      <c r="Q726" s="432" t="s">
        <v>51</v>
      </c>
    </row>
    <row r="727" spans="1:17">
      <c r="A727" s="509">
        <f t="shared" si="11"/>
        <v>726</v>
      </c>
      <c r="B727" s="1332" t="s">
        <v>43</v>
      </c>
      <c r="C727" s="943" t="s">
        <v>44</v>
      </c>
      <c r="D727" s="943" t="s">
        <v>45</v>
      </c>
      <c r="E727" s="432" t="s">
        <v>6077</v>
      </c>
      <c r="F727" s="434">
        <v>8</v>
      </c>
      <c r="G727" s="434">
        <v>9847909045</v>
      </c>
      <c r="I727" s="434">
        <v>40</v>
      </c>
      <c r="J727" s="120" t="s">
        <v>48</v>
      </c>
      <c r="K727" s="434" t="s">
        <v>5405</v>
      </c>
      <c r="M727" s="434" t="s">
        <v>1764</v>
      </c>
      <c r="N727" s="730">
        <v>65305</v>
      </c>
      <c r="O727" s="730">
        <v>65305</v>
      </c>
      <c r="P727" s="459">
        <v>65312</v>
      </c>
      <c r="Q727" s="432" t="s">
        <v>51</v>
      </c>
    </row>
    <row r="728" spans="1:17">
      <c r="A728" s="509">
        <f t="shared" si="11"/>
        <v>727</v>
      </c>
      <c r="B728" s="1332" t="s">
        <v>43</v>
      </c>
      <c r="C728" s="943" t="s">
        <v>44</v>
      </c>
      <c r="D728" s="943" t="s">
        <v>45</v>
      </c>
      <c r="E728" s="432" t="s">
        <v>6078</v>
      </c>
      <c r="F728" s="434">
        <v>3</v>
      </c>
      <c r="G728" s="434">
        <v>9812864392</v>
      </c>
      <c r="I728" s="434">
        <v>22</v>
      </c>
      <c r="J728" s="120" t="s">
        <v>48</v>
      </c>
      <c r="K728" s="434" t="s">
        <v>5405</v>
      </c>
      <c r="M728" s="434" t="s">
        <v>1764</v>
      </c>
      <c r="N728" s="730">
        <v>65305</v>
      </c>
      <c r="O728" s="730">
        <v>65305</v>
      </c>
      <c r="P728" s="459">
        <v>65312</v>
      </c>
      <c r="Q728" s="432" t="s">
        <v>51</v>
      </c>
    </row>
    <row r="729" spans="1:17">
      <c r="A729" s="509">
        <f t="shared" si="11"/>
        <v>728</v>
      </c>
      <c r="B729" s="1332" t="s">
        <v>43</v>
      </c>
      <c r="C729" s="943" t="s">
        <v>44</v>
      </c>
      <c r="D729" s="943" t="s">
        <v>45</v>
      </c>
      <c r="E729" s="432" t="s">
        <v>6079</v>
      </c>
      <c r="F729" s="434">
        <v>8</v>
      </c>
      <c r="G729" s="434">
        <v>9809872176</v>
      </c>
      <c r="I729" s="434">
        <v>19</v>
      </c>
      <c r="J729" s="434" t="s">
        <v>90</v>
      </c>
      <c r="K729" s="434" t="s">
        <v>5405</v>
      </c>
      <c r="M729" s="434" t="s">
        <v>1764</v>
      </c>
      <c r="N729" s="730">
        <v>65305</v>
      </c>
      <c r="O729" s="730">
        <v>65305</v>
      </c>
      <c r="P729" s="459">
        <v>65312</v>
      </c>
      <c r="Q729" s="432" t="s">
        <v>51</v>
      </c>
    </row>
    <row r="730" spans="1:17">
      <c r="A730" s="509">
        <f t="shared" si="11"/>
        <v>729</v>
      </c>
      <c r="B730" s="1332" t="s">
        <v>43</v>
      </c>
      <c r="C730" s="943" t="s">
        <v>44</v>
      </c>
      <c r="D730" s="943" t="s">
        <v>45</v>
      </c>
      <c r="E730" s="432" t="s">
        <v>6080</v>
      </c>
      <c r="F730" s="434">
        <v>15</v>
      </c>
      <c r="G730" s="434">
        <v>9809523793</v>
      </c>
      <c r="I730" s="434">
        <v>61</v>
      </c>
      <c r="J730" s="120" t="s">
        <v>48</v>
      </c>
      <c r="K730" s="434" t="s">
        <v>3293</v>
      </c>
      <c r="M730" s="434" t="s">
        <v>1764</v>
      </c>
      <c r="N730" s="730">
        <v>65305</v>
      </c>
      <c r="O730" s="730">
        <v>65305</v>
      </c>
      <c r="P730" s="459">
        <v>65312</v>
      </c>
      <c r="Q730" s="432" t="s">
        <v>51</v>
      </c>
    </row>
    <row r="731" spans="1:17">
      <c r="A731" s="509">
        <f t="shared" si="11"/>
        <v>730</v>
      </c>
      <c r="B731" s="1332" t="s">
        <v>43</v>
      </c>
      <c r="C731" s="943" t="s">
        <v>44</v>
      </c>
      <c r="D731" s="943" t="s">
        <v>45</v>
      </c>
      <c r="E731" s="432" t="s">
        <v>6081</v>
      </c>
      <c r="F731" s="434">
        <v>6</v>
      </c>
      <c r="G731" s="434">
        <v>9841539753</v>
      </c>
      <c r="I731" s="434">
        <v>14</v>
      </c>
      <c r="J731" s="120" t="s">
        <v>48</v>
      </c>
      <c r="K731" s="434" t="s">
        <v>3293</v>
      </c>
      <c r="M731" s="434" t="s">
        <v>1764</v>
      </c>
      <c r="N731" s="730">
        <v>65305</v>
      </c>
      <c r="O731" s="730">
        <v>65305</v>
      </c>
      <c r="P731" s="459">
        <v>65312</v>
      </c>
      <c r="Q731" s="432" t="s">
        <v>51</v>
      </c>
    </row>
    <row r="732" spans="1:17">
      <c r="A732" s="509">
        <f t="shared" si="11"/>
        <v>731</v>
      </c>
      <c r="B732" s="1332" t="s">
        <v>43</v>
      </c>
      <c r="C732" s="943" t="s">
        <v>44</v>
      </c>
      <c r="D732" s="943" t="s">
        <v>45</v>
      </c>
      <c r="E732" s="432" t="s">
        <v>6082</v>
      </c>
      <c r="F732" s="434">
        <v>7</v>
      </c>
      <c r="G732" s="434">
        <v>9868989698</v>
      </c>
      <c r="I732" s="434">
        <v>32</v>
      </c>
      <c r="J732" s="120" t="s">
        <v>48</v>
      </c>
      <c r="K732" s="434" t="s">
        <v>3293</v>
      </c>
      <c r="M732" s="434" t="s">
        <v>1764</v>
      </c>
      <c r="N732" s="730">
        <v>65305</v>
      </c>
      <c r="O732" s="730">
        <v>65305</v>
      </c>
      <c r="P732" s="459">
        <v>65312</v>
      </c>
      <c r="Q732" s="432" t="s">
        <v>51</v>
      </c>
    </row>
    <row r="733" spans="1:17">
      <c r="A733" s="509">
        <f t="shared" si="11"/>
        <v>732</v>
      </c>
      <c r="B733" s="1332" t="s">
        <v>43</v>
      </c>
      <c r="C733" s="943" t="s">
        <v>44</v>
      </c>
      <c r="D733" s="943" t="s">
        <v>45</v>
      </c>
      <c r="E733" s="432" t="s">
        <v>6083</v>
      </c>
      <c r="F733" s="434">
        <v>5</v>
      </c>
      <c r="G733" s="434">
        <v>9812804401</v>
      </c>
      <c r="I733" s="434">
        <v>78</v>
      </c>
      <c r="J733" s="434" t="s">
        <v>90</v>
      </c>
      <c r="K733" s="434" t="s">
        <v>3293</v>
      </c>
      <c r="M733" s="434" t="s">
        <v>1764</v>
      </c>
      <c r="N733" s="730">
        <v>65305</v>
      </c>
      <c r="O733" s="730">
        <v>65305</v>
      </c>
      <c r="P733" s="459">
        <v>65312</v>
      </c>
      <c r="Q733" s="432" t="s">
        <v>51</v>
      </c>
    </row>
    <row r="734" spans="1:17">
      <c r="A734" s="509">
        <f t="shared" si="11"/>
        <v>733</v>
      </c>
      <c r="B734" s="1332" t="s">
        <v>43</v>
      </c>
      <c r="C734" s="943" t="s">
        <v>44</v>
      </c>
      <c r="D734" s="943" t="s">
        <v>45</v>
      </c>
      <c r="E734" s="432" t="s">
        <v>6084</v>
      </c>
      <c r="F734" s="434">
        <v>6</v>
      </c>
      <c r="G734" s="434">
        <v>9809890799</v>
      </c>
      <c r="I734" s="434">
        <v>31</v>
      </c>
      <c r="J734" s="434" t="s">
        <v>90</v>
      </c>
      <c r="K734" s="434" t="s">
        <v>3293</v>
      </c>
      <c r="M734" s="434" t="s">
        <v>1764</v>
      </c>
      <c r="N734" s="730">
        <v>65305</v>
      </c>
      <c r="O734" s="730">
        <v>65305</v>
      </c>
      <c r="P734" s="459">
        <v>65312</v>
      </c>
      <c r="Q734" s="432" t="s">
        <v>51</v>
      </c>
    </row>
    <row r="735" spans="1:17">
      <c r="A735" s="509">
        <f t="shared" si="11"/>
        <v>734</v>
      </c>
      <c r="B735" s="1332" t="s">
        <v>43</v>
      </c>
      <c r="C735" s="943" t="s">
        <v>44</v>
      </c>
      <c r="D735" s="943" t="s">
        <v>45</v>
      </c>
      <c r="E735" s="432" t="s">
        <v>6085</v>
      </c>
      <c r="F735" s="434">
        <v>2</v>
      </c>
      <c r="G735" s="434">
        <v>9809717991</v>
      </c>
      <c r="I735" s="434">
        <v>58</v>
      </c>
      <c r="J735" s="434" t="s">
        <v>90</v>
      </c>
      <c r="K735" s="434" t="s">
        <v>3293</v>
      </c>
      <c r="M735" s="434" t="s">
        <v>1764</v>
      </c>
      <c r="N735" s="730">
        <v>65305</v>
      </c>
      <c r="O735" s="730">
        <v>65305</v>
      </c>
      <c r="P735" s="459">
        <v>65312</v>
      </c>
      <c r="Q735" s="432" t="s">
        <v>51</v>
      </c>
    </row>
    <row r="736" spans="1:17">
      <c r="A736" s="509">
        <f t="shared" si="11"/>
        <v>735</v>
      </c>
      <c r="B736" s="1332" t="s">
        <v>43</v>
      </c>
      <c r="C736" s="943" t="s">
        <v>44</v>
      </c>
      <c r="D736" s="943" t="s">
        <v>45</v>
      </c>
      <c r="E736" s="432" t="s">
        <v>6086</v>
      </c>
      <c r="F736" s="434">
        <v>2</v>
      </c>
      <c r="G736" s="434">
        <v>9847652930</v>
      </c>
      <c r="I736" s="434">
        <v>70</v>
      </c>
      <c r="J736" s="120" t="s">
        <v>48</v>
      </c>
      <c r="K736" s="434" t="s">
        <v>3293</v>
      </c>
      <c r="M736" s="434" t="s">
        <v>1764</v>
      </c>
      <c r="N736" s="730">
        <v>65305</v>
      </c>
      <c r="O736" s="730">
        <v>65305</v>
      </c>
      <c r="P736" s="459">
        <v>65312</v>
      </c>
      <c r="Q736" s="432" t="s">
        <v>51</v>
      </c>
    </row>
    <row r="737" spans="1:17">
      <c r="A737" s="509">
        <f t="shared" si="11"/>
        <v>736</v>
      </c>
      <c r="B737" s="1332" t="s">
        <v>43</v>
      </c>
      <c r="C737" s="943" t="s">
        <v>44</v>
      </c>
      <c r="D737" s="943" t="s">
        <v>45</v>
      </c>
      <c r="E737" s="432" t="s">
        <v>6087</v>
      </c>
      <c r="F737" s="434">
        <v>5</v>
      </c>
      <c r="G737" s="434">
        <v>9806261808</v>
      </c>
      <c r="I737" s="434">
        <v>65</v>
      </c>
      <c r="J737" s="434" t="s">
        <v>90</v>
      </c>
      <c r="K737" s="434" t="s">
        <v>3293</v>
      </c>
      <c r="M737" s="434" t="s">
        <v>1764</v>
      </c>
      <c r="N737" s="730">
        <v>65305</v>
      </c>
      <c r="O737" s="730">
        <v>65305</v>
      </c>
      <c r="P737" s="459">
        <v>65312</v>
      </c>
      <c r="Q737" s="432" t="s">
        <v>51</v>
      </c>
    </row>
    <row r="738" spans="1:17">
      <c r="A738" s="509">
        <f t="shared" si="11"/>
        <v>737</v>
      </c>
      <c r="B738" s="1332" t="s">
        <v>43</v>
      </c>
      <c r="C738" s="943" t="s">
        <v>44</v>
      </c>
      <c r="D738" s="943" t="s">
        <v>45</v>
      </c>
      <c r="E738" s="432" t="s">
        <v>5034</v>
      </c>
      <c r="F738" s="434">
        <v>4</v>
      </c>
      <c r="G738" s="434">
        <v>9849995627</v>
      </c>
      <c r="I738" s="434">
        <v>31</v>
      </c>
      <c r="J738" s="434" t="s">
        <v>90</v>
      </c>
      <c r="K738" s="434" t="s">
        <v>5405</v>
      </c>
      <c r="M738" s="434" t="s">
        <v>1764</v>
      </c>
      <c r="N738" s="730">
        <v>65305</v>
      </c>
      <c r="O738" s="730">
        <v>65305</v>
      </c>
      <c r="P738" s="459">
        <v>65312</v>
      </c>
      <c r="Q738" s="432" t="s">
        <v>51</v>
      </c>
    </row>
    <row r="739" spans="1:17">
      <c r="A739" s="509">
        <f t="shared" si="11"/>
        <v>738</v>
      </c>
      <c r="B739" s="1332" t="s">
        <v>43</v>
      </c>
      <c r="C739" s="943" t="s">
        <v>44</v>
      </c>
      <c r="D739" s="943" t="s">
        <v>45</v>
      </c>
      <c r="E739" s="432" t="s">
        <v>6088</v>
      </c>
      <c r="F739" s="434">
        <v>4</v>
      </c>
      <c r="G739" s="434">
        <v>9849995627</v>
      </c>
      <c r="I739" s="434">
        <v>0.9</v>
      </c>
      <c r="J739" s="120" t="s">
        <v>48</v>
      </c>
      <c r="K739" s="434" t="s">
        <v>5405</v>
      </c>
      <c r="M739" s="434" t="s">
        <v>1764</v>
      </c>
      <c r="N739" s="730">
        <v>65305</v>
      </c>
      <c r="O739" s="730">
        <v>65305</v>
      </c>
      <c r="P739" s="459">
        <v>65312</v>
      </c>
      <c r="Q739" s="432" t="s">
        <v>51</v>
      </c>
    </row>
    <row r="740" spans="1:17">
      <c r="A740" s="509">
        <f t="shared" si="11"/>
        <v>739</v>
      </c>
      <c r="B740" s="1332" t="s">
        <v>43</v>
      </c>
      <c r="C740" s="943" t="s">
        <v>44</v>
      </c>
      <c r="D740" s="943" t="s">
        <v>45</v>
      </c>
      <c r="E740" s="432" t="s">
        <v>6089</v>
      </c>
      <c r="F740" s="434">
        <v>5</v>
      </c>
      <c r="G740" s="434">
        <v>982683095</v>
      </c>
      <c r="I740" s="434">
        <v>35</v>
      </c>
      <c r="J740" s="434" t="s">
        <v>90</v>
      </c>
      <c r="K740" s="434" t="s">
        <v>3293</v>
      </c>
      <c r="M740" s="434" t="s">
        <v>1764</v>
      </c>
      <c r="N740" s="730">
        <v>65306</v>
      </c>
      <c r="O740" s="730">
        <v>65306</v>
      </c>
      <c r="P740" s="459">
        <v>65313</v>
      </c>
      <c r="Q740" s="432" t="s">
        <v>51</v>
      </c>
    </row>
    <row r="741" spans="1:17">
      <c r="A741" s="509">
        <f t="shared" si="11"/>
        <v>740</v>
      </c>
      <c r="B741" s="1332" t="s">
        <v>43</v>
      </c>
      <c r="C741" s="943" t="s">
        <v>44</v>
      </c>
      <c r="D741" s="943" t="s">
        <v>45</v>
      </c>
      <c r="E741" s="432" t="s">
        <v>6090</v>
      </c>
      <c r="F741" s="434">
        <v>2</v>
      </c>
      <c r="G741" s="434">
        <v>9848060381</v>
      </c>
      <c r="I741" s="434">
        <v>30</v>
      </c>
      <c r="J741" s="434" t="s">
        <v>90</v>
      </c>
      <c r="K741" s="434" t="s">
        <v>3293</v>
      </c>
      <c r="M741" s="434" t="s">
        <v>1764</v>
      </c>
      <c r="N741" s="730">
        <v>65306</v>
      </c>
      <c r="O741" s="730">
        <v>65306</v>
      </c>
      <c r="P741" s="459">
        <v>65313</v>
      </c>
      <c r="Q741" s="432" t="s">
        <v>51</v>
      </c>
    </row>
    <row r="742" spans="1:17">
      <c r="A742" s="509">
        <f t="shared" si="11"/>
        <v>741</v>
      </c>
      <c r="B742" s="1332" t="s">
        <v>43</v>
      </c>
      <c r="C742" s="943" t="s">
        <v>44</v>
      </c>
      <c r="D742" s="943" t="s">
        <v>45</v>
      </c>
      <c r="E742" s="432" t="s">
        <v>6091</v>
      </c>
      <c r="F742" s="434">
        <v>6</v>
      </c>
      <c r="G742" s="434">
        <v>9866176397</v>
      </c>
      <c r="I742" s="434">
        <v>40</v>
      </c>
      <c r="J742" s="120" t="s">
        <v>48</v>
      </c>
      <c r="K742" s="434" t="s">
        <v>3293</v>
      </c>
      <c r="M742" s="434" t="s">
        <v>1764</v>
      </c>
      <c r="N742" s="730">
        <v>65306</v>
      </c>
      <c r="O742" s="730">
        <v>65306</v>
      </c>
      <c r="P742" s="459">
        <v>65313</v>
      </c>
      <c r="Q742" s="432" t="s">
        <v>51</v>
      </c>
    </row>
    <row r="743" spans="1:17">
      <c r="A743" s="509">
        <f t="shared" si="11"/>
        <v>742</v>
      </c>
      <c r="B743" s="1332" t="s">
        <v>43</v>
      </c>
      <c r="C743" s="943" t="s">
        <v>44</v>
      </c>
      <c r="D743" s="943" t="s">
        <v>45</v>
      </c>
      <c r="E743" s="432" t="s">
        <v>6092</v>
      </c>
      <c r="F743" s="434">
        <v>6</v>
      </c>
      <c r="G743" s="434">
        <v>9844967525</v>
      </c>
      <c r="I743" s="434">
        <v>35</v>
      </c>
      <c r="J743" s="434" t="s">
        <v>90</v>
      </c>
      <c r="K743" s="434" t="s">
        <v>3293</v>
      </c>
      <c r="M743" s="434" t="s">
        <v>1764</v>
      </c>
      <c r="N743" s="730">
        <v>65306</v>
      </c>
      <c r="O743" s="730">
        <v>65306</v>
      </c>
      <c r="P743" s="459">
        <v>65313</v>
      </c>
      <c r="Q743" s="432" t="s">
        <v>51</v>
      </c>
    </row>
    <row r="744" spans="1:17">
      <c r="A744" s="509">
        <f t="shared" si="11"/>
        <v>743</v>
      </c>
      <c r="B744" s="1332" t="s">
        <v>43</v>
      </c>
      <c r="C744" s="943" t="s">
        <v>44</v>
      </c>
      <c r="D744" s="943" t="s">
        <v>45</v>
      </c>
      <c r="E744" s="432" t="s">
        <v>1294</v>
      </c>
      <c r="F744" s="434">
        <v>5</v>
      </c>
      <c r="G744" s="434">
        <v>9809731668</v>
      </c>
      <c r="I744" s="434">
        <v>23</v>
      </c>
      <c r="J744" s="434" t="s">
        <v>90</v>
      </c>
      <c r="K744" s="434" t="s">
        <v>3293</v>
      </c>
      <c r="M744" s="434" t="s">
        <v>1764</v>
      </c>
      <c r="N744" s="730">
        <v>65306</v>
      </c>
      <c r="O744" s="730">
        <v>65306</v>
      </c>
      <c r="P744" s="459">
        <v>65313</v>
      </c>
      <c r="Q744" s="432" t="s">
        <v>51</v>
      </c>
    </row>
    <row r="745" spans="1:17">
      <c r="A745" s="509">
        <f t="shared" si="11"/>
        <v>744</v>
      </c>
      <c r="B745" s="1332" t="s">
        <v>43</v>
      </c>
      <c r="C745" s="943" t="s">
        <v>44</v>
      </c>
      <c r="D745" s="943" t="s">
        <v>45</v>
      </c>
      <c r="E745" s="432" t="s">
        <v>6093</v>
      </c>
      <c r="F745" s="434">
        <v>7</v>
      </c>
      <c r="G745" s="434">
        <v>9812828185</v>
      </c>
      <c r="I745" s="434">
        <v>50</v>
      </c>
      <c r="J745" s="434" t="s">
        <v>90</v>
      </c>
      <c r="K745" s="434" t="s">
        <v>3293</v>
      </c>
      <c r="M745" s="434" t="s">
        <v>1764</v>
      </c>
      <c r="N745" s="730">
        <v>65306</v>
      </c>
      <c r="O745" s="730">
        <v>65306</v>
      </c>
      <c r="P745" s="459">
        <v>65313</v>
      </c>
      <c r="Q745" s="432" t="s">
        <v>51</v>
      </c>
    </row>
    <row r="746" spans="1:17">
      <c r="A746" s="509">
        <f t="shared" si="11"/>
        <v>745</v>
      </c>
      <c r="B746" s="1332" t="s">
        <v>43</v>
      </c>
      <c r="C746" s="943" t="s">
        <v>44</v>
      </c>
      <c r="D746" s="943" t="s">
        <v>45</v>
      </c>
      <c r="E746" s="432" t="s">
        <v>6094</v>
      </c>
      <c r="F746" s="434">
        <v>5</v>
      </c>
      <c r="G746" s="434">
        <v>9806233857</v>
      </c>
      <c r="I746" s="434">
        <v>45</v>
      </c>
      <c r="J746" s="120" t="s">
        <v>48</v>
      </c>
      <c r="K746" s="434" t="s">
        <v>3293</v>
      </c>
      <c r="M746" s="434" t="s">
        <v>1764</v>
      </c>
      <c r="N746" s="730">
        <v>65306</v>
      </c>
      <c r="O746" s="730">
        <v>65306</v>
      </c>
      <c r="P746" s="459">
        <v>65313</v>
      </c>
      <c r="Q746" s="432" t="s">
        <v>51</v>
      </c>
    </row>
    <row r="747" spans="1:17">
      <c r="A747" s="509">
        <f t="shared" si="11"/>
        <v>746</v>
      </c>
      <c r="B747" s="1332" t="s">
        <v>43</v>
      </c>
      <c r="C747" s="943" t="s">
        <v>44</v>
      </c>
      <c r="D747" s="943" t="s">
        <v>45</v>
      </c>
      <c r="E747" s="432" t="s">
        <v>6095</v>
      </c>
      <c r="F747" s="434">
        <v>6</v>
      </c>
      <c r="G747" s="434">
        <v>9840018705</v>
      </c>
      <c r="I747" s="434">
        <v>83</v>
      </c>
      <c r="J747" s="120" t="s">
        <v>48</v>
      </c>
      <c r="K747" s="434" t="s">
        <v>3293</v>
      </c>
      <c r="M747" s="434" t="s">
        <v>1764</v>
      </c>
      <c r="N747" s="730">
        <v>65306</v>
      </c>
      <c r="O747" s="730">
        <v>65306</v>
      </c>
      <c r="P747" s="459">
        <v>65313</v>
      </c>
      <c r="Q747" s="432" t="s">
        <v>51</v>
      </c>
    </row>
    <row r="748" spans="1:17">
      <c r="A748" s="509">
        <f t="shared" si="11"/>
        <v>747</v>
      </c>
      <c r="B748" s="1332" t="s">
        <v>43</v>
      </c>
      <c r="C748" s="943" t="s">
        <v>44</v>
      </c>
      <c r="D748" s="943" t="s">
        <v>45</v>
      </c>
      <c r="E748" s="432" t="s">
        <v>6096</v>
      </c>
      <c r="F748" s="434">
        <v>3</v>
      </c>
      <c r="G748" s="434">
        <v>9841806798</v>
      </c>
      <c r="I748" s="434">
        <v>33</v>
      </c>
      <c r="J748" s="434" t="s">
        <v>90</v>
      </c>
      <c r="K748" s="434" t="s">
        <v>3293</v>
      </c>
      <c r="M748" s="434" t="s">
        <v>1764</v>
      </c>
      <c r="N748" s="730">
        <v>65306</v>
      </c>
      <c r="O748" s="730">
        <v>65306</v>
      </c>
      <c r="P748" s="459">
        <v>65313</v>
      </c>
      <c r="Q748" s="432" t="s">
        <v>51</v>
      </c>
    </row>
    <row r="749" spans="1:17">
      <c r="A749" s="509">
        <f t="shared" si="11"/>
        <v>748</v>
      </c>
      <c r="B749" s="1332" t="s">
        <v>43</v>
      </c>
      <c r="C749" s="943" t="s">
        <v>44</v>
      </c>
      <c r="D749" s="943" t="s">
        <v>45</v>
      </c>
      <c r="E749" s="432" t="s">
        <v>6097</v>
      </c>
      <c r="F749" s="434">
        <v>3</v>
      </c>
      <c r="G749" s="434">
        <v>9847824056</v>
      </c>
      <c r="I749" s="434">
        <v>54</v>
      </c>
      <c r="J749" s="434" t="s">
        <v>90</v>
      </c>
      <c r="K749" s="434" t="s">
        <v>3293</v>
      </c>
      <c r="M749" s="434" t="s">
        <v>1764</v>
      </c>
      <c r="N749" s="730">
        <v>65306</v>
      </c>
      <c r="O749" s="730">
        <v>65306</v>
      </c>
      <c r="P749" s="459">
        <v>65313</v>
      </c>
      <c r="Q749" s="432" t="s">
        <v>51</v>
      </c>
    </row>
    <row r="750" spans="1:17">
      <c r="A750" s="509">
        <f t="shared" si="11"/>
        <v>749</v>
      </c>
      <c r="B750" s="1332" t="s">
        <v>43</v>
      </c>
      <c r="C750" s="943" t="s">
        <v>44</v>
      </c>
      <c r="D750" s="943" t="s">
        <v>45</v>
      </c>
      <c r="E750" s="432" t="s">
        <v>6098</v>
      </c>
      <c r="F750" s="434">
        <v>19</v>
      </c>
      <c r="G750" s="434">
        <v>9819517707</v>
      </c>
      <c r="I750" s="434">
        <v>57</v>
      </c>
      <c r="J750" s="434" t="s">
        <v>90</v>
      </c>
      <c r="K750" s="434" t="s">
        <v>3293</v>
      </c>
      <c r="M750" s="434" t="s">
        <v>1764</v>
      </c>
      <c r="N750" s="730">
        <v>65306</v>
      </c>
      <c r="O750" s="730">
        <v>65306</v>
      </c>
      <c r="P750" s="459">
        <v>65313</v>
      </c>
      <c r="Q750" s="432" t="s">
        <v>51</v>
      </c>
    </row>
    <row r="751" spans="1:17">
      <c r="A751" s="509">
        <f t="shared" si="11"/>
        <v>750</v>
      </c>
      <c r="B751" s="1332" t="s">
        <v>43</v>
      </c>
      <c r="C751" s="943" t="s">
        <v>44</v>
      </c>
      <c r="D751" s="943" t="s">
        <v>45</v>
      </c>
      <c r="E751" s="432" t="s">
        <v>6099</v>
      </c>
      <c r="F751" s="434">
        <v>6</v>
      </c>
      <c r="G751" s="434">
        <v>9857820381</v>
      </c>
      <c r="I751" s="434">
        <v>48</v>
      </c>
      <c r="J751" s="120" t="s">
        <v>48</v>
      </c>
      <c r="K751" s="434" t="s">
        <v>3293</v>
      </c>
      <c r="M751" s="434" t="s">
        <v>1764</v>
      </c>
      <c r="N751" s="730">
        <v>65306</v>
      </c>
      <c r="O751" s="730">
        <v>65306</v>
      </c>
      <c r="P751" s="459">
        <v>65313</v>
      </c>
      <c r="Q751" s="432" t="s">
        <v>51</v>
      </c>
    </row>
    <row r="752" spans="1:17">
      <c r="A752" s="509">
        <f t="shared" si="11"/>
        <v>751</v>
      </c>
      <c r="B752" s="1332" t="s">
        <v>43</v>
      </c>
      <c r="C752" s="943" t="s">
        <v>44</v>
      </c>
      <c r="D752" s="943" t="s">
        <v>45</v>
      </c>
      <c r="E752" s="432" t="s">
        <v>6100</v>
      </c>
      <c r="F752" s="434">
        <v>6</v>
      </c>
      <c r="G752" s="434">
        <v>9857820381</v>
      </c>
      <c r="I752" s="434">
        <v>25</v>
      </c>
      <c r="J752" s="434" t="s">
        <v>90</v>
      </c>
      <c r="K752" s="434" t="s">
        <v>3293</v>
      </c>
      <c r="M752" s="434" t="s">
        <v>1764</v>
      </c>
      <c r="N752" s="730">
        <v>65306</v>
      </c>
      <c r="O752" s="730">
        <v>65306</v>
      </c>
      <c r="P752" s="459">
        <v>65313</v>
      </c>
      <c r="Q752" s="432" t="s">
        <v>51</v>
      </c>
    </row>
    <row r="753" spans="1:17">
      <c r="A753" s="509">
        <f t="shared" si="11"/>
        <v>752</v>
      </c>
      <c r="B753" s="1332" t="s">
        <v>43</v>
      </c>
      <c r="C753" s="943" t="s">
        <v>44</v>
      </c>
      <c r="D753" s="943" t="s">
        <v>45</v>
      </c>
      <c r="E753" s="432" t="s">
        <v>5588</v>
      </c>
      <c r="F753" s="434">
        <v>8</v>
      </c>
      <c r="G753" s="434">
        <v>9842336810</v>
      </c>
      <c r="I753" s="434">
        <v>30</v>
      </c>
      <c r="J753" s="434" t="s">
        <v>90</v>
      </c>
      <c r="K753" s="434" t="s">
        <v>3293</v>
      </c>
      <c r="M753" s="434" t="s">
        <v>1764</v>
      </c>
      <c r="N753" s="730">
        <v>65306</v>
      </c>
      <c r="O753" s="730">
        <v>65306</v>
      </c>
      <c r="P753" s="459">
        <v>65313</v>
      </c>
      <c r="Q753" s="432" t="s">
        <v>51</v>
      </c>
    </row>
    <row r="754" spans="1:17">
      <c r="A754" s="509">
        <f t="shared" si="11"/>
        <v>753</v>
      </c>
      <c r="B754" s="1332" t="s">
        <v>43</v>
      </c>
      <c r="C754" s="943" t="s">
        <v>44</v>
      </c>
      <c r="D754" s="943" t="s">
        <v>45</v>
      </c>
      <c r="E754" s="432" t="s">
        <v>6101</v>
      </c>
      <c r="F754" s="434">
        <v>10</v>
      </c>
      <c r="G754" s="434">
        <v>9813823011</v>
      </c>
      <c r="I754" s="434">
        <v>29</v>
      </c>
      <c r="J754" s="120" t="s">
        <v>48</v>
      </c>
      <c r="K754" s="434" t="s">
        <v>5405</v>
      </c>
      <c r="M754" s="434" t="s">
        <v>1764</v>
      </c>
      <c r="N754" s="730">
        <v>65306</v>
      </c>
      <c r="O754" s="730">
        <v>65306</v>
      </c>
      <c r="P754" s="459">
        <v>65313</v>
      </c>
      <c r="Q754" s="432" t="s">
        <v>51</v>
      </c>
    </row>
    <row r="755" spans="1:17">
      <c r="A755" s="509">
        <f t="shared" si="11"/>
        <v>754</v>
      </c>
      <c r="B755" s="1332" t="s">
        <v>43</v>
      </c>
      <c r="C755" s="943" t="s">
        <v>44</v>
      </c>
      <c r="D755" s="943" t="s">
        <v>45</v>
      </c>
      <c r="E755" s="432" t="s">
        <v>6102</v>
      </c>
      <c r="F755" s="434">
        <v>7</v>
      </c>
      <c r="G755" s="434">
        <v>9851101281</v>
      </c>
      <c r="I755" s="434">
        <v>35</v>
      </c>
      <c r="J755" s="120" t="s">
        <v>48</v>
      </c>
      <c r="K755" s="434" t="s">
        <v>5405</v>
      </c>
      <c r="M755" s="434" t="s">
        <v>1764</v>
      </c>
      <c r="N755" s="730">
        <v>65306</v>
      </c>
      <c r="O755" s="730">
        <v>65306</v>
      </c>
      <c r="P755" s="459">
        <v>65313</v>
      </c>
      <c r="Q755" s="432" t="s">
        <v>51</v>
      </c>
    </row>
    <row r="756" spans="1:17">
      <c r="A756" s="509">
        <f t="shared" si="11"/>
        <v>755</v>
      </c>
      <c r="B756" s="1332" t="s">
        <v>43</v>
      </c>
      <c r="C756" s="943" t="s">
        <v>44</v>
      </c>
      <c r="D756" s="943" t="s">
        <v>45</v>
      </c>
      <c r="E756" s="432" t="s">
        <v>6103</v>
      </c>
      <c r="F756" s="434">
        <v>16</v>
      </c>
      <c r="G756" s="434">
        <v>9847938767</v>
      </c>
      <c r="I756" s="434">
        <v>38</v>
      </c>
      <c r="J756" s="120" t="s">
        <v>48</v>
      </c>
      <c r="K756" s="434" t="s">
        <v>5405</v>
      </c>
      <c r="M756" s="434" t="s">
        <v>1764</v>
      </c>
      <c r="N756" s="730">
        <v>65306</v>
      </c>
      <c r="O756" s="730">
        <v>65306</v>
      </c>
      <c r="P756" s="459">
        <v>65313</v>
      </c>
      <c r="Q756" s="432" t="s">
        <v>51</v>
      </c>
    </row>
    <row r="757" spans="1:17">
      <c r="A757" s="509">
        <f t="shared" si="11"/>
        <v>756</v>
      </c>
      <c r="B757" s="1332" t="s">
        <v>43</v>
      </c>
      <c r="C757" s="943" t="s">
        <v>44</v>
      </c>
      <c r="D757" s="943" t="s">
        <v>45</v>
      </c>
      <c r="E757" s="432" t="s">
        <v>6104</v>
      </c>
      <c r="F757" s="434">
        <v>6</v>
      </c>
      <c r="G757" s="434">
        <v>9844938829</v>
      </c>
      <c r="I757" s="434">
        <v>35</v>
      </c>
      <c r="J757" s="434" t="s">
        <v>90</v>
      </c>
      <c r="K757" s="434" t="s">
        <v>5405</v>
      </c>
      <c r="M757" s="434" t="s">
        <v>1764</v>
      </c>
      <c r="N757" s="730">
        <v>65306</v>
      </c>
      <c r="O757" s="730">
        <v>65306</v>
      </c>
      <c r="P757" s="459">
        <v>65313</v>
      </c>
      <c r="Q757" s="432" t="s">
        <v>51</v>
      </c>
    </row>
    <row r="758" spans="1:17">
      <c r="A758" s="509">
        <f t="shared" si="11"/>
        <v>757</v>
      </c>
      <c r="B758" s="1332" t="s">
        <v>43</v>
      </c>
      <c r="C758" s="943" t="s">
        <v>44</v>
      </c>
      <c r="D758" s="943" t="s">
        <v>45</v>
      </c>
      <c r="E758" s="432" t="s">
        <v>6105</v>
      </c>
      <c r="F758" s="434">
        <v>19</v>
      </c>
      <c r="G758" s="434">
        <v>9869736911</v>
      </c>
      <c r="I758" s="434">
        <v>74</v>
      </c>
      <c r="J758" s="434" t="s">
        <v>90</v>
      </c>
      <c r="K758" s="434" t="s">
        <v>5405</v>
      </c>
      <c r="M758" s="434" t="s">
        <v>1764</v>
      </c>
      <c r="N758" s="730">
        <v>65306</v>
      </c>
      <c r="O758" s="730">
        <v>65306</v>
      </c>
      <c r="P758" s="459">
        <v>65313</v>
      </c>
      <c r="Q758" s="432" t="s">
        <v>51</v>
      </c>
    </row>
    <row r="759" spans="1:17">
      <c r="A759" s="509">
        <f t="shared" si="11"/>
        <v>758</v>
      </c>
      <c r="B759" s="1332" t="s">
        <v>43</v>
      </c>
      <c r="C759" s="943" t="s">
        <v>44</v>
      </c>
      <c r="D759" s="943" t="s">
        <v>45</v>
      </c>
      <c r="E759" s="432" t="s">
        <v>6106</v>
      </c>
      <c r="F759" s="434">
        <v>18</v>
      </c>
      <c r="G759" s="434">
        <v>9845570555</v>
      </c>
      <c r="I759" s="434">
        <v>43</v>
      </c>
      <c r="J759" s="434" t="s">
        <v>90</v>
      </c>
      <c r="K759" s="434" t="s">
        <v>5405</v>
      </c>
      <c r="M759" s="434" t="s">
        <v>1764</v>
      </c>
      <c r="N759" s="730">
        <v>65306</v>
      </c>
      <c r="O759" s="730">
        <v>65306</v>
      </c>
      <c r="P759" s="459">
        <v>65313</v>
      </c>
      <c r="Q759" s="432" t="s">
        <v>51</v>
      </c>
    </row>
    <row r="760" spans="1:17">
      <c r="A760" s="509">
        <f t="shared" si="11"/>
        <v>759</v>
      </c>
      <c r="B760" s="1332" t="s">
        <v>43</v>
      </c>
      <c r="C760" s="943" t="s">
        <v>44</v>
      </c>
      <c r="D760" s="943" t="s">
        <v>45</v>
      </c>
      <c r="E760" s="432" t="s">
        <v>6107</v>
      </c>
      <c r="F760" s="434">
        <v>8</v>
      </c>
      <c r="G760" s="434">
        <v>9847945326</v>
      </c>
      <c r="I760" s="434">
        <v>46</v>
      </c>
      <c r="J760" s="120" t="s">
        <v>48</v>
      </c>
      <c r="K760" s="434" t="s">
        <v>5405</v>
      </c>
      <c r="M760" s="434" t="s">
        <v>1764</v>
      </c>
      <c r="N760" s="730">
        <v>65306</v>
      </c>
      <c r="O760" s="730">
        <v>65306</v>
      </c>
      <c r="P760" s="459">
        <v>65313</v>
      </c>
      <c r="Q760" s="432" t="s">
        <v>51</v>
      </c>
    </row>
    <row r="761" spans="1:17">
      <c r="A761" s="509">
        <f t="shared" si="11"/>
        <v>760</v>
      </c>
      <c r="B761" s="1332" t="s">
        <v>43</v>
      </c>
      <c r="C761" s="943" t="s">
        <v>44</v>
      </c>
      <c r="D761" s="943" t="s">
        <v>45</v>
      </c>
      <c r="E761" s="432" t="s">
        <v>6108</v>
      </c>
      <c r="F761" s="434">
        <v>4</v>
      </c>
      <c r="G761" s="434">
        <v>9869015860</v>
      </c>
      <c r="I761" s="434">
        <v>30</v>
      </c>
      <c r="J761" s="434" t="s">
        <v>90</v>
      </c>
      <c r="K761" s="434" t="s">
        <v>5632</v>
      </c>
      <c r="M761" s="434" t="s">
        <v>1764</v>
      </c>
      <c r="N761" s="730">
        <v>65306</v>
      </c>
      <c r="O761" s="730">
        <v>65306</v>
      </c>
      <c r="P761" s="459">
        <v>65313</v>
      </c>
      <c r="Q761" s="432" t="s">
        <v>51</v>
      </c>
    </row>
    <row r="762" spans="1:17">
      <c r="A762" s="509">
        <f t="shared" si="11"/>
        <v>761</v>
      </c>
      <c r="B762" s="1332" t="s">
        <v>43</v>
      </c>
      <c r="C762" s="943" t="s">
        <v>44</v>
      </c>
      <c r="D762" s="943" t="s">
        <v>45</v>
      </c>
      <c r="E762" s="432" t="s">
        <v>6109</v>
      </c>
      <c r="F762" s="434">
        <v>7</v>
      </c>
      <c r="G762" s="434">
        <v>9847988300</v>
      </c>
      <c r="I762" s="434">
        <v>22</v>
      </c>
      <c r="J762" s="120" t="s">
        <v>48</v>
      </c>
      <c r="K762" s="434" t="s">
        <v>5632</v>
      </c>
      <c r="M762" s="434" t="s">
        <v>1764</v>
      </c>
      <c r="N762" s="730">
        <v>65306</v>
      </c>
      <c r="O762" s="730">
        <v>65306</v>
      </c>
      <c r="P762" s="459">
        <v>65313</v>
      </c>
      <c r="Q762" s="432" t="s">
        <v>51</v>
      </c>
    </row>
    <row r="763" spans="1:17">
      <c r="A763" s="509">
        <f t="shared" si="11"/>
        <v>762</v>
      </c>
      <c r="B763" s="1332" t="s">
        <v>43</v>
      </c>
      <c r="C763" s="943" t="s">
        <v>44</v>
      </c>
      <c r="D763" s="943" t="s">
        <v>45</v>
      </c>
      <c r="E763" s="432" t="s">
        <v>3580</v>
      </c>
      <c r="F763" s="434">
        <v>5</v>
      </c>
      <c r="G763" s="434">
        <v>9809805493</v>
      </c>
      <c r="I763" s="434">
        <v>48</v>
      </c>
      <c r="J763" s="434" t="s">
        <v>90</v>
      </c>
      <c r="K763" s="434" t="s">
        <v>5405</v>
      </c>
      <c r="M763" s="434" t="s">
        <v>1764</v>
      </c>
      <c r="N763" s="730">
        <v>65307</v>
      </c>
      <c r="O763" s="730">
        <v>65307</v>
      </c>
      <c r="P763" s="459">
        <v>65314</v>
      </c>
      <c r="Q763" s="432" t="s">
        <v>51</v>
      </c>
    </row>
    <row r="764" spans="1:17">
      <c r="A764" s="509">
        <f t="shared" si="11"/>
        <v>763</v>
      </c>
      <c r="B764" s="1332" t="s">
        <v>43</v>
      </c>
      <c r="C764" s="943" t="s">
        <v>44</v>
      </c>
      <c r="D764" s="943" t="s">
        <v>45</v>
      </c>
      <c r="E764" s="432" t="s">
        <v>5828</v>
      </c>
      <c r="F764" s="434">
        <v>3</v>
      </c>
      <c r="G764" s="434">
        <v>9810809394</v>
      </c>
      <c r="I764" s="434">
        <v>22</v>
      </c>
      <c r="J764" s="434" t="s">
        <v>90</v>
      </c>
      <c r="K764" s="434" t="s">
        <v>5405</v>
      </c>
      <c r="M764" s="434" t="s">
        <v>1764</v>
      </c>
      <c r="N764" s="730">
        <v>65307</v>
      </c>
      <c r="O764" s="730">
        <v>65307</v>
      </c>
      <c r="P764" s="459">
        <v>65314</v>
      </c>
      <c r="Q764" s="432" t="s">
        <v>51</v>
      </c>
    </row>
    <row r="765" spans="1:17">
      <c r="A765" s="509">
        <f t="shared" si="11"/>
        <v>764</v>
      </c>
      <c r="B765" s="1332" t="s">
        <v>43</v>
      </c>
      <c r="C765" s="943" t="s">
        <v>44</v>
      </c>
      <c r="D765" s="943" t="s">
        <v>45</v>
      </c>
      <c r="E765" s="432" t="s">
        <v>6110</v>
      </c>
      <c r="F765" s="434">
        <v>4</v>
      </c>
      <c r="G765" s="434">
        <v>9848388649</v>
      </c>
      <c r="I765" s="434">
        <v>16</v>
      </c>
      <c r="J765" s="120" t="s">
        <v>48</v>
      </c>
      <c r="K765" s="434" t="s">
        <v>5405</v>
      </c>
      <c r="M765" s="434" t="s">
        <v>1764</v>
      </c>
      <c r="N765" s="730">
        <v>65307</v>
      </c>
      <c r="O765" s="730">
        <v>65307</v>
      </c>
      <c r="P765" s="459">
        <v>65314</v>
      </c>
      <c r="Q765" s="432" t="s">
        <v>51</v>
      </c>
    </row>
    <row r="766" spans="1:17">
      <c r="A766" s="509">
        <f t="shared" si="11"/>
        <v>765</v>
      </c>
      <c r="B766" s="1332" t="s">
        <v>43</v>
      </c>
      <c r="C766" s="943" t="s">
        <v>44</v>
      </c>
      <c r="D766" s="943" t="s">
        <v>45</v>
      </c>
      <c r="E766" s="432" t="s">
        <v>6111</v>
      </c>
      <c r="F766" s="434">
        <v>19</v>
      </c>
      <c r="G766" s="434">
        <v>9847217603</v>
      </c>
      <c r="I766" s="434">
        <v>28</v>
      </c>
      <c r="J766" s="120" t="s">
        <v>48</v>
      </c>
      <c r="K766" s="434" t="s">
        <v>5405</v>
      </c>
      <c r="M766" s="434" t="s">
        <v>1764</v>
      </c>
      <c r="N766" s="730">
        <v>65307</v>
      </c>
      <c r="O766" s="730">
        <v>65307</v>
      </c>
      <c r="P766" s="459">
        <v>65314</v>
      </c>
      <c r="Q766" s="432" t="s">
        <v>51</v>
      </c>
    </row>
    <row r="767" spans="1:17">
      <c r="A767" s="509">
        <f t="shared" si="11"/>
        <v>766</v>
      </c>
      <c r="B767" s="1332" t="s">
        <v>43</v>
      </c>
      <c r="C767" s="943" t="s">
        <v>44</v>
      </c>
      <c r="D767" s="943" t="s">
        <v>45</v>
      </c>
      <c r="E767" s="432" t="s">
        <v>6112</v>
      </c>
      <c r="F767" s="434">
        <v>5</v>
      </c>
      <c r="G767" s="434">
        <v>9843930306</v>
      </c>
      <c r="I767" s="434">
        <v>28</v>
      </c>
      <c r="J767" s="434" t="s">
        <v>90</v>
      </c>
      <c r="K767" s="434" t="s">
        <v>3293</v>
      </c>
      <c r="M767" s="434" t="s">
        <v>1764</v>
      </c>
      <c r="N767" s="730">
        <v>65308</v>
      </c>
      <c r="O767" s="730">
        <v>65308</v>
      </c>
      <c r="P767" s="459">
        <v>65315</v>
      </c>
      <c r="Q767" s="432" t="s">
        <v>6168</v>
      </c>
    </row>
    <row r="768" spans="1:17">
      <c r="A768" s="509">
        <f t="shared" si="11"/>
        <v>767</v>
      </c>
      <c r="B768" s="1332" t="s">
        <v>43</v>
      </c>
      <c r="C768" s="943" t="s">
        <v>44</v>
      </c>
      <c r="D768" s="943" t="s">
        <v>45</v>
      </c>
      <c r="E768" s="432" t="s">
        <v>6113</v>
      </c>
      <c r="F768" s="434">
        <v>12</v>
      </c>
      <c r="G768" s="434">
        <v>9847830758</v>
      </c>
      <c r="I768" s="434">
        <v>65</v>
      </c>
      <c r="J768" s="434" t="s">
        <v>90</v>
      </c>
      <c r="K768" s="434" t="s">
        <v>3293</v>
      </c>
      <c r="M768" s="434" t="s">
        <v>1764</v>
      </c>
      <c r="N768" s="730">
        <v>65308</v>
      </c>
      <c r="O768" s="730">
        <v>65308</v>
      </c>
      <c r="P768" s="459">
        <v>65315</v>
      </c>
      <c r="Q768" s="432" t="s">
        <v>51</v>
      </c>
    </row>
    <row r="769" spans="1:17">
      <c r="A769" s="509">
        <f t="shared" si="11"/>
        <v>768</v>
      </c>
      <c r="B769" s="1332" t="s">
        <v>43</v>
      </c>
      <c r="C769" s="943" t="s">
        <v>44</v>
      </c>
      <c r="D769" s="943" t="s">
        <v>45</v>
      </c>
      <c r="E769" s="432" t="s">
        <v>6115</v>
      </c>
      <c r="F769" s="434">
        <v>6</v>
      </c>
      <c r="G769" s="434">
        <v>9847887360</v>
      </c>
      <c r="I769" s="434">
        <v>33</v>
      </c>
      <c r="J769" s="120" t="s">
        <v>48</v>
      </c>
      <c r="K769" s="434" t="s">
        <v>3293</v>
      </c>
      <c r="M769" s="434" t="s">
        <v>1764</v>
      </c>
      <c r="N769" s="730">
        <v>65308</v>
      </c>
      <c r="O769" s="730">
        <v>65308</v>
      </c>
      <c r="P769" s="459">
        <v>65315</v>
      </c>
      <c r="Q769" s="432" t="s">
        <v>51</v>
      </c>
    </row>
    <row r="770" spans="1:17">
      <c r="A770" s="509">
        <f t="shared" si="11"/>
        <v>769</v>
      </c>
      <c r="B770" s="1332" t="s">
        <v>43</v>
      </c>
      <c r="C770" s="943" t="s">
        <v>44</v>
      </c>
      <c r="D770" s="943" t="s">
        <v>45</v>
      </c>
      <c r="E770" s="432" t="s">
        <v>6114</v>
      </c>
      <c r="F770" s="434">
        <v>6</v>
      </c>
      <c r="G770" s="434">
        <v>9847887360</v>
      </c>
      <c r="I770" s="434">
        <v>71</v>
      </c>
      <c r="J770" s="120" t="s">
        <v>48</v>
      </c>
      <c r="K770" s="434" t="s">
        <v>3293</v>
      </c>
      <c r="M770" s="434" t="s">
        <v>1764</v>
      </c>
      <c r="N770" s="730">
        <v>65308</v>
      </c>
      <c r="O770" s="730">
        <v>65308</v>
      </c>
      <c r="P770" s="459">
        <v>65315</v>
      </c>
      <c r="Q770" s="432" t="s">
        <v>51</v>
      </c>
    </row>
    <row r="771" spans="1:17">
      <c r="A771" s="509">
        <f t="shared" ref="A771:A834" si="12">A770+1</f>
        <v>770</v>
      </c>
      <c r="B771" s="1332" t="s">
        <v>43</v>
      </c>
      <c r="C771" s="943" t="s">
        <v>44</v>
      </c>
      <c r="D771" s="943" t="s">
        <v>45</v>
      </c>
      <c r="E771" s="432" t="s">
        <v>6116</v>
      </c>
      <c r="F771" s="434">
        <v>6</v>
      </c>
      <c r="G771" s="434">
        <v>9866918137</v>
      </c>
      <c r="I771" s="434">
        <v>41</v>
      </c>
      <c r="J771" s="120" t="s">
        <v>48</v>
      </c>
      <c r="K771" s="434" t="s">
        <v>5405</v>
      </c>
      <c r="M771" s="434" t="s">
        <v>1764</v>
      </c>
      <c r="N771" s="730">
        <v>65308</v>
      </c>
      <c r="O771" s="730">
        <v>65308</v>
      </c>
      <c r="P771" s="459">
        <v>65315</v>
      </c>
      <c r="Q771" s="432" t="s">
        <v>51</v>
      </c>
    </row>
    <row r="772" spans="1:17">
      <c r="A772" s="509">
        <f t="shared" si="12"/>
        <v>771</v>
      </c>
      <c r="B772" s="1332" t="s">
        <v>43</v>
      </c>
      <c r="C772" s="943" t="s">
        <v>44</v>
      </c>
      <c r="D772" s="943" t="s">
        <v>45</v>
      </c>
      <c r="E772" s="432" t="s">
        <v>6117</v>
      </c>
      <c r="F772" s="434">
        <v>5</v>
      </c>
      <c r="G772" s="434">
        <v>9847886410</v>
      </c>
      <c r="I772" s="434">
        <v>27</v>
      </c>
      <c r="J772" s="434" t="s">
        <v>90</v>
      </c>
      <c r="K772" s="434" t="s">
        <v>5405</v>
      </c>
      <c r="M772" s="434" t="s">
        <v>1764</v>
      </c>
      <c r="N772" s="730">
        <v>65308</v>
      </c>
      <c r="O772" s="730">
        <v>65308</v>
      </c>
      <c r="P772" s="459">
        <v>65315</v>
      </c>
      <c r="Q772" s="432" t="s">
        <v>51</v>
      </c>
    </row>
    <row r="773" spans="1:17">
      <c r="A773" s="509">
        <f t="shared" si="12"/>
        <v>772</v>
      </c>
      <c r="B773" s="1332" t="s">
        <v>43</v>
      </c>
      <c r="C773" s="943" t="s">
        <v>44</v>
      </c>
      <c r="D773" s="943" t="s">
        <v>45</v>
      </c>
      <c r="E773" s="432" t="s">
        <v>6118</v>
      </c>
      <c r="F773" s="434">
        <v>6</v>
      </c>
      <c r="G773" s="434">
        <v>9847849743</v>
      </c>
      <c r="I773" s="434">
        <v>32</v>
      </c>
      <c r="J773" s="120" t="s">
        <v>48</v>
      </c>
      <c r="K773" s="434" t="s">
        <v>5405</v>
      </c>
      <c r="M773" s="434" t="s">
        <v>1764</v>
      </c>
      <c r="N773" s="730">
        <v>65308</v>
      </c>
      <c r="O773" s="730">
        <v>65308</v>
      </c>
      <c r="P773" s="459">
        <v>65315</v>
      </c>
      <c r="Q773" s="432" t="s">
        <v>51</v>
      </c>
    </row>
    <row r="774" spans="1:17">
      <c r="A774" s="509">
        <f t="shared" si="12"/>
        <v>773</v>
      </c>
      <c r="B774" s="1332" t="s">
        <v>43</v>
      </c>
      <c r="C774" s="943" t="s">
        <v>44</v>
      </c>
      <c r="D774" s="943" t="s">
        <v>45</v>
      </c>
      <c r="E774" s="432" t="s">
        <v>6119</v>
      </c>
      <c r="F774" s="434">
        <v>17</v>
      </c>
      <c r="G774" s="434">
        <v>9810894808</v>
      </c>
      <c r="I774" s="434">
        <v>44</v>
      </c>
      <c r="J774" s="434" t="s">
        <v>90</v>
      </c>
      <c r="K774" s="434" t="s">
        <v>6124</v>
      </c>
      <c r="M774" s="434" t="s">
        <v>1764</v>
      </c>
      <c r="N774" s="730">
        <v>65308</v>
      </c>
      <c r="O774" s="730">
        <v>65308</v>
      </c>
      <c r="P774" s="459">
        <v>65315</v>
      </c>
      <c r="Q774" s="432" t="s">
        <v>51</v>
      </c>
    </row>
    <row r="775" spans="1:17">
      <c r="A775" s="509">
        <f t="shared" si="12"/>
        <v>774</v>
      </c>
      <c r="B775" s="1332" t="s">
        <v>43</v>
      </c>
      <c r="C775" s="943" t="s">
        <v>44</v>
      </c>
      <c r="D775" s="943" t="s">
        <v>45</v>
      </c>
      <c r="E775" s="432" t="s">
        <v>6120</v>
      </c>
      <c r="F775" s="434">
        <v>17</v>
      </c>
      <c r="G775" s="434">
        <v>9810894808</v>
      </c>
      <c r="I775" s="434">
        <v>45</v>
      </c>
      <c r="J775" s="434" t="s">
        <v>90</v>
      </c>
      <c r="K775" s="434" t="s">
        <v>6124</v>
      </c>
      <c r="M775" s="434" t="s">
        <v>1764</v>
      </c>
      <c r="N775" s="730">
        <v>65308</v>
      </c>
      <c r="O775" s="730">
        <v>65308</v>
      </c>
      <c r="P775" s="459">
        <v>65315</v>
      </c>
      <c r="Q775" s="432" t="s">
        <v>51</v>
      </c>
    </row>
    <row r="776" spans="1:17">
      <c r="A776" s="509">
        <f t="shared" si="12"/>
        <v>775</v>
      </c>
      <c r="B776" s="1332" t="s">
        <v>43</v>
      </c>
      <c r="C776" s="943" t="s">
        <v>44</v>
      </c>
      <c r="D776" s="943" t="s">
        <v>45</v>
      </c>
      <c r="E776" s="432" t="s">
        <v>6121</v>
      </c>
      <c r="F776" s="434">
        <v>17</v>
      </c>
      <c r="G776" s="434">
        <v>9810894808</v>
      </c>
      <c r="I776" s="434">
        <v>58</v>
      </c>
      <c r="J776" s="120" t="s">
        <v>48</v>
      </c>
      <c r="K776" s="434" t="s">
        <v>6124</v>
      </c>
      <c r="M776" s="434" t="s">
        <v>1764</v>
      </c>
      <c r="N776" s="730">
        <v>65308</v>
      </c>
      <c r="O776" s="730">
        <v>65308</v>
      </c>
      <c r="P776" s="459">
        <v>65315</v>
      </c>
      <c r="Q776" s="432" t="s">
        <v>51</v>
      </c>
    </row>
    <row r="777" spans="1:17">
      <c r="A777" s="509">
        <f t="shared" si="12"/>
        <v>776</v>
      </c>
      <c r="B777" s="1332" t="s">
        <v>43</v>
      </c>
      <c r="C777" s="943" t="s">
        <v>44</v>
      </c>
      <c r="D777" s="943" t="s">
        <v>45</v>
      </c>
      <c r="E777" s="432" t="s">
        <v>6122</v>
      </c>
      <c r="F777" s="434">
        <v>17</v>
      </c>
      <c r="G777" s="434">
        <v>9847932581</v>
      </c>
      <c r="I777" s="434">
        <v>52</v>
      </c>
      <c r="J777" s="434" t="s">
        <v>90</v>
      </c>
      <c r="K777" s="434" t="s">
        <v>6124</v>
      </c>
      <c r="M777" s="434" t="s">
        <v>1764</v>
      </c>
      <c r="N777" s="730">
        <v>65308</v>
      </c>
      <c r="O777" s="730">
        <v>65308</v>
      </c>
      <c r="P777" s="459">
        <v>65315</v>
      </c>
      <c r="Q777" s="432" t="s">
        <v>51</v>
      </c>
    </row>
    <row r="778" spans="1:17">
      <c r="A778" s="509">
        <f t="shared" si="12"/>
        <v>777</v>
      </c>
      <c r="B778" s="1332" t="s">
        <v>43</v>
      </c>
      <c r="C778" s="943" t="s">
        <v>44</v>
      </c>
      <c r="D778" s="943" t="s">
        <v>45</v>
      </c>
      <c r="E778" s="432" t="s">
        <v>6123</v>
      </c>
      <c r="F778" s="434">
        <v>17</v>
      </c>
      <c r="G778" s="434">
        <v>9822819789</v>
      </c>
      <c r="I778" s="434">
        <v>61</v>
      </c>
      <c r="J778" s="434" t="s">
        <v>90</v>
      </c>
      <c r="K778" s="434" t="s">
        <v>6124</v>
      </c>
      <c r="M778" s="434" t="s">
        <v>1764</v>
      </c>
      <c r="N778" s="730">
        <v>65308</v>
      </c>
      <c r="O778" s="730">
        <v>65308</v>
      </c>
      <c r="P778" s="459">
        <v>65315</v>
      </c>
      <c r="Q778" s="432" t="s">
        <v>51</v>
      </c>
    </row>
    <row r="779" spans="1:17">
      <c r="A779" s="509">
        <f t="shared" si="12"/>
        <v>778</v>
      </c>
      <c r="B779" s="1332" t="s">
        <v>43</v>
      </c>
      <c r="C779" s="943" t="s">
        <v>44</v>
      </c>
      <c r="D779" s="943" t="s">
        <v>45</v>
      </c>
      <c r="E779" s="432" t="s">
        <v>6130</v>
      </c>
      <c r="F779" s="434">
        <v>17</v>
      </c>
      <c r="I779" s="434">
        <v>23</v>
      </c>
      <c r="J779" s="120" t="s">
        <v>48</v>
      </c>
      <c r="K779" s="434" t="s">
        <v>6124</v>
      </c>
      <c r="M779" s="434" t="s">
        <v>1764</v>
      </c>
      <c r="N779" s="730">
        <v>65309</v>
      </c>
      <c r="O779" s="730">
        <v>65309</v>
      </c>
      <c r="P779" s="459">
        <v>65316</v>
      </c>
      <c r="Q779" s="432" t="s">
        <v>51</v>
      </c>
    </row>
    <row r="780" spans="1:17">
      <c r="A780" s="509">
        <f t="shared" si="12"/>
        <v>779</v>
      </c>
      <c r="B780" s="1332" t="s">
        <v>43</v>
      </c>
      <c r="C780" s="943" t="s">
        <v>44</v>
      </c>
      <c r="D780" s="943" t="s">
        <v>45</v>
      </c>
      <c r="E780" s="432" t="s">
        <v>6125</v>
      </c>
      <c r="F780" s="434">
        <v>17</v>
      </c>
      <c r="I780" s="434">
        <v>24</v>
      </c>
      <c r="J780" s="120" t="s">
        <v>48</v>
      </c>
      <c r="K780" s="434" t="s">
        <v>6124</v>
      </c>
      <c r="M780" s="434" t="s">
        <v>1764</v>
      </c>
      <c r="N780" s="730">
        <v>65309</v>
      </c>
      <c r="O780" s="730">
        <v>65309</v>
      </c>
      <c r="P780" s="459">
        <v>65316</v>
      </c>
      <c r="Q780" s="432" t="s">
        <v>51</v>
      </c>
    </row>
    <row r="781" spans="1:17">
      <c r="A781" s="509">
        <f t="shared" si="12"/>
        <v>780</v>
      </c>
      <c r="B781" s="1332" t="s">
        <v>43</v>
      </c>
      <c r="C781" s="943" t="s">
        <v>44</v>
      </c>
      <c r="D781" s="943" t="s">
        <v>45</v>
      </c>
      <c r="E781" s="432" t="s">
        <v>6126</v>
      </c>
      <c r="F781" s="434">
        <v>17</v>
      </c>
      <c r="I781" s="434">
        <v>40</v>
      </c>
      <c r="J781" s="434" t="s">
        <v>90</v>
      </c>
      <c r="K781" s="434" t="s">
        <v>6124</v>
      </c>
      <c r="M781" s="434" t="s">
        <v>1764</v>
      </c>
      <c r="N781" s="730">
        <v>65309</v>
      </c>
      <c r="O781" s="730">
        <v>65309</v>
      </c>
      <c r="P781" s="459">
        <v>65316</v>
      </c>
      <c r="Q781" s="432" t="s">
        <v>51</v>
      </c>
    </row>
    <row r="782" spans="1:17">
      <c r="A782" s="509">
        <f t="shared" si="12"/>
        <v>781</v>
      </c>
      <c r="B782" s="1332" t="s">
        <v>43</v>
      </c>
      <c r="C782" s="943" t="s">
        <v>44</v>
      </c>
      <c r="D782" s="943" t="s">
        <v>45</v>
      </c>
      <c r="E782" s="432" t="s">
        <v>6127</v>
      </c>
      <c r="F782" s="434">
        <v>17</v>
      </c>
      <c r="I782" s="434">
        <v>42</v>
      </c>
      <c r="J782" s="120" t="s">
        <v>48</v>
      </c>
      <c r="K782" s="434" t="s">
        <v>6124</v>
      </c>
      <c r="M782" s="434" t="s">
        <v>1764</v>
      </c>
      <c r="N782" s="730">
        <v>65309</v>
      </c>
      <c r="O782" s="730">
        <v>65309</v>
      </c>
      <c r="P782" s="459">
        <v>65316</v>
      </c>
      <c r="Q782" s="432" t="s">
        <v>51</v>
      </c>
    </row>
    <row r="783" spans="1:17">
      <c r="A783" s="509">
        <f t="shared" si="12"/>
        <v>782</v>
      </c>
      <c r="B783" s="1332" t="s">
        <v>43</v>
      </c>
      <c r="C783" s="943" t="s">
        <v>44</v>
      </c>
      <c r="D783" s="943" t="s">
        <v>45</v>
      </c>
      <c r="E783" s="432" t="s">
        <v>6128</v>
      </c>
      <c r="F783" s="434">
        <v>17</v>
      </c>
      <c r="I783" s="434">
        <v>22</v>
      </c>
      <c r="J783" s="434" t="s">
        <v>90</v>
      </c>
      <c r="K783" s="434" t="s">
        <v>6124</v>
      </c>
      <c r="M783" s="434" t="s">
        <v>1764</v>
      </c>
      <c r="N783" s="730">
        <v>65309</v>
      </c>
      <c r="O783" s="730">
        <v>65309</v>
      </c>
      <c r="P783" s="459">
        <v>65316</v>
      </c>
      <c r="Q783" s="432" t="s">
        <v>51</v>
      </c>
    </row>
    <row r="784" spans="1:17">
      <c r="A784" s="509">
        <f t="shared" si="12"/>
        <v>783</v>
      </c>
      <c r="B784" s="1332" t="s">
        <v>43</v>
      </c>
      <c r="C784" s="943" t="s">
        <v>44</v>
      </c>
      <c r="D784" s="943" t="s">
        <v>45</v>
      </c>
      <c r="E784" s="432" t="s">
        <v>3240</v>
      </c>
      <c r="F784" s="434">
        <v>17</v>
      </c>
      <c r="I784" s="434">
        <v>21</v>
      </c>
      <c r="J784" s="120" t="s">
        <v>48</v>
      </c>
      <c r="K784" s="434" t="s">
        <v>6124</v>
      </c>
      <c r="M784" s="434" t="s">
        <v>1764</v>
      </c>
      <c r="N784" s="730">
        <v>65309</v>
      </c>
      <c r="O784" s="730">
        <v>65309</v>
      </c>
      <c r="P784" s="459">
        <v>65316</v>
      </c>
      <c r="Q784" s="432" t="s">
        <v>51</v>
      </c>
    </row>
    <row r="785" spans="1:17">
      <c r="A785" s="509">
        <f t="shared" si="12"/>
        <v>784</v>
      </c>
      <c r="B785" s="1332" t="s">
        <v>43</v>
      </c>
      <c r="C785" s="943" t="s">
        <v>44</v>
      </c>
      <c r="D785" s="943" t="s">
        <v>45</v>
      </c>
      <c r="E785" s="432" t="s">
        <v>6129</v>
      </c>
      <c r="F785" s="434">
        <v>17</v>
      </c>
      <c r="I785" s="434">
        <v>18</v>
      </c>
      <c r="J785" s="434" t="s">
        <v>90</v>
      </c>
      <c r="K785" s="434" t="s">
        <v>6124</v>
      </c>
      <c r="M785" s="434" t="s">
        <v>1764</v>
      </c>
      <c r="N785" s="730">
        <v>65309</v>
      </c>
      <c r="O785" s="730">
        <v>65309</v>
      </c>
      <c r="P785" s="459">
        <v>65316</v>
      </c>
      <c r="Q785" s="432" t="s">
        <v>51</v>
      </c>
    </row>
    <row r="786" spans="1:17">
      <c r="A786" s="509">
        <f t="shared" si="12"/>
        <v>785</v>
      </c>
      <c r="B786" s="1332" t="s">
        <v>43</v>
      </c>
      <c r="C786" s="943" t="s">
        <v>44</v>
      </c>
      <c r="D786" s="943" t="s">
        <v>45</v>
      </c>
      <c r="E786" s="432" t="s">
        <v>5817</v>
      </c>
      <c r="F786" s="434">
        <v>17</v>
      </c>
      <c r="I786" s="434">
        <v>18</v>
      </c>
      <c r="J786" s="120" t="s">
        <v>48</v>
      </c>
      <c r="K786" s="434" t="s">
        <v>6124</v>
      </c>
      <c r="M786" s="434" t="s">
        <v>1764</v>
      </c>
      <c r="N786" s="730">
        <v>65309</v>
      </c>
      <c r="O786" s="730">
        <v>65309</v>
      </c>
      <c r="P786" s="459">
        <v>65316</v>
      </c>
      <c r="Q786" s="432" t="s">
        <v>51</v>
      </c>
    </row>
    <row r="787" spans="1:17">
      <c r="A787" s="509">
        <f t="shared" si="12"/>
        <v>786</v>
      </c>
      <c r="B787" s="1332" t="s">
        <v>43</v>
      </c>
      <c r="C787" s="943" t="s">
        <v>44</v>
      </c>
      <c r="D787" s="943" t="s">
        <v>45</v>
      </c>
      <c r="E787" s="432" t="s">
        <v>6131</v>
      </c>
      <c r="F787" s="434">
        <v>6</v>
      </c>
      <c r="G787" s="434">
        <v>9849282346</v>
      </c>
      <c r="I787" s="434">
        <v>34</v>
      </c>
      <c r="J787" s="120" t="s">
        <v>48</v>
      </c>
      <c r="K787" s="434" t="s">
        <v>5405</v>
      </c>
      <c r="M787" s="434" t="s">
        <v>1764</v>
      </c>
      <c r="N787" s="730">
        <v>65309</v>
      </c>
      <c r="O787" s="730">
        <v>65309</v>
      </c>
      <c r="P787" s="459">
        <v>65316</v>
      </c>
      <c r="Q787" s="432" t="s">
        <v>51</v>
      </c>
    </row>
    <row r="788" spans="1:17">
      <c r="A788" s="509">
        <f t="shared" si="12"/>
        <v>787</v>
      </c>
      <c r="B788" s="1332" t="s">
        <v>43</v>
      </c>
      <c r="C788" s="943" t="s">
        <v>44</v>
      </c>
      <c r="D788" s="943" t="s">
        <v>45</v>
      </c>
      <c r="E788" s="432" t="s">
        <v>76</v>
      </c>
      <c r="F788" s="434">
        <v>6</v>
      </c>
      <c r="G788" s="434">
        <v>9809773185</v>
      </c>
      <c r="I788" s="434">
        <v>25</v>
      </c>
      <c r="J788" s="120" t="s">
        <v>48</v>
      </c>
      <c r="K788" s="434" t="s">
        <v>5405</v>
      </c>
      <c r="M788" s="434" t="s">
        <v>1764</v>
      </c>
      <c r="N788" s="730">
        <v>65309</v>
      </c>
      <c r="O788" s="730">
        <v>65309</v>
      </c>
      <c r="P788" s="459">
        <v>65316</v>
      </c>
      <c r="Q788" s="432" t="s">
        <v>51</v>
      </c>
    </row>
    <row r="789" spans="1:17">
      <c r="A789" s="509">
        <f t="shared" si="12"/>
        <v>788</v>
      </c>
      <c r="B789" s="1332" t="s">
        <v>43</v>
      </c>
      <c r="C789" s="943" t="s">
        <v>44</v>
      </c>
      <c r="D789" s="943" t="s">
        <v>45</v>
      </c>
      <c r="E789" s="432" t="s">
        <v>6132</v>
      </c>
      <c r="F789" s="434">
        <v>6</v>
      </c>
      <c r="G789" s="434">
        <v>984783422</v>
      </c>
      <c r="I789" s="434">
        <v>65</v>
      </c>
      <c r="J789" s="434" t="s">
        <v>90</v>
      </c>
      <c r="K789" s="434" t="s">
        <v>5405</v>
      </c>
      <c r="M789" s="434" t="s">
        <v>1764</v>
      </c>
      <c r="N789" s="730">
        <v>65309</v>
      </c>
      <c r="O789" s="730">
        <v>65309</v>
      </c>
      <c r="P789" s="459">
        <v>65316</v>
      </c>
      <c r="Q789" s="432" t="s">
        <v>51</v>
      </c>
    </row>
    <row r="790" spans="1:17">
      <c r="A790" s="509">
        <f t="shared" si="12"/>
        <v>789</v>
      </c>
      <c r="B790" s="1332" t="s">
        <v>43</v>
      </c>
      <c r="C790" s="943" t="s">
        <v>44</v>
      </c>
      <c r="D790" s="943" t="s">
        <v>45</v>
      </c>
      <c r="E790" s="432" t="s">
        <v>6133</v>
      </c>
      <c r="F790" s="434">
        <v>12</v>
      </c>
      <c r="G790" s="434">
        <v>9745678563</v>
      </c>
      <c r="I790" s="434">
        <v>33</v>
      </c>
      <c r="J790" s="120" t="s">
        <v>48</v>
      </c>
      <c r="K790" s="434" t="s">
        <v>5405</v>
      </c>
      <c r="M790" s="434" t="s">
        <v>1764</v>
      </c>
      <c r="N790" s="730">
        <v>65309</v>
      </c>
      <c r="O790" s="730">
        <v>65309</v>
      </c>
      <c r="P790" s="459">
        <v>65316</v>
      </c>
      <c r="Q790" s="432" t="s">
        <v>51</v>
      </c>
    </row>
    <row r="791" spans="1:17">
      <c r="A791" s="509">
        <f t="shared" si="12"/>
        <v>790</v>
      </c>
      <c r="B791" s="1332" t="s">
        <v>43</v>
      </c>
      <c r="C791" s="943" t="s">
        <v>44</v>
      </c>
      <c r="D791" s="943" t="s">
        <v>45</v>
      </c>
      <c r="E791" s="432" t="s">
        <v>6134</v>
      </c>
      <c r="F791" s="434">
        <v>9</v>
      </c>
      <c r="I791" s="434">
        <v>31</v>
      </c>
      <c r="J791" s="120" t="s">
        <v>48</v>
      </c>
      <c r="K791" s="434" t="s">
        <v>6124</v>
      </c>
      <c r="M791" s="434" t="s">
        <v>1764</v>
      </c>
      <c r="N791" s="730">
        <v>65309</v>
      </c>
      <c r="O791" s="730">
        <v>65309</v>
      </c>
      <c r="P791" s="459">
        <v>65316</v>
      </c>
      <c r="Q791" s="432" t="s">
        <v>51</v>
      </c>
    </row>
    <row r="792" spans="1:17">
      <c r="A792" s="509">
        <f t="shared" si="12"/>
        <v>791</v>
      </c>
      <c r="B792" s="1332" t="s">
        <v>43</v>
      </c>
      <c r="C792" s="943" t="s">
        <v>44</v>
      </c>
      <c r="D792" s="943" t="s">
        <v>45</v>
      </c>
      <c r="E792" s="432" t="s">
        <v>6135</v>
      </c>
      <c r="F792" s="434">
        <v>19</v>
      </c>
      <c r="I792" s="434">
        <v>33</v>
      </c>
      <c r="J792" s="434" t="s">
        <v>90</v>
      </c>
      <c r="K792" s="434" t="s">
        <v>6124</v>
      </c>
      <c r="M792" s="434" t="s">
        <v>1764</v>
      </c>
      <c r="N792" s="730">
        <v>65309</v>
      </c>
      <c r="O792" s="730">
        <v>65309</v>
      </c>
      <c r="P792" s="459">
        <v>65316</v>
      </c>
      <c r="Q792" s="432" t="s">
        <v>51</v>
      </c>
    </row>
    <row r="793" spans="1:17">
      <c r="A793" s="509">
        <f t="shared" si="12"/>
        <v>792</v>
      </c>
      <c r="B793" s="1332" t="s">
        <v>43</v>
      </c>
      <c r="C793" s="943" t="s">
        <v>44</v>
      </c>
      <c r="D793" s="943" t="s">
        <v>45</v>
      </c>
      <c r="E793" s="432" t="s">
        <v>6136</v>
      </c>
      <c r="F793" s="434">
        <v>12</v>
      </c>
      <c r="I793" s="434">
        <v>30</v>
      </c>
      <c r="J793" s="434" t="s">
        <v>90</v>
      </c>
      <c r="K793" s="434" t="s">
        <v>6124</v>
      </c>
      <c r="M793" s="434" t="s">
        <v>1764</v>
      </c>
      <c r="N793" s="730">
        <v>65309</v>
      </c>
      <c r="O793" s="730">
        <v>65309</v>
      </c>
      <c r="P793" s="459">
        <v>65316</v>
      </c>
      <c r="Q793" s="432" t="s">
        <v>51</v>
      </c>
    </row>
    <row r="794" spans="1:17">
      <c r="A794" s="509">
        <f t="shared" si="12"/>
        <v>793</v>
      </c>
      <c r="B794" s="1332" t="s">
        <v>43</v>
      </c>
      <c r="C794" s="943" t="s">
        <v>44</v>
      </c>
      <c r="D794" s="943" t="s">
        <v>45</v>
      </c>
      <c r="E794" s="432" t="s">
        <v>6137</v>
      </c>
      <c r="F794" s="434">
        <v>15</v>
      </c>
      <c r="I794" s="434">
        <v>20</v>
      </c>
      <c r="J794" s="434" t="s">
        <v>90</v>
      </c>
      <c r="K794" s="434" t="s">
        <v>6124</v>
      </c>
      <c r="M794" s="434" t="s">
        <v>1764</v>
      </c>
      <c r="N794" s="730">
        <v>65309</v>
      </c>
      <c r="O794" s="730">
        <v>65309</v>
      </c>
      <c r="P794" s="459">
        <v>65316</v>
      </c>
      <c r="Q794" s="432" t="s">
        <v>51</v>
      </c>
    </row>
    <row r="795" spans="1:17">
      <c r="A795" s="509">
        <f t="shared" si="12"/>
        <v>794</v>
      </c>
      <c r="B795" s="1332" t="s">
        <v>43</v>
      </c>
      <c r="C795" s="943" t="s">
        <v>44</v>
      </c>
      <c r="D795" s="943" t="s">
        <v>45</v>
      </c>
      <c r="E795" s="432" t="s">
        <v>6138</v>
      </c>
      <c r="F795" s="434">
        <v>18</v>
      </c>
      <c r="I795" s="434">
        <v>20</v>
      </c>
      <c r="J795" s="434" t="s">
        <v>90</v>
      </c>
      <c r="K795" s="434" t="s">
        <v>6124</v>
      </c>
      <c r="M795" s="434" t="s">
        <v>1764</v>
      </c>
      <c r="N795" s="730">
        <v>65309</v>
      </c>
      <c r="O795" s="730">
        <v>65309</v>
      </c>
      <c r="P795" s="459">
        <v>65316</v>
      </c>
      <c r="Q795" s="432" t="s">
        <v>51</v>
      </c>
    </row>
    <row r="796" spans="1:17">
      <c r="A796" s="509">
        <f t="shared" si="12"/>
        <v>795</v>
      </c>
      <c r="B796" s="1332" t="s">
        <v>43</v>
      </c>
      <c r="C796" s="943" t="s">
        <v>44</v>
      </c>
      <c r="D796" s="943" t="s">
        <v>45</v>
      </c>
      <c r="E796" s="432" t="s">
        <v>6139</v>
      </c>
      <c r="F796" s="434">
        <v>5</v>
      </c>
      <c r="G796" s="434">
        <v>98479643043</v>
      </c>
      <c r="I796" s="434">
        <v>27</v>
      </c>
      <c r="J796" s="434" t="s">
        <v>90</v>
      </c>
      <c r="K796" s="434" t="s">
        <v>5405</v>
      </c>
      <c r="M796" s="434" t="s">
        <v>1764</v>
      </c>
      <c r="N796" s="730">
        <v>65310</v>
      </c>
      <c r="O796" s="730">
        <v>65310</v>
      </c>
      <c r="P796" s="459">
        <v>65320</v>
      </c>
      <c r="Q796" s="432" t="s">
        <v>51</v>
      </c>
    </row>
    <row r="797" spans="1:17">
      <c r="A797" s="509">
        <f t="shared" si="12"/>
        <v>796</v>
      </c>
      <c r="B797" s="1332" t="s">
        <v>43</v>
      </c>
      <c r="C797" s="943" t="s">
        <v>44</v>
      </c>
      <c r="D797" s="943" t="s">
        <v>45</v>
      </c>
      <c r="E797" s="432" t="s">
        <v>6140</v>
      </c>
      <c r="F797" s="434">
        <v>8</v>
      </c>
      <c r="G797" s="434">
        <v>9847840034</v>
      </c>
      <c r="I797" s="434">
        <v>60</v>
      </c>
      <c r="J797" s="120" t="s">
        <v>48</v>
      </c>
      <c r="K797" s="434" t="s">
        <v>5405</v>
      </c>
      <c r="M797" s="434" t="s">
        <v>1764</v>
      </c>
      <c r="N797" s="730">
        <v>65310</v>
      </c>
      <c r="O797" s="730">
        <v>65310</v>
      </c>
      <c r="P797" s="459">
        <v>65320</v>
      </c>
      <c r="Q797" s="432" t="s">
        <v>51</v>
      </c>
    </row>
    <row r="798" spans="1:17">
      <c r="A798" s="509">
        <f t="shared" si="12"/>
        <v>797</v>
      </c>
      <c r="B798" s="1332" t="s">
        <v>43</v>
      </c>
      <c r="C798" s="943" t="s">
        <v>44</v>
      </c>
      <c r="D798" s="943" t="s">
        <v>45</v>
      </c>
      <c r="E798" s="432" t="s">
        <v>6141</v>
      </c>
      <c r="F798" s="434">
        <v>6</v>
      </c>
      <c r="G798" s="434">
        <v>9866921213</v>
      </c>
      <c r="I798" s="434">
        <v>33</v>
      </c>
      <c r="J798" s="120" t="s">
        <v>48</v>
      </c>
      <c r="K798" s="434" t="s">
        <v>5405</v>
      </c>
      <c r="M798" s="434" t="s">
        <v>1764</v>
      </c>
      <c r="N798" s="730">
        <v>65311</v>
      </c>
      <c r="O798" s="730">
        <v>65311</v>
      </c>
      <c r="P798" s="459">
        <v>65320</v>
      </c>
      <c r="Q798" s="432" t="s">
        <v>51</v>
      </c>
    </row>
    <row r="799" spans="1:17">
      <c r="A799" s="509">
        <f t="shared" si="12"/>
        <v>798</v>
      </c>
      <c r="B799" s="1332" t="s">
        <v>43</v>
      </c>
      <c r="C799" s="943" t="s">
        <v>44</v>
      </c>
      <c r="D799" s="943" t="s">
        <v>45</v>
      </c>
      <c r="E799" s="432" t="s">
        <v>6142</v>
      </c>
      <c r="F799" s="434">
        <v>6</v>
      </c>
      <c r="G799" s="434">
        <v>9812829251</v>
      </c>
      <c r="I799" s="434">
        <v>65</v>
      </c>
      <c r="J799" s="120" t="s">
        <v>48</v>
      </c>
      <c r="K799" s="434" t="s">
        <v>3293</v>
      </c>
      <c r="M799" s="434" t="s">
        <v>1764</v>
      </c>
      <c r="N799" s="730">
        <v>65311</v>
      </c>
      <c r="O799" s="730">
        <v>65311</v>
      </c>
      <c r="P799" s="459">
        <v>65320</v>
      </c>
      <c r="Q799" s="432" t="s">
        <v>51</v>
      </c>
    </row>
    <row r="800" spans="1:17">
      <c r="A800" s="509">
        <f t="shared" si="12"/>
        <v>799</v>
      </c>
      <c r="B800" s="1332" t="s">
        <v>43</v>
      </c>
      <c r="C800" s="943" t="s">
        <v>44</v>
      </c>
      <c r="D800" s="943" t="s">
        <v>45</v>
      </c>
      <c r="E800" s="432" t="s">
        <v>6143</v>
      </c>
      <c r="F800" s="434">
        <v>5</v>
      </c>
      <c r="G800" s="434">
        <v>9809884810</v>
      </c>
      <c r="I800" s="434">
        <v>27</v>
      </c>
      <c r="J800" s="120" t="s">
        <v>48</v>
      </c>
      <c r="K800" s="434" t="s">
        <v>3293</v>
      </c>
      <c r="M800" s="434" t="s">
        <v>1764</v>
      </c>
      <c r="N800" s="730">
        <v>65311</v>
      </c>
      <c r="O800" s="730">
        <v>65311</v>
      </c>
      <c r="P800" s="459">
        <v>65320</v>
      </c>
      <c r="Q800" s="432" t="s">
        <v>51</v>
      </c>
    </row>
    <row r="801" spans="1:17">
      <c r="A801" s="509">
        <f t="shared" si="12"/>
        <v>800</v>
      </c>
      <c r="B801" s="1332" t="s">
        <v>43</v>
      </c>
      <c r="C801" s="943" t="s">
        <v>44</v>
      </c>
      <c r="D801" s="943" t="s">
        <v>45</v>
      </c>
      <c r="E801" s="432" t="s">
        <v>6144</v>
      </c>
      <c r="F801" s="434">
        <v>5</v>
      </c>
      <c r="G801" s="434">
        <v>9809818856</v>
      </c>
      <c r="I801" s="434">
        <v>23</v>
      </c>
      <c r="J801" s="120" t="s">
        <v>48</v>
      </c>
      <c r="K801" s="434" t="s">
        <v>3293</v>
      </c>
      <c r="M801" s="434" t="s">
        <v>1764</v>
      </c>
      <c r="N801" s="730">
        <v>65311</v>
      </c>
      <c r="O801" s="730">
        <v>65311</v>
      </c>
      <c r="P801" s="459">
        <v>65320</v>
      </c>
      <c r="Q801" s="432" t="s">
        <v>51</v>
      </c>
    </row>
    <row r="802" spans="1:17">
      <c r="A802" s="509">
        <f t="shared" si="12"/>
        <v>801</v>
      </c>
      <c r="B802" s="1332" t="s">
        <v>43</v>
      </c>
      <c r="C802" s="943" t="s">
        <v>44</v>
      </c>
      <c r="D802" s="943" t="s">
        <v>45</v>
      </c>
      <c r="E802" s="432" t="s">
        <v>6152</v>
      </c>
      <c r="F802" s="434">
        <v>3</v>
      </c>
      <c r="G802" s="434">
        <v>9847847049</v>
      </c>
      <c r="I802" s="434">
        <v>38</v>
      </c>
      <c r="J802" s="434" t="s">
        <v>90</v>
      </c>
      <c r="K802" s="434" t="s">
        <v>5405</v>
      </c>
      <c r="M802" s="434" t="s">
        <v>1764</v>
      </c>
      <c r="N802" s="730">
        <v>65312</v>
      </c>
      <c r="O802" s="730">
        <v>65312</v>
      </c>
      <c r="P802" s="459">
        <v>65321</v>
      </c>
      <c r="Q802" s="432" t="s">
        <v>51</v>
      </c>
    </row>
    <row r="803" spans="1:17">
      <c r="A803" s="509">
        <f t="shared" si="12"/>
        <v>802</v>
      </c>
      <c r="B803" s="1332" t="s">
        <v>43</v>
      </c>
      <c r="C803" s="943" t="s">
        <v>44</v>
      </c>
      <c r="D803" s="943" t="s">
        <v>45</v>
      </c>
      <c r="E803" s="432" t="s">
        <v>6153</v>
      </c>
      <c r="F803" s="434">
        <v>1</v>
      </c>
      <c r="G803" s="434">
        <v>9847853239</v>
      </c>
      <c r="I803" s="434">
        <v>59</v>
      </c>
      <c r="J803" s="434" t="s">
        <v>90</v>
      </c>
      <c r="K803" s="434" t="s">
        <v>5405</v>
      </c>
      <c r="M803" s="434" t="s">
        <v>1764</v>
      </c>
      <c r="N803" s="730">
        <v>65312</v>
      </c>
      <c r="O803" s="730">
        <v>65312</v>
      </c>
      <c r="P803" s="459">
        <v>65321</v>
      </c>
      <c r="Q803" s="432" t="s">
        <v>51</v>
      </c>
    </row>
    <row r="804" spans="1:17">
      <c r="A804" s="509">
        <f t="shared" si="12"/>
        <v>803</v>
      </c>
      <c r="B804" s="1332" t="s">
        <v>43</v>
      </c>
      <c r="C804" s="943" t="s">
        <v>44</v>
      </c>
      <c r="D804" s="943" t="s">
        <v>45</v>
      </c>
      <c r="E804" s="432" t="s">
        <v>6154</v>
      </c>
      <c r="F804" s="434">
        <v>12</v>
      </c>
      <c r="G804" s="434">
        <v>9841538661</v>
      </c>
      <c r="I804" s="434">
        <v>25</v>
      </c>
      <c r="J804" s="434" t="s">
        <v>90</v>
      </c>
      <c r="K804" s="434" t="s">
        <v>5405</v>
      </c>
      <c r="M804" s="434" t="s">
        <v>1764</v>
      </c>
      <c r="N804" s="730">
        <v>65312</v>
      </c>
      <c r="O804" s="730">
        <v>65312</v>
      </c>
      <c r="P804" s="459">
        <v>65321</v>
      </c>
      <c r="Q804" s="432" t="s">
        <v>51</v>
      </c>
    </row>
    <row r="805" spans="1:17">
      <c r="A805" s="509">
        <f t="shared" si="12"/>
        <v>804</v>
      </c>
      <c r="B805" s="1332" t="s">
        <v>43</v>
      </c>
      <c r="C805" s="943" t="s">
        <v>44</v>
      </c>
      <c r="D805" s="943" t="s">
        <v>45</v>
      </c>
      <c r="E805" s="432" t="s">
        <v>6155</v>
      </c>
      <c r="F805" s="434">
        <v>2</v>
      </c>
      <c r="G805" s="434">
        <v>9846076895</v>
      </c>
      <c r="I805" s="434">
        <v>21</v>
      </c>
      <c r="J805" s="434" t="s">
        <v>90</v>
      </c>
      <c r="K805" s="434" t="s">
        <v>5405</v>
      </c>
      <c r="M805" s="434" t="s">
        <v>1764</v>
      </c>
      <c r="N805" s="730">
        <v>65312</v>
      </c>
      <c r="O805" s="730">
        <v>65312</v>
      </c>
      <c r="P805" s="459">
        <v>65321</v>
      </c>
      <c r="Q805" s="432" t="s">
        <v>51</v>
      </c>
    </row>
    <row r="806" spans="1:17">
      <c r="A806" s="509">
        <f t="shared" si="12"/>
        <v>805</v>
      </c>
      <c r="B806" s="1332" t="s">
        <v>43</v>
      </c>
      <c r="C806" s="943" t="s">
        <v>44</v>
      </c>
      <c r="D806" s="943" t="s">
        <v>45</v>
      </c>
      <c r="E806" s="432" t="s">
        <v>6156</v>
      </c>
      <c r="F806" s="434">
        <v>9</v>
      </c>
      <c r="G806" s="434">
        <v>9847945188</v>
      </c>
      <c r="I806" s="434">
        <v>26</v>
      </c>
      <c r="J806" s="120" t="s">
        <v>48</v>
      </c>
      <c r="K806" s="434" t="s">
        <v>5405</v>
      </c>
      <c r="M806" s="434" t="s">
        <v>1764</v>
      </c>
      <c r="N806" s="730">
        <v>65312</v>
      </c>
      <c r="O806" s="730">
        <v>65312</v>
      </c>
      <c r="P806" s="459">
        <v>65321</v>
      </c>
      <c r="Q806" s="432" t="s">
        <v>51</v>
      </c>
    </row>
    <row r="807" spans="1:17">
      <c r="A807" s="509">
        <f t="shared" si="12"/>
        <v>806</v>
      </c>
      <c r="B807" s="1332" t="s">
        <v>43</v>
      </c>
      <c r="C807" s="943" t="s">
        <v>44</v>
      </c>
      <c r="D807" s="943" t="s">
        <v>45</v>
      </c>
      <c r="E807" s="432" t="s">
        <v>6157</v>
      </c>
      <c r="F807" s="434">
        <v>19</v>
      </c>
      <c r="G807" s="434">
        <v>9860933089</v>
      </c>
      <c r="I807" s="434">
        <v>31</v>
      </c>
      <c r="J807" s="434" t="s">
        <v>90</v>
      </c>
      <c r="K807" s="434" t="s">
        <v>6158</v>
      </c>
      <c r="M807" s="434" t="s">
        <v>1764</v>
      </c>
      <c r="N807" s="730">
        <v>65312</v>
      </c>
      <c r="O807" s="730">
        <v>65312</v>
      </c>
      <c r="P807" s="459">
        <v>65321</v>
      </c>
      <c r="Q807" s="432" t="s">
        <v>51</v>
      </c>
    </row>
    <row r="808" spans="1:17">
      <c r="A808" s="509">
        <f t="shared" si="12"/>
        <v>807</v>
      </c>
      <c r="B808" s="1332" t="s">
        <v>43</v>
      </c>
      <c r="C808" s="943" t="s">
        <v>44</v>
      </c>
      <c r="D808" s="943" t="s">
        <v>45</v>
      </c>
      <c r="E808" s="432" t="s">
        <v>6159</v>
      </c>
      <c r="F808" s="434">
        <v>6</v>
      </c>
      <c r="G808" s="434">
        <v>9857890106</v>
      </c>
      <c r="I808" s="434">
        <v>76</v>
      </c>
      <c r="J808" s="434" t="s">
        <v>90</v>
      </c>
      <c r="K808" s="434" t="s">
        <v>3293</v>
      </c>
      <c r="M808" s="434" t="s">
        <v>1764</v>
      </c>
      <c r="N808" s="730">
        <v>65313</v>
      </c>
      <c r="O808" s="730">
        <v>65313</v>
      </c>
      <c r="P808" s="459">
        <v>65324</v>
      </c>
      <c r="Q808" s="432" t="s">
        <v>51</v>
      </c>
    </row>
    <row r="809" spans="1:17">
      <c r="A809" s="509">
        <f t="shared" si="12"/>
        <v>808</v>
      </c>
      <c r="B809" s="1332" t="s">
        <v>43</v>
      </c>
      <c r="C809" s="943" t="s">
        <v>44</v>
      </c>
      <c r="D809" s="943" t="s">
        <v>45</v>
      </c>
      <c r="E809" s="432" t="s">
        <v>5909</v>
      </c>
      <c r="F809" s="434">
        <v>6</v>
      </c>
      <c r="G809" s="434">
        <v>9847944969</v>
      </c>
      <c r="I809" s="434">
        <v>68</v>
      </c>
      <c r="J809" s="434" t="s">
        <v>90</v>
      </c>
      <c r="K809" s="434" t="s">
        <v>3293</v>
      </c>
      <c r="M809" s="434" t="s">
        <v>1764</v>
      </c>
      <c r="N809" s="730">
        <v>65313</v>
      </c>
      <c r="O809" s="730">
        <v>65313</v>
      </c>
      <c r="P809" s="459">
        <v>65324</v>
      </c>
      <c r="Q809" s="432" t="s">
        <v>51</v>
      </c>
    </row>
    <row r="810" spans="1:17">
      <c r="A810" s="509">
        <f t="shared" si="12"/>
        <v>809</v>
      </c>
      <c r="B810" s="1332" t="s">
        <v>43</v>
      </c>
      <c r="C810" s="943" t="s">
        <v>44</v>
      </c>
      <c r="D810" s="943" t="s">
        <v>45</v>
      </c>
      <c r="E810" s="432" t="s">
        <v>6160</v>
      </c>
      <c r="F810" s="434">
        <v>6</v>
      </c>
      <c r="G810" s="434">
        <v>9847830944</v>
      </c>
      <c r="I810" s="434">
        <v>24</v>
      </c>
      <c r="J810" s="434" t="s">
        <v>90</v>
      </c>
      <c r="K810" s="434" t="s">
        <v>5405</v>
      </c>
      <c r="M810" s="434" t="s">
        <v>1764</v>
      </c>
      <c r="N810" s="730">
        <v>65313</v>
      </c>
      <c r="O810" s="730">
        <v>65313</v>
      </c>
      <c r="P810" s="459">
        <v>65324</v>
      </c>
      <c r="Q810" s="432" t="s">
        <v>51</v>
      </c>
    </row>
    <row r="811" spans="1:17">
      <c r="A811" s="509">
        <f t="shared" si="12"/>
        <v>810</v>
      </c>
      <c r="B811" s="1332" t="s">
        <v>43</v>
      </c>
      <c r="C811" s="943" t="s">
        <v>44</v>
      </c>
      <c r="D811" s="943" t="s">
        <v>45</v>
      </c>
      <c r="E811" s="432" t="s">
        <v>6161</v>
      </c>
      <c r="F811" s="434">
        <v>17</v>
      </c>
      <c r="G811" s="434">
        <v>9863471119</v>
      </c>
      <c r="I811" s="434">
        <v>20</v>
      </c>
      <c r="J811" s="434" t="s">
        <v>90</v>
      </c>
      <c r="K811" s="434" t="s">
        <v>5405</v>
      </c>
      <c r="M811" s="434" t="s">
        <v>1764</v>
      </c>
      <c r="N811" s="730">
        <v>65313</v>
      </c>
      <c r="O811" s="730">
        <v>65313</v>
      </c>
      <c r="P811" s="459">
        <v>65324</v>
      </c>
      <c r="Q811" s="432" t="s">
        <v>51</v>
      </c>
    </row>
    <row r="812" spans="1:17">
      <c r="A812" s="509">
        <f t="shared" si="12"/>
        <v>811</v>
      </c>
      <c r="B812" s="1332" t="s">
        <v>43</v>
      </c>
      <c r="C812" s="943" t="s">
        <v>44</v>
      </c>
      <c r="D812" s="943" t="s">
        <v>45</v>
      </c>
      <c r="E812" s="432" t="s">
        <v>6162</v>
      </c>
      <c r="F812" s="434">
        <v>14</v>
      </c>
      <c r="G812" s="434">
        <v>9823130580</v>
      </c>
      <c r="I812" s="434">
        <v>38</v>
      </c>
      <c r="J812" s="120" t="s">
        <v>48</v>
      </c>
      <c r="K812" s="434" t="s">
        <v>5405</v>
      </c>
      <c r="M812" s="434" t="s">
        <v>1764</v>
      </c>
      <c r="N812" s="730">
        <v>65313</v>
      </c>
      <c r="O812" s="730">
        <v>65313</v>
      </c>
      <c r="P812" s="459">
        <v>65324</v>
      </c>
      <c r="Q812" s="432" t="s">
        <v>51</v>
      </c>
    </row>
    <row r="813" spans="1:17">
      <c r="A813" s="509">
        <f t="shared" si="12"/>
        <v>812</v>
      </c>
      <c r="B813" s="1332" t="s">
        <v>43</v>
      </c>
      <c r="C813" s="943" t="s">
        <v>44</v>
      </c>
      <c r="D813" s="943" t="s">
        <v>45</v>
      </c>
      <c r="E813" s="432" t="s">
        <v>6163</v>
      </c>
      <c r="F813" s="434">
        <v>6</v>
      </c>
      <c r="G813" s="434">
        <v>9857842650</v>
      </c>
      <c r="I813" s="434">
        <v>50</v>
      </c>
      <c r="J813" s="120" t="s">
        <v>48</v>
      </c>
      <c r="K813" s="434" t="s">
        <v>5405</v>
      </c>
      <c r="M813" s="434" t="s">
        <v>1764</v>
      </c>
      <c r="N813" s="730">
        <v>65314</v>
      </c>
      <c r="O813" s="730">
        <v>65314</v>
      </c>
      <c r="P813" s="459">
        <v>65324</v>
      </c>
      <c r="Q813" s="432" t="s">
        <v>51</v>
      </c>
    </row>
    <row r="814" spans="1:17">
      <c r="A814" s="509">
        <f t="shared" si="12"/>
        <v>813</v>
      </c>
      <c r="B814" s="1332" t="s">
        <v>43</v>
      </c>
      <c r="C814" s="943" t="s">
        <v>44</v>
      </c>
      <c r="D814" s="943" t="s">
        <v>45</v>
      </c>
      <c r="E814" s="432" t="s">
        <v>6164</v>
      </c>
      <c r="F814" s="434">
        <v>6</v>
      </c>
      <c r="G814" s="434">
        <v>9851122470</v>
      </c>
      <c r="I814" s="434">
        <v>68</v>
      </c>
      <c r="J814" s="120" t="s">
        <v>48</v>
      </c>
      <c r="K814" s="434" t="s">
        <v>5405</v>
      </c>
      <c r="M814" s="434" t="s">
        <v>1764</v>
      </c>
      <c r="N814" s="730">
        <v>65314</v>
      </c>
      <c r="O814" s="730">
        <v>65314</v>
      </c>
      <c r="P814" s="459">
        <v>65324</v>
      </c>
      <c r="Q814" s="432" t="s">
        <v>51</v>
      </c>
    </row>
    <row r="815" spans="1:17">
      <c r="A815" s="509">
        <f t="shared" si="12"/>
        <v>814</v>
      </c>
      <c r="B815" s="1332" t="s">
        <v>43</v>
      </c>
      <c r="C815" s="943" t="s">
        <v>44</v>
      </c>
      <c r="D815" s="943" t="s">
        <v>45</v>
      </c>
      <c r="E815" s="432" t="s">
        <v>6165</v>
      </c>
      <c r="F815" s="434">
        <v>9</v>
      </c>
      <c r="G815" s="434">
        <v>9847912629</v>
      </c>
      <c r="I815" s="434">
        <v>44</v>
      </c>
      <c r="J815" s="120" t="s">
        <v>48</v>
      </c>
      <c r="K815" s="434" t="s">
        <v>5405</v>
      </c>
      <c r="M815" s="434" t="s">
        <v>1764</v>
      </c>
      <c r="N815" s="730">
        <v>65314</v>
      </c>
      <c r="O815" s="730">
        <v>65314</v>
      </c>
      <c r="P815" s="459">
        <v>65324</v>
      </c>
      <c r="Q815" s="432" t="s">
        <v>51</v>
      </c>
    </row>
    <row r="816" spans="1:17">
      <c r="A816" s="509">
        <f t="shared" si="12"/>
        <v>815</v>
      </c>
      <c r="B816" s="1332" t="s">
        <v>43</v>
      </c>
      <c r="C816" s="943" t="s">
        <v>44</v>
      </c>
      <c r="D816" s="943" t="s">
        <v>45</v>
      </c>
      <c r="E816" s="432" t="s">
        <v>6154</v>
      </c>
      <c r="F816" s="434">
        <v>5</v>
      </c>
      <c r="G816" s="434">
        <v>9809571110</v>
      </c>
      <c r="I816" s="434">
        <v>16</v>
      </c>
      <c r="J816" s="434" t="s">
        <v>90</v>
      </c>
      <c r="K816" s="434" t="s">
        <v>5405</v>
      </c>
      <c r="M816" s="434" t="s">
        <v>1764</v>
      </c>
      <c r="N816" s="730">
        <v>65314</v>
      </c>
      <c r="O816" s="730">
        <v>65314</v>
      </c>
      <c r="P816" s="459">
        <v>65324</v>
      </c>
      <c r="Q816" s="432" t="s">
        <v>51</v>
      </c>
    </row>
    <row r="817" spans="1:17">
      <c r="A817" s="509">
        <f t="shared" si="12"/>
        <v>816</v>
      </c>
      <c r="B817" s="1332" t="s">
        <v>43</v>
      </c>
      <c r="C817" s="943" t="s">
        <v>44</v>
      </c>
      <c r="D817" s="943" t="s">
        <v>45</v>
      </c>
      <c r="E817" s="432" t="s">
        <v>6166</v>
      </c>
      <c r="F817" s="434">
        <v>9</v>
      </c>
      <c r="G817" s="434">
        <v>9841764410</v>
      </c>
      <c r="I817" s="434">
        <v>45</v>
      </c>
      <c r="J817" s="120" t="s">
        <v>48</v>
      </c>
      <c r="K817" s="434" t="s">
        <v>3293</v>
      </c>
      <c r="M817" s="434" t="s">
        <v>1764</v>
      </c>
      <c r="N817" s="730">
        <v>65314</v>
      </c>
      <c r="O817" s="730">
        <v>65314</v>
      </c>
      <c r="P817" s="459">
        <v>65324</v>
      </c>
      <c r="Q817" s="432" t="s">
        <v>51</v>
      </c>
    </row>
    <row r="818" spans="1:17">
      <c r="A818" s="509">
        <f t="shared" si="12"/>
        <v>817</v>
      </c>
      <c r="B818" s="1332" t="s">
        <v>43</v>
      </c>
      <c r="C818" s="943" t="s">
        <v>44</v>
      </c>
      <c r="D818" s="943" t="s">
        <v>45</v>
      </c>
      <c r="E818" s="432" t="s">
        <v>6167</v>
      </c>
      <c r="F818" s="434">
        <v>12</v>
      </c>
      <c r="G818" s="434">
        <v>9816582935</v>
      </c>
      <c r="I818" s="434">
        <v>53</v>
      </c>
      <c r="J818" s="120" t="s">
        <v>48</v>
      </c>
      <c r="K818" s="434" t="s">
        <v>3293</v>
      </c>
      <c r="M818" s="434" t="s">
        <v>1764</v>
      </c>
      <c r="N818" s="730">
        <v>65314</v>
      </c>
      <c r="O818" s="730">
        <v>65314</v>
      </c>
      <c r="P818" s="459">
        <v>65324</v>
      </c>
      <c r="Q818" s="432" t="s">
        <v>51</v>
      </c>
    </row>
    <row r="819" spans="1:17">
      <c r="A819" s="509">
        <f t="shared" si="12"/>
        <v>818</v>
      </c>
      <c r="B819" s="1332" t="s">
        <v>43</v>
      </c>
      <c r="C819" s="943" t="s">
        <v>44</v>
      </c>
      <c r="D819" s="943" t="s">
        <v>45</v>
      </c>
      <c r="E819" s="432" t="s">
        <v>6169</v>
      </c>
      <c r="F819" s="434">
        <v>5</v>
      </c>
      <c r="G819" s="434">
        <v>9843214252</v>
      </c>
      <c r="I819" s="434">
        <v>28</v>
      </c>
      <c r="J819" s="120" t="s">
        <v>48</v>
      </c>
      <c r="K819" s="434" t="s">
        <v>5405</v>
      </c>
      <c r="M819" s="434" t="s">
        <v>1764</v>
      </c>
      <c r="N819" s="730">
        <v>65315</v>
      </c>
      <c r="O819" s="730">
        <v>65315</v>
      </c>
      <c r="P819" s="459">
        <v>65324</v>
      </c>
      <c r="Q819" s="432" t="s">
        <v>51</v>
      </c>
    </row>
    <row r="820" spans="1:17">
      <c r="A820" s="509">
        <f t="shared" si="12"/>
        <v>819</v>
      </c>
      <c r="B820" s="1332" t="s">
        <v>43</v>
      </c>
      <c r="C820" s="943" t="s">
        <v>44</v>
      </c>
      <c r="D820" s="943" t="s">
        <v>45</v>
      </c>
      <c r="E820" s="432" t="s">
        <v>6170</v>
      </c>
      <c r="F820" s="434">
        <v>15</v>
      </c>
      <c r="G820" s="434">
        <v>9809877132</v>
      </c>
      <c r="I820" s="434">
        <v>35</v>
      </c>
      <c r="J820" s="120" t="s">
        <v>48</v>
      </c>
      <c r="K820" s="434" t="s">
        <v>5405</v>
      </c>
      <c r="M820" s="434" t="s">
        <v>1764</v>
      </c>
      <c r="N820" s="730">
        <v>65315</v>
      </c>
      <c r="O820" s="730">
        <v>65315</v>
      </c>
      <c r="P820" s="459">
        <v>65324</v>
      </c>
      <c r="Q820" s="432" t="s">
        <v>51</v>
      </c>
    </row>
    <row r="821" spans="1:17">
      <c r="A821" s="509">
        <f t="shared" si="12"/>
        <v>820</v>
      </c>
      <c r="B821" s="1332" t="s">
        <v>43</v>
      </c>
      <c r="C821" s="943" t="s">
        <v>44</v>
      </c>
      <c r="D821" s="943" t="s">
        <v>45</v>
      </c>
      <c r="E821" s="432" t="s">
        <v>1581</v>
      </c>
      <c r="F821" s="434">
        <v>12</v>
      </c>
      <c r="G821" s="434">
        <v>9847857624</v>
      </c>
      <c r="I821" s="434">
        <v>59</v>
      </c>
      <c r="J821" s="120" t="s">
        <v>48</v>
      </c>
      <c r="K821" s="434" t="s">
        <v>5405</v>
      </c>
      <c r="M821" s="434" t="s">
        <v>1764</v>
      </c>
      <c r="N821" s="730">
        <v>65315</v>
      </c>
      <c r="O821" s="730">
        <v>65315</v>
      </c>
      <c r="P821" s="459">
        <v>65324</v>
      </c>
      <c r="Q821" s="432" t="s">
        <v>51</v>
      </c>
    </row>
    <row r="822" spans="1:17">
      <c r="A822" s="509">
        <f t="shared" si="12"/>
        <v>821</v>
      </c>
      <c r="B822" s="1332" t="s">
        <v>43</v>
      </c>
      <c r="C822" s="943" t="s">
        <v>44</v>
      </c>
      <c r="D822" s="943" t="s">
        <v>45</v>
      </c>
      <c r="E822" s="432" t="s">
        <v>6171</v>
      </c>
      <c r="F822" s="434">
        <v>8</v>
      </c>
      <c r="G822" s="434">
        <v>9868672164</v>
      </c>
      <c r="I822" s="434">
        <v>24</v>
      </c>
      <c r="J822" s="120" t="s">
        <v>48</v>
      </c>
      <c r="K822" s="434" t="s">
        <v>5405</v>
      </c>
      <c r="M822" s="434" t="s">
        <v>1764</v>
      </c>
      <c r="N822" s="730">
        <v>65315</v>
      </c>
      <c r="O822" s="730">
        <v>65315</v>
      </c>
      <c r="P822" s="459">
        <v>65324</v>
      </c>
      <c r="Q822" s="432" t="s">
        <v>51</v>
      </c>
    </row>
    <row r="823" spans="1:17">
      <c r="A823" s="509">
        <f t="shared" si="12"/>
        <v>822</v>
      </c>
      <c r="B823" s="1332" t="s">
        <v>43</v>
      </c>
      <c r="C823" s="943" t="s">
        <v>44</v>
      </c>
      <c r="D823" s="943" t="s">
        <v>45</v>
      </c>
      <c r="E823" s="432" t="s">
        <v>6172</v>
      </c>
      <c r="F823" s="434">
        <v>8</v>
      </c>
      <c r="G823" s="434">
        <v>98479007</v>
      </c>
      <c r="I823" s="434">
        <v>74</v>
      </c>
      <c r="J823" s="120" t="s">
        <v>48</v>
      </c>
      <c r="K823" s="434" t="s">
        <v>5405</v>
      </c>
      <c r="M823" s="434" t="s">
        <v>1764</v>
      </c>
      <c r="N823" s="730">
        <v>65315</v>
      </c>
      <c r="O823" s="730">
        <v>65315</v>
      </c>
      <c r="P823" s="459">
        <v>65324</v>
      </c>
      <c r="Q823" s="432" t="s">
        <v>51</v>
      </c>
    </row>
    <row r="824" spans="1:17">
      <c r="A824" s="509">
        <f t="shared" si="12"/>
        <v>823</v>
      </c>
      <c r="B824" s="1332" t="s">
        <v>43</v>
      </c>
      <c r="C824" s="943" t="s">
        <v>44</v>
      </c>
      <c r="D824" s="943" t="s">
        <v>45</v>
      </c>
      <c r="E824" s="432" t="s">
        <v>6173</v>
      </c>
      <c r="F824" s="434">
        <v>10</v>
      </c>
      <c r="G824" s="434">
        <v>9857824000</v>
      </c>
      <c r="I824" s="434">
        <v>34</v>
      </c>
      <c r="J824" s="120" t="s">
        <v>48</v>
      </c>
      <c r="K824" s="434" t="s">
        <v>5405</v>
      </c>
      <c r="M824" s="434" t="s">
        <v>1764</v>
      </c>
      <c r="N824" s="730">
        <v>65315</v>
      </c>
      <c r="O824" s="730">
        <v>65315</v>
      </c>
      <c r="P824" s="459">
        <v>65324</v>
      </c>
      <c r="Q824" s="432" t="s">
        <v>51</v>
      </c>
    </row>
    <row r="825" spans="1:17">
      <c r="A825" s="509">
        <f t="shared" si="12"/>
        <v>824</v>
      </c>
      <c r="B825" s="1332" t="s">
        <v>43</v>
      </c>
      <c r="C825" s="943" t="s">
        <v>44</v>
      </c>
      <c r="D825" s="943" t="s">
        <v>45</v>
      </c>
      <c r="E825" s="432" t="s">
        <v>6175</v>
      </c>
      <c r="F825" s="434">
        <v>12</v>
      </c>
      <c r="G825" s="434">
        <v>9848592973</v>
      </c>
      <c r="I825" s="434">
        <v>32</v>
      </c>
      <c r="J825" s="120" t="s">
        <v>48</v>
      </c>
      <c r="K825" s="434" t="s">
        <v>3293</v>
      </c>
      <c r="M825" s="434" t="s">
        <v>1764</v>
      </c>
      <c r="N825" s="730">
        <v>65315</v>
      </c>
      <c r="O825" s="730">
        <v>65315</v>
      </c>
      <c r="P825" s="459">
        <v>65324</v>
      </c>
      <c r="Q825" s="432" t="s">
        <v>51</v>
      </c>
    </row>
    <row r="826" spans="1:17">
      <c r="A826" s="509">
        <f t="shared" si="12"/>
        <v>825</v>
      </c>
      <c r="B826" s="1332" t="s">
        <v>43</v>
      </c>
      <c r="C826" s="943" t="s">
        <v>44</v>
      </c>
      <c r="D826" s="943" t="s">
        <v>45</v>
      </c>
      <c r="E826" s="432" t="s">
        <v>6174</v>
      </c>
      <c r="F826" s="434">
        <v>5</v>
      </c>
      <c r="G826" s="434">
        <v>9812815553</v>
      </c>
      <c r="I826" s="434">
        <v>18</v>
      </c>
      <c r="J826" s="434" t="s">
        <v>90</v>
      </c>
      <c r="K826" s="434" t="s">
        <v>5405</v>
      </c>
      <c r="M826" s="434" t="s">
        <v>1764</v>
      </c>
      <c r="N826" s="730">
        <v>65316</v>
      </c>
      <c r="O826" s="730">
        <v>65316</v>
      </c>
      <c r="P826" s="459">
        <v>65327</v>
      </c>
      <c r="Q826" s="432" t="s">
        <v>51</v>
      </c>
    </row>
    <row r="827" spans="1:17">
      <c r="A827" s="509">
        <f t="shared" si="12"/>
        <v>826</v>
      </c>
      <c r="B827" s="1332" t="s">
        <v>43</v>
      </c>
      <c r="C827" s="943" t="s">
        <v>44</v>
      </c>
      <c r="D827" s="943" t="s">
        <v>45</v>
      </c>
      <c r="E827" s="432" t="s">
        <v>6176</v>
      </c>
      <c r="F827" s="434">
        <v>6</v>
      </c>
      <c r="G827" s="434">
        <v>9857821892</v>
      </c>
      <c r="I827" s="434">
        <v>35</v>
      </c>
      <c r="J827" s="434" t="s">
        <v>90</v>
      </c>
      <c r="K827" s="434" t="s">
        <v>5405</v>
      </c>
      <c r="M827" s="434" t="s">
        <v>1764</v>
      </c>
      <c r="N827" s="730">
        <v>65320</v>
      </c>
      <c r="O827" s="730">
        <v>65320</v>
      </c>
      <c r="P827" s="459">
        <v>65327</v>
      </c>
      <c r="Q827" s="432" t="s">
        <v>51</v>
      </c>
    </row>
    <row r="828" spans="1:17">
      <c r="A828" s="509">
        <f t="shared" si="12"/>
        <v>827</v>
      </c>
      <c r="B828" s="1332" t="s">
        <v>43</v>
      </c>
      <c r="C828" s="943" t="s">
        <v>44</v>
      </c>
      <c r="D828" s="943" t="s">
        <v>45</v>
      </c>
      <c r="E828" s="432" t="s">
        <v>6177</v>
      </c>
      <c r="F828" s="434">
        <v>6</v>
      </c>
      <c r="G828" s="434">
        <v>9841115415</v>
      </c>
      <c r="I828" s="434">
        <v>36</v>
      </c>
      <c r="J828" s="120" t="s">
        <v>48</v>
      </c>
      <c r="K828" s="434" t="s">
        <v>5405</v>
      </c>
      <c r="M828" s="434" t="s">
        <v>1764</v>
      </c>
      <c r="N828" s="730">
        <v>65320</v>
      </c>
      <c r="O828" s="730">
        <v>65320</v>
      </c>
      <c r="P828" s="459">
        <v>65327</v>
      </c>
      <c r="Q828" s="432" t="s">
        <v>51</v>
      </c>
    </row>
    <row r="829" spans="1:17">
      <c r="A829" s="509">
        <f t="shared" si="12"/>
        <v>828</v>
      </c>
      <c r="B829" s="1332" t="s">
        <v>43</v>
      </c>
      <c r="C829" s="943" t="s">
        <v>44</v>
      </c>
      <c r="D829" s="943" t="s">
        <v>45</v>
      </c>
      <c r="E829" s="432" t="s">
        <v>6178</v>
      </c>
      <c r="F829" s="434">
        <v>8</v>
      </c>
      <c r="G829" s="434">
        <v>9844992634</v>
      </c>
      <c r="I829" s="434">
        <v>42</v>
      </c>
      <c r="J829" s="120" t="s">
        <v>48</v>
      </c>
      <c r="K829" s="434" t="s">
        <v>5405</v>
      </c>
      <c r="M829" s="434" t="s">
        <v>1764</v>
      </c>
      <c r="N829" s="730">
        <v>65320</v>
      </c>
      <c r="O829" s="730">
        <v>65320</v>
      </c>
      <c r="P829" s="459">
        <v>65327</v>
      </c>
      <c r="Q829" s="432" t="s">
        <v>51</v>
      </c>
    </row>
    <row r="830" spans="1:17">
      <c r="A830" s="509">
        <f t="shared" si="12"/>
        <v>829</v>
      </c>
      <c r="B830" s="1332" t="s">
        <v>43</v>
      </c>
      <c r="C830" s="943" t="s">
        <v>44</v>
      </c>
      <c r="D830" s="943" t="s">
        <v>45</v>
      </c>
      <c r="E830" s="432" t="s">
        <v>6179</v>
      </c>
      <c r="F830" s="434">
        <v>8</v>
      </c>
      <c r="G830" s="434">
        <v>9851241456</v>
      </c>
      <c r="I830" s="434">
        <v>43</v>
      </c>
      <c r="J830" s="120" t="s">
        <v>48</v>
      </c>
      <c r="K830" s="434" t="s">
        <v>5405</v>
      </c>
      <c r="M830" s="434" t="s">
        <v>1764</v>
      </c>
      <c r="N830" s="730">
        <v>65321</v>
      </c>
      <c r="O830" s="730">
        <v>65321</v>
      </c>
    </row>
    <row r="831" spans="1:17">
      <c r="A831" s="509">
        <f t="shared" si="12"/>
        <v>830</v>
      </c>
      <c r="B831" s="1332" t="s">
        <v>43</v>
      </c>
      <c r="C831" s="943" t="s">
        <v>44</v>
      </c>
      <c r="D831" s="943" t="s">
        <v>45</v>
      </c>
      <c r="E831" s="432" t="s">
        <v>6180</v>
      </c>
      <c r="F831" s="434">
        <v>8</v>
      </c>
      <c r="G831" s="434">
        <v>9822410757</v>
      </c>
      <c r="I831" s="434">
        <v>6</v>
      </c>
      <c r="J831" s="120" t="s">
        <v>48</v>
      </c>
      <c r="K831" s="434" t="s">
        <v>5405</v>
      </c>
      <c r="M831" s="434" t="s">
        <v>1764</v>
      </c>
      <c r="N831" s="730">
        <v>65321</v>
      </c>
      <c r="O831" s="730">
        <v>65321</v>
      </c>
    </row>
    <row r="832" spans="1:17">
      <c r="A832" s="509">
        <f t="shared" si="12"/>
        <v>831</v>
      </c>
      <c r="B832" s="1332" t="s">
        <v>43</v>
      </c>
      <c r="C832" s="943" t="s">
        <v>44</v>
      </c>
      <c r="D832" s="943" t="s">
        <v>45</v>
      </c>
      <c r="E832" s="432" t="s">
        <v>6181</v>
      </c>
      <c r="F832" s="434">
        <v>8</v>
      </c>
      <c r="G832" s="434">
        <v>9822410757</v>
      </c>
      <c r="I832" s="434">
        <v>11</v>
      </c>
      <c r="J832" s="434" t="s">
        <v>90</v>
      </c>
      <c r="K832" s="434" t="s">
        <v>5405</v>
      </c>
      <c r="M832" s="434" t="s">
        <v>1764</v>
      </c>
      <c r="N832" s="730">
        <v>65321</v>
      </c>
      <c r="O832" s="730">
        <v>65321</v>
      </c>
    </row>
    <row r="833" spans="1:15">
      <c r="A833" s="509">
        <f t="shared" si="12"/>
        <v>832</v>
      </c>
      <c r="B833" s="1332" t="s">
        <v>43</v>
      </c>
      <c r="C833" s="943" t="s">
        <v>44</v>
      </c>
      <c r="D833" s="943" t="s">
        <v>45</v>
      </c>
      <c r="E833" s="432" t="s">
        <v>244</v>
      </c>
      <c r="F833" s="434">
        <v>8</v>
      </c>
      <c r="G833" s="434">
        <v>9810881325</v>
      </c>
      <c r="I833" s="434">
        <v>40</v>
      </c>
      <c r="J833" s="434" t="s">
        <v>90</v>
      </c>
      <c r="K833" s="434" t="s">
        <v>5405</v>
      </c>
      <c r="M833" s="434" t="s">
        <v>1764</v>
      </c>
      <c r="N833" s="730">
        <v>65323</v>
      </c>
      <c r="O833" s="730">
        <v>65323</v>
      </c>
    </row>
    <row r="834" spans="1:15">
      <c r="A834" s="509">
        <f t="shared" si="12"/>
        <v>833</v>
      </c>
      <c r="B834" s="1332" t="s">
        <v>43</v>
      </c>
      <c r="C834" s="943" t="s">
        <v>44</v>
      </c>
      <c r="D834" s="943" t="s">
        <v>45</v>
      </c>
      <c r="E834" s="432" t="s">
        <v>6183</v>
      </c>
      <c r="F834" s="434">
        <v>6</v>
      </c>
      <c r="G834" s="434">
        <v>9841115415</v>
      </c>
      <c r="I834" s="434">
        <v>36</v>
      </c>
      <c r="J834" s="120" t="s">
        <v>48</v>
      </c>
      <c r="K834" s="434" t="s">
        <v>5405</v>
      </c>
      <c r="M834" s="434" t="s">
        <v>1764</v>
      </c>
      <c r="N834" s="730">
        <v>65325</v>
      </c>
      <c r="O834" s="730">
        <v>65325</v>
      </c>
    </row>
    <row r="835" spans="1:15">
      <c r="A835" s="509">
        <f t="shared" ref="A835:A836" si="13">A834+1</f>
        <v>834</v>
      </c>
      <c r="B835" s="1332" t="s">
        <v>43</v>
      </c>
      <c r="C835" s="943" t="s">
        <v>44</v>
      </c>
      <c r="D835" s="943" t="s">
        <v>45</v>
      </c>
      <c r="E835" s="432" t="s">
        <v>6184</v>
      </c>
      <c r="F835" s="434">
        <v>6</v>
      </c>
      <c r="G835" s="434">
        <v>9841115415</v>
      </c>
      <c r="I835" s="434">
        <v>35</v>
      </c>
      <c r="J835" s="434" t="s">
        <v>90</v>
      </c>
      <c r="K835" s="434" t="s">
        <v>5405</v>
      </c>
      <c r="M835" s="434" t="s">
        <v>1764</v>
      </c>
      <c r="N835" s="730">
        <v>65325</v>
      </c>
      <c r="O835" s="730">
        <v>65325</v>
      </c>
    </row>
    <row r="836" spans="1:15">
      <c r="A836" s="509">
        <f t="shared" si="13"/>
        <v>835</v>
      </c>
      <c r="B836" s="1332" t="s">
        <v>43</v>
      </c>
      <c r="C836" s="943" t="s">
        <v>44</v>
      </c>
      <c r="D836" s="943" t="s">
        <v>45</v>
      </c>
      <c r="E836" s="432" t="s">
        <v>6185</v>
      </c>
      <c r="F836" s="434">
        <v>3</v>
      </c>
      <c r="G836" s="434">
        <v>9849133878</v>
      </c>
      <c r="I836" s="434">
        <v>32</v>
      </c>
      <c r="J836" s="120" t="s">
        <v>48</v>
      </c>
      <c r="K836" s="434" t="s">
        <v>5405</v>
      </c>
      <c r="M836" s="434" t="s">
        <v>1764</v>
      </c>
      <c r="N836" s="730">
        <v>65325</v>
      </c>
      <c r="O836" s="730">
        <v>65325</v>
      </c>
    </row>
  </sheetData>
  <conditionalFormatting sqref="E539:E550 E1:E6 E8:E537 E552:E569 E664:E1048576 E573:E662">
    <cfRule type="duplicateValues" dxfId="296" priority="48"/>
  </conditionalFormatting>
  <conditionalFormatting sqref="E539:E550 E1:E6 E8:E537 E552:E569 E664:E1048576 E573:E662">
    <cfRule type="duplicateValues" dxfId="295" priority="49"/>
    <cfRule type="duplicateValues" dxfId="294" priority="50"/>
  </conditionalFormatting>
  <conditionalFormatting sqref="E539:E550">
    <cfRule type="duplicateValues" dxfId="293" priority="51"/>
  </conditionalFormatting>
  <conditionalFormatting sqref="E539:E550">
    <cfRule type="duplicateValues" dxfId="292" priority="52"/>
    <cfRule type="duplicateValues" dxfId="291" priority="53"/>
  </conditionalFormatting>
  <conditionalFormatting sqref="E570:E572">
    <cfRule type="duplicateValues" dxfId="290" priority="1"/>
  </conditionalFormatting>
  <conditionalFormatting sqref="E570:E572">
    <cfRule type="duplicateValues" dxfId="289" priority="2"/>
    <cfRule type="duplicateValues" dxfId="288" priority="3"/>
  </conditionalFormatting>
  <conditionalFormatting sqref="E570:E572">
    <cfRule type="duplicateValues" dxfId="287" priority="4"/>
  </conditionalFormatting>
  <conditionalFormatting sqref="E570:E572">
    <cfRule type="duplicateValues" dxfId="286" priority="5"/>
    <cfRule type="duplicateValues" dxfId="285" priority="6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L45"/>
  <sheetViews>
    <sheetView topLeftCell="M1" zoomScale="70" zoomScaleNormal="70" workbookViewId="0">
      <selection activeCell="AD3" sqref="AD3:AN21"/>
    </sheetView>
  </sheetViews>
  <sheetFormatPr defaultRowHeight="15"/>
  <cols>
    <col min="1" max="1" width="23.28515625" customWidth="1"/>
    <col min="2" max="2" width="6.28515625" customWidth="1"/>
    <col min="3" max="3" width="1.42578125" hidden="1" customWidth="1"/>
    <col min="4" max="4" width="3.7109375" customWidth="1"/>
    <col min="5" max="7" width="9.28515625" bestFit="1" customWidth="1"/>
    <col min="8" max="8" width="6.85546875" customWidth="1"/>
    <col min="9" max="9" width="5.28515625" customWidth="1"/>
    <col min="10" max="10" width="2.28515625" hidden="1" customWidth="1"/>
    <col min="11" max="13" width="9.28515625" bestFit="1" customWidth="1"/>
    <col min="15" max="15" width="9.28515625" bestFit="1" customWidth="1"/>
    <col min="16" max="16" width="8.140625" bestFit="1" customWidth="1"/>
    <col min="17" max="17" width="7.5703125" bestFit="1" customWidth="1"/>
    <col min="18" max="18" width="8.140625" bestFit="1" customWidth="1"/>
    <col min="19" max="20" width="7.5703125" bestFit="1" customWidth="1"/>
    <col min="21" max="25" width="9.28515625" bestFit="1" customWidth="1"/>
    <col min="26" max="27" width="11.42578125" customWidth="1"/>
    <col min="29" max="33" width="9.28515625" bestFit="1" customWidth="1"/>
    <col min="43" max="43" width="10.85546875" customWidth="1"/>
    <col min="44" max="44" width="23.5703125" bestFit="1" customWidth="1"/>
    <col min="49" max="49" width="9" bestFit="1" customWidth="1"/>
    <col min="53" max="53" width="20.28515625" bestFit="1" customWidth="1"/>
  </cols>
  <sheetData>
    <row r="1" spans="1:64" ht="33.75" customHeight="1" thickTop="1">
      <c r="A1" s="1571" t="s">
        <v>19</v>
      </c>
      <c r="B1" s="1572" t="s">
        <v>2341</v>
      </c>
      <c r="C1" s="1572"/>
      <c r="D1" s="1572"/>
      <c r="E1" s="1572"/>
      <c r="F1" s="1572"/>
      <c r="G1" s="1572" t="s">
        <v>1412</v>
      </c>
      <c r="H1" s="1572"/>
      <c r="I1" s="1572"/>
      <c r="J1" s="1572"/>
      <c r="K1" s="1572" t="s">
        <v>2340</v>
      </c>
      <c r="L1" s="1572"/>
      <c r="M1" s="1572"/>
      <c r="O1" s="39" t="s">
        <v>771</v>
      </c>
      <c r="P1" s="1518" t="s">
        <v>772</v>
      </c>
      <c r="Q1" s="1519"/>
      <c r="R1" s="1520"/>
      <c r="S1" s="1518" t="s">
        <v>773</v>
      </c>
      <c r="T1" s="1519"/>
      <c r="U1" s="1520"/>
      <c r="V1" s="1518" t="s">
        <v>2339</v>
      </c>
      <c r="W1" s="1519"/>
      <c r="X1" s="1520"/>
      <c r="Y1" s="1518" t="s">
        <v>774</v>
      </c>
      <c r="Z1" s="1519"/>
      <c r="AA1" s="1520"/>
      <c r="AC1" s="39" t="s">
        <v>771</v>
      </c>
      <c r="AD1" s="1518" t="s">
        <v>772</v>
      </c>
      <c r="AE1" s="1519"/>
      <c r="AF1" s="1520"/>
      <c r="AG1" s="1518" t="s">
        <v>773</v>
      </c>
      <c r="AH1" s="1519"/>
      <c r="AI1" s="1520"/>
      <c r="AJ1" s="1518" t="s">
        <v>2339</v>
      </c>
      <c r="AK1" s="1519"/>
      <c r="AL1" s="1520"/>
      <c r="AM1" s="1518" t="s">
        <v>774</v>
      </c>
      <c r="AN1" s="1519"/>
      <c r="AO1" s="1520"/>
      <c r="AR1" s="1615" t="s">
        <v>3153</v>
      </c>
      <c r="AS1" s="1615"/>
      <c r="AT1" s="1615"/>
      <c r="AU1" s="1615"/>
      <c r="AV1" s="1615"/>
      <c r="AW1" s="1615"/>
      <c r="AZ1" s="1607" t="s">
        <v>4372</v>
      </c>
      <c r="BA1" s="1607"/>
      <c r="BB1" s="1607"/>
      <c r="BC1" s="1607"/>
      <c r="BD1" s="1607"/>
      <c r="BE1" s="1607"/>
      <c r="BF1" s="1607"/>
      <c r="BG1" s="1607"/>
      <c r="BH1" s="1607"/>
      <c r="BI1" s="1607"/>
      <c r="BJ1" s="1607"/>
      <c r="BK1" s="1607"/>
      <c r="BL1" s="1607"/>
    </row>
    <row r="2" spans="1:64" ht="21">
      <c r="A2" s="1571"/>
      <c r="B2" s="1573" t="s">
        <v>3</v>
      </c>
      <c r="C2" s="1574"/>
      <c r="D2" s="1575"/>
      <c r="E2" s="134" t="s">
        <v>17</v>
      </c>
      <c r="F2" s="135" t="s">
        <v>20</v>
      </c>
      <c r="G2" s="135" t="s">
        <v>3</v>
      </c>
      <c r="H2" s="134" t="s">
        <v>17</v>
      </c>
      <c r="I2" s="1568" t="s">
        <v>20</v>
      </c>
      <c r="J2" s="1568"/>
      <c r="K2" s="200" t="s">
        <v>3</v>
      </c>
      <c r="L2" s="200" t="s">
        <v>17</v>
      </c>
      <c r="M2" s="154" t="s">
        <v>20</v>
      </c>
      <c r="O2" s="40"/>
      <c r="P2" s="41" t="s">
        <v>3</v>
      </c>
      <c r="Q2" s="41" t="s">
        <v>17</v>
      </c>
      <c r="R2" s="41" t="s">
        <v>20</v>
      </c>
      <c r="S2" s="41" t="s">
        <v>3</v>
      </c>
      <c r="T2" s="41" t="s">
        <v>17</v>
      </c>
      <c r="U2" s="41" t="s">
        <v>20</v>
      </c>
      <c r="V2" s="41" t="s">
        <v>3</v>
      </c>
      <c r="W2" s="41" t="s">
        <v>17</v>
      </c>
      <c r="X2" s="41" t="s">
        <v>20</v>
      </c>
      <c r="Y2" s="41" t="s">
        <v>3</v>
      </c>
      <c r="Z2" s="41" t="s">
        <v>17</v>
      </c>
      <c r="AA2" s="41" t="s">
        <v>20</v>
      </c>
      <c r="AC2" s="40"/>
      <c r="AD2" s="41" t="s">
        <v>3</v>
      </c>
      <c r="AE2" s="41" t="s">
        <v>17</v>
      </c>
      <c r="AF2" s="41" t="s">
        <v>20</v>
      </c>
      <c r="AG2" s="41" t="s">
        <v>3</v>
      </c>
      <c r="AH2" s="41" t="s">
        <v>17</v>
      </c>
      <c r="AI2" s="41" t="s">
        <v>20</v>
      </c>
      <c r="AJ2" s="41" t="s">
        <v>3</v>
      </c>
      <c r="AK2" s="41" t="s">
        <v>17</v>
      </c>
      <c r="AL2" s="41" t="s">
        <v>20</v>
      </c>
      <c r="AM2" s="41" t="s">
        <v>3</v>
      </c>
      <c r="AN2" s="41" t="s">
        <v>17</v>
      </c>
      <c r="AO2" s="41" t="s">
        <v>20</v>
      </c>
      <c r="AR2" s="231" t="s">
        <v>2</v>
      </c>
      <c r="AS2" s="232">
        <f>AU2+AW2</f>
        <v>835</v>
      </c>
      <c r="AT2" s="231" t="s">
        <v>7</v>
      </c>
      <c r="AU2" s="232">
        <f>AE22</f>
        <v>370</v>
      </c>
      <c r="AV2" s="231" t="s">
        <v>3</v>
      </c>
      <c r="AW2" s="232">
        <f>AD22</f>
        <v>465</v>
      </c>
      <c r="AZ2" s="1608" t="s">
        <v>4373</v>
      </c>
      <c r="BA2" s="1609" t="s">
        <v>4374</v>
      </c>
      <c r="BB2" s="1610" t="s">
        <v>4375</v>
      </c>
      <c r="BC2" s="1609" t="s">
        <v>90</v>
      </c>
      <c r="BD2" s="1609" t="s">
        <v>48</v>
      </c>
      <c r="BE2" s="1608" t="s">
        <v>4376</v>
      </c>
      <c r="BF2" s="1608"/>
      <c r="BG2" s="1608" t="s">
        <v>4377</v>
      </c>
      <c r="BH2" s="1608"/>
      <c r="BI2" s="1608" t="s">
        <v>4378</v>
      </c>
      <c r="BJ2" s="1608"/>
      <c r="BK2" s="1609" t="s">
        <v>4379</v>
      </c>
      <c r="BL2" s="1609"/>
    </row>
    <row r="3" spans="1:64" ht="19.5">
      <c r="A3" s="133">
        <v>1</v>
      </c>
      <c r="B3" s="1556"/>
      <c r="C3" s="1557"/>
      <c r="D3" s="1558"/>
      <c r="E3" s="133"/>
      <c r="F3" s="132">
        <f>B3+E3</f>
        <v>0</v>
      </c>
      <c r="G3" s="131"/>
      <c r="H3" s="131"/>
      <c r="I3" s="1559">
        <f>SUM(G3+H3)</f>
        <v>0</v>
      </c>
      <c r="J3" s="1560"/>
      <c r="K3" s="201"/>
      <c r="L3" s="201"/>
      <c r="M3" s="201">
        <f>K3+L3</f>
        <v>0</v>
      </c>
      <c r="O3" s="32">
        <v>1</v>
      </c>
      <c r="P3" s="33">
        <v>7</v>
      </c>
      <c r="Q3" s="33">
        <v>8</v>
      </c>
      <c r="R3" s="43">
        <v>15</v>
      </c>
      <c r="S3" s="33">
        <v>7</v>
      </c>
      <c r="T3" s="33">
        <v>8</v>
      </c>
      <c r="U3" s="43">
        <v>15</v>
      </c>
      <c r="V3" s="33">
        <v>0</v>
      </c>
      <c r="W3" s="33">
        <v>0</v>
      </c>
      <c r="X3" s="43">
        <v>0</v>
      </c>
      <c r="Y3" s="33">
        <v>0</v>
      </c>
      <c r="Z3" s="33">
        <v>0</v>
      </c>
      <c r="AA3" s="43">
        <f>Y3+Z3</f>
        <v>0</v>
      </c>
      <c r="AC3" s="32">
        <v>1</v>
      </c>
      <c r="AD3" s="33">
        <f>P3+B3</f>
        <v>7</v>
      </c>
      <c r="AE3" s="33">
        <f>Q3+E3</f>
        <v>8</v>
      </c>
      <c r="AF3" s="43">
        <f>AD3+AE3</f>
        <v>15</v>
      </c>
      <c r="AG3" s="33">
        <f>S3+G3</f>
        <v>7</v>
      </c>
      <c r="AH3" s="33">
        <f>T3+H3</f>
        <v>8</v>
      </c>
      <c r="AI3" s="43">
        <f>AG3+AH3</f>
        <v>15</v>
      </c>
      <c r="AJ3" s="33">
        <f>V3+K3</f>
        <v>0</v>
      </c>
      <c r="AK3" s="33">
        <f>W3+L3</f>
        <v>0</v>
      </c>
      <c r="AL3" s="43">
        <f>AJ3+AK3</f>
        <v>0</v>
      </c>
      <c r="AM3" s="33">
        <f>AD3-AG3-AJ3</f>
        <v>0</v>
      </c>
      <c r="AN3" s="33">
        <f>AE3-AH3-AK3</f>
        <v>0</v>
      </c>
      <c r="AO3" s="43">
        <f>AM3+AN3</f>
        <v>0</v>
      </c>
      <c r="AR3" s="231" t="s">
        <v>14</v>
      </c>
      <c r="AS3" s="232">
        <f>AU3+AW3</f>
        <v>827</v>
      </c>
      <c r="AT3" s="231" t="s">
        <v>7</v>
      </c>
      <c r="AU3" s="232">
        <f>AH22</f>
        <v>367</v>
      </c>
      <c r="AV3" s="231" t="s">
        <v>3</v>
      </c>
      <c r="AW3" s="232">
        <f>AG22</f>
        <v>460</v>
      </c>
      <c r="AZ3" s="1608"/>
      <c r="BA3" s="1609"/>
      <c r="BB3" s="1611"/>
      <c r="BC3" s="1609"/>
      <c r="BD3" s="1609"/>
      <c r="BE3" s="917" t="s">
        <v>90</v>
      </c>
      <c r="BF3" s="917" t="s">
        <v>48</v>
      </c>
      <c r="BG3" s="917" t="s">
        <v>90</v>
      </c>
      <c r="BH3" s="917" t="s">
        <v>48</v>
      </c>
      <c r="BI3" s="917" t="s">
        <v>90</v>
      </c>
      <c r="BJ3" s="917" t="s">
        <v>48</v>
      </c>
      <c r="BK3" s="1609"/>
      <c r="BL3" s="1609"/>
    </row>
    <row r="4" spans="1:64" ht="19.5">
      <c r="A4" s="133">
        <v>2</v>
      </c>
      <c r="B4" s="1556"/>
      <c r="C4" s="1557"/>
      <c r="D4" s="1558"/>
      <c r="E4" s="133"/>
      <c r="F4" s="132">
        <f t="shared" ref="F4:F22" si="0">B4+E4</f>
        <v>0</v>
      </c>
      <c r="G4" s="131"/>
      <c r="H4" s="133"/>
      <c r="I4" s="1559">
        <f>SUM(G4+H4)</f>
        <v>0</v>
      </c>
      <c r="J4" s="1560"/>
      <c r="K4" s="201"/>
      <c r="L4" s="201"/>
      <c r="M4" s="201">
        <f t="shared" ref="M4:M21" si="1">K4+L4</f>
        <v>0</v>
      </c>
      <c r="O4" s="32">
        <v>2</v>
      </c>
      <c r="P4" s="33">
        <v>10</v>
      </c>
      <c r="Q4" s="33">
        <v>9</v>
      </c>
      <c r="R4" s="43">
        <v>19</v>
      </c>
      <c r="S4" s="33">
        <v>10</v>
      </c>
      <c r="T4" s="33">
        <v>9</v>
      </c>
      <c r="U4" s="43">
        <v>19</v>
      </c>
      <c r="V4" s="33">
        <v>0</v>
      </c>
      <c r="W4" s="33">
        <v>0</v>
      </c>
      <c r="X4" s="43">
        <v>0</v>
      </c>
      <c r="Y4" s="33">
        <v>0</v>
      </c>
      <c r="Z4" s="33">
        <v>0</v>
      </c>
      <c r="AA4" s="43">
        <f t="shared" ref="AA4:AA21" si="2">Y4+Z4</f>
        <v>0</v>
      </c>
      <c r="AC4" s="32">
        <v>2</v>
      </c>
      <c r="AD4" s="33">
        <f t="shared" ref="AD4:AD21" si="3">P4+B4</f>
        <v>10</v>
      </c>
      <c r="AE4" s="33">
        <f t="shared" ref="AE4:AE21" si="4">Q4+E4</f>
        <v>9</v>
      </c>
      <c r="AF4" s="43">
        <f t="shared" ref="AF4:AF21" si="5">AD4+AE4</f>
        <v>19</v>
      </c>
      <c r="AG4" s="33">
        <f>S4+G4</f>
        <v>10</v>
      </c>
      <c r="AH4" s="33">
        <f t="shared" ref="AH4:AH21" si="6">T4+H4</f>
        <v>9</v>
      </c>
      <c r="AI4" s="43">
        <f t="shared" ref="AI4:AI20" si="7">AG4+AH4</f>
        <v>19</v>
      </c>
      <c r="AJ4" s="33">
        <f t="shared" ref="AJ4:AJ21" si="8">V4+K4</f>
        <v>0</v>
      </c>
      <c r="AK4" s="33">
        <f t="shared" ref="AK4:AK21" si="9">W4+L4</f>
        <v>0</v>
      </c>
      <c r="AL4" s="43">
        <f t="shared" ref="AL4:AL21" si="10">AJ4+AK4</f>
        <v>0</v>
      </c>
      <c r="AM4" s="33">
        <f>AD4-AG4-AJ4</f>
        <v>0</v>
      </c>
      <c r="AN4" s="33">
        <f t="shared" ref="AN4:AN21" si="11">AE4-AH4-AK4</f>
        <v>0</v>
      </c>
      <c r="AO4" s="43">
        <f t="shared" ref="AO4:AO21" si="12">AM4+AN4</f>
        <v>0</v>
      </c>
      <c r="AR4" s="231" t="s">
        <v>15</v>
      </c>
      <c r="AS4" s="232">
        <f>SUM(AU4+AW4)</f>
        <v>7</v>
      </c>
      <c r="AT4" s="231" t="s">
        <v>7</v>
      </c>
      <c r="AU4" s="232">
        <f>AN22</f>
        <v>2</v>
      </c>
      <c r="AV4" s="231" t="s">
        <v>3</v>
      </c>
      <c r="AW4" s="232">
        <f>AM22</f>
        <v>5</v>
      </c>
      <c r="AZ4" s="912">
        <v>1</v>
      </c>
      <c r="BA4" s="913" t="s">
        <v>4380</v>
      </c>
      <c r="BB4" s="912">
        <v>217</v>
      </c>
      <c r="BC4" s="912">
        <v>94</v>
      </c>
      <c r="BD4" s="912">
        <v>123</v>
      </c>
      <c r="BE4" s="912">
        <v>51</v>
      </c>
      <c r="BF4" s="912">
        <v>42</v>
      </c>
      <c r="BG4" s="912">
        <v>9</v>
      </c>
      <c r="BH4" s="912">
        <v>15</v>
      </c>
      <c r="BI4" s="912">
        <v>34</v>
      </c>
      <c r="BJ4" s="912">
        <v>66</v>
      </c>
      <c r="BK4" s="1604">
        <v>7</v>
      </c>
      <c r="BL4" s="1604"/>
    </row>
    <row r="5" spans="1:64" ht="19.5">
      <c r="A5" s="133">
        <f>A4+1</f>
        <v>3</v>
      </c>
      <c r="B5" s="1556">
        <v>1</v>
      </c>
      <c r="C5" s="1557"/>
      <c r="D5" s="1558"/>
      <c r="E5" s="133"/>
      <c r="F5" s="132">
        <f t="shared" si="0"/>
        <v>1</v>
      </c>
      <c r="G5" s="131"/>
      <c r="H5" s="133"/>
      <c r="I5" s="1559">
        <f t="shared" ref="I5:I22" si="13">SUM(G5+H5)</f>
        <v>0</v>
      </c>
      <c r="J5" s="1560"/>
      <c r="K5" s="201"/>
      <c r="L5" s="201"/>
      <c r="M5" s="201">
        <f t="shared" si="1"/>
        <v>0</v>
      </c>
      <c r="O5" s="32">
        <v>3</v>
      </c>
      <c r="P5" s="33">
        <v>10</v>
      </c>
      <c r="Q5" s="33">
        <v>12</v>
      </c>
      <c r="R5" s="43">
        <v>22</v>
      </c>
      <c r="S5" s="33">
        <v>10</v>
      </c>
      <c r="T5" s="33">
        <v>12</v>
      </c>
      <c r="U5" s="43">
        <v>22</v>
      </c>
      <c r="V5" s="33">
        <v>0</v>
      </c>
      <c r="W5" s="33">
        <v>0</v>
      </c>
      <c r="X5" s="43">
        <v>0</v>
      </c>
      <c r="Y5" s="33">
        <v>0</v>
      </c>
      <c r="Z5" s="33">
        <v>0</v>
      </c>
      <c r="AA5" s="43">
        <f t="shared" si="2"/>
        <v>0</v>
      </c>
      <c r="AC5" s="32">
        <v>3</v>
      </c>
      <c r="AD5" s="33">
        <f t="shared" si="3"/>
        <v>11</v>
      </c>
      <c r="AE5" s="33">
        <f t="shared" si="4"/>
        <v>12</v>
      </c>
      <c r="AF5" s="43">
        <f t="shared" si="5"/>
        <v>23</v>
      </c>
      <c r="AG5" s="33">
        <f t="shared" ref="AG5:AG21" si="14">S5+G5</f>
        <v>10</v>
      </c>
      <c r="AH5" s="33">
        <f t="shared" si="6"/>
        <v>12</v>
      </c>
      <c r="AI5" s="43">
        <f t="shared" si="7"/>
        <v>22</v>
      </c>
      <c r="AJ5" s="33">
        <f t="shared" si="8"/>
        <v>0</v>
      </c>
      <c r="AK5" s="33">
        <f t="shared" si="9"/>
        <v>0</v>
      </c>
      <c r="AL5" s="43">
        <f t="shared" si="10"/>
        <v>0</v>
      </c>
      <c r="AM5" s="33">
        <f t="shared" ref="AM5:AM21" si="15">AD5-AG5-AJ5</f>
        <v>1</v>
      </c>
      <c r="AN5" s="33">
        <f t="shared" si="11"/>
        <v>0</v>
      </c>
      <c r="AO5" s="43">
        <f t="shared" si="12"/>
        <v>1</v>
      </c>
      <c r="AR5" s="231" t="s">
        <v>801</v>
      </c>
      <c r="AS5" s="232">
        <f>AU5+AW5</f>
        <v>1</v>
      </c>
      <c r="AT5" s="231" t="s">
        <v>7</v>
      </c>
      <c r="AU5" s="232">
        <f>AK22</f>
        <v>1</v>
      </c>
      <c r="AV5" s="231" t="s">
        <v>3</v>
      </c>
      <c r="AW5" s="232">
        <f>AJ22</f>
        <v>0</v>
      </c>
      <c r="AZ5" s="912">
        <v>2</v>
      </c>
      <c r="BA5" s="913" t="s">
        <v>4381</v>
      </c>
      <c r="BB5" s="912">
        <v>53</v>
      </c>
      <c r="BC5" s="912">
        <v>28</v>
      </c>
      <c r="BD5" s="912">
        <v>25</v>
      </c>
      <c r="BE5" s="912">
        <v>3</v>
      </c>
      <c r="BF5" s="912">
        <v>14</v>
      </c>
      <c r="BG5" s="912">
        <v>21</v>
      </c>
      <c r="BH5" s="912">
        <v>9</v>
      </c>
      <c r="BI5" s="912">
        <v>4</v>
      </c>
      <c r="BJ5" s="912">
        <v>2</v>
      </c>
      <c r="BK5" s="1604"/>
      <c r="BL5" s="1604"/>
    </row>
    <row r="6" spans="1:64" ht="15" customHeight="1">
      <c r="A6" s="133">
        <f t="shared" ref="A6:A21" si="16">A5+1</f>
        <v>4</v>
      </c>
      <c r="B6" s="1556"/>
      <c r="C6" s="1557"/>
      <c r="D6" s="1558"/>
      <c r="E6" s="133"/>
      <c r="F6" s="132">
        <f t="shared" si="0"/>
        <v>0</v>
      </c>
      <c r="G6" s="131"/>
      <c r="H6" s="133"/>
      <c r="I6" s="1559">
        <f t="shared" si="13"/>
        <v>0</v>
      </c>
      <c r="J6" s="1560"/>
      <c r="K6" s="201"/>
      <c r="L6" s="201"/>
      <c r="M6" s="201">
        <f t="shared" si="1"/>
        <v>0</v>
      </c>
      <c r="O6" s="32">
        <v>4</v>
      </c>
      <c r="P6" s="33">
        <v>19</v>
      </c>
      <c r="Q6" s="33">
        <v>25</v>
      </c>
      <c r="R6" s="43">
        <v>44</v>
      </c>
      <c r="S6" s="33">
        <v>19</v>
      </c>
      <c r="T6" s="33">
        <v>25</v>
      </c>
      <c r="U6" s="43">
        <v>44</v>
      </c>
      <c r="V6" s="33">
        <v>0</v>
      </c>
      <c r="W6" s="33">
        <v>0</v>
      </c>
      <c r="X6" s="43">
        <v>0</v>
      </c>
      <c r="Y6" s="33">
        <v>0</v>
      </c>
      <c r="Z6" s="33">
        <v>0</v>
      </c>
      <c r="AA6" s="43">
        <f t="shared" si="2"/>
        <v>0</v>
      </c>
      <c r="AC6" s="32">
        <v>4</v>
      </c>
      <c r="AD6" s="33">
        <f t="shared" si="3"/>
        <v>19</v>
      </c>
      <c r="AE6" s="33">
        <f t="shared" si="4"/>
        <v>25</v>
      </c>
      <c r="AF6" s="43">
        <f t="shared" si="5"/>
        <v>44</v>
      </c>
      <c r="AG6" s="33">
        <f t="shared" si="14"/>
        <v>19</v>
      </c>
      <c r="AH6" s="33">
        <f t="shared" si="6"/>
        <v>25</v>
      </c>
      <c r="AI6" s="43">
        <f t="shared" si="7"/>
        <v>44</v>
      </c>
      <c r="AJ6" s="33">
        <f t="shared" si="8"/>
        <v>0</v>
      </c>
      <c r="AK6" s="33">
        <f t="shared" si="9"/>
        <v>0</v>
      </c>
      <c r="AL6" s="43">
        <f t="shared" si="10"/>
        <v>0</v>
      </c>
      <c r="AM6" s="33">
        <f t="shared" si="15"/>
        <v>0</v>
      </c>
      <c r="AN6" s="33">
        <f t="shared" si="11"/>
        <v>0</v>
      </c>
      <c r="AO6" s="43">
        <f t="shared" si="12"/>
        <v>0</v>
      </c>
      <c r="AR6" s="1612" t="s">
        <v>1411</v>
      </c>
      <c r="AS6" s="1613"/>
      <c r="AT6" s="1613"/>
      <c r="AU6" s="1613"/>
      <c r="AV6" s="1613"/>
      <c r="AW6" s="1614"/>
      <c r="AZ6" s="912">
        <v>3</v>
      </c>
      <c r="BA6" s="913" t="s">
        <v>4382</v>
      </c>
      <c r="BB6" s="912">
        <v>59</v>
      </c>
      <c r="BC6" s="912">
        <v>39</v>
      </c>
      <c r="BD6" s="912">
        <v>20</v>
      </c>
      <c r="BE6" s="912">
        <v>21</v>
      </c>
      <c r="BF6" s="912">
        <v>10</v>
      </c>
      <c r="BG6" s="912">
        <v>15</v>
      </c>
      <c r="BH6" s="912">
        <v>8</v>
      </c>
      <c r="BI6" s="912">
        <v>3</v>
      </c>
      <c r="BJ6" s="912">
        <v>2</v>
      </c>
      <c r="BK6" s="1604"/>
      <c r="BL6" s="1604"/>
    </row>
    <row r="7" spans="1:64" ht="19.5">
      <c r="A7" s="133">
        <f t="shared" si="16"/>
        <v>5</v>
      </c>
      <c r="B7" s="1556"/>
      <c r="C7" s="1557"/>
      <c r="D7" s="1558"/>
      <c r="E7" s="133"/>
      <c r="F7" s="132">
        <f t="shared" si="0"/>
        <v>0</v>
      </c>
      <c r="G7" s="131"/>
      <c r="H7" s="133">
        <v>1</v>
      </c>
      <c r="I7" s="1559">
        <f t="shared" si="13"/>
        <v>1</v>
      </c>
      <c r="J7" s="1560"/>
      <c r="K7" s="201"/>
      <c r="L7" s="201"/>
      <c r="M7" s="201">
        <f t="shared" si="1"/>
        <v>0</v>
      </c>
      <c r="O7" s="32">
        <v>5</v>
      </c>
      <c r="P7" s="33">
        <v>88</v>
      </c>
      <c r="Q7" s="33">
        <v>78</v>
      </c>
      <c r="R7" s="43">
        <v>166</v>
      </c>
      <c r="S7" s="33">
        <v>88</v>
      </c>
      <c r="T7" s="33">
        <v>77</v>
      </c>
      <c r="U7" s="43">
        <v>165</v>
      </c>
      <c r="V7" s="33">
        <v>0</v>
      </c>
      <c r="W7" s="33">
        <v>0</v>
      </c>
      <c r="X7" s="43">
        <v>0</v>
      </c>
      <c r="Y7" s="33">
        <v>0</v>
      </c>
      <c r="Z7" s="33">
        <v>1</v>
      </c>
      <c r="AA7" s="43">
        <f t="shared" si="2"/>
        <v>1</v>
      </c>
      <c r="AC7" s="32">
        <v>5</v>
      </c>
      <c r="AD7" s="33">
        <f t="shared" si="3"/>
        <v>88</v>
      </c>
      <c r="AE7" s="33">
        <f t="shared" si="4"/>
        <v>78</v>
      </c>
      <c r="AF7" s="43">
        <f t="shared" si="5"/>
        <v>166</v>
      </c>
      <c r="AG7" s="33">
        <f t="shared" si="14"/>
        <v>88</v>
      </c>
      <c r="AH7" s="33">
        <f t="shared" si="6"/>
        <v>78</v>
      </c>
      <c r="AI7" s="43">
        <f t="shared" si="7"/>
        <v>166</v>
      </c>
      <c r="AJ7" s="33">
        <f t="shared" si="8"/>
        <v>0</v>
      </c>
      <c r="AK7" s="33">
        <f t="shared" si="9"/>
        <v>0</v>
      </c>
      <c r="AL7" s="43">
        <f t="shared" si="10"/>
        <v>0</v>
      </c>
      <c r="AM7" s="33">
        <f t="shared" si="15"/>
        <v>0</v>
      </c>
      <c r="AN7" s="33">
        <f t="shared" si="11"/>
        <v>0</v>
      </c>
      <c r="AO7" s="43">
        <f t="shared" si="12"/>
        <v>0</v>
      </c>
      <c r="AR7" s="34" t="s">
        <v>3369</v>
      </c>
      <c r="AS7" s="230">
        <f>SUM(AU7+AW7)</f>
        <v>3</v>
      </c>
      <c r="AT7" s="34" t="s">
        <v>17</v>
      </c>
      <c r="AU7" s="35">
        <f>E22</f>
        <v>1</v>
      </c>
      <c r="AV7" s="34" t="s">
        <v>3</v>
      </c>
      <c r="AW7" s="230">
        <f>B22</f>
        <v>2</v>
      </c>
      <c r="AZ7" s="912">
        <v>4</v>
      </c>
      <c r="BA7" s="913" t="s">
        <v>4383</v>
      </c>
      <c r="BB7" s="912">
        <v>403</v>
      </c>
      <c r="BC7" s="912">
        <v>164</v>
      </c>
      <c r="BD7" s="912">
        <v>239</v>
      </c>
      <c r="BE7" s="912">
        <v>8</v>
      </c>
      <c r="BF7" s="912">
        <v>106</v>
      </c>
      <c r="BG7" s="912">
        <v>55</v>
      </c>
      <c r="BH7" s="912">
        <v>89</v>
      </c>
      <c r="BI7" s="912">
        <v>29</v>
      </c>
      <c r="BJ7" s="912">
        <v>44</v>
      </c>
      <c r="BK7" s="1604">
        <v>4</v>
      </c>
      <c r="BL7" s="1604"/>
    </row>
    <row r="8" spans="1:64" ht="19.5">
      <c r="A8" s="133">
        <f t="shared" si="16"/>
        <v>6</v>
      </c>
      <c r="B8" s="1556">
        <v>1</v>
      </c>
      <c r="C8" s="1557"/>
      <c r="D8" s="1558"/>
      <c r="E8" s="133">
        <v>1</v>
      </c>
      <c r="F8" s="132">
        <f t="shared" si="0"/>
        <v>2</v>
      </c>
      <c r="G8" s="131">
        <v>1</v>
      </c>
      <c r="H8" s="133">
        <v>1</v>
      </c>
      <c r="I8" s="1559">
        <f t="shared" si="13"/>
        <v>2</v>
      </c>
      <c r="J8" s="1560"/>
      <c r="K8" s="201"/>
      <c r="L8" s="201"/>
      <c r="M8" s="201">
        <f t="shared" si="1"/>
        <v>0</v>
      </c>
      <c r="O8" s="32">
        <v>6</v>
      </c>
      <c r="P8" s="33">
        <v>121</v>
      </c>
      <c r="Q8" s="33">
        <v>75</v>
      </c>
      <c r="R8" s="43">
        <v>196</v>
      </c>
      <c r="S8" s="33">
        <v>119</v>
      </c>
      <c r="T8" s="33">
        <v>74</v>
      </c>
      <c r="U8" s="43">
        <v>193</v>
      </c>
      <c r="V8" s="33">
        <v>0</v>
      </c>
      <c r="W8" s="33">
        <v>1</v>
      </c>
      <c r="X8" s="43">
        <v>1</v>
      </c>
      <c r="Y8" s="33">
        <v>2</v>
      </c>
      <c r="Z8" s="33">
        <v>0</v>
      </c>
      <c r="AA8" s="43">
        <f t="shared" si="2"/>
        <v>2</v>
      </c>
      <c r="AC8" s="32">
        <v>6</v>
      </c>
      <c r="AD8" s="33">
        <f t="shared" si="3"/>
        <v>122</v>
      </c>
      <c r="AE8" s="33">
        <f t="shared" si="4"/>
        <v>76</v>
      </c>
      <c r="AF8" s="43">
        <f t="shared" si="5"/>
        <v>198</v>
      </c>
      <c r="AG8" s="33">
        <f t="shared" si="14"/>
        <v>120</v>
      </c>
      <c r="AH8" s="33">
        <f t="shared" si="6"/>
        <v>75</v>
      </c>
      <c r="AI8" s="43">
        <f t="shared" si="7"/>
        <v>195</v>
      </c>
      <c r="AJ8" s="33">
        <f t="shared" si="8"/>
        <v>0</v>
      </c>
      <c r="AK8" s="33">
        <f t="shared" si="9"/>
        <v>1</v>
      </c>
      <c r="AL8" s="43">
        <f t="shared" si="10"/>
        <v>1</v>
      </c>
      <c r="AM8" s="33">
        <f t="shared" si="15"/>
        <v>2</v>
      </c>
      <c r="AN8" s="33">
        <f t="shared" si="11"/>
        <v>0</v>
      </c>
      <c r="AO8" s="43">
        <f t="shared" si="12"/>
        <v>2</v>
      </c>
      <c r="AR8" s="34" t="s">
        <v>801</v>
      </c>
      <c r="AS8" s="236">
        <f>SUM(AU8+AW8)</f>
        <v>0</v>
      </c>
      <c r="AT8" s="34" t="s">
        <v>17</v>
      </c>
      <c r="AU8" s="35">
        <f>L22</f>
        <v>0</v>
      </c>
      <c r="AV8" s="34" t="s">
        <v>3</v>
      </c>
      <c r="AW8" s="236">
        <f>K22</f>
        <v>0</v>
      </c>
      <c r="AZ8" s="914"/>
      <c r="BA8" s="915" t="s">
        <v>4384</v>
      </c>
      <c r="BB8" s="916">
        <f t="shared" ref="BB8:BJ8" si="17">SUM(BB4:BB7)</f>
        <v>732</v>
      </c>
      <c r="BC8" s="916">
        <f t="shared" si="17"/>
        <v>325</v>
      </c>
      <c r="BD8" s="916">
        <f t="shared" si="17"/>
        <v>407</v>
      </c>
      <c r="BE8" s="916">
        <f t="shared" si="17"/>
        <v>83</v>
      </c>
      <c r="BF8" s="916">
        <f t="shared" si="17"/>
        <v>172</v>
      </c>
      <c r="BG8" s="916">
        <f t="shared" si="17"/>
        <v>100</v>
      </c>
      <c r="BH8" s="916">
        <f t="shared" si="17"/>
        <v>121</v>
      </c>
      <c r="BI8" s="916">
        <f t="shared" si="17"/>
        <v>70</v>
      </c>
      <c r="BJ8" s="916">
        <f t="shared" si="17"/>
        <v>114</v>
      </c>
      <c r="BK8" s="1605">
        <f>SUM(BK4:BL7)</f>
        <v>11</v>
      </c>
      <c r="BL8" s="1606"/>
    </row>
    <row r="9" spans="1:64" ht="22.5" customHeight="1">
      <c r="A9" s="133">
        <f t="shared" si="16"/>
        <v>7</v>
      </c>
      <c r="B9" s="1556"/>
      <c r="C9" s="1557"/>
      <c r="D9" s="1558"/>
      <c r="E9" s="133"/>
      <c r="F9" s="132">
        <f t="shared" si="0"/>
        <v>0</v>
      </c>
      <c r="G9" s="131"/>
      <c r="H9" s="133"/>
      <c r="I9" s="1559">
        <f t="shared" si="13"/>
        <v>0</v>
      </c>
      <c r="J9" s="1560"/>
      <c r="K9" s="201"/>
      <c r="L9" s="201"/>
      <c r="M9" s="201">
        <f t="shared" si="1"/>
        <v>0</v>
      </c>
      <c r="O9" s="32">
        <v>7</v>
      </c>
      <c r="P9" s="33">
        <v>39</v>
      </c>
      <c r="Q9" s="33">
        <v>31</v>
      </c>
      <c r="R9" s="43">
        <v>70</v>
      </c>
      <c r="S9" s="33">
        <v>39</v>
      </c>
      <c r="T9" s="33">
        <v>31</v>
      </c>
      <c r="U9" s="43">
        <v>70</v>
      </c>
      <c r="V9" s="33">
        <v>0</v>
      </c>
      <c r="W9" s="33">
        <v>0</v>
      </c>
      <c r="X9" s="43">
        <v>0</v>
      </c>
      <c r="Y9" s="33">
        <v>0</v>
      </c>
      <c r="Z9" s="33">
        <v>0</v>
      </c>
      <c r="AA9" s="43">
        <f t="shared" si="2"/>
        <v>0</v>
      </c>
      <c r="AC9" s="32">
        <v>7</v>
      </c>
      <c r="AD9" s="33">
        <f t="shared" si="3"/>
        <v>39</v>
      </c>
      <c r="AE9" s="33">
        <f t="shared" si="4"/>
        <v>31</v>
      </c>
      <c r="AF9" s="43">
        <f t="shared" si="5"/>
        <v>70</v>
      </c>
      <c r="AG9" s="33">
        <f t="shared" si="14"/>
        <v>39</v>
      </c>
      <c r="AH9" s="33">
        <f t="shared" si="6"/>
        <v>31</v>
      </c>
      <c r="AI9" s="43">
        <f t="shared" si="7"/>
        <v>70</v>
      </c>
      <c r="AJ9" s="33">
        <f t="shared" si="8"/>
        <v>0</v>
      </c>
      <c r="AK9" s="33">
        <f t="shared" si="9"/>
        <v>0</v>
      </c>
      <c r="AL9" s="43">
        <f t="shared" si="10"/>
        <v>0</v>
      </c>
      <c r="AM9" s="33">
        <f t="shared" si="15"/>
        <v>0</v>
      </c>
      <c r="AN9" s="33">
        <f t="shared" si="11"/>
        <v>0</v>
      </c>
      <c r="AO9" s="43">
        <f t="shared" si="12"/>
        <v>0</v>
      </c>
      <c r="AR9" s="1616" t="s">
        <v>4011</v>
      </c>
      <c r="AS9" s="1616"/>
      <c r="AT9" s="1616"/>
      <c r="AU9" s="1616"/>
      <c r="AV9" s="1616"/>
      <c r="AW9" s="1616"/>
    </row>
    <row r="10" spans="1:64" ht="19.5">
      <c r="A10" s="133">
        <f t="shared" si="16"/>
        <v>8</v>
      </c>
      <c r="B10" s="1556"/>
      <c r="C10" s="1557"/>
      <c r="D10" s="1558"/>
      <c r="E10" s="133"/>
      <c r="F10" s="132">
        <f t="shared" si="0"/>
        <v>0</v>
      </c>
      <c r="G10" s="131">
        <v>1</v>
      </c>
      <c r="H10" s="133"/>
      <c r="I10" s="1559">
        <f t="shared" si="13"/>
        <v>1</v>
      </c>
      <c r="J10" s="1560"/>
      <c r="K10" s="201"/>
      <c r="L10" s="201"/>
      <c r="M10" s="201">
        <f t="shared" si="1"/>
        <v>0</v>
      </c>
      <c r="O10" s="32">
        <v>8</v>
      </c>
      <c r="P10" s="33">
        <v>41</v>
      </c>
      <c r="Q10" s="33">
        <v>35</v>
      </c>
      <c r="R10" s="43">
        <v>76</v>
      </c>
      <c r="S10" s="33">
        <v>38</v>
      </c>
      <c r="T10" s="33">
        <v>33</v>
      </c>
      <c r="U10" s="43">
        <v>71</v>
      </c>
      <c r="V10" s="33">
        <v>0</v>
      </c>
      <c r="W10" s="33">
        <v>0</v>
      </c>
      <c r="X10" s="43">
        <v>0</v>
      </c>
      <c r="Y10" s="33">
        <v>3</v>
      </c>
      <c r="Z10" s="33">
        <v>2</v>
      </c>
      <c r="AA10" s="43">
        <f t="shared" si="2"/>
        <v>5</v>
      </c>
      <c r="AC10" s="32">
        <v>8</v>
      </c>
      <c r="AD10" s="33">
        <f t="shared" si="3"/>
        <v>41</v>
      </c>
      <c r="AE10" s="33">
        <f t="shared" si="4"/>
        <v>35</v>
      </c>
      <c r="AF10" s="43">
        <f t="shared" si="5"/>
        <v>76</v>
      </c>
      <c r="AG10" s="33">
        <f t="shared" si="14"/>
        <v>39</v>
      </c>
      <c r="AH10" s="33">
        <f t="shared" si="6"/>
        <v>33</v>
      </c>
      <c r="AI10" s="43">
        <f t="shared" si="7"/>
        <v>72</v>
      </c>
      <c r="AJ10" s="33">
        <f t="shared" si="8"/>
        <v>0</v>
      </c>
      <c r="AK10" s="33">
        <f t="shared" si="9"/>
        <v>0</v>
      </c>
      <c r="AL10" s="43">
        <f t="shared" si="10"/>
        <v>0</v>
      </c>
      <c r="AM10" s="33">
        <f t="shared" si="15"/>
        <v>2</v>
      </c>
      <c r="AN10" s="33">
        <f t="shared" si="11"/>
        <v>2</v>
      </c>
      <c r="AO10" s="43">
        <f t="shared" si="12"/>
        <v>4</v>
      </c>
      <c r="AQ10" s="229"/>
      <c r="AR10" s="790" t="s">
        <v>4009</v>
      </c>
      <c r="AS10" s="791">
        <f>AU10+AW10</f>
        <v>0</v>
      </c>
      <c r="AT10" s="790" t="s">
        <v>7</v>
      </c>
      <c r="AU10" s="791">
        <f>'metro report'!G16</f>
        <v>0</v>
      </c>
      <c r="AV10" s="790" t="s">
        <v>3</v>
      </c>
      <c r="AW10" s="791">
        <f>'metro report'!E16</f>
        <v>0</v>
      </c>
      <c r="AX10" s="229"/>
    </row>
    <row r="11" spans="1:64" ht="19.5">
      <c r="A11" s="133">
        <f t="shared" si="16"/>
        <v>9</v>
      </c>
      <c r="B11" s="1556"/>
      <c r="C11" s="1557"/>
      <c r="D11" s="1558"/>
      <c r="E11" s="133"/>
      <c r="F11" s="132">
        <f t="shared" si="0"/>
        <v>0</v>
      </c>
      <c r="G11" s="131"/>
      <c r="H11" s="133"/>
      <c r="I11" s="1559">
        <f t="shared" si="13"/>
        <v>0</v>
      </c>
      <c r="J11" s="1560"/>
      <c r="K11" s="201"/>
      <c r="L11" s="201"/>
      <c r="M11" s="201">
        <f t="shared" si="1"/>
        <v>0</v>
      </c>
      <c r="O11" s="32">
        <v>9</v>
      </c>
      <c r="P11" s="33">
        <v>38</v>
      </c>
      <c r="Q11" s="33">
        <v>28</v>
      </c>
      <c r="R11" s="43">
        <v>66</v>
      </c>
      <c r="S11" s="33">
        <v>38</v>
      </c>
      <c r="T11" s="33">
        <v>28</v>
      </c>
      <c r="U11" s="43">
        <v>66</v>
      </c>
      <c r="V11" s="33">
        <v>0</v>
      </c>
      <c r="W11" s="33">
        <v>0</v>
      </c>
      <c r="X11" s="43">
        <v>0</v>
      </c>
      <c r="Y11" s="33">
        <v>0</v>
      </c>
      <c r="Z11" s="33">
        <v>0</v>
      </c>
      <c r="AA11" s="43">
        <f t="shared" si="2"/>
        <v>0</v>
      </c>
      <c r="AC11" s="32">
        <v>9</v>
      </c>
      <c r="AD11" s="33">
        <f t="shared" si="3"/>
        <v>38</v>
      </c>
      <c r="AE11" s="33">
        <f t="shared" si="4"/>
        <v>28</v>
      </c>
      <c r="AF11" s="43">
        <f t="shared" si="5"/>
        <v>66</v>
      </c>
      <c r="AG11" s="33">
        <f t="shared" si="14"/>
        <v>38</v>
      </c>
      <c r="AH11" s="33">
        <f t="shared" si="6"/>
        <v>28</v>
      </c>
      <c r="AI11" s="43">
        <f t="shared" si="7"/>
        <v>66</v>
      </c>
      <c r="AJ11" s="33">
        <f t="shared" si="8"/>
        <v>0</v>
      </c>
      <c r="AK11" s="33">
        <f t="shared" si="9"/>
        <v>0</v>
      </c>
      <c r="AL11" s="43">
        <f t="shared" si="10"/>
        <v>0</v>
      </c>
      <c r="AM11" s="33">
        <f t="shared" si="15"/>
        <v>0</v>
      </c>
      <c r="AN11" s="33">
        <f t="shared" si="11"/>
        <v>0</v>
      </c>
      <c r="AO11" s="43">
        <f t="shared" si="12"/>
        <v>0</v>
      </c>
      <c r="AQ11" s="229"/>
      <c r="AR11" s="790" t="s">
        <v>4010</v>
      </c>
      <c r="AS11" s="791">
        <f>AU11+AW11</f>
        <v>140</v>
      </c>
      <c r="AT11" s="790" t="s">
        <v>7</v>
      </c>
      <c r="AU11" s="791">
        <f>'metro report'!G18</f>
        <v>66</v>
      </c>
      <c r="AV11" s="790" t="s">
        <v>3</v>
      </c>
      <c r="AW11" s="791">
        <f>'metro report'!E18</f>
        <v>74</v>
      </c>
      <c r="AX11" s="229"/>
    </row>
    <row r="12" spans="1:64" ht="19.5">
      <c r="A12" s="133">
        <f t="shared" si="16"/>
        <v>10</v>
      </c>
      <c r="B12" s="1556"/>
      <c r="C12" s="1557"/>
      <c r="D12" s="1558"/>
      <c r="E12" s="133"/>
      <c r="F12" s="132">
        <f>B12+E12</f>
        <v>0</v>
      </c>
      <c r="G12" s="131"/>
      <c r="H12" s="133"/>
      <c r="I12" s="1559">
        <f t="shared" si="13"/>
        <v>0</v>
      </c>
      <c r="J12" s="1560"/>
      <c r="K12" s="201"/>
      <c r="L12" s="201"/>
      <c r="M12" s="201">
        <f t="shared" si="1"/>
        <v>0</v>
      </c>
      <c r="O12" s="32">
        <v>10</v>
      </c>
      <c r="P12" s="33">
        <v>9</v>
      </c>
      <c r="Q12" s="33">
        <v>6</v>
      </c>
      <c r="R12" s="43">
        <v>15</v>
      </c>
      <c r="S12" s="33">
        <v>9</v>
      </c>
      <c r="T12" s="33">
        <v>6</v>
      </c>
      <c r="U12" s="43">
        <v>15</v>
      </c>
      <c r="V12" s="33">
        <v>0</v>
      </c>
      <c r="W12" s="33">
        <v>0</v>
      </c>
      <c r="X12" s="43">
        <v>0</v>
      </c>
      <c r="Y12" s="33">
        <v>0</v>
      </c>
      <c r="Z12" s="33">
        <v>0</v>
      </c>
      <c r="AA12" s="43">
        <f t="shared" si="2"/>
        <v>0</v>
      </c>
      <c r="AC12" s="32">
        <v>10</v>
      </c>
      <c r="AD12" s="33">
        <f t="shared" si="3"/>
        <v>9</v>
      </c>
      <c r="AE12" s="33">
        <f t="shared" si="4"/>
        <v>6</v>
      </c>
      <c r="AF12" s="43">
        <f t="shared" si="5"/>
        <v>15</v>
      </c>
      <c r="AG12" s="33">
        <f t="shared" si="14"/>
        <v>9</v>
      </c>
      <c r="AH12" s="33">
        <f t="shared" si="6"/>
        <v>6</v>
      </c>
      <c r="AI12" s="43">
        <f t="shared" si="7"/>
        <v>15</v>
      </c>
      <c r="AJ12" s="33">
        <f t="shared" si="8"/>
        <v>0</v>
      </c>
      <c r="AK12" s="33">
        <f t="shared" si="9"/>
        <v>0</v>
      </c>
      <c r="AL12" s="43">
        <f t="shared" si="10"/>
        <v>0</v>
      </c>
      <c r="AM12" s="33">
        <f t="shared" si="15"/>
        <v>0</v>
      </c>
      <c r="AN12" s="33">
        <f t="shared" si="11"/>
        <v>0</v>
      </c>
      <c r="AO12" s="43">
        <f t="shared" si="12"/>
        <v>0</v>
      </c>
      <c r="AQ12" s="229"/>
      <c r="AR12" s="790" t="s">
        <v>3152</v>
      </c>
      <c r="AS12" s="791">
        <f>AU12+AW12</f>
        <v>34</v>
      </c>
      <c r="AT12" s="790" t="s">
        <v>7</v>
      </c>
      <c r="AU12" s="791">
        <f>'metro report'!G17</f>
        <v>10</v>
      </c>
      <c r="AV12" s="790" t="s">
        <v>3</v>
      </c>
      <c r="AW12" s="791">
        <f>'metro report'!E17</f>
        <v>24</v>
      </c>
      <c r="AX12" s="229"/>
    </row>
    <row r="13" spans="1:64" ht="19.5">
      <c r="A13" s="133">
        <f t="shared" si="16"/>
        <v>11</v>
      </c>
      <c r="B13" s="1556"/>
      <c r="C13" s="1557"/>
      <c r="D13" s="1558"/>
      <c r="E13" s="133"/>
      <c r="F13" s="132">
        <f t="shared" si="0"/>
        <v>0</v>
      </c>
      <c r="G13" s="131"/>
      <c r="H13" s="133"/>
      <c r="I13" s="1559">
        <f t="shared" si="13"/>
        <v>0</v>
      </c>
      <c r="J13" s="1560"/>
      <c r="K13" s="201"/>
      <c r="L13" s="201"/>
      <c r="M13" s="201">
        <f t="shared" si="1"/>
        <v>0</v>
      </c>
      <c r="O13" s="32">
        <v>11</v>
      </c>
      <c r="P13" s="33">
        <v>10</v>
      </c>
      <c r="Q13" s="33">
        <v>6</v>
      </c>
      <c r="R13" s="43">
        <v>16</v>
      </c>
      <c r="S13" s="33">
        <v>10</v>
      </c>
      <c r="T13" s="33">
        <v>6</v>
      </c>
      <c r="U13" s="43">
        <v>16</v>
      </c>
      <c r="V13" s="33">
        <v>0</v>
      </c>
      <c r="W13" s="33">
        <v>0</v>
      </c>
      <c r="X13" s="43">
        <v>0</v>
      </c>
      <c r="Y13" s="33">
        <v>0</v>
      </c>
      <c r="Z13" s="33">
        <v>0</v>
      </c>
      <c r="AA13" s="43">
        <f t="shared" si="2"/>
        <v>0</v>
      </c>
      <c r="AC13" s="32">
        <v>11</v>
      </c>
      <c r="AD13" s="33">
        <f t="shared" si="3"/>
        <v>10</v>
      </c>
      <c r="AE13" s="33">
        <f t="shared" si="4"/>
        <v>6</v>
      </c>
      <c r="AF13" s="43">
        <f t="shared" si="5"/>
        <v>16</v>
      </c>
      <c r="AG13" s="33">
        <f t="shared" si="14"/>
        <v>10</v>
      </c>
      <c r="AH13" s="33">
        <f t="shared" si="6"/>
        <v>6</v>
      </c>
      <c r="AI13" s="43">
        <f t="shared" si="7"/>
        <v>16</v>
      </c>
      <c r="AJ13" s="33">
        <f t="shared" si="8"/>
        <v>0</v>
      </c>
      <c r="AK13" s="33">
        <f t="shared" si="9"/>
        <v>0</v>
      </c>
      <c r="AL13" s="43">
        <f t="shared" si="10"/>
        <v>0</v>
      </c>
      <c r="AM13" s="33">
        <f t="shared" si="15"/>
        <v>0</v>
      </c>
      <c r="AN13" s="33">
        <f t="shared" si="11"/>
        <v>0</v>
      </c>
      <c r="AO13" s="43">
        <f t="shared" si="12"/>
        <v>0</v>
      </c>
      <c r="AQ13" s="229"/>
      <c r="AR13" s="790" t="s">
        <v>801</v>
      </c>
      <c r="AS13" s="791">
        <f>AU13+AW13</f>
        <v>5</v>
      </c>
      <c r="AT13" s="790" t="s">
        <v>7</v>
      </c>
      <c r="AU13" s="791">
        <v>1</v>
      </c>
      <c r="AV13" s="790" t="s">
        <v>3</v>
      </c>
      <c r="AW13" s="791">
        <v>4</v>
      </c>
      <c r="AX13" s="229"/>
    </row>
    <row r="14" spans="1:64" ht="19.5">
      <c r="A14" s="133">
        <f t="shared" si="16"/>
        <v>12</v>
      </c>
      <c r="B14" s="1556"/>
      <c r="C14" s="1557"/>
      <c r="D14" s="1558"/>
      <c r="E14" s="133"/>
      <c r="F14" s="132">
        <f t="shared" si="0"/>
        <v>0</v>
      </c>
      <c r="G14" s="131"/>
      <c r="H14" s="133"/>
      <c r="I14" s="1559">
        <f t="shared" si="13"/>
        <v>0</v>
      </c>
      <c r="J14" s="1560"/>
      <c r="K14" s="201"/>
      <c r="L14" s="201"/>
      <c r="M14" s="201">
        <f t="shared" si="1"/>
        <v>0</v>
      </c>
      <c r="O14" s="32">
        <v>12</v>
      </c>
      <c r="P14" s="33">
        <v>16</v>
      </c>
      <c r="Q14" s="33">
        <v>9</v>
      </c>
      <c r="R14" s="43">
        <v>25</v>
      </c>
      <c r="S14" s="33">
        <v>16</v>
      </c>
      <c r="T14" s="33">
        <v>9</v>
      </c>
      <c r="U14" s="43">
        <v>25</v>
      </c>
      <c r="V14" s="33">
        <v>0</v>
      </c>
      <c r="W14" s="33">
        <v>0</v>
      </c>
      <c r="X14" s="43">
        <v>0</v>
      </c>
      <c r="Y14" s="33">
        <v>0</v>
      </c>
      <c r="Z14" s="33">
        <v>0</v>
      </c>
      <c r="AA14" s="43">
        <f t="shared" si="2"/>
        <v>0</v>
      </c>
      <c r="AC14" s="32">
        <v>12</v>
      </c>
      <c r="AD14" s="33">
        <f t="shared" si="3"/>
        <v>16</v>
      </c>
      <c r="AE14" s="33">
        <f t="shared" si="4"/>
        <v>9</v>
      </c>
      <c r="AF14" s="43">
        <f t="shared" si="5"/>
        <v>25</v>
      </c>
      <c r="AG14" s="33">
        <f t="shared" si="14"/>
        <v>16</v>
      </c>
      <c r="AH14" s="33">
        <f t="shared" si="6"/>
        <v>9</v>
      </c>
      <c r="AI14" s="43">
        <f t="shared" si="7"/>
        <v>25</v>
      </c>
      <c r="AJ14" s="33">
        <f t="shared" si="8"/>
        <v>0</v>
      </c>
      <c r="AK14" s="33">
        <f t="shared" si="9"/>
        <v>0</v>
      </c>
      <c r="AL14" s="43">
        <f t="shared" si="10"/>
        <v>0</v>
      </c>
      <c r="AM14" s="33">
        <f t="shared" si="15"/>
        <v>0</v>
      </c>
      <c r="AN14" s="33">
        <f t="shared" si="11"/>
        <v>0</v>
      </c>
      <c r="AO14" s="43">
        <f t="shared" si="12"/>
        <v>0</v>
      </c>
      <c r="AQ14" s="229"/>
      <c r="AR14" s="792" t="s">
        <v>4008</v>
      </c>
      <c r="AS14" s="793">
        <f>SUM(AS10:AS13)</f>
        <v>179</v>
      </c>
      <c r="AT14" s="792" t="s">
        <v>7</v>
      </c>
      <c r="AU14" s="793">
        <f>SUM(AU10:AU13)</f>
        <v>77</v>
      </c>
      <c r="AV14" s="792" t="s">
        <v>3</v>
      </c>
      <c r="AW14" s="793">
        <f>SUM(AW10:AW13)</f>
        <v>102</v>
      </c>
      <c r="AX14" s="229"/>
    </row>
    <row r="15" spans="1:64" ht="17.25">
      <c r="A15" s="133">
        <f t="shared" si="16"/>
        <v>13</v>
      </c>
      <c r="B15" s="1556"/>
      <c r="C15" s="1557"/>
      <c r="D15" s="1558"/>
      <c r="E15" s="133"/>
      <c r="F15" s="132">
        <f t="shared" si="0"/>
        <v>0</v>
      </c>
      <c r="G15" s="131"/>
      <c r="H15" s="133"/>
      <c r="I15" s="1559">
        <f t="shared" si="13"/>
        <v>0</v>
      </c>
      <c r="J15" s="1560"/>
      <c r="K15" s="201"/>
      <c r="L15" s="201"/>
      <c r="M15" s="201">
        <f t="shared" si="1"/>
        <v>0</v>
      </c>
      <c r="O15" s="32">
        <v>13</v>
      </c>
      <c r="P15" s="33">
        <v>0</v>
      </c>
      <c r="Q15" s="33">
        <v>1</v>
      </c>
      <c r="R15" s="43">
        <v>1</v>
      </c>
      <c r="S15" s="33">
        <v>0</v>
      </c>
      <c r="T15" s="33">
        <v>1</v>
      </c>
      <c r="U15" s="43">
        <v>1</v>
      </c>
      <c r="V15" s="33">
        <v>0</v>
      </c>
      <c r="W15" s="33">
        <v>0</v>
      </c>
      <c r="X15" s="43">
        <v>0</v>
      </c>
      <c r="Y15" s="33">
        <v>0</v>
      </c>
      <c r="Z15" s="33">
        <v>0</v>
      </c>
      <c r="AA15" s="43">
        <f t="shared" si="2"/>
        <v>0</v>
      </c>
      <c r="AC15" s="32">
        <v>13</v>
      </c>
      <c r="AD15" s="33">
        <f t="shared" si="3"/>
        <v>0</v>
      </c>
      <c r="AE15" s="33">
        <f t="shared" si="4"/>
        <v>1</v>
      </c>
      <c r="AF15" s="43">
        <f t="shared" si="5"/>
        <v>1</v>
      </c>
      <c r="AG15" s="33">
        <f t="shared" si="14"/>
        <v>0</v>
      </c>
      <c r="AH15" s="33">
        <f t="shared" si="6"/>
        <v>1</v>
      </c>
      <c r="AI15" s="43">
        <f t="shared" si="7"/>
        <v>1</v>
      </c>
      <c r="AJ15" s="33">
        <f t="shared" si="8"/>
        <v>0</v>
      </c>
      <c r="AK15" s="33">
        <f t="shared" si="9"/>
        <v>0</v>
      </c>
      <c r="AL15" s="43">
        <f t="shared" si="10"/>
        <v>0</v>
      </c>
      <c r="AM15" s="33">
        <f t="shared" si="15"/>
        <v>0</v>
      </c>
      <c r="AN15" s="33">
        <f t="shared" si="11"/>
        <v>0</v>
      </c>
      <c r="AO15" s="43">
        <f t="shared" si="12"/>
        <v>0</v>
      </c>
    </row>
    <row r="16" spans="1:64" ht="17.25">
      <c r="A16" s="133">
        <f t="shared" si="16"/>
        <v>14</v>
      </c>
      <c r="B16" s="1556"/>
      <c r="C16" s="1557"/>
      <c r="D16" s="1558"/>
      <c r="E16" s="133"/>
      <c r="F16" s="132">
        <f t="shared" si="0"/>
        <v>0</v>
      </c>
      <c r="G16" s="131"/>
      <c r="H16" s="133"/>
      <c r="I16" s="1559">
        <f t="shared" si="13"/>
        <v>0</v>
      </c>
      <c r="J16" s="1560"/>
      <c r="K16" s="201"/>
      <c r="L16" s="201"/>
      <c r="M16" s="201">
        <f t="shared" si="1"/>
        <v>0</v>
      </c>
      <c r="O16" s="32">
        <v>14</v>
      </c>
      <c r="P16" s="33">
        <v>4</v>
      </c>
      <c r="Q16" s="33">
        <v>1</v>
      </c>
      <c r="R16" s="43">
        <v>5</v>
      </c>
      <c r="S16" s="33">
        <v>4</v>
      </c>
      <c r="T16" s="33">
        <v>1</v>
      </c>
      <c r="U16" s="43">
        <v>5</v>
      </c>
      <c r="V16" s="33">
        <v>0</v>
      </c>
      <c r="W16" s="33">
        <v>0</v>
      </c>
      <c r="X16" s="43">
        <v>0</v>
      </c>
      <c r="Y16" s="33">
        <v>0</v>
      </c>
      <c r="Z16" s="33">
        <v>0</v>
      </c>
      <c r="AA16" s="43">
        <f t="shared" si="2"/>
        <v>0</v>
      </c>
      <c r="AC16" s="32">
        <v>14</v>
      </c>
      <c r="AD16" s="33">
        <f t="shared" si="3"/>
        <v>4</v>
      </c>
      <c r="AE16" s="33">
        <f t="shared" si="4"/>
        <v>1</v>
      </c>
      <c r="AF16" s="43">
        <f t="shared" si="5"/>
        <v>5</v>
      </c>
      <c r="AG16" s="33">
        <f t="shared" si="14"/>
        <v>4</v>
      </c>
      <c r="AH16" s="33">
        <f t="shared" si="6"/>
        <v>1</v>
      </c>
      <c r="AI16" s="43">
        <f t="shared" si="7"/>
        <v>5</v>
      </c>
      <c r="AJ16" s="33">
        <f t="shared" si="8"/>
        <v>0</v>
      </c>
      <c r="AK16" s="33">
        <f t="shared" si="9"/>
        <v>0</v>
      </c>
      <c r="AL16" s="43">
        <f t="shared" si="10"/>
        <v>0</v>
      </c>
      <c r="AM16" s="33">
        <f t="shared" si="15"/>
        <v>0</v>
      </c>
      <c r="AN16" s="33">
        <f t="shared" si="11"/>
        <v>0</v>
      </c>
      <c r="AO16" s="43">
        <f t="shared" si="12"/>
        <v>0</v>
      </c>
    </row>
    <row r="17" spans="1:41" ht="17.25">
      <c r="A17" s="133">
        <f t="shared" si="16"/>
        <v>15</v>
      </c>
      <c r="B17" s="1556"/>
      <c r="C17" s="1557"/>
      <c r="D17" s="1558"/>
      <c r="E17" s="133"/>
      <c r="F17" s="132">
        <f t="shared" si="0"/>
        <v>0</v>
      </c>
      <c r="G17" s="131"/>
      <c r="H17" s="133"/>
      <c r="I17" s="1559">
        <f t="shared" si="13"/>
        <v>0</v>
      </c>
      <c r="J17" s="1560"/>
      <c r="K17" s="201"/>
      <c r="L17" s="201"/>
      <c r="M17" s="201">
        <f t="shared" si="1"/>
        <v>0</v>
      </c>
      <c r="O17" s="32">
        <v>15</v>
      </c>
      <c r="P17" s="33">
        <v>2</v>
      </c>
      <c r="Q17" s="33">
        <v>3</v>
      </c>
      <c r="R17" s="43">
        <v>5</v>
      </c>
      <c r="S17" s="33">
        <v>2</v>
      </c>
      <c r="T17" s="33">
        <v>3</v>
      </c>
      <c r="U17" s="43">
        <v>5</v>
      </c>
      <c r="V17" s="33">
        <v>0</v>
      </c>
      <c r="W17" s="33">
        <v>0</v>
      </c>
      <c r="X17" s="43">
        <v>0</v>
      </c>
      <c r="Y17" s="33">
        <v>0</v>
      </c>
      <c r="Z17" s="33">
        <v>0</v>
      </c>
      <c r="AA17" s="43">
        <f t="shared" si="2"/>
        <v>0</v>
      </c>
      <c r="AC17" s="32">
        <v>15</v>
      </c>
      <c r="AD17" s="33">
        <f t="shared" si="3"/>
        <v>2</v>
      </c>
      <c r="AE17" s="33">
        <f t="shared" si="4"/>
        <v>3</v>
      </c>
      <c r="AF17" s="43">
        <f t="shared" si="5"/>
        <v>5</v>
      </c>
      <c r="AG17" s="33">
        <f t="shared" si="14"/>
        <v>2</v>
      </c>
      <c r="AH17" s="33">
        <f t="shared" si="6"/>
        <v>3</v>
      </c>
      <c r="AI17" s="43">
        <f t="shared" si="7"/>
        <v>5</v>
      </c>
      <c r="AJ17" s="33">
        <f t="shared" si="8"/>
        <v>0</v>
      </c>
      <c r="AK17" s="33">
        <f t="shared" si="9"/>
        <v>0</v>
      </c>
      <c r="AL17" s="43">
        <f t="shared" si="10"/>
        <v>0</v>
      </c>
      <c r="AM17" s="33">
        <f t="shared" si="15"/>
        <v>0</v>
      </c>
      <c r="AN17" s="33">
        <f t="shared" si="11"/>
        <v>0</v>
      </c>
      <c r="AO17" s="43">
        <f t="shared" si="12"/>
        <v>0</v>
      </c>
    </row>
    <row r="18" spans="1:41" ht="17.25">
      <c r="A18" s="133">
        <f t="shared" si="16"/>
        <v>16</v>
      </c>
      <c r="B18" s="1556"/>
      <c r="C18" s="1557"/>
      <c r="D18" s="1558"/>
      <c r="E18" s="133"/>
      <c r="F18" s="132">
        <f t="shared" si="0"/>
        <v>0</v>
      </c>
      <c r="G18" s="131"/>
      <c r="H18" s="133"/>
      <c r="I18" s="1559">
        <f t="shared" si="13"/>
        <v>0</v>
      </c>
      <c r="J18" s="1560"/>
      <c r="K18" s="201"/>
      <c r="L18" s="201"/>
      <c r="M18" s="201">
        <f t="shared" si="1"/>
        <v>0</v>
      </c>
      <c r="O18" s="32">
        <v>16</v>
      </c>
      <c r="P18" s="33">
        <v>9</v>
      </c>
      <c r="Q18" s="33">
        <v>3</v>
      </c>
      <c r="R18" s="43">
        <v>12</v>
      </c>
      <c r="S18" s="33">
        <v>9</v>
      </c>
      <c r="T18" s="33">
        <v>3</v>
      </c>
      <c r="U18" s="43">
        <v>12</v>
      </c>
      <c r="V18" s="33">
        <v>0</v>
      </c>
      <c r="W18" s="33">
        <v>0</v>
      </c>
      <c r="X18" s="43">
        <v>0</v>
      </c>
      <c r="Y18" s="33">
        <v>0</v>
      </c>
      <c r="Z18" s="33">
        <v>0</v>
      </c>
      <c r="AA18" s="43">
        <f t="shared" si="2"/>
        <v>0</v>
      </c>
      <c r="AC18" s="32">
        <v>16</v>
      </c>
      <c r="AD18" s="33">
        <f t="shared" si="3"/>
        <v>9</v>
      </c>
      <c r="AE18" s="33">
        <f t="shared" si="4"/>
        <v>3</v>
      </c>
      <c r="AF18" s="43">
        <f t="shared" si="5"/>
        <v>12</v>
      </c>
      <c r="AG18" s="33">
        <f t="shared" si="14"/>
        <v>9</v>
      </c>
      <c r="AH18" s="33">
        <f t="shared" si="6"/>
        <v>3</v>
      </c>
      <c r="AI18" s="43">
        <f t="shared" si="7"/>
        <v>12</v>
      </c>
      <c r="AJ18" s="33">
        <f t="shared" si="8"/>
        <v>0</v>
      </c>
      <c r="AK18" s="33">
        <f t="shared" si="9"/>
        <v>0</v>
      </c>
      <c r="AL18" s="43">
        <f t="shared" si="10"/>
        <v>0</v>
      </c>
      <c r="AM18" s="33">
        <f t="shared" si="15"/>
        <v>0</v>
      </c>
      <c r="AN18" s="33">
        <f t="shared" si="11"/>
        <v>0</v>
      </c>
      <c r="AO18" s="43">
        <f t="shared" si="12"/>
        <v>0</v>
      </c>
    </row>
    <row r="19" spans="1:41" ht="17.25">
      <c r="A19" s="133">
        <f t="shared" si="16"/>
        <v>17</v>
      </c>
      <c r="B19" s="1556"/>
      <c r="C19" s="1557"/>
      <c r="D19" s="1558"/>
      <c r="E19" s="133"/>
      <c r="F19" s="132">
        <f t="shared" si="0"/>
        <v>0</v>
      </c>
      <c r="G19" s="131"/>
      <c r="H19" s="133"/>
      <c r="I19" s="1559">
        <f t="shared" si="13"/>
        <v>0</v>
      </c>
      <c r="J19" s="1560"/>
      <c r="K19" s="201"/>
      <c r="L19" s="201"/>
      <c r="M19" s="201">
        <f t="shared" si="1"/>
        <v>0</v>
      </c>
      <c r="O19" s="32">
        <v>17</v>
      </c>
      <c r="P19" s="33">
        <v>18</v>
      </c>
      <c r="Q19" s="33">
        <v>15</v>
      </c>
      <c r="R19" s="43">
        <v>33</v>
      </c>
      <c r="S19" s="33">
        <v>18</v>
      </c>
      <c r="T19" s="33">
        <v>15</v>
      </c>
      <c r="U19" s="43">
        <v>33</v>
      </c>
      <c r="V19" s="33">
        <v>0</v>
      </c>
      <c r="W19" s="33">
        <v>0</v>
      </c>
      <c r="X19" s="43">
        <v>0</v>
      </c>
      <c r="Y19" s="33">
        <v>0</v>
      </c>
      <c r="Z19" s="33">
        <v>0</v>
      </c>
      <c r="AA19" s="43">
        <f t="shared" si="2"/>
        <v>0</v>
      </c>
      <c r="AC19" s="32">
        <v>17</v>
      </c>
      <c r="AD19" s="33">
        <f t="shared" si="3"/>
        <v>18</v>
      </c>
      <c r="AE19" s="33">
        <f t="shared" si="4"/>
        <v>15</v>
      </c>
      <c r="AF19" s="43">
        <f t="shared" si="5"/>
        <v>33</v>
      </c>
      <c r="AG19" s="33">
        <f t="shared" si="14"/>
        <v>18</v>
      </c>
      <c r="AH19" s="33">
        <f t="shared" si="6"/>
        <v>15</v>
      </c>
      <c r="AI19" s="43">
        <f t="shared" si="7"/>
        <v>33</v>
      </c>
      <c r="AJ19" s="33">
        <f t="shared" si="8"/>
        <v>0</v>
      </c>
      <c r="AK19" s="33">
        <f t="shared" si="9"/>
        <v>0</v>
      </c>
      <c r="AL19" s="43">
        <f t="shared" si="10"/>
        <v>0</v>
      </c>
      <c r="AM19" s="33">
        <f t="shared" si="15"/>
        <v>0</v>
      </c>
      <c r="AN19" s="33">
        <f t="shared" si="11"/>
        <v>0</v>
      </c>
      <c r="AO19" s="43">
        <f t="shared" si="12"/>
        <v>0</v>
      </c>
    </row>
    <row r="20" spans="1:41" ht="17.25">
      <c r="A20" s="133">
        <f>A19+1</f>
        <v>18</v>
      </c>
      <c r="B20" s="1556"/>
      <c r="C20" s="1557"/>
      <c r="D20" s="1558"/>
      <c r="E20" s="133"/>
      <c r="F20" s="132">
        <f t="shared" si="0"/>
        <v>0</v>
      </c>
      <c r="G20" s="131"/>
      <c r="H20" s="133"/>
      <c r="I20" s="1559">
        <f t="shared" si="13"/>
        <v>0</v>
      </c>
      <c r="J20" s="1560"/>
      <c r="K20" s="201"/>
      <c r="L20" s="201"/>
      <c r="M20" s="201">
        <f t="shared" si="1"/>
        <v>0</v>
      </c>
      <c r="O20" s="32">
        <v>18</v>
      </c>
      <c r="P20" s="33">
        <v>12</v>
      </c>
      <c r="Q20" s="33">
        <v>15</v>
      </c>
      <c r="R20" s="43">
        <v>27</v>
      </c>
      <c r="S20" s="33">
        <v>12</v>
      </c>
      <c r="T20" s="33">
        <v>15</v>
      </c>
      <c r="U20" s="43">
        <v>27</v>
      </c>
      <c r="V20" s="33">
        <v>0</v>
      </c>
      <c r="W20" s="33">
        <v>0</v>
      </c>
      <c r="X20" s="43">
        <v>0</v>
      </c>
      <c r="Y20" s="33">
        <v>0</v>
      </c>
      <c r="Z20" s="33">
        <v>0</v>
      </c>
      <c r="AA20" s="43">
        <f t="shared" si="2"/>
        <v>0</v>
      </c>
      <c r="AC20" s="32">
        <v>18</v>
      </c>
      <c r="AD20" s="33">
        <f t="shared" si="3"/>
        <v>12</v>
      </c>
      <c r="AE20" s="33">
        <f t="shared" si="4"/>
        <v>15</v>
      </c>
      <c r="AF20" s="43">
        <f t="shared" si="5"/>
        <v>27</v>
      </c>
      <c r="AG20" s="33">
        <f t="shared" si="14"/>
        <v>12</v>
      </c>
      <c r="AH20" s="33">
        <f t="shared" si="6"/>
        <v>15</v>
      </c>
      <c r="AI20" s="43">
        <f t="shared" si="7"/>
        <v>27</v>
      </c>
      <c r="AJ20" s="33">
        <f t="shared" si="8"/>
        <v>0</v>
      </c>
      <c r="AK20" s="33">
        <f t="shared" si="9"/>
        <v>0</v>
      </c>
      <c r="AL20" s="43">
        <f t="shared" si="10"/>
        <v>0</v>
      </c>
      <c r="AM20" s="33">
        <f t="shared" si="15"/>
        <v>0</v>
      </c>
      <c r="AN20" s="33">
        <f t="shared" si="11"/>
        <v>0</v>
      </c>
      <c r="AO20" s="43">
        <f t="shared" si="12"/>
        <v>0</v>
      </c>
    </row>
    <row r="21" spans="1:41" ht="17.25">
      <c r="A21" s="133">
        <f t="shared" si="16"/>
        <v>19</v>
      </c>
      <c r="B21" s="1556"/>
      <c r="C21" s="1557"/>
      <c r="D21" s="1558"/>
      <c r="E21" s="133"/>
      <c r="F21" s="132">
        <f t="shared" si="0"/>
        <v>0</v>
      </c>
      <c r="G21" s="131"/>
      <c r="H21" s="133"/>
      <c r="I21" s="1559">
        <f t="shared" si="13"/>
        <v>0</v>
      </c>
      <c r="J21" s="1560"/>
      <c r="K21" s="201"/>
      <c r="L21" s="201"/>
      <c r="M21" s="201">
        <f t="shared" si="1"/>
        <v>0</v>
      </c>
      <c r="O21" s="32">
        <v>19</v>
      </c>
      <c r="P21" s="33">
        <v>10</v>
      </c>
      <c r="Q21" s="33">
        <v>9</v>
      </c>
      <c r="R21" s="43">
        <v>19</v>
      </c>
      <c r="S21" s="33">
        <v>10</v>
      </c>
      <c r="T21" s="33">
        <v>9</v>
      </c>
      <c r="U21" s="43">
        <v>19</v>
      </c>
      <c r="V21" s="33">
        <v>0</v>
      </c>
      <c r="W21" s="33">
        <v>0</v>
      </c>
      <c r="X21" s="43">
        <v>0</v>
      </c>
      <c r="Y21" s="33">
        <v>0</v>
      </c>
      <c r="Z21" s="33">
        <v>0</v>
      </c>
      <c r="AA21" s="43">
        <f t="shared" si="2"/>
        <v>0</v>
      </c>
      <c r="AC21" s="32">
        <v>19</v>
      </c>
      <c r="AD21" s="33">
        <f t="shared" si="3"/>
        <v>10</v>
      </c>
      <c r="AE21" s="33">
        <f t="shared" si="4"/>
        <v>9</v>
      </c>
      <c r="AF21" s="43">
        <f t="shared" si="5"/>
        <v>19</v>
      </c>
      <c r="AG21" s="33">
        <f t="shared" si="14"/>
        <v>10</v>
      </c>
      <c r="AH21" s="33">
        <f t="shared" si="6"/>
        <v>9</v>
      </c>
      <c r="AI21" s="43">
        <f>AG21+AH21</f>
        <v>19</v>
      </c>
      <c r="AJ21" s="33">
        <f t="shared" si="8"/>
        <v>0</v>
      </c>
      <c r="AK21" s="33">
        <f t="shared" si="9"/>
        <v>0</v>
      </c>
      <c r="AL21" s="43">
        <f t="shared" si="10"/>
        <v>0</v>
      </c>
      <c r="AM21" s="33">
        <f t="shared" si="15"/>
        <v>0</v>
      </c>
      <c r="AN21" s="33">
        <f t="shared" si="11"/>
        <v>0</v>
      </c>
      <c r="AO21" s="43">
        <f t="shared" si="12"/>
        <v>0</v>
      </c>
    </row>
    <row r="22" spans="1:41" ht="21">
      <c r="A22" s="31" t="s">
        <v>20</v>
      </c>
      <c r="B22" s="1540">
        <f>SUM(B3:D21)</f>
        <v>2</v>
      </c>
      <c r="C22" s="1540"/>
      <c r="D22" s="1540"/>
      <c r="E22" s="133">
        <f>SUM(E3:E21)</f>
        <v>1</v>
      </c>
      <c r="F22" s="132">
        <f t="shared" si="0"/>
        <v>3</v>
      </c>
      <c r="G22" s="131">
        <f>SUM(G3:G21)</f>
        <v>2</v>
      </c>
      <c r="H22" s="133">
        <f>SUM(H3:H21)</f>
        <v>2</v>
      </c>
      <c r="I22" s="1516">
        <f t="shared" si="13"/>
        <v>4</v>
      </c>
      <c r="J22" s="1517"/>
      <c r="K22" s="201">
        <f>SUM(K3:K21)</f>
        <v>0</v>
      </c>
      <c r="L22" s="201">
        <f>SUM(L3:L21)</f>
        <v>0</v>
      </c>
      <c r="M22" s="201">
        <f>SUM(M3:M21)</f>
        <v>0</v>
      </c>
      <c r="O22" s="44" t="s">
        <v>20</v>
      </c>
      <c r="P22" s="43">
        <f>SUM(P3:P21)</f>
        <v>463</v>
      </c>
      <c r="Q22" s="43">
        <f>SUM(Q3:Q21)</f>
        <v>369</v>
      </c>
      <c r="R22" s="43">
        <f>SUM(R3:R21)</f>
        <v>832</v>
      </c>
      <c r="S22" s="43">
        <f>SUM(S3:S21)</f>
        <v>458</v>
      </c>
      <c r="T22" s="43">
        <f>SUM(T3:T21)</f>
        <v>365</v>
      </c>
      <c r="U22" s="43">
        <f>SUM(S22+T22)</f>
        <v>823</v>
      </c>
      <c r="V22" s="43">
        <f>SUM(V3:V21)</f>
        <v>0</v>
      </c>
      <c r="W22" s="43">
        <f>SUM(W3:W21)</f>
        <v>1</v>
      </c>
      <c r="X22" s="43">
        <f>V22+W22</f>
        <v>1</v>
      </c>
      <c r="Y22" s="43">
        <f>SUM(Y3:Y21)</f>
        <v>5</v>
      </c>
      <c r="Z22" s="43">
        <f>SUM(Z3:Z21)</f>
        <v>3</v>
      </c>
      <c r="AA22" s="43">
        <f>SUM(AA3:AA21)</f>
        <v>8</v>
      </c>
      <c r="AC22" s="44" t="s">
        <v>20</v>
      </c>
      <c r="AD22" s="43">
        <f>SUM(AD3:AD21)</f>
        <v>465</v>
      </c>
      <c r="AE22" s="43">
        <f>SUM(AE3:AE21)</f>
        <v>370</v>
      </c>
      <c r="AF22" s="43">
        <f>SUM(AF3:AF21)</f>
        <v>835</v>
      </c>
      <c r="AG22" s="43">
        <f>SUM(AG3:AG21)</f>
        <v>460</v>
      </c>
      <c r="AH22" s="43">
        <f>SUM(AH3:AH21)</f>
        <v>367</v>
      </c>
      <c r="AI22" s="43">
        <f>SUM(AG22+AH22)</f>
        <v>827</v>
      </c>
      <c r="AJ22" s="43">
        <f>SUM(AJ3:AJ21)</f>
        <v>0</v>
      </c>
      <c r="AK22" s="43">
        <f>SUM(AK3:AK21)</f>
        <v>1</v>
      </c>
      <c r="AL22" s="43">
        <f>AJ22+AK22</f>
        <v>1</v>
      </c>
      <c r="AM22" s="43">
        <f>SUM(AM3:AM21)</f>
        <v>5</v>
      </c>
      <c r="AN22" s="43">
        <f>SUM(AN3:AN21)</f>
        <v>2</v>
      </c>
      <c r="AO22" s="43">
        <f>SUM(AO3:AO21)</f>
        <v>7</v>
      </c>
    </row>
    <row r="24" spans="1:41">
      <c r="AA24" s="98"/>
    </row>
    <row r="29" spans="1:41">
      <c r="A29" s="229"/>
      <c r="B29" s="229"/>
      <c r="C29" s="229"/>
      <c r="D29" s="229"/>
      <c r="E29" s="229"/>
      <c r="F29" s="229"/>
      <c r="G29" s="229"/>
      <c r="H29" s="229"/>
      <c r="I29" s="229"/>
      <c r="J29" s="229"/>
    </row>
    <row r="30" spans="1:41" ht="27">
      <c r="A30" s="924"/>
      <c r="B30" s="924"/>
      <c r="C30" s="924"/>
      <c r="D30" s="924"/>
      <c r="E30" s="924"/>
      <c r="F30" s="924"/>
      <c r="G30" s="924"/>
      <c r="H30" s="924"/>
      <c r="I30" s="924"/>
      <c r="J30" s="924"/>
    </row>
    <row r="31" spans="1:41" ht="19.5">
      <c r="A31" s="918"/>
      <c r="B31" s="923"/>
      <c r="C31" s="923"/>
      <c r="D31" s="918"/>
      <c r="E31" s="919"/>
      <c r="F31" s="918"/>
      <c r="G31" s="923"/>
      <c r="H31" s="923"/>
      <c r="I31" s="923"/>
      <c r="J31" s="923"/>
    </row>
    <row r="32" spans="1:41" ht="15" customHeight="1">
      <c r="A32" s="918"/>
      <c r="B32" s="923"/>
      <c r="C32" s="923"/>
      <c r="D32" s="918"/>
      <c r="E32" s="919"/>
      <c r="F32" s="918"/>
      <c r="G32" s="923"/>
      <c r="H32" s="923"/>
      <c r="I32" s="923"/>
      <c r="J32" s="923"/>
    </row>
    <row r="33" spans="1:10" ht="19.5">
      <c r="A33" s="918"/>
      <c r="B33" s="923"/>
      <c r="C33" s="923"/>
      <c r="D33" s="918"/>
      <c r="E33" s="919"/>
      <c r="F33" s="918"/>
      <c r="G33" s="923"/>
      <c r="H33" s="923"/>
      <c r="I33" s="923"/>
      <c r="J33" s="923"/>
    </row>
    <row r="34" spans="1:10" ht="19.5">
      <c r="A34" s="918"/>
      <c r="B34" s="923"/>
      <c r="C34" s="923"/>
      <c r="D34" s="918"/>
      <c r="E34" s="919"/>
      <c r="F34" s="918"/>
      <c r="G34" s="923"/>
      <c r="H34" s="923"/>
      <c r="I34" s="923"/>
      <c r="J34" s="923"/>
    </row>
    <row r="35" spans="1:10" ht="19.5">
      <c r="A35" s="920"/>
      <c r="B35" s="923"/>
      <c r="C35" s="923"/>
      <c r="D35" s="918"/>
      <c r="E35" s="919"/>
      <c r="F35" s="918"/>
      <c r="G35" s="923"/>
      <c r="H35" s="923"/>
      <c r="I35" s="923"/>
      <c r="J35" s="923"/>
    </row>
    <row r="36" spans="1:10" ht="19.5">
      <c r="A36" s="920"/>
      <c r="B36" s="923"/>
      <c r="C36" s="923"/>
      <c r="D36" s="918"/>
      <c r="E36" s="919"/>
      <c r="F36" s="918"/>
      <c r="G36" s="923"/>
      <c r="H36" s="923"/>
      <c r="I36" s="923"/>
      <c r="J36" s="923"/>
    </row>
    <row r="37" spans="1:10" ht="19.5">
      <c r="A37" s="926"/>
      <c r="B37" s="926"/>
      <c r="C37" s="926"/>
      <c r="D37" s="926"/>
      <c r="E37" s="926"/>
      <c r="F37" s="926"/>
      <c r="G37" s="926"/>
      <c r="H37" s="926"/>
      <c r="I37" s="926"/>
      <c r="J37" s="926"/>
    </row>
    <row r="38" spans="1:10" ht="19.5">
      <c r="A38" s="921"/>
      <c r="B38" s="925"/>
      <c r="C38" s="925"/>
      <c r="D38" s="921"/>
      <c r="E38" s="922"/>
      <c r="F38" s="921"/>
      <c r="G38" s="925"/>
      <c r="H38" s="925"/>
      <c r="I38" s="925"/>
      <c r="J38" s="925"/>
    </row>
    <row r="39" spans="1:10" ht="19.5">
      <c r="A39" s="921"/>
      <c r="B39" s="925"/>
      <c r="C39" s="925"/>
      <c r="D39" s="921"/>
      <c r="E39" s="922"/>
      <c r="F39" s="921"/>
      <c r="G39" s="925"/>
      <c r="H39" s="925"/>
      <c r="I39" s="925"/>
      <c r="J39" s="925"/>
    </row>
    <row r="40" spans="1:10" ht="19.5">
      <c r="A40" s="921"/>
      <c r="B40" s="925"/>
      <c r="C40" s="925"/>
      <c r="D40" s="921"/>
      <c r="E40" s="922"/>
      <c r="F40" s="921"/>
      <c r="G40" s="925"/>
      <c r="H40" s="925"/>
      <c r="I40" s="925"/>
      <c r="J40" s="925"/>
    </row>
    <row r="41" spans="1:10">
      <c r="A41" s="98"/>
      <c r="B41" s="98"/>
      <c r="C41" s="98"/>
      <c r="D41" s="98"/>
      <c r="E41" s="98"/>
      <c r="F41" s="98"/>
      <c r="G41" s="98"/>
      <c r="H41" s="98"/>
      <c r="I41" s="98"/>
      <c r="J41" s="98"/>
    </row>
    <row r="45" spans="1:10">
      <c r="A45" s="98"/>
    </row>
  </sheetData>
  <mergeCells count="72">
    <mergeCell ref="B9:D9"/>
    <mergeCell ref="I9:J9"/>
    <mergeCell ref="B10:D10"/>
    <mergeCell ref="I10:J10"/>
    <mergeCell ref="B11:D11"/>
    <mergeCell ref="I11:J11"/>
    <mergeCell ref="B21:D21"/>
    <mergeCell ref="I21:J21"/>
    <mergeCell ref="I12:J12"/>
    <mergeCell ref="B13:D13"/>
    <mergeCell ref="I13:J13"/>
    <mergeCell ref="B14:D14"/>
    <mergeCell ref="I14:J14"/>
    <mergeCell ref="B22:D22"/>
    <mergeCell ref="I22:J22"/>
    <mergeCell ref="Y1:AA1"/>
    <mergeCell ref="B18:D18"/>
    <mergeCell ref="I18:J18"/>
    <mergeCell ref="B19:D19"/>
    <mergeCell ref="I19:J19"/>
    <mergeCell ref="B20:D20"/>
    <mergeCell ref="I20:J20"/>
    <mergeCell ref="B15:D15"/>
    <mergeCell ref="I15:J15"/>
    <mergeCell ref="B16:D16"/>
    <mergeCell ref="I16:J16"/>
    <mergeCell ref="B17:D17"/>
    <mergeCell ref="I17:J17"/>
    <mergeCell ref="B12:D12"/>
    <mergeCell ref="B6:D6"/>
    <mergeCell ref="I6:J6"/>
    <mergeCell ref="B7:D7"/>
    <mergeCell ref="I7:J7"/>
    <mergeCell ref="B8:D8"/>
    <mergeCell ref="I8:J8"/>
    <mergeCell ref="B3:D3"/>
    <mergeCell ref="I3:J3"/>
    <mergeCell ref="B4:D4"/>
    <mergeCell ref="I4:J4"/>
    <mergeCell ref="B5:D5"/>
    <mergeCell ref="I5:J5"/>
    <mergeCell ref="P1:R1"/>
    <mergeCell ref="S1:U1"/>
    <mergeCell ref="V1:X1"/>
    <mergeCell ref="A1:A2"/>
    <mergeCell ref="B1:F1"/>
    <mergeCell ref="G1:J1"/>
    <mergeCell ref="K1:M1"/>
    <mergeCell ref="B2:D2"/>
    <mergeCell ref="I2:J2"/>
    <mergeCell ref="AR6:AW6"/>
    <mergeCell ref="AR1:AW1"/>
    <mergeCell ref="AR9:AW9"/>
    <mergeCell ref="AD1:AF1"/>
    <mergeCell ref="AG1:AI1"/>
    <mergeCell ref="AJ1:AL1"/>
    <mergeCell ref="AM1:AO1"/>
    <mergeCell ref="BK6:BL6"/>
    <mergeCell ref="BK7:BL7"/>
    <mergeCell ref="BK8:BL8"/>
    <mergeCell ref="AZ1:BL1"/>
    <mergeCell ref="AZ2:AZ3"/>
    <mergeCell ref="BA2:BA3"/>
    <mergeCell ref="BB2:BB3"/>
    <mergeCell ref="BC2:BC3"/>
    <mergeCell ref="BD2:BD3"/>
    <mergeCell ref="BE2:BF2"/>
    <mergeCell ref="BG2:BH2"/>
    <mergeCell ref="BI2:BJ2"/>
    <mergeCell ref="BK2:BL3"/>
    <mergeCell ref="BK4:BL4"/>
    <mergeCell ref="BK5:BL5"/>
  </mergeCells>
  <pageMargins left="0.7" right="0.7" top="0.75" bottom="0.75" header="0.3" footer="0.3"/>
  <pageSetup scale="71" orientation="portrait" r:id="rId1"/>
  <colBreaks count="2" manualBreakCount="2">
    <brk id="13" max="1048575" man="1"/>
    <brk id="27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1048576"/>
  <sheetViews>
    <sheetView view="pageBreakPreview" zoomScale="70" zoomScaleNormal="80" zoomScaleSheetLayoutView="70" workbookViewId="0">
      <selection activeCell="E1" sqref="E1"/>
    </sheetView>
  </sheetViews>
  <sheetFormatPr defaultRowHeight="15"/>
  <cols>
    <col min="1" max="1" width="5.42578125" bestFit="1" customWidth="1"/>
    <col min="2" max="2" width="15.5703125" customWidth="1"/>
    <col min="3" max="3" width="5.85546875" bestFit="1" customWidth="1"/>
    <col min="4" max="4" width="19.140625" bestFit="1" customWidth="1"/>
    <col min="5" max="5" width="24.42578125" bestFit="1" customWidth="1"/>
    <col min="6" max="6" width="19.7109375" bestFit="1" customWidth="1"/>
    <col min="7" max="7" width="13.42578125" style="93" bestFit="1" customWidth="1"/>
    <col min="8" max="8" width="11.5703125" bestFit="1" customWidth="1"/>
    <col min="9" max="9" width="11.42578125" style="49" bestFit="1" customWidth="1"/>
    <col min="10" max="10" width="12.140625" bestFit="1" customWidth="1"/>
    <col min="11" max="11" width="34.7109375" bestFit="1" customWidth="1"/>
    <col min="12" max="12" width="12" customWidth="1"/>
    <col min="13" max="13" width="44.140625" style="93" bestFit="1" customWidth="1"/>
    <col min="14" max="14" width="22.5703125" style="49" bestFit="1" customWidth="1"/>
    <col min="15" max="15" width="14.5703125" style="49" bestFit="1" customWidth="1"/>
    <col min="16" max="16" width="21.5703125" bestFit="1" customWidth="1"/>
    <col min="17" max="17" width="9.7109375" bestFit="1" customWidth="1"/>
    <col min="19" max="19" width="10.140625" bestFit="1" customWidth="1"/>
    <col min="20" max="20" width="12.140625" customWidth="1"/>
    <col min="21" max="21" width="11.5703125" bestFit="1" customWidth="1"/>
    <col min="22" max="22" width="19.140625" customWidth="1"/>
  </cols>
  <sheetData>
    <row r="1" spans="1:22" ht="19.5">
      <c r="A1" s="14" t="s">
        <v>1</v>
      </c>
      <c r="B1" s="1492">
        <v>65327</v>
      </c>
      <c r="C1" s="1493"/>
      <c r="D1" s="1494" t="s">
        <v>2653</v>
      </c>
      <c r="E1" s="1495" t="s">
        <v>6182</v>
      </c>
      <c r="F1" s="1496" t="s">
        <v>775</v>
      </c>
      <c r="G1" s="1458"/>
      <c r="H1" s="91" t="s">
        <v>1205</v>
      </c>
      <c r="I1" s="225"/>
      <c r="J1" s="13"/>
    </row>
    <row r="2" spans="1:22" ht="19.5">
      <c r="A2" s="2" t="s">
        <v>24</v>
      </c>
      <c r="B2" s="2" t="s">
        <v>25</v>
      </c>
      <c r="C2" s="2" t="s">
        <v>26</v>
      </c>
      <c r="D2" s="3" t="s">
        <v>27</v>
      </c>
      <c r="E2" s="4" t="s">
        <v>28</v>
      </c>
      <c r="F2" s="17" t="s">
        <v>29</v>
      </c>
      <c r="G2" s="124" t="s">
        <v>30</v>
      </c>
      <c r="H2" s="4" t="s">
        <v>31</v>
      </c>
      <c r="I2" s="2" t="s">
        <v>32</v>
      </c>
      <c r="J2" s="4" t="s">
        <v>33</v>
      </c>
      <c r="K2" s="4" t="s">
        <v>34</v>
      </c>
      <c r="L2" s="4" t="s">
        <v>35</v>
      </c>
      <c r="M2" s="124" t="s">
        <v>36</v>
      </c>
      <c r="N2" s="58" t="s">
        <v>37</v>
      </c>
      <c r="O2" s="2" t="s">
        <v>38</v>
      </c>
      <c r="P2" s="2" t="s">
        <v>41</v>
      </c>
      <c r="Q2" s="7" t="s">
        <v>42</v>
      </c>
      <c r="R2" s="16" t="s">
        <v>814</v>
      </c>
      <c r="S2" s="16" t="s">
        <v>807</v>
      </c>
      <c r="T2" s="16" t="s">
        <v>808</v>
      </c>
      <c r="U2" s="16" t="s">
        <v>823</v>
      </c>
      <c r="V2" s="16" t="s">
        <v>809</v>
      </c>
    </row>
    <row r="3" spans="1:22" s="27" customFormat="1" ht="19.5">
      <c r="A3" s="72">
        <v>1</v>
      </c>
      <c r="B3" s="72">
        <v>5</v>
      </c>
      <c r="C3" s="73" t="s">
        <v>44</v>
      </c>
      <c r="D3" s="73" t="s">
        <v>45</v>
      </c>
      <c r="E3" s="74" t="s">
        <v>802</v>
      </c>
      <c r="F3" s="75">
        <v>10</v>
      </c>
      <c r="G3" s="74" t="s">
        <v>803</v>
      </c>
      <c r="H3" s="77" t="s">
        <v>812</v>
      </c>
      <c r="I3" s="75">
        <v>38</v>
      </c>
      <c r="J3" s="76" t="s">
        <v>3</v>
      </c>
      <c r="K3" s="78" t="s">
        <v>804</v>
      </c>
      <c r="L3" s="77" t="s">
        <v>805</v>
      </c>
      <c r="M3" s="125"/>
      <c r="N3" s="77"/>
      <c r="O3" s="77"/>
      <c r="P3" s="69"/>
      <c r="Q3" s="77" t="s">
        <v>806</v>
      </c>
      <c r="R3" s="79" t="s">
        <v>815</v>
      </c>
      <c r="S3" s="79" t="s">
        <v>822</v>
      </c>
      <c r="T3" s="71">
        <v>64809</v>
      </c>
      <c r="U3" s="80"/>
      <c r="V3" s="77"/>
    </row>
    <row r="4" spans="1:22" s="27" customFormat="1" ht="19.5">
      <c r="A4" s="72">
        <v>2</v>
      </c>
      <c r="B4" s="72">
        <v>5</v>
      </c>
      <c r="C4" s="73" t="s">
        <v>44</v>
      </c>
      <c r="D4" s="73" t="s">
        <v>45</v>
      </c>
      <c r="E4" s="74" t="s">
        <v>810</v>
      </c>
      <c r="F4" s="75">
        <v>18</v>
      </c>
      <c r="G4" s="74" t="s">
        <v>10</v>
      </c>
      <c r="H4" s="77" t="s">
        <v>812</v>
      </c>
      <c r="I4" s="75">
        <v>53</v>
      </c>
      <c r="J4" s="76" t="s">
        <v>3</v>
      </c>
      <c r="K4" s="78" t="s">
        <v>811</v>
      </c>
      <c r="L4" s="77" t="s">
        <v>812</v>
      </c>
      <c r="M4" s="125" t="s">
        <v>813</v>
      </c>
      <c r="N4" s="77"/>
      <c r="O4" s="77"/>
      <c r="P4" s="69"/>
      <c r="Q4" s="77" t="s">
        <v>806</v>
      </c>
      <c r="R4" s="79" t="s">
        <v>816</v>
      </c>
      <c r="S4" s="79" t="s">
        <v>822</v>
      </c>
      <c r="T4" s="71">
        <v>64838</v>
      </c>
      <c r="U4" s="80" t="s">
        <v>824</v>
      </c>
      <c r="V4" s="77">
        <v>9857864693</v>
      </c>
    </row>
    <row r="5" spans="1:22" s="27" customFormat="1" ht="30">
      <c r="A5" s="72">
        <v>3</v>
      </c>
      <c r="B5" s="72">
        <v>5</v>
      </c>
      <c r="C5" s="73" t="s">
        <v>44</v>
      </c>
      <c r="D5" s="73" t="s">
        <v>45</v>
      </c>
      <c r="E5" s="74" t="s">
        <v>817</v>
      </c>
      <c r="F5" s="75">
        <v>18</v>
      </c>
      <c r="G5" s="423" t="s">
        <v>812</v>
      </c>
      <c r="H5" s="77" t="s">
        <v>812</v>
      </c>
      <c r="I5" s="75">
        <v>70</v>
      </c>
      <c r="J5" s="76" t="s">
        <v>3</v>
      </c>
      <c r="K5" s="78" t="s">
        <v>829</v>
      </c>
      <c r="L5" s="77" t="s">
        <v>819</v>
      </c>
      <c r="M5" s="125" t="s">
        <v>820</v>
      </c>
      <c r="N5" s="81">
        <v>64845</v>
      </c>
      <c r="O5" s="81">
        <v>64846</v>
      </c>
      <c r="P5" s="82" t="s">
        <v>821</v>
      </c>
      <c r="Q5" s="77" t="s">
        <v>806</v>
      </c>
      <c r="R5" s="83" t="s">
        <v>815</v>
      </c>
      <c r="S5" s="79" t="s">
        <v>822</v>
      </c>
      <c r="T5" s="71">
        <v>64846</v>
      </c>
      <c r="U5" s="84" t="s">
        <v>825</v>
      </c>
      <c r="V5" s="85" t="s">
        <v>826</v>
      </c>
    </row>
    <row r="6" spans="1:22" s="27" customFormat="1" ht="30">
      <c r="A6" s="72">
        <v>4</v>
      </c>
      <c r="B6" s="72">
        <v>5</v>
      </c>
      <c r="C6" s="73" t="s">
        <v>44</v>
      </c>
      <c r="D6" s="73" t="s">
        <v>45</v>
      </c>
      <c r="E6" s="74" t="s">
        <v>827</v>
      </c>
      <c r="F6" s="75">
        <v>9</v>
      </c>
      <c r="G6" s="74" t="s">
        <v>828</v>
      </c>
      <c r="H6" s="77" t="s">
        <v>812</v>
      </c>
      <c r="I6" s="75">
        <v>48</v>
      </c>
      <c r="J6" s="76" t="s">
        <v>3</v>
      </c>
      <c r="K6" s="78" t="s">
        <v>818</v>
      </c>
      <c r="L6" s="77" t="s">
        <v>830</v>
      </c>
      <c r="M6" s="125" t="s">
        <v>799</v>
      </c>
      <c r="N6" s="81">
        <v>64842</v>
      </c>
      <c r="O6" s="81">
        <v>64841</v>
      </c>
      <c r="P6" s="69"/>
      <c r="Q6" s="77" t="s">
        <v>806</v>
      </c>
      <c r="R6" s="83" t="s">
        <v>815</v>
      </c>
      <c r="S6" s="79" t="s">
        <v>822</v>
      </c>
      <c r="T6" s="71">
        <v>64847</v>
      </c>
      <c r="U6" s="70" t="s">
        <v>831</v>
      </c>
      <c r="V6" s="85" t="s">
        <v>832</v>
      </c>
    </row>
    <row r="7" spans="1:22" ht="19.5">
      <c r="A7" s="25">
        <f>A6+1</f>
        <v>5</v>
      </c>
      <c r="B7" s="25">
        <v>5</v>
      </c>
      <c r="C7" s="15" t="s">
        <v>44</v>
      </c>
      <c r="D7" s="15" t="s">
        <v>45</v>
      </c>
      <c r="E7" s="19" t="s">
        <v>851</v>
      </c>
      <c r="F7" s="26">
        <v>6</v>
      </c>
      <c r="G7" s="434" t="s">
        <v>812</v>
      </c>
      <c r="H7" s="22" t="s">
        <v>812</v>
      </c>
      <c r="I7" s="26">
        <v>55</v>
      </c>
      <c r="J7" s="20" t="s">
        <v>3</v>
      </c>
      <c r="K7" s="21" t="s">
        <v>864</v>
      </c>
      <c r="L7" s="1"/>
      <c r="M7" s="126" t="s">
        <v>864</v>
      </c>
      <c r="N7" s="24">
        <v>64847</v>
      </c>
      <c r="O7" s="47"/>
      <c r="P7" s="1"/>
      <c r="Q7" s="22" t="s">
        <v>806</v>
      </c>
      <c r="R7" s="22"/>
      <c r="S7" s="16" t="s">
        <v>822</v>
      </c>
      <c r="T7" s="23"/>
      <c r="U7" s="47"/>
      <c r="V7" s="1"/>
    </row>
    <row r="8" spans="1:22" ht="19.5">
      <c r="A8" s="25">
        <f>A7+1</f>
        <v>6</v>
      </c>
      <c r="B8" s="25">
        <v>5</v>
      </c>
      <c r="C8" s="15" t="s">
        <v>44</v>
      </c>
      <c r="D8" s="15" t="s">
        <v>45</v>
      </c>
      <c r="E8" s="19" t="s">
        <v>931</v>
      </c>
      <c r="F8" s="26">
        <v>10</v>
      </c>
      <c r="G8" s="434" t="s">
        <v>812</v>
      </c>
      <c r="H8" s="22" t="s">
        <v>812</v>
      </c>
      <c r="I8" s="26">
        <v>20</v>
      </c>
      <c r="J8" s="20" t="s">
        <v>17</v>
      </c>
      <c r="K8" s="21" t="s">
        <v>864</v>
      </c>
      <c r="L8" s="45" t="s">
        <v>933</v>
      </c>
      <c r="M8" s="126" t="s">
        <v>864</v>
      </c>
      <c r="N8" s="46">
        <v>64849</v>
      </c>
      <c r="O8" s="46">
        <v>64847</v>
      </c>
      <c r="P8" s="46">
        <v>64852</v>
      </c>
      <c r="Q8" s="22" t="s">
        <v>806</v>
      </c>
      <c r="R8" s="18" t="s">
        <v>815</v>
      </c>
      <c r="S8" s="16" t="s">
        <v>822</v>
      </c>
      <c r="T8" s="23">
        <v>64852</v>
      </c>
      <c r="U8" s="47" t="s">
        <v>939</v>
      </c>
      <c r="V8" s="1"/>
    </row>
    <row r="9" spans="1:22" ht="19.5">
      <c r="A9" s="25">
        <f>A8+1</f>
        <v>7</v>
      </c>
      <c r="B9" s="25">
        <v>5</v>
      </c>
      <c r="C9" s="15" t="s">
        <v>44</v>
      </c>
      <c r="D9" s="15" t="s">
        <v>45</v>
      </c>
      <c r="E9" s="19" t="s">
        <v>930</v>
      </c>
      <c r="F9" s="26">
        <v>7</v>
      </c>
      <c r="G9" s="434" t="s">
        <v>812</v>
      </c>
      <c r="H9" s="22" t="s">
        <v>812</v>
      </c>
      <c r="I9" s="26">
        <v>57</v>
      </c>
      <c r="J9" s="20" t="s">
        <v>3</v>
      </c>
      <c r="K9" s="6" t="s">
        <v>345</v>
      </c>
      <c r="L9" s="45" t="s">
        <v>934</v>
      </c>
      <c r="M9" s="126" t="s">
        <v>936</v>
      </c>
      <c r="N9" s="46">
        <v>64836</v>
      </c>
      <c r="O9" s="47"/>
      <c r="P9" s="1"/>
      <c r="Q9" s="22" t="s">
        <v>806</v>
      </c>
      <c r="R9" s="18" t="s">
        <v>815</v>
      </c>
      <c r="S9" s="16" t="s">
        <v>822</v>
      </c>
      <c r="T9" s="23">
        <v>64853</v>
      </c>
      <c r="U9" s="47" t="s">
        <v>938</v>
      </c>
      <c r="V9" s="1"/>
    </row>
    <row r="10" spans="1:22" s="27" customFormat="1" ht="19.5">
      <c r="A10" s="72">
        <f>A9+1</f>
        <v>8</v>
      </c>
      <c r="B10" s="72">
        <v>5</v>
      </c>
      <c r="C10" s="73" t="s">
        <v>44</v>
      </c>
      <c r="D10" s="73" t="s">
        <v>45</v>
      </c>
      <c r="E10" s="74" t="s">
        <v>932</v>
      </c>
      <c r="F10" s="75">
        <v>5</v>
      </c>
      <c r="G10" s="423" t="s">
        <v>812</v>
      </c>
      <c r="H10" s="77" t="s">
        <v>812</v>
      </c>
      <c r="I10" s="75">
        <v>76</v>
      </c>
      <c r="J10" s="76" t="s">
        <v>3</v>
      </c>
      <c r="K10" s="78" t="s">
        <v>829</v>
      </c>
      <c r="L10" s="77" t="s">
        <v>935</v>
      </c>
      <c r="M10" s="125" t="s">
        <v>864</v>
      </c>
      <c r="N10" s="80">
        <v>64844</v>
      </c>
      <c r="O10" s="80">
        <v>64844</v>
      </c>
      <c r="P10" s="80">
        <v>64852</v>
      </c>
      <c r="Q10" s="77" t="s">
        <v>806</v>
      </c>
      <c r="R10" s="83" t="s">
        <v>815</v>
      </c>
      <c r="S10" s="79" t="s">
        <v>822</v>
      </c>
      <c r="T10" s="71">
        <v>64853</v>
      </c>
      <c r="U10" s="70" t="s">
        <v>937</v>
      </c>
      <c r="V10" s="69"/>
    </row>
    <row r="11" spans="1:22" s="51" customFormat="1" ht="19.5">
      <c r="A11" s="25">
        <f t="shared" ref="A11:A30" si="0">A10+1</f>
        <v>9</v>
      </c>
      <c r="B11" s="25">
        <v>5</v>
      </c>
      <c r="C11" s="9" t="s">
        <v>44</v>
      </c>
      <c r="D11" s="9" t="s">
        <v>449</v>
      </c>
      <c r="E11" s="19" t="s">
        <v>1023</v>
      </c>
      <c r="F11" s="26">
        <v>6</v>
      </c>
      <c r="G11" s="434" t="s">
        <v>812</v>
      </c>
      <c r="H11" s="22" t="s">
        <v>812</v>
      </c>
      <c r="I11" s="26">
        <v>81</v>
      </c>
      <c r="J11" s="8" t="s">
        <v>404</v>
      </c>
      <c r="K11" s="6" t="s">
        <v>709</v>
      </c>
      <c r="L11" s="52"/>
      <c r="M11" s="126" t="s">
        <v>799</v>
      </c>
      <c r="N11" s="54">
        <v>64859</v>
      </c>
      <c r="O11" s="54">
        <v>64860</v>
      </c>
      <c r="P11" s="52"/>
      <c r="Q11" s="22" t="s">
        <v>806</v>
      </c>
      <c r="R11" s="18" t="s">
        <v>815</v>
      </c>
      <c r="S11" s="16" t="s">
        <v>822</v>
      </c>
      <c r="T11" s="53">
        <v>64866</v>
      </c>
      <c r="U11" s="55" t="s">
        <v>1024</v>
      </c>
      <c r="V11" s="52"/>
    </row>
    <row r="12" spans="1:22" ht="19.5">
      <c r="A12" s="25">
        <f t="shared" si="0"/>
        <v>10</v>
      </c>
      <c r="B12" s="25">
        <v>5</v>
      </c>
      <c r="C12" s="9" t="s">
        <v>44</v>
      </c>
      <c r="D12" s="9" t="s">
        <v>449</v>
      </c>
      <c r="E12" s="19" t="s">
        <v>1025</v>
      </c>
      <c r="F12" s="26">
        <v>6</v>
      </c>
      <c r="G12" s="434" t="s">
        <v>812</v>
      </c>
      <c r="H12" s="22" t="s">
        <v>812</v>
      </c>
      <c r="I12" s="26">
        <v>56</v>
      </c>
      <c r="J12" s="8" t="s">
        <v>404</v>
      </c>
      <c r="K12" s="6" t="s">
        <v>709</v>
      </c>
      <c r="L12" s="1"/>
      <c r="M12" s="126" t="s">
        <v>864</v>
      </c>
      <c r="N12" s="46">
        <v>64855</v>
      </c>
      <c r="O12" s="46">
        <v>64856</v>
      </c>
      <c r="P12" s="1"/>
      <c r="Q12" s="22" t="s">
        <v>806</v>
      </c>
      <c r="R12" s="18" t="s">
        <v>815</v>
      </c>
      <c r="S12" s="16" t="s">
        <v>822</v>
      </c>
      <c r="T12" s="23">
        <v>64866</v>
      </c>
      <c r="U12" s="47" t="s">
        <v>824</v>
      </c>
      <c r="V12" s="1"/>
    </row>
    <row r="13" spans="1:22" s="27" customFormat="1" ht="30">
      <c r="A13" s="72">
        <f t="shared" si="0"/>
        <v>11</v>
      </c>
      <c r="B13" s="72">
        <v>5</v>
      </c>
      <c r="C13" s="10" t="s">
        <v>44</v>
      </c>
      <c r="D13" s="10" t="s">
        <v>449</v>
      </c>
      <c r="E13" s="74" t="s">
        <v>1053</v>
      </c>
      <c r="F13" s="75">
        <v>9</v>
      </c>
      <c r="G13" s="423" t="s">
        <v>812</v>
      </c>
      <c r="H13" s="77" t="s">
        <v>812</v>
      </c>
      <c r="I13" s="75">
        <v>68</v>
      </c>
      <c r="J13" s="11" t="s">
        <v>404</v>
      </c>
      <c r="K13" s="78" t="s">
        <v>829</v>
      </c>
      <c r="L13" s="70" t="s">
        <v>1057</v>
      </c>
      <c r="M13" s="125" t="s">
        <v>864</v>
      </c>
      <c r="N13" s="80">
        <v>64867</v>
      </c>
      <c r="O13" s="80">
        <v>64866</v>
      </c>
      <c r="P13" s="86" t="s">
        <v>1056</v>
      </c>
      <c r="Q13" s="77" t="s">
        <v>806</v>
      </c>
      <c r="R13" s="83" t="s">
        <v>815</v>
      </c>
      <c r="S13" s="79" t="s">
        <v>822</v>
      </c>
      <c r="T13" s="71">
        <v>64869</v>
      </c>
      <c r="U13" s="70" t="s">
        <v>1054</v>
      </c>
      <c r="V13" s="69" t="s">
        <v>1055</v>
      </c>
    </row>
    <row r="14" spans="1:22" s="27" customFormat="1" ht="30">
      <c r="A14" s="72">
        <f t="shared" si="0"/>
        <v>12</v>
      </c>
      <c r="B14" s="72">
        <v>5</v>
      </c>
      <c r="C14" s="10" t="s">
        <v>44</v>
      </c>
      <c r="D14" s="10" t="s">
        <v>449</v>
      </c>
      <c r="E14" s="74" t="s">
        <v>1078</v>
      </c>
      <c r="F14" s="75">
        <v>7</v>
      </c>
      <c r="G14" s="423" t="s">
        <v>812</v>
      </c>
      <c r="H14" s="77" t="s">
        <v>812</v>
      </c>
      <c r="I14" s="75">
        <v>77</v>
      </c>
      <c r="J14" s="76" t="s">
        <v>17</v>
      </c>
      <c r="K14" s="78" t="s">
        <v>829</v>
      </c>
      <c r="L14" s="70" t="s">
        <v>1079</v>
      </c>
      <c r="M14" s="125" t="s">
        <v>864</v>
      </c>
      <c r="N14" s="80">
        <v>64867</v>
      </c>
      <c r="O14" s="87">
        <v>64868</v>
      </c>
      <c r="P14" s="88" t="s">
        <v>1056</v>
      </c>
      <c r="Q14" s="77" t="s">
        <v>806</v>
      </c>
      <c r="R14" s="83" t="s">
        <v>815</v>
      </c>
      <c r="S14" s="79" t="s">
        <v>822</v>
      </c>
      <c r="T14" s="71">
        <v>64872</v>
      </c>
      <c r="U14" s="89" t="s">
        <v>1080</v>
      </c>
      <c r="V14" s="69"/>
    </row>
    <row r="15" spans="1:22" ht="19.5">
      <c r="A15" s="25">
        <f t="shared" si="0"/>
        <v>13</v>
      </c>
      <c r="B15" s="25">
        <v>5</v>
      </c>
      <c r="C15" s="60" t="s">
        <v>44</v>
      </c>
      <c r="D15" s="60" t="s">
        <v>449</v>
      </c>
      <c r="E15" s="19" t="s">
        <v>1111</v>
      </c>
      <c r="F15" s="26">
        <v>5</v>
      </c>
      <c r="G15" s="434" t="s">
        <v>812</v>
      </c>
      <c r="H15" s="22" t="s">
        <v>812</v>
      </c>
      <c r="I15" s="26">
        <v>60</v>
      </c>
      <c r="J15" s="59" t="s">
        <v>404</v>
      </c>
      <c r="K15" s="58" t="s">
        <v>709</v>
      </c>
      <c r="L15" s="56"/>
      <c r="M15" s="126" t="s">
        <v>1112</v>
      </c>
      <c r="N15" s="46">
        <v>64871</v>
      </c>
      <c r="O15" s="46">
        <v>64871</v>
      </c>
      <c r="P15" s="47"/>
      <c r="Q15" s="22" t="s">
        <v>806</v>
      </c>
      <c r="R15" s="18" t="s">
        <v>815</v>
      </c>
      <c r="S15" s="16" t="s">
        <v>822</v>
      </c>
      <c r="T15" s="64">
        <v>64877</v>
      </c>
      <c r="U15" s="56"/>
      <c r="V15" s="56"/>
    </row>
    <row r="16" spans="1:22" s="27" customFormat="1" ht="19.5">
      <c r="A16" s="72">
        <f t="shared" si="0"/>
        <v>14</v>
      </c>
      <c r="B16" s="72">
        <v>5</v>
      </c>
      <c r="C16" s="10" t="s">
        <v>44</v>
      </c>
      <c r="D16" s="10" t="s">
        <v>449</v>
      </c>
      <c r="E16" s="74" t="s">
        <v>1115</v>
      </c>
      <c r="F16" s="75">
        <v>6</v>
      </c>
      <c r="G16" s="423" t="s">
        <v>812</v>
      </c>
      <c r="H16" s="77" t="s">
        <v>812</v>
      </c>
      <c r="I16" s="75">
        <v>56</v>
      </c>
      <c r="J16" s="11" t="s">
        <v>404</v>
      </c>
      <c r="K16" s="5" t="s">
        <v>345</v>
      </c>
      <c r="L16" s="69"/>
      <c r="M16" s="125" t="s">
        <v>864</v>
      </c>
      <c r="N16" s="80">
        <v>64868</v>
      </c>
      <c r="O16" s="80">
        <v>64869</v>
      </c>
      <c r="P16" s="69"/>
      <c r="Q16" s="77" t="s">
        <v>806</v>
      </c>
      <c r="R16" s="83" t="s">
        <v>815</v>
      </c>
      <c r="S16" s="79" t="s">
        <v>822</v>
      </c>
      <c r="T16" s="71">
        <v>64879</v>
      </c>
      <c r="U16" s="89" t="s">
        <v>1116</v>
      </c>
      <c r="V16" s="69"/>
    </row>
    <row r="17" spans="1:22" ht="19.5">
      <c r="A17" s="25">
        <f t="shared" si="0"/>
        <v>15</v>
      </c>
      <c r="B17" s="25">
        <v>5</v>
      </c>
      <c r="C17" s="60" t="s">
        <v>44</v>
      </c>
      <c r="D17" s="60" t="s">
        <v>449</v>
      </c>
      <c r="E17" s="19" t="s">
        <v>1129</v>
      </c>
      <c r="F17" s="26">
        <v>16</v>
      </c>
      <c r="G17" s="434" t="s">
        <v>812</v>
      </c>
      <c r="H17" s="22" t="s">
        <v>812</v>
      </c>
      <c r="I17" s="26">
        <v>26</v>
      </c>
      <c r="J17" s="59" t="s">
        <v>404</v>
      </c>
      <c r="K17" s="58" t="s">
        <v>345</v>
      </c>
      <c r="L17" s="56"/>
      <c r="M17" s="126" t="s">
        <v>864</v>
      </c>
      <c r="N17" s="46">
        <v>64871</v>
      </c>
      <c r="O17" s="46">
        <v>64872</v>
      </c>
      <c r="P17" s="56"/>
      <c r="Q17" s="22" t="s">
        <v>806</v>
      </c>
      <c r="R17" s="18" t="s">
        <v>815</v>
      </c>
      <c r="S17" s="16" t="s">
        <v>822</v>
      </c>
      <c r="T17" s="64">
        <v>64881</v>
      </c>
      <c r="U17" s="67" t="s">
        <v>1130</v>
      </c>
      <c r="V17" s="56">
        <v>9857878780</v>
      </c>
    </row>
    <row r="18" spans="1:22" ht="19.5">
      <c r="A18" s="25">
        <f t="shared" si="0"/>
        <v>16</v>
      </c>
      <c r="B18" s="25">
        <v>5</v>
      </c>
      <c r="C18" s="60" t="s">
        <v>44</v>
      </c>
      <c r="D18" s="60" t="s">
        <v>449</v>
      </c>
      <c r="E18" s="19" t="s">
        <v>1131</v>
      </c>
      <c r="F18" s="26">
        <v>11</v>
      </c>
      <c r="G18" s="434" t="s">
        <v>812</v>
      </c>
      <c r="H18" s="22" t="s">
        <v>812</v>
      </c>
      <c r="I18" s="26">
        <v>45</v>
      </c>
      <c r="J18" s="59" t="s">
        <v>404</v>
      </c>
      <c r="K18" s="58" t="s">
        <v>345</v>
      </c>
      <c r="L18" s="56"/>
      <c r="M18" s="126" t="s">
        <v>864</v>
      </c>
      <c r="N18" s="46">
        <v>64865</v>
      </c>
      <c r="O18" s="46">
        <v>64866</v>
      </c>
      <c r="P18" s="56"/>
      <c r="Q18" s="22" t="s">
        <v>806</v>
      </c>
      <c r="R18" s="18" t="s">
        <v>815</v>
      </c>
      <c r="S18" s="16" t="s">
        <v>822</v>
      </c>
      <c r="T18" s="64">
        <v>64880</v>
      </c>
      <c r="U18" s="67" t="s">
        <v>1134</v>
      </c>
      <c r="V18" s="56">
        <v>9863222375</v>
      </c>
    </row>
    <row r="19" spans="1:22" s="27" customFormat="1" ht="19.5">
      <c r="A19" s="72">
        <f t="shared" si="0"/>
        <v>17</v>
      </c>
      <c r="B19" s="72">
        <v>5</v>
      </c>
      <c r="C19" s="10" t="s">
        <v>44</v>
      </c>
      <c r="D19" s="10" t="s">
        <v>449</v>
      </c>
      <c r="E19" s="74" t="s">
        <v>1132</v>
      </c>
      <c r="F19" s="75">
        <v>5</v>
      </c>
      <c r="G19" s="423" t="s">
        <v>812</v>
      </c>
      <c r="H19" s="77" t="s">
        <v>812</v>
      </c>
      <c r="I19" s="75">
        <v>81</v>
      </c>
      <c r="J19" s="11" t="s">
        <v>404</v>
      </c>
      <c r="K19" s="5" t="s">
        <v>345</v>
      </c>
      <c r="L19" s="69"/>
      <c r="M19" s="125" t="s">
        <v>864</v>
      </c>
      <c r="N19" s="80">
        <v>64875</v>
      </c>
      <c r="O19" s="80">
        <v>64875</v>
      </c>
      <c r="P19" s="69"/>
      <c r="Q19" s="77" t="s">
        <v>806</v>
      </c>
      <c r="R19" s="83" t="s">
        <v>815</v>
      </c>
      <c r="S19" s="79" t="s">
        <v>822</v>
      </c>
      <c r="T19" s="71">
        <v>64880</v>
      </c>
      <c r="U19" s="89" t="s">
        <v>1133</v>
      </c>
      <c r="V19" s="69">
        <v>9847822642</v>
      </c>
    </row>
    <row r="20" spans="1:22" s="27" customFormat="1" ht="19.5">
      <c r="A20" s="72">
        <f t="shared" si="0"/>
        <v>18</v>
      </c>
      <c r="B20" s="72">
        <v>5</v>
      </c>
      <c r="C20" s="10" t="s">
        <v>44</v>
      </c>
      <c r="D20" s="10" t="s">
        <v>449</v>
      </c>
      <c r="E20" s="74" t="s">
        <v>1139</v>
      </c>
      <c r="F20" s="75">
        <v>18</v>
      </c>
      <c r="G20" s="423" t="s">
        <v>812</v>
      </c>
      <c r="H20" s="77" t="s">
        <v>812</v>
      </c>
      <c r="I20" s="75">
        <v>73</v>
      </c>
      <c r="J20" s="11" t="s">
        <v>404</v>
      </c>
      <c r="K20" s="78" t="s">
        <v>829</v>
      </c>
      <c r="L20" s="69"/>
      <c r="M20" s="125" t="s">
        <v>864</v>
      </c>
      <c r="N20" s="80">
        <v>64877</v>
      </c>
      <c r="O20" s="80">
        <v>64877</v>
      </c>
      <c r="P20" s="69"/>
      <c r="Q20" s="77" t="s">
        <v>806</v>
      </c>
      <c r="R20" s="83" t="s">
        <v>815</v>
      </c>
      <c r="S20" s="79" t="s">
        <v>822</v>
      </c>
      <c r="T20" s="71">
        <v>64882</v>
      </c>
      <c r="U20" s="89" t="s">
        <v>1138</v>
      </c>
      <c r="V20" s="69">
        <v>9847845457</v>
      </c>
    </row>
    <row r="21" spans="1:22" s="27" customFormat="1" ht="19.5">
      <c r="A21" s="72">
        <f t="shared" si="0"/>
        <v>19</v>
      </c>
      <c r="B21" s="72">
        <v>5</v>
      </c>
      <c r="C21" s="10" t="s">
        <v>44</v>
      </c>
      <c r="D21" s="10" t="s">
        <v>449</v>
      </c>
      <c r="E21" s="74" t="s">
        <v>1146</v>
      </c>
      <c r="F21" s="75">
        <v>17</v>
      </c>
      <c r="G21" s="423" t="s">
        <v>812</v>
      </c>
      <c r="H21" s="77" t="s">
        <v>812</v>
      </c>
      <c r="I21" s="75">
        <v>80</v>
      </c>
      <c r="J21" s="11" t="s">
        <v>404</v>
      </c>
      <c r="K21" s="90" t="s">
        <v>1147</v>
      </c>
      <c r="L21" s="69" t="s">
        <v>1148</v>
      </c>
      <c r="M21" s="125" t="s">
        <v>864</v>
      </c>
      <c r="N21" s="80">
        <v>64879</v>
      </c>
      <c r="O21" s="80">
        <v>64879</v>
      </c>
      <c r="P21" s="69"/>
      <c r="Q21" s="77" t="s">
        <v>806</v>
      </c>
      <c r="R21" s="83" t="s">
        <v>815</v>
      </c>
      <c r="S21" s="79" t="s">
        <v>822</v>
      </c>
      <c r="T21" s="71">
        <v>64885</v>
      </c>
      <c r="U21" s="89" t="s">
        <v>1024</v>
      </c>
      <c r="V21" s="69"/>
    </row>
    <row r="22" spans="1:22" s="27" customFormat="1" ht="19.5">
      <c r="A22" s="72">
        <f t="shared" si="0"/>
        <v>20</v>
      </c>
      <c r="B22" s="72">
        <v>5</v>
      </c>
      <c r="C22" s="10" t="s">
        <v>44</v>
      </c>
      <c r="D22" s="10" t="s">
        <v>449</v>
      </c>
      <c r="E22" s="74" t="s">
        <v>1173</v>
      </c>
      <c r="F22" s="75">
        <v>6</v>
      </c>
      <c r="G22" s="423" t="s">
        <v>812</v>
      </c>
      <c r="H22" s="77" t="s">
        <v>812</v>
      </c>
      <c r="I22" s="75">
        <v>70</v>
      </c>
      <c r="J22" s="92" t="s">
        <v>17</v>
      </c>
      <c r="K22" s="5" t="s">
        <v>345</v>
      </c>
      <c r="L22" s="69" t="s">
        <v>1174</v>
      </c>
      <c r="M22" s="125" t="s">
        <v>864</v>
      </c>
      <c r="N22" s="80">
        <v>64887</v>
      </c>
      <c r="O22" s="80">
        <v>64888</v>
      </c>
      <c r="P22" s="69"/>
      <c r="Q22" s="77" t="s">
        <v>806</v>
      </c>
      <c r="R22" s="83" t="s">
        <v>815</v>
      </c>
      <c r="S22" s="79" t="s">
        <v>822</v>
      </c>
      <c r="T22" s="71">
        <v>64888</v>
      </c>
      <c r="U22" s="89" t="s">
        <v>1134</v>
      </c>
      <c r="V22" s="69"/>
    </row>
    <row r="23" spans="1:22" ht="19.5">
      <c r="A23" s="72">
        <f t="shared" si="0"/>
        <v>21</v>
      </c>
      <c r="B23" s="72">
        <v>5</v>
      </c>
      <c r="C23" s="10" t="s">
        <v>44</v>
      </c>
      <c r="D23" s="10" t="s">
        <v>449</v>
      </c>
      <c r="E23" s="74" t="s">
        <v>1223</v>
      </c>
      <c r="F23" s="75">
        <v>7</v>
      </c>
      <c r="G23" s="423" t="s">
        <v>812</v>
      </c>
      <c r="H23" s="77" t="s">
        <v>812</v>
      </c>
      <c r="I23" s="75">
        <v>66</v>
      </c>
      <c r="J23" s="11" t="s">
        <v>404</v>
      </c>
      <c r="K23" s="5" t="s">
        <v>345</v>
      </c>
      <c r="L23" s="69" t="s">
        <v>1224</v>
      </c>
      <c r="M23" s="127" t="s">
        <v>1225</v>
      </c>
      <c r="N23" s="80" t="s">
        <v>1220</v>
      </c>
      <c r="O23" s="80" t="s">
        <v>1221</v>
      </c>
      <c r="P23" s="69"/>
      <c r="Q23" s="77" t="s">
        <v>806</v>
      </c>
      <c r="R23" s="83" t="s">
        <v>815</v>
      </c>
      <c r="S23" s="79" t="s">
        <v>822</v>
      </c>
      <c r="T23" s="71">
        <v>64943</v>
      </c>
      <c r="U23" s="89" t="s">
        <v>1226</v>
      </c>
      <c r="V23" s="69">
        <v>98095955060</v>
      </c>
    </row>
    <row r="24" spans="1:22" s="65" customFormat="1" ht="19.5">
      <c r="A24" s="72">
        <f t="shared" si="0"/>
        <v>22</v>
      </c>
      <c r="B24" s="72">
        <v>5</v>
      </c>
      <c r="C24" s="72" t="s">
        <v>44</v>
      </c>
      <c r="D24" s="72" t="s">
        <v>449</v>
      </c>
      <c r="E24" s="74" t="s">
        <v>1227</v>
      </c>
      <c r="F24" s="72">
        <v>6</v>
      </c>
      <c r="G24" s="423" t="s">
        <v>812</v>
      </c>
      <c r="H24" s="77" t="s">
        <v>812</v>
      </c>
      <c r="I24" s="72">
        <v>46</v>
      </c>
      <c r="J24" s="72" t="s">
        <v>404</v>
      </c>
      <c r="K24" s="5" t="s">
        <v>1193</v>
      </c>
      <c r="L24" s="69" t="s">
        <v>1230</v>
      </c>
      <c r="M24" s="127" t="s">
        <v>1225</v>
      </c>
      <c r="N24" s="80">
        <v>64915</v>
      </c>
      <c r="O24" s="80">
        <v>64916</v>
      </c>
      <c r="P24" s="69"/>
      <c r="Q24" s="77" t="s">
        <v>806</v>
      </c>
      <c r="R24" s="83" t="s">
        <v>815</v>
      </c>
      <c r="S24" s="79" t="s">
        <v>822</v>
      </c>
      <c r="T24" s="71">
        <v>64959</v>
      </c>
      <c r="U24" s="89" t="s">
        <v>1228</v>
      </c>
      <c r="V24" s="111" t="s">
        <v>1229</v>
      </c>
    </row>
    <row r="25" spans="1:22" s="65" customFormat="1" ht="19.5">
      <c r="A25" s="72"/>
      <c r="B25" s="72"/>
      <c r="C25" s="72"/>
      <c r="D25" s="72"/>
      <c r="E25" s="74"/>
      <c r="F25" s="72"/>
      <c r="G25" s="423"/>
      <c r="H25" s="77"/>
      <c r="I25" s="72"/>
      <c r="J25" s="72"/>
      <c r="K25" s="5"/>
      <c r="L25" s="69"/>
      <c r="M25" s="127"/>
      <c r="N25" s="80"/>
      <c r="O25" s="80"/>
      <c r="P25" s="69"/>
      <c r="Q25" s="77"/>
      <c r="R25" s="83"/>
      <c r="S25" s="79"/>
      <c r="T25" s="71"/>
      <c r="U25" s="89"/>
      <c r="V25" s="111"/>
    </row>
    <row r="26" spans="1:22" s="98" customFormat="1" ht="19.5">
      <c r="A26" s="72">
        <v>1</v>
      </c>
      <c r="B26" s="72">
        <v>5</v>
      </c>
      <c r="C26" s="72" t="s">
        <v>44</v>
      </c>
      <c r="D26" s="72" t="s">
        <v>449</v>
      </c>
      <c r="E26" s="74" t="s">
        <v>1246</v>
      </c>
      <c r="F26" s="72">
        <v>5</v>
      </c>
      <c r="G26" s="423" t="s">
        <v>812</v>
      </c>
      <c r="H26" s="77" t="s">
        <v>812</v>
      </c>
      <c r="I26" s="72">
        <v>72</v>
      </c>
      <c r="J26" s="72" t="s">
        <v>404</v>
      </c>
      <c r="K26" s="5" t="s">
        <v>1247</v>
      </c>
      <c r="L26" s="69"/>
      <c r="M26" s="127" t="s">
        <v>1248</v>
      </c>
      <c r="N26" s="80"/>
      <c r="O26" s="80"/>
      <c r="P26" s="69"/>
      <c r="Q26" s="77" t="s">
        <v>806</v>
      </c>
      <c r="R26" s="83" t="s">
        <v>816</v>
      </c>
      <c r="S26" s="79" t="s">
        <v>822</v>
      </c>
      <c r="T26" s="71">
        <v>65009</v>
      </c>
      <c r="U26" s="71"/>
      <c r="V26" s="259">
        <v>9847899472</v>
      </c>
    </row>
    <row r="27" spans="1:22" ht="19.5">
      <c r="A27" s="72">
        <f t="shared" si="0"/>
        <v>2</v>
      </c>
      <c r="B27" s="72">
        <v>5</v>
      </c>
      <c r="C27" s="72" t="s">
        <v>44</v>
      </c>
      <c r="D27" s="72" t="s">
        <v>449</v>
      </c>
      <c r="E27" s="110" t="s">
        <v>1304</v>
      </c>
      <c r="F27" s="72">
        <v>2</v>
      </c>
      <c r="G27" s="423" t="s">
        <v>812</v>
      </c>
      <c r="H27" s="77" t="s">
        <v>812</v>
      </c>
      <c r="I27" s="75">
        <v>55</v>
      </c>
      <c r="J27" s="92" t="s">
        <v>17</v>
      </c>
      <c r="K27" s="5" t="s">
        <v>709</v>
      </c>
      <c r="L27" s="69"/>
      <c r="M27" s="127" t="s">
        <v>1305</v>
      </c>
      <c r="N27" s="80" t="s">
        <v>1241</v>
      </c>
      <c r="O27" s="80" t="s">
        <v>1241</v>
      </c>
      <c r="P27" s="69"/>
      <c r="Q27" s="77" t="s">
        <v>806</v>
      </c>
      <c r="R27" s="83" t="s">
        <v>815</v>
      </c>
      <c r="S27" s="79" t="s">
        <v>822</v>
      </c>
      <c r="T27" s="71">
        <v>65017</v>
      </c>
      <c r="U27" s="71" t="s">
        <v>1306</v>
      </c>
      <c r="V27" s="260"/>
    </row>
    <row r="28" spans="1:22" ht="19.5">
      <c r="A28" s="72">
        <f t="shared" si="0"/>
        <v>3</v>
      </c>
      <c r="B28" s="72">
        <v>5</v>
      </c>
      <c r="C28" s="72" t="s">
        <v>44</v>
      </c>
      <c r="D28" s="72" t="s">
        <v>449</v>
      </c>
      <c r="E28" s="110" t="s">
        <v>4923</v>
      </c>
      <c r="F28" s="72">
        <v>6</v>
      </c>
      <c r="G28" s="423" t="s">
        <v>812</v>
      </c>
      <c r="H28" s="77" t="s">
        <v>812</v>
      </c>
      <c r="I28" s="75">
        <v>20</v>
      </c>
      <c r="J28" s="92" t="s">
        <v>17</v>
      </c>
      <c r="K28" s="5" t="s">
        <v>709</v>
      </c>
      <c r="L28" s="69"/>
      <c r="M28" s="127" t="s">
        <v>1339</v>
      </c>
      <c r="N28" s="80" t="s">
        <v>1271</v>
      </c>
      <c r="O28" s="80" t="s">
        <v>1271</v>
      </c>
      <c r="P28" s="69"/>
      <c r="Q28" s="77" t="s">
        <v>806</v>
      </c>
      <c r="R28" s="83" t="s">
        <v>815</v>
      </c>
      <c r="S28" s="79" t="s">
        <v>822</v>
      </c>
      <c r="T28" s="71">
        <v>65021</v>
      </c>
      <c r="U28" s="71" t="s">
        <v>1340</v>
      </c>
      <c r="V28" s="260"/>
    </row>
    <row r="29" spans="1:22" s="49" customFormat="1" ht="18">
      <c r="A29" s="257">
        <f t="shared" si="0"/>
        <v>4</v>
      </c>
      <c r="B29" s="262" t="s">
        <v>43</v>
      </c>
      <c r="C29" s="47" t="s">
        <v>44</v>
      </c>
      <c r="D29" s="47" t="s">
        <v>449</v>
      </c>
      <c r="E29" s="263" t="s">
        <v>1323</v>
      </c>
      <c r="F29" s="47" t="s">
        <v>491</v>
      </c>
      <c r="G29" s="1039">
        <v>9829811523</v>
      </c>
      <c r="H29" s="47"/>
      <c r="I29" s="264">
        <v>46</v>
      </c>
      <c r="J29" s="47" t="s">
        <v>404</v>
      </c>
      <c r="K29" s="47" t="s">
        <v>709</v>
      </c>
      <c r="L29" s="47"/>
      <c r="M29" s="138" t="s">
        <v>1192</v>
      </c>
      <c r="N29" s="46">
        <v>65136</v>
      </c>
      <c r="O29" s="46">
        <v>65136</v>
      </c>
      <c r="P29" s="47"/>
      <c r="Q29" s="77" t="s">
        <v>806</v>
      </c>
      <c r="R29" s="83" t="s">
        <v>815</v>
      </c>
      <c r="S29" s="79" t="s">
        <v>822</v>
      </c>
      <c r="T29" s="80">
        <v>65025</v>
      </c>
      <c r="U29" s="80" t="s">
        <v>1544</v>
      </c>
      <c r="V29" s="261"/>
    </row>
    <row r="30" spans="1:22" s="49" customFormat="1" ht="18">
      <c r="A30" s="257">
        <f t="shared" si="0"/>
        <v>5</v>
      </c>
      <c r="B30" s="262" t="s">
        <v>43</v>
      </c>
      <c r="C30" s="47" t="s">
        <v>44</v>
      </c>
      <c r="D30" s="47" t="s">
        <v>449</v>
      </c>
      <c r="E30" s="263" t="s">
        <v>1494</v>
      </c>
      <c r="F30" s="265" t="s">
        <v>791</v>
      </c>
      <c r="G30" s="138">
        <v>9813231493</v>
      </c>
      <c r="H30" s="47"/>
      <c r="I30" s="265">
        <v>42</v>
      </c>
      <c r="J30" s="47" t="s">
        <v>433</v>
      </c>
      <c r="K30" s="47" t="s">
        <v>709</v>
      </c>
      <c r="L30" s="47"/>
      <c r="M30" s="138" t="s">
        <v>1192</v>
      </c>
      <c r="N30" s="46">
        <v>65025</v>
      </c>
      <c r="O30" s="46">
        <v>65025</v>
      </c>
      <c r="P30" s="47"/>
      <c r="Q30" s="77" t="s">
        <v>806</v>
      </c>
      <c r="R30" s="83" t="s">
        <v>815</v>
      </c>
      <c r="S30" s="79" t="s">
        <v>822</v>
      </c>
      <c r="T30" s="80">
        <v>65026</v>
      </c>
      <c r="U30" s="80" t="s">
        <v>1545</v>
      </c>
      <c r="V30" s="261"/>
    </row>
    <row r="31" spans="1:22" s="27" customFormat="1" ht="18">
      <c r="A31" s="258">
        <f>A30+1</f>
        <v>6</v>
      </c>
      <c r="B31" s="262" t="s">
        <v>43</v>
      </c>
      <c r="C31" s="70" t="s">
        <v>44</v>
      </c>
      <c r="D31" s="266" t="s">
        <v>449</v>
      </c>
      <c r="E31" s="267" t="s">
        <v>1568</v>
      </c>
      <c r="F31" s="268" t="s">
        <v>441</v>
      </c>
      <c r="G31" s="266">
        <v>9868088400</v>
      </c>
      <c r="H31" s="69"/>
      <c r="I31" s="268">
        <v>31</v>
      </c>
      <c r="J31" s="70" t="s">
        <v>48</v>
      </c>
      <c r="K31" s="70" t="s">
        <v>345</v>
      </c>
      <c r="L31" s="69"/>
      <c r="M31" s="248" t="s">
        <v>119</v>
      </c>
      <c r="N31" s="80">
        <v>65026</v>
      </c>
      <c r="O31" s="80">
        <v>65026</v>
      </c>
      <c r="P31" s="71"/>
      <c r="Q31" s="77" t="s">
        <v>940</v>
      </c>
      <c r="R31" s="69"/>
      <c r="S31" s="69"/>
      <c r="T31" s="71">
        <v>65029</v>
      </c>
      <c r="U31" s="69" t="s">
        <v>938</v>
      </c>
    </row>
    <row r="32" spans="1:22" s="27" customFormat="1" ht="18">
      <c r="A32" s="258">
        <f t="shared" ref="A32:A98" si="1">A31+1</f>
        <v>7</v>
      </c>
      <c r="B32" s="262" t="s">
        <v>43</v>
      </c>
      <c r="C32" s="70" t="s">
        <v>44</v>
      </c>
      <c r="D32" s="70" t="s">
        <v>449</v>
      </c>
      <c r="E32" s="267" t="s">
        <v>1748</v>
      </c>
      <c r="F32" s="11" t="s">
        <v>491</v>
      </c>
      <c r="G32" s="266">
        <v>9809580885</v>
      </c>
      <c r="H32" s="269"/>
      <c r="I32" s="268">
        <v>37</v>
      </c>
      <c r="J32" s="70" t="s">
        <v>433</v>
      </c>
      <c r="K32" s="138" t="s">
        <v>709</v>
      </c>
      <c r="L32" s="269"/>
      <c r="M32" s="193" t="s">
        <v>262</v>
      </c>
      <c r="N32" s="270">
        <v>65017</v>
      </c>
      <c r="O32" s="270">
        <v>65019</v>
      </c>
      <c r="P32" s="271"/>
      <c r="Q32" s="77" t="s">
        <v>940</v>
      </c>
      <c r="R32" s="69"/>
      <c r="S32" s="69"/>
      <c r="T32" s="271">
        <v>65029</v>
      </c>
      <c r="U32" s="69" t="s">
        <v>1749</v>
      </c>
    </row>
    <row r="33" spans="1:21" s="27" customFormat="1" ht="18">
      <c r="A33" s="258">
        <f t="shared" si="1"/>
        <v>8</v>
      </c>
      <c r="B33" s="262" t="s">
        <v>43</v>
      </c>
      <c r="C33" s="70" t="s">
        <v>44</v>
      </c>
      <c r="D33" s="70" t="s">
        <v>449</v>
      </c>
      <c r="E33" s="267" t="s">
        <v>1750</v>
      </c>
      <c r="F33" s="268" t="s">
        <v>441</v>
      </c>
      <c r="G33" s="266"/>
      <c r="H33" s="69"/>
      <c r="I33" s="268">
        <v>62</v>
      </c>
      <c r="J33" s="70" t="s">
        <v>48</v>
      </c>
      <c r="K33" s="266" t="s">
        <v>709</v>
      </c>
      <c r="L33" s="69"/>
      <c r="M33" s="248" t="s">
        <v>54</v>
      </c>
      <c r="N33" s="80">
        <v>65030</v>
      </c>
      <c r="O33" s="80">
        <v>65030</v>
      </c>
      <c r="P33" s="69"/>
      <c r="Q33" s="70" t="s">
        <v>940</v>
      </c>
      <c r="R33" s="69"/>
      <c r="S33" s="69"/>
      <c r="T33" s="71">
        <v>65030</v>
      </c>
      <c r="U33" s="69" t="s">
        <v>1751</v>
      </c>
    </row>
    <row r="34" spans="1:21" s="27" customFormat="1" ht="18">
      <c r="A34" s="258">
        <f t="shared" si="1"/>
        <v>9</v>
      </c>
      <c r="B34" s="262" t="s">
        <v>43</v>
      </c>
      <c r="C34" s="70" t="s">
        <v>44</v>
      </c>
      <c r="D34" s="70" t="s">
        <v>449</v>
      </c>
      <c r="E34" s="267" t="s">
        <v>1668</v>
      </c>
      <c r="F34" s="268" t="s">
        <v>502</v>
      </c>
      <c r="G34" s="266">
        <v>9847865080</v>
      </c>
      <c r="H34" s="69"/>
      <c r="I34" s="268">
        <v>32</v>
      </c>
      <c r="J34" s="70" t="s">
        <v>404</v>
      </c>
      <c r="K34" s="266" t="s">
        <v>709</v>
      </c>
      <c r="L34" s="69"/>
      <c r="M34" s="266" t="s">
        <v>1192</v>
      </c>
      <c r="N34" s="80">
        <v>65028</v>
      </c>
      <c r="O34" s="80">
        <v>65028</v>
      </c>
      <c r="P34" s="69"/>
      <c r="Q34" s="69" t="s">
        <v>806</v>
      </c>
      <c r="R34" s="69"/>
      <c r="S34" s="69"/>
      <c r="T34" s="71">
        <v>65029</v>
      </c>
      <c r="U34" s="69" t="s">
        <v>1765</v>
      </c>
    </row>
    <row r="35" spans="1:21" ht="18">
      <c r="A35" s="258">
        <f t="shared" si="1"/>
        <v>10</v>
      </c>
      <c r="B35" s="262" t="s">
        <v>43</v>
      </c>
      <c r="C35" s="70" t="s">
        <v>44</v>
      </c>
      <c r="D35" s="70" t="s">
        <v>449</v>
      </c>
      <c r="E35" s="267" t="s">
        <v>1058</v>
      </c>
      <c r="F35" s="268" t="s">
        <v>491</v>
      </c>
      <c r="G35" s="138"/>
      <c r="H35" s="56"/>
      <c r="I35" s="268">
        <v>57</v>
      </c>
      <c r="J35" s="70" t="s">
        <v>433</v>
      </c>
      <c r="K35" s="266" t="s">
        <v>709</v>
      </c>
      <c r="L35" s="56"/>
      <c r="M35" s="266" t="s">
        <v>709</v>
      </c>
      <c r="N35" s="47"/>
      <c r="O35" s="47"/>
      <c r="P35" s="56"/>
      <c r="Q35" s="69" t="s">
        <v>806</v>
      </c>
      <c r="R35" s="56"/>
      <c r="S35" s="56"/>
      <c r="T35" s="64">
        <v>65031</v>
      </c>
      <c r="U35" s="56"/>
    </row>
    <row r="36" spans="1:21" ht="18">
      <c r="A36" s="258">
        <f t="shared" si="1"/>
        <v>11</v>
      </c>
      <c r="B36" s="262" t="s">
        <v>43</v>
      </c>
      <c r="C36" s="70" t="s">
        <v>44</v>
      </c>
      <c r="D36" s="70" t="s">
        <v>449</v>
      </c>
      <c r="E36" s="267" t="s">
        <v>1916</v>
      </c>
      <c r="F36" s="268" t="s">
        <v>441</v>
      </c>
      <c r="G36" s="138"/>
      <c r="H36" s="56"/>
      <c r="I36" s="268">
        <v>69</v>
      </c>
      <c r="J36" s="70" t="s">
        <v>404</v>
      </c>
      <c r="K36" s="266" t="s">
        <v>709</v>
      </c>
      <c r="L36" s="56"/>
      <c r="M36" s="266" t="s">
        <v>1192</v>
      </c>
      <c r="N36" s="47"/>
      <c r="O36" s="47"/>
      <c r="P36" s="56"/>
      <c r="Q36" s="69" t="s">
        <v>806</v>
      </c>
      <c r="R36" s="56"/>
      <c r="S36" s="56"/>
      <c r="T36" s="64">
        <v>65031</v>
      </c>
      <c r="U36" s="56"/>
    </row>
    <row r="37" spans="1:21" ht="18">
      <c r="A37" s="258">
        <f t="shared" si="1"/>
        <v>12</v>
      </c>
      <c r="B37" s="262" t="s">
        <v>43</v>
      </c>
      <c r="C37" s="70" t="s">
        <v>44</v>
      </c>
      <c r="D37" s="70" t="s">
        <v>449</v>
      </c>
      <c r="E37" s="267" t="s">
        <v>1988</v>
      </c>
      <c r="F37" s="268" t="s">
        <v>1046</v>
      </c>
      <c r="G37" s="138"/>
      <c r="H37" s="56"/>
      <c r="I37" s="268">
        <v>70</v>
      </c>
      <c r="J37" s="70" t="s">
        <v>433</v>
      </c>
      <c r="K37" s="266" t="s">
        <v>709</v>
      </c>
      <c r="L37" s="56"/>
      <c r="M37" s="248" t="s">
        <v>54</v>
      </c>
      <c r="N37" s="47"/>
      <c r="O37" s="47"/>
      <c r="P37" s="56"/>
      <c r="Q37" s="69" t="s">
        <v>806</v>
      </c>
      <c r="R37" s="56"/>
      <c r="S37" s="56"/>
      <c r="T37" s="64">
        <v>65032</v>
      </c>
      <c r="U37" s="56"/>
    </row>
    <row r="38" spans="1:21" ht="18">
      <c r="A38" s="258">
        <f t="shared" si="1"/>
        <v>13</v>
      </c>
      <c r="B38" s="262" t="s">
        <v>43</v>
      </c>
      <c r="C38" s="70" t="s">
        <v>44</v>
      </c>
      <c r="D38" s="70" t="s">
        <v>449</v>
      </c>
      <c r="E38" s="267" t="s">
        <v>1849</v>
      </c>
      <c r="F38" s="268" t="s">
        <v>502</v>
      </c>
      <c r="G38" s="595">
        <v>9868080241</v>
      </c>
      <c r="H38" s="69"/>
      <c r="I38" s="268">
        <v>31</v>
      </c>
      <c r="J38" s="70" t="s">
        <v>433</v>
      </c>
      <c r="K38" s="266" t="s">
        <v>709</v>
      </c>
      <c r="L38" s="69"/>
      <c r="M38" s="248" t="s">
        <v>54</v>
      </c>
      <c r="N38" s="80">
        <v>65030</v>
      </c>
      <c r="O38" s="80">
        <v>65030</v>
      </c>
      <c r="P38" s="56"/>
      <c r="Q38" s="69" t="s">
        <v>806</v>
      </c>
      <c r="R38" s="56"/>
      <c r="S38" s="56"/>
      <c r="T38" s="71">
        <v>65032</v>
      </c>
      <c r="U38" s="56" t="s">
        <v>2008</v>
      </c>
    </row>
    <row r="39" spans="1:21" ht="18">
      <c r="A39" s="258">
        <f t="shared" si="1"/>
        <v>14</v>
      </c>
      <c r="B39" s="262" t="s">
        <v>43</v>
      </c>
      <c r="C39" s="70" t="s">
        <v>44</v>
      </c>
      <c r="D39" s="70" t="s">
        <v>449</v>
      </c>
      <c r="E39" s="267" t="s">
        <v>1569</v>
      </c>
      <c r="F39" s="268" t="s">
        <v>1046</v>
      </c>
      <c r="G39" s="266"/>
      <c r="H39" s="69"/>
      <c r="I39" s="268">
        <v>46</v>
      </c>
      <c r="J39" s="70" t="s">
        <v>90</v>
      </c>
      <c r="K39" s="266" t="s">
        <v>53</v>
      </c>
      <c r="L39" s="69"/>
      <c r="M39" s="248" t="s">
        <v>2009</v>
      </c>
      <c r="N39" s="80">
        <v>65027</v>
      </c>
      <c r="O39" s="80">
        <v>65027</v>
      </c>
      <c r="P39" s="56"/>
      <c r="Q39" s="69" t="s">
        <v>806</v>
      </c>
      <c r="R39" s="56"/>
      <c r="S39" s="56"/>
      <c r="T39" s="71">
        <v>65033</v>
      </c>
      <c r="U39" s="56" t="s">
        <v>2010</v>
      </c>
    </row>
    <row r="40" spans="1:21" s="27" customFormat="1" ht="18">
      <c r="A40" s="258">
        <f t="shared" si="1"/>
        <v>15</v>
      </c>
      <c r="B40" s="262" t="s">
        <v>43</v>
      </c>
      <c r="C40" s="70" t="s">
        <v>44</v>
      </c>
      <c r="D40" s="70" t="s">
        <v>449</v>
      </c>
      <c r="E40" s="269" t="s">
        <v>2011</v>
      </c>
      <c r="F40" s="11" t="s">
        <v>491</v>
      </c>
      <c r="G40" s="1081">
        <v>9844935236</v>
      </c>
      <c r="H40" s="69"/>
      <c r="I40" s="11">
        <v>46</v>
      </c>
      <c r="J40" s="70" t="s">
        <v>48</v>
      </c>
      <c r="K40" s="266" t="s">
        <v>345</v>
      </c>
      <c r="L40" s="136"/>
      <c r="M40" s="248" t="s">
        <v>262</v>
      </c>
      <c r="N40" s="80">
        <v>65029</v>
      </c>
      <c r="O40" s="80">
        <v>65029</v>
      </c>
      <c r="P40" s="69"/>
      <c r="Q40" s="69" t="s">
        <v>806</v>
      </c>
      <c r="R40" s="69"/>
      <c r="S40" s="272"/>
      <c r="T40" s="71">
        <v>65033</v>
      </c>
      <c r="U40" s="69" t="s">
        <v>1544</v>
      </c>
    </row>
    <row r="41" spans="1:21" ht="18">
      <c r="A41" s="258">
        <f t="shared" si="1"/>
        <v>16</v>
      </c>
      <c r="B41" s="262" t="s">
        <v>43</v>
      </c>
      <c r="C41" s="70" t="s">
        <v>44</v>
      </c>
      <c r="D41" s="70" t="s">
        <v>449</v>
      </c>
      <c r="E41" s="267" t="s">
        <v>2146</v>
      </c>
      <c r="F41" s="268" t="s">
        <v>529</v>
      </c>
      <c r="G41" s="138"/>
      <c r="H41" s="56"/>
      <c r="I41" s="268">
        <v>75</v>
      </c>
      <c r="J41" s="70" t="s">
        <v>90</v>
      </c>
      <c r="K41" s="266" t="s">
        <v>53</v>
      </c>
      <c r="L41" s="56"/>
      <c r="M41" s="138" t="s">
        <v>1192</v>
      </c>
      <c r="N41" s="47"/>
      <c r="O41" s="47"/>
      <c r="P41" s="56"/>
      <c r="Q41" s="69" t="s">
        <v>806</v>
      </c>
      <c r="R41" s="56"/>
      <c r="S41" s="56"/>
      <c r="T41" s="64">
        <v>65034</v>
      </c>
      <c r="U41" s="56"/>
    </row>
    <row r="42" spans="1:21" ht="18">
      <c r="A42" s="258">
        <f t="shared" si="1"/>
        <v>17</v>
      </c>
      <c r="B42" s="262" t="s">
        <v>43</v>
      </c>
      <c r="C42" s="70" t="s">
        <v>44</v>
      </c>
      <c r="D42" s="70" t="s">
        <v>449</v>
      </c>
      <c r="E42" s="267" t="s">
        <v>2147</v>
      </c>
      <c r="F42" s="268" t="s">
        <v>124</v>
      </c>
      <c r="G42" s="138"/>
      <c r="H42" s="56"/>
      <c r="I42" s="268">
        <v>45</v>
      </c>
      <c r="J42" s="70" t="s">
        <v>48</v>
      </c>
      <c r="K42" s="266" t="s">
        <v>53</v>
      </c>
      <c r="L42" s="56"/>
      <c r="M42" s="248" t="s">
        <v>2009</v>
      </c>
      <c r="N42" s="47"/>
      <c r="O42" s="47"/>
      <c r="P42" s="56"/>
      <c r="Q42" s="69" t="s">
        <v>806</v>
      </c>
      <c r="R42" s="56"/>
      <c r="S42" s="56"/>
      <c r="T42" s="64">
        <v>65034</v>
      </c>
      <c r="U42" s="56"/>
    </row>
    <row r="43" spans="1:21" s="27" customFormat="1" ht="18">
      <c r="A43" s="258">
        <f t="shared" si="1"/>
        <v>18</v>
      </c>
      <c r="B43" s="262" t="s">
        <v>43</v>
      </c>
      <c r="C43" s="70" t="s">
        <v>44</v>
      </c>
      <c r="D43" s="70" t="s">
        <v>449</v>
      </c>
      <c r="E43" s="267" t="s">
        <v>2219</v>
      </c>
      <c r="F43" s="595" t="s">
        <v>730</v>
      </c>
      <c r="G43" s="248"/>
      <c r="H43" s="189"/>
      <c r="I43" s="189">
        <v>41</v>
      </c>
      <c r="J43" s="189" t="s">
        <v>48</v>
      </c>
      <c r="K43" s="155" t="s">
        <v>53</v>
      </c>
      <c r="L43" s="155"/>
      <c r="M43" s="155" t="s">
        <v>119</v>
      </c>
      <c r="N43" s="273">
        <v>65036</v>
      </c>
      <c r="O43" s="189"/>
      <c r="P43" s="69"/>
      <c r="Q43" s="69" t="s">
        <v>940</v>
      </c>
      <c r="R43" s="69"/>
      <c r="S43" s="69"/>
      <c r="T43" s="71">
        <v>65036</v>
      </c>
      <c r="U43" s="69" t="s">
        <v>2297</v>
      </c>
    </row>
    <row r="44" spans="1:21" s="27" customFormat="1" ht="18">
      <c r="A44" s="258">
        <f t="shared" si="1"/>
        <v>19</v>
      </c>
      <c r="B44" s="262" t="s">
        <v>43</v>
      </c>
      <c r="C44" s="70" t="s">
        <v>44</v>
      </c>
      <c r="D44" s="70" t="s">
        <v>449</v>
      </c>
      <c r="E44" s="267" t="s">
        <v>2144</v>
      </c>
      <c r="F44" s="595" t="s">
        <v>491</v>
      </c>
      <c r="G44" s="248">
        <v>9847823420</v>
      </c>
      <c r="H44" s="155"/>
      <c r="I44" s="189">
        <v>54</v>
      </c>
      <c r="J44" s="155" t="s">
        <v>48</v>
      </c>
      <c r="K44" s="155" t="s">
        <v>1480</v>
      </c>
      <c r="L44" s="69"/>
      <c r="M44" s="266" t="s">
        <v>1192</v>
      </c>
      <c r="N44" s="273">
        <v>65034</v>
      </c>
      <c r="O44" s="273">
        <v>65034</v>
      </c>
      <c r="Q44" s="69" t="s">
        <v>940</v>
      </c>
      <c r="R44" s="69"/>
      <c r="S44" s="69"/>
      <c r="T44" s="274">
        <v>65036</v>
      </c>
      <c r="U44" s="69" t="s">
        <v>2300</v>
      </c>
    </row>
    <row r="45" spans="1:21" ht="18">
      <c r="A45" s="258">
        <f t="shared" si="1"/>
        <v>20</v>
      </c>
      <c r="B45" s="262" t="s">
        <v>43</v>
      </c>
      <c r="C45" s="70" t="s">
        <v>44</v>
      </c>
      <c r="D45" s="70" t="s">
        <v>449</v>
      </c>
      <c r="E45" s="275" t="s">
        <v>2298</v>
      </c>
      <c r="F45" s="1198" t="s">
        <v>557</v>
      </c>
      <c r="G45" s="1198"/>
      <c r="H45" s="69"/>
      <c r="I45" s="276">
        <v>75</v>
      </c>
      <c r="J45" s="155" t="s">
        <v>90</v>
      </c>
      <c r="K45" s="266" t="s">
        <v>53</v>
      </c>
      <c r="L45" s="69"/>
      <c r="M45" s="266" t="s">
        <v>1338</v>
      </c>
      <c r="N45" s="273"/>
      <c r="O45" s="273"/>
      <c r="P45" s="56"/>
      <c r="Q45" s="69" t="s">
        <v>940</v>
      </c>
      <c r="R45" s="56"/>
      <c r="S45" s="56"/>
      <c r="T45" s="71">
        <v>65036</v>
      </c>
      <c r="U45" s="69" t="s">
        <v>2299</v>
      </c>
    </row>
    <row r="46" spans="1:21" s="119" customFormat="1" ht="18">
      <c r="A46" s="277">
        <f t="shared" si="1"/>
        <v>21</v>
      </c>
      <c r="B46" s="262" t="s">
        <v>43</v>
      </c>
      <c r="C46" s="70" t="s">
        <v>44</v>
      </c>
      <c r="D46" s="266" t="s">
        <v>449</v>
      </c>
      <c r="E46" s="275" t="s">
        <v>1854</v>
      </c>
      <c r="F46" s="1198" t="s">
        <v>512</v>
      </c>
      <c r="G46" s="1459">
        <v>9812872412</v>
      </c>
      <c r="H46" s="277"/>
      <c r="I46" s="226">
        <v>32</v>
      </c>
      <c r="J46" s="129" t="s">
        <v>1762</v>
      </c>
      <c r="K46" s="266" t="s">
        <v>709</v>
      </c>
      <c r="L46" s="69"/>
      <c r="M46" s="248" t="s">
        <v>1764</v>
      </c>
      <c r="N46" s="80">
        <v>65030</v>
      </c>
      <c r="O46" s="80">
        <v>65030</v>
      </c>
      <c r="P46" s="71"/>
      <c r="Q46" s="69" t="s">
        <v>940</v>
      </c>
      <c r="R46" s="277"/>
      <c r="S46" s="277"/>
      <c r="T46" s="271">
        <v>65039</v>
      </c>
      <c r="U46" s="277" t="s">
        <v>2876</v>
      </c>
    </row>
    <row r="47" spans="1:21" ht="18">
      <c r="A47" s="277">
        <f t="shared" si="1"/>
        <v>22</v>
      </c>
      <c r="B47" s="262" t="s">
        <v>43</v>
      </c>
      <c r="C47" s="70" t="s">
        <v>44</v>
      </c>
      <c r="D47" s="70" t="s">
        <v>449</v>
      </c>
      <c r="E47" s="269" t="s">
        <v>1819</v>
      </c>
      <c r="F47" s="1081" t="s">
        <v>598</v>
      </c>
      <c r="G47" s="1081">
        <v>9847944588</v>
      </c>
      <c r="H47" s="69"/>
      <c r="I47" s="11">
        <v>55</v>
      </c>
      <c r="J47" s="269" t="s">
        <v>1762</v>
      </c>
      <c r="K47" s="266" t="s">
        <v>1480</v>
      </c>
      <c r="L47" s="136"/>
      <c r="M47" s="248" t="s">
        <v>1764</v>
      </c>
      <c r="N47" s="80">
        <v>65029</v>
      </c>
      <c r="O47" s="80">
        <v>65029</v>
      </c>
      <c r="P47" s="71"/>
      <c r="Q47" s="69" t="s">
        <v>940</v>
      </c>
      <c r="R47" s="56"/>
      <c r="S47" s="56"/>
      <c r="T47" s="271">
        <v>65039</v>
      </c>
      <c r="U47" s="69" t="s">
        <v>1134</v>
      </c>
    </row>
    <row r="48" spans="1:21" ht="18">
      <c r="A48" s="277">
        <f t="shared" si="1"/>
        <v>23</v>
      </c>
      <c r="B48" s="262" t="s">
        <v>43</v>
      </c>
      <c r="C48" s="70" t="s">
        <v>44</v>
      </c>
      <c r="D48" s="70" t="s">
        <v>449</v>
      </c>
      <c r="E48" s="155" t="s">
        <v>2877</v>
      </c>
      <c r="F48" s="248" t="s">
        <v>502</v>
      </c>
      <c r="G48" s="248"/>
      <c r="H48" s="155"/>
      <c r="I48" s="189">
        <v>67</v>
      </c>
      <c r="J48" s="155" t="s">
        <v>48</v>
      </c>
      <c r="K48" s="155" t="s">
        <v>53</v>
      </c>
      <c r="L48" s="278"/>
      <c r="M48" s="155" t="s">
        <v>54</v>
      </c>
      <c r="N48" s="279">
        <v>65035</v>
      </c>
      <c r="O48" s="279">
        <v>65035</v>
      </c>
      <c r="P48" s="56"/>
      <c r="Q48" s="280" t="s">
        <v>940</v>
      </c>
      <c r="R48" s="56"/>
      <c r="S48" s="56"/>
      <c r="T48" s="281">
        <v>65040</v>
      </c>
      <c r="U48" s="56"/>
    </row>
    <row r="49" spans="1:21" s="98" customFormat="1" ht="18">
      <c r="A49" s="277">
        <f t="shared" si="1"/>
        <v>24</v>
      </c>
      <c r="B49" s="262" t="s">
        <v>43</v>
      </c>
      <c r="C49" s="70" t="s">
        <v>44</v>
      </c>
      <c r="D49" s="70" t="s">
        <v>449</v>
      </c>
      <c r="E49" s="699" t="s">
        <v>2799</v>
      </c>
      <c r="F49" s="505" t="s">
        <v>124</v>
      </c>
      <c r="G49" s="699">
        <v>9857823197</v>
      </c>
      <c r="H49" s="699"/>
      <c r="I49" s="1199">
        <v>49</v>
      </c>
      <c r="J49" s="699" t="s">
        <v>48</v>
      </c>
      <c r="K49" s="699" t="s">
        <v>1468</v>
      </c>
      <c r="L49" s="699"/>
      <c r="M49" s="699" t="s">
        <v>2651</v>
      </c>
      <c r="N49" s="1055">
        <v>65041</v>
      </c>
      <c r="O49" s="1056">
        <v>65041</v>
      </c>
      <c r="P49" s="56"/>
      <c r="Q49" s="280" t="s">
        <v>940</v>
      </c>
      <c r="R49" s="56"/>
      <c r="S49" s="56"/>
      <c r="T49" s="281">
        <v>65040</v>
      </c>
      <c r="U49" s="56"/>
    </row>
    <row r="50" spans="1:21" ht="18">
      <c r="A50" s="277">
        <f t="shared" si="1"/>
        <v>25</v>
      </c>
      <c r="B50" s="262" t="s">
        <v>43</v>
      </c>
      <c r="C50" s="70" t="s">
        <v>44</v>
      </c>
      <c r="D50" s="70" t="s">
        <v>449</v>
      </c>
      <c r="E50" s="155" t="s">
        <v>2199</v>
      </c>
      <c r="F50" s="248" t="s">
        <v>441</v>
      </c>
      <c r="G50" s="248"/>
      <c r="H50" s="155"/>
      <c r="I50" s="189">
        <v>58</v>
      </c>
      <c r="J50" s="155" t="s">
        <v>90</v>
      </c>
      <c r="K50" s="155" t="s">
        <v>53</v>
      </c>
      <c r="L50" s="155"/>
      <c r="M50" s="155"/>
      <c r="N50" s="274">
        <v>65034</v>
      </c>
      <c r="O50" s="274">
        <v>65034</v>
      </c>
      <c r="P50" s="56"/>
      <c r="Q50" s="69" t="s">
        <v>940</v>
      </c>
      <c r="R50" s="56"/>
      <c r="S50" s="56"/>
      <c r="T50" s="71">
        <v>65041</v>
      </c>
      <c r="U50" s="69" t="s">
        <v>2299</v>
      </c>
    </row>
    <row r="51" spans="1:21" ht="18">
      <c r="A51" s="277">
        <f t="shared" si="1"/>
        <v>26</v>
      </c>
      <c r="B51" s="262" t="s">
        <v>43</v>
      </c>
      <c r="C51" s="70" t="s">
        <v>44</v>
      </c>
      <c r="D51" s="70" t="s">
        <v>449</v>
      </c>
      <c r="E51" s="248" t="s">
        <v>2819</v>
      </c>
      <c r="F51" s="248" t="s">
        <v>510</v>
      </c>
      <c r="G51" s="248">
        <v>9844996177</v>
      </c>
      <c r="H51" s="155"/>
      <c r="I51" s="189">
        <v>55</v>
      </c>
      <c r="J51" s="155" t="s">
        <v>48</v>
      </c>
      <c r="K51" s="155" t="s">
        <v>53</v>
      </c>
      <c r="L51" s="155"/>
      <c r="M51" s="155" t="s">
        <v>119</v>
      </c>
      <c r="N51" s="282">
        <v>65041</v>
      </c>
      <c r="O51" s="282">
        <v>65041</v>
      </c>
      <c r="P51" s="56"/>
      <c r="Q51" s="69" t="s">
        <v>940</v>
      </c>
      <c r="R51" s="56"/>
      <c r="S51" s="56"/>
      <c r="T51" s="71">
        <v>65042</v>
      </c>
      <c r="U51" s="69" t="s">
        <v>2935</v>
      </c>
    </row>
    <row r="52" spans="1:21" ht="18">
      <c r="A52" s="277">
        <f t="shared" si="1"/>
        <v>27</v>
      </c>
      <c r="B52" s="262" t="s">
        <v>43</v>
      </c>
      <c r="C52" s="70" t="s">
        <v>44</v>
      </c>
      <c r="D52" s="70" t="s">
        <v>449</v>
      </c>
      <c r="E52" s="129" t="s">
        <v>2148</v>
      </c>
      <c r="F52" s="129" t="s">
        <v>1204</v>
      </c>
      <c r="G52" s="1459">
        <v>9809706958</v>
      </c>
      <c r="H52" s="69"/>
      <c r="I52" s="226">
        <v>45</v>
      </c>
      <c r="J52" s="155" t="s">
        <v>48</v>
      </c>
      <c r="K52" s="283" t="s">
        <v>709</v>
      </c>
      <c r="L52" s="69"/>
      <c r="M52" s="266" t="s">
        <v>1192</v>
      </c>
      <c r="N52" s="274">
        <v>65034</v>
      </c>
      <c r="O52" s="274">
        <v>65034</v>
      </c>
      <c r="P52" s="56"/>
      <c r="Q52" s="69" t="s">
        <v>940</v>
      </c>
      <c r="R52" s="56"/>
      <c r="S52" s="56"/>
      <c r="T52" s="274">
        <v>65042</v>
      </c>
      <c r="U52" s="69" t="s">
        <v>1749</v>
      </c>
    </row>
    <row r="53" spans="1:21" ht="18">
      <c r="A53" s="277">
        <f t="shared" si="1"/>
        <v>28</v>
      </c>
      <c r="B53" s="262" t="s">
        <v>43</v>
      </c>
      <c r="C53" s="70" t="s">
        <v>44</v>
      </c>
      <c r="D53" s="70" t="s">
        <v>449</v>
      </c>
      <c r="E53" s="284" t="s">
        <v>2882</v>
      </c>
      <c r="F53" s="284" t="s">
        <v>491</v>
      </c>
      <c r="G53" s="293">
        <v>9800547678</v>
      </c>
      <c r="H53" s="284"/>
      <c r="I53" s="286">
        <v>76</v>
      </c>
      <c r="J53" s="284" t="s">
        <v>48</v>
      </c>
      <c r="K53" s="284" t="s">
        <v>53</v>
      </c>
      <c r="L53" s="287"/>
      <c r="M53" s="284" t="s">
        <v>54</v>
      </c>
      <c r="N53" s="288">
        <v>65042</v>
      </c>
      <c r="O53" s="288">
        <v>65042</v>
      </c>
      <c r="P53" s="56"/>
      <c r="Q53" s="69" t="s">
        <v>940</v>
      </c>
      <c r="R53" s="56"/>
      <c r="S53" s="56"/>
      <c r="T53" s="64">
        <v>65042</v>
      </c>
      <c r="U53" s="69" t="s">
        <v>2936</v>
      </c>
    </row>
    <row r="54" spans="1:21" ht="18">
      <c r="A54" s="277">
        <f t="shared" si="1"/>
        <v>29</v>
      </c>
      <c r="B54" s="262" t="s">
        <v>43</v>
      </c>
      <c r="C54" s="70" t="s">
        <v>44</v>
      </c>
      <c r="D54" s="70" t="s">
        <v>449</v>
      </c>
      <c r="E54" s="155" t="s">
        <v>2937</v>
      </c>
      <c r="F54" s="155" t="s">
        <v>497</v>
      </c>
      <c r="G54" s="248"/>
      <c r="H54" s="155"/>
      <c r="I54" s="199">
        <v>36</v>
      </c>
      <c r="J54" s="155" t="s">
        <v>48</v>
      </c>
      <c r="K54" s="155"/>
      <c r="L54" s="69"/>
      <c r="M54" s="155" t="s">
        <v>119</v>
      </c>
      <c r="N54" s="282">
        <v>65042</v>
      </c>
      <c r="O54" s="282">
        <v>65042</v>
      </c>
      <c r="P54" s="56"/>
      <c r="Q54" s="69" t="s">
        <v>940</v>
      </c>
      <c r="R54" s="56"/>
      <c r="S54" s="56"/>
      <c r="T54" s="71">
        <v>65042</v>
      </c>
      <c r="U54" s="69" t="s">
        <v>2300</v>
      </c>
    </row>
    <row r="55" spans="1:21" ht="18">
      <c r="A55" s="277">
        <f t="shared" si="1"/>
        <v>30</v>
      </c>
      <c r="B55" s="262" t="s">
        <v>43</v>
      </c>
      <c r="C55" s="70" t="s">
        <v>44</v>
      </c>
      <c r="D55" s="70" t="s">
        <v>449</v>
      </c>
      <c r="E55" s="284" t="s">
        <v>2899</v>
      </c>
      <c r="F55" s="284" t="s">
        <v>529</v>
      </c>
      <c r="G55" s="293">
        <v>9844773354</v>
      </c>
      <c r="H55" s="284"/>
      <c r="I55" s="285">
        <v>70</v>
      </c>
      <c r="J55" s="284" t="s">
        <v>90</v>
      </c>
      <c r="K55" s="284" t="s">
        <v>53</v>
      </c>
      <c r="L55" s="287"/>
      <c r="M55" s="284" t="s">
        <v>54</v>
      </c>
      <c r="N55" s="288">
        <v>65042</v>
      </c>
      <c r="O55" s="288">
        <v>65042</v>
      </c>
      <c r="P55" s="287"/>
      <c r="Q55" s="69" t="s">
        <v>940</v>
      </c>
      <c r="R55" s="56"/>
      <c r="S55" s="56"/>
      <c r="T55" s="289">
        <v>65043</v>
      </c>
      <c r="U55" s="69" t="s">
        <v>1544</v>
      </c>
    </row>
    <row r="56" spans="1:21" ht="18">
      <c r="A56" s="277">
        <f t="shared" si="1"/>
        <v>31</v>
      </c>
      <c r="B56" s="262" t="s">
        <v>43</v>
      </c>
      <c r="C56" s="70" t="s">
        <v>44</v>
      </c>
      <c r="D56" s="70" t="s">
        <v>449</v>
      </c>
      <c r="E56" s="155" t="s">
        <v>1866</v>
      </c>
      <c r="F56" s="155" t="s">
        <v>1046</v>
      </c>
      <c r="G56" s="248">
        <v>9840125230</v>
      </c>
      <c r="H56" s="155"/>
      <c r="I56" s="199">
        <v>27</v>
      </c>
      <c r="J56" s="155" t="s">
        <v>48</v>
      </c>
      <c r="K56" s="155" t="s">
        <v>53</v>
      </c>
      <c r="L56" s="155"/>
      <c r="M56" s="248" t="s">
        <v>1764</v>
      </c>
      <c r="N56" s="274">
        <v>65031</v>
      </c>
      <c r="O56" s="290">
        <v>65044</v>
      </c>
      <c r="P56" s="69"/>
      <c r="Q56" s="69" t="s">
        <v>940</v>
      </c>
      <c r="R56" s="56"/>
      <c r="S56" s="56"/>
      <c r="T56" s="289">
        <v>65043</v>
      </c>
      <c r="U56" s="69" t="s">
        <v>2008</v>
      </c>
    </row>
    <row r="57" spans="1:21" ht="18">
      <c r="A57" s="277">
        <f t="shared" si="1"/>
        <v>32</v>
      </c>
      <c r="B57" s="262" t="s">
        <v>43</v>
      </c>
      <c r="C57" s="70" t="s">
        <v>44</v>
      </c>
      <c r="D57" s="70" t="s">
        <v>449</v>
      </c>
      <c r="E57" s="155" t="s">
        <v>2273</v>
      </c>
      <c r="F57" s="155" t="s">
        <v>730</v>
      </c>
      <c r="G57" s="248">
        <v>9864281491</v>
      </c>
      <c r="H57" s="155"/>
      <c r="I57" s="199">
        <v>55</v>
      </c>
      <c r="J57" s="155" t="s">
        <v>90</v>
      </c>
      <c r="K57" s="155" t="s">
        <v>53</v>
      </c>
      <c r="L57" s="155"/>
      <c r="M57" s="155" t="s">
        <v>119</v>
      </c>
      <c r="N57" s="274">
        <v>65036</v>
      </c>
      <c r="O57" s="47"/>
      <c r="P57" s="56"/>
      <c r="Q57" s="69" t="s">
        <v>940</v>
      </c>
      <c r="R57" s="56"/>
      <c r="S57" s="56"/>
      <c r="T57" s="274">
        <v>65042</v>
      </c>
      <c r="U57" s="56"/>
    </row>
    <row r="58" spans="1:21" ht="18">
      <c r="A58" s="277">
        <f t="shared" si="1"/>
        <v>33</v>
      </c>
      <c r="B58" s="262" t="s">
        <v>43</v>
      </c>
      <c r="C58" s="70" t="s">
        <v>44</v>
      </c>
      <c r="D58" s="70" t="s">
        <v>449</v>
      </c>
      <c r="E58" s="155" t="s">
        <v>2938</v>
      </c>
      <c r="F58" s="291" t="s">
        <v>124</v>
      </c>
      <c r="G58" s="248">
        <v>9847891351</v>
      </c>
      <c r="H58" s="155"/>
      <c r="I58" s="199">
        <v>66</v>
      </c>
      <c r="J58" s="155" t="s">
        <v>48</v>
      </c>
      <c r="K58" s="155" t="s">
        <v>1480</v>
      </c>
      <c r="L58" s="69"/>
      <c r="M58" s="125" t="s">
        <v>820</v>
      </c>
      <c r="N58" s="282">
        <v>65039</v>
      </c>
      <c r="O58" s="282">
        <v>65039</v>
      </c>
      <c r="P58" s="56"/>
      <c r="Q58" s="69" t="s">
        <v>940</v>
      </c>
      <c r="R58" s="56"/>
      <c r="S58" s="56"/>
      <c r="T58" s="64">
        <v>65044</v>
      </c>
      <c r="U58" s="69" t="s">
        <v>2939</v>
      </c>
    </row>
    <row r="59" spans="1:21" ht="18">
      <c r="A59" s="277">
        <f t="shared" si="1"/>
        <v>34</v>
      </c>
      <c r="B59" s="262" t="s">
        <v>43</v>
      </c>
      <c r="C59" s="70" t="s">
        <v>44</v>
      </c>
      <c r="D59" s="70" t="s">
        <v>449</v>
      </c>
      <c r="E59" s="155" t="s">
        <v>1581</v>
      </c>
      <c r="F59" s="155" t="s">
        <v>730</v>
      </c>
      <c r="G59" s="248">
        <v>9844977822</v>
      </c>
      <c r="H59" s="69"/>
      <c r="I59" s="199">
        <v>78</v>
      </c>
      <c r="J59" s="155" t="s">
        <v>48</v>
      </c>
      <c r="K59" s="69"/>
      <c r="L59" s="69"/>
      <c r="M59" s="155" t="s">
        <v>119</v>
      </c>
      <c r="N59" s="290">
        <v>65043</v>
      </c>
      <c r="O59" s="290">
        <v>65043</v>
      </c>
      <c r="P59" s="56"/>
      <c r="Q59" s="69" t="s">
        <v>940</v>
      </c>
      <c r="R59" s="56"/>
      <c r="S59" s="56"/>
      <c r="T59" s="71">
        <v>65044</v>
      </c>
      <c r="U59" s="69" t="s">
        <v>2300</v>
      </c>
    </row>
    <row r="60" spans="1:21" ht="18">
      <c r="A60" s="277">
        <f t="shared" si="1"/>
        <v>35</v>
      </c>
      <c r="B60" s="262" t="s">
        <v>43</v>
      </c>
      <c r="C60" s="70" t="s">
        <v>44</v>
      </c>
      <c r="D60" s="70" t="s">
        <v>449</v>
      </c>
      <c r="E60" s="155" t="s">
        <v>3290</v>
      </c>
      <c r="F60" s="155" t="s">
        <v>441</v>
      </c>
      <c r="G60" s="266"/>
      <c r="H60" s="69"/>
      <c r="I60" s="111">
        <v>62</v>
      </c>
      <c r="J60" s="155" t="s">
        <v>48</v>
      </c>
      <c r="K60" s="155" t="s">
        <v>1763</v>
      </c>
      <c r="L60" s="69"/>
      <c r="M60" s="155" t="s">
        <v>3291</v>
      </c>
      <c r="N60" s="290">
        <v>65044</v>
      </c>
      <c r="O60" s="274">
        <v>65044</v>
      </c>
      <c r="P60" s="56"/>
      <c r="Q60" s="69" t="s">
        <v>940</v>
      </c>
      <c r="R60" s="56"/>
      <c r="S60" s="56"/>
      <c r="T60" s="71">
        <v>65044</v>
      </c>
      <c r="U60" s="69" t="s">
        <v>2008</v>
      </c>
    </row>
    <row r="61" spans="1:21" ht="18">
      <c r="A61" s="277">
        <f t="shared" si="1"/>
        <v>36</v>
      </c>
      <c r="B61" s="262" t="s">
        <v>43</v>
      </c>
      <c r="C61" s="70" t="s">
        <v>44</v>
      </c>
      <c r="D61" s="70" t="s">
        <v>449</v>
      </c>
      <c r="E61" s="155" t="s">
        <v>3295</v>
      </c>
      <c r="F61" s="155" t="s">
        <v>1046</v>
      </c>
      <c r="G61" s="266"/>
      <c r="H61" s="69"/>
      <c r="I61" s="111">
        <v>62</v>
      </c>
      <c r="J61" s="155" t="s">
        <v>48</v>
      </c>
      <c r="K61" s="69"/>
      <c r="L61" s="69"/>
      <c r="M61" s="155" t="s">
        <v>3293</v>
      </c>
      <c r="N61" s="290">
        <v>65044</v>
      </c>
      <c r="O61" s="290">
        <v>65044</v>
      </c>
      <c r="P61" s="71"/>
      <c r="Q61" s="69" t="s">
        <v>940</v>
      </c>
      <c r="R61" s="56"/>
      <c r="S61" s="56"/>
      <c r="T61" s="71">
        <v>65044</v>
      </c>
      <c r="U61" s="69" t="s">
        <v>1134</v>
      </c>
    </row>
    <row r="62" spans="1:21" ht="18">
      <c r="A62" s="277">
        <f t="shared" si="1"/>
        <v>37</v>
      </c>
      <c r="B62" s="262" t="s">
        <v>43</v>
      </c>
      <c r="C62" s="70" t="s">
        <v>44</v>
      </c>
      <c r="D62" s="70" t="s">
        <v>449</v>
      </c>
      <c r="E62" s="129" t="s">
        <v>2161</v>
      </c>
      <c r="F62" s="129" t="s">
        <v>1204</v>
      </c>
      <c r="G62" s="1459">
        <v>9812857885</v>
      </c>
      <c r="H62" s="69"/>
      <c r="I62" s="234">
        <v>49</v>
      </c>
      <c r="J62" s="155" t="s">
        <v>90</v>
      </c>
      <c r="K62" s="283" t="s">
        <v>709</v>
      </c>
      <c r="L62" s="69"/>
      <c r="M62" s="266" t="s">
        <v>1192</v>
      </c>
      <c r="N62" s="274">
        <v>65034</v>
      </c>
      <c r="O62" s="274">
        <v>65034</v>
      </c>
      <c r="P62" s="71"/>
      <c r="Q62" s="69" t="s">
        <v>940</v>
      </c>
      <c r="R62" s="56"/>
      <c r="S62" s="56"/>
      <c r="T62" s="71">
        <v>65044</v>
      </c>
      <c r="U62" s="69" t="s">
        <v>3294</v>
      </c>
    </row>
    <row r="63" spans="1:21" ht="18">
      <c r="A63" s="277">
        <f t="shared" si="1"/>
        <v>38</v>
      </c>
      <c r="B63" s="262" t="s">
        <v>43</v>
      </c>
      <c r="C63" s="70" t="s">
        <v>44</v>
      </c>
      <c r="D63" s="70" t="s">
        <v>449</v>
      </c>
      <c r="E63" s="155" t="s">
        <v>3367</v>
      </c>
      <c r="F63" s="155" t="s">
        <v>529</v>
      </c>
      <c r="G63" s="248">
        <v>9849886031</v>
      </c>
      <c r="H63" s="69"/>
      <c r="I63" s="155">
        <v>30</v>
      </c>
      <c r="J63" s="155" t="s">
        <v>90</v>
      </c>
      <c r="K63" s="69"/>
      <c r="L63" s="69"/>
      <c r="M63" s="155" t="s">
        <v>119</v>
      </c>
      <c r="N63" s="282">
        <v>65045</v>
      </c>
      <c r="O63" s="282">
        <v>65045</v>
      </c>
      <c r="P63" s="56"/>
      <c r="Q63" s="69" t="s">
        <v>940</v>
      </c>
      <c r="R63" s="56"/>
      <c r="S63" s="56"/>
      <c r="T63" s="282">
        <v>65045</v>
      </c>
      <c r="U63" s="69" t="s">
        <v>3368</v>
      </c>
    </row>
    <row r="64" spans="1:21" ht="18">
      <c r="A64" s="277">
        <f t="shared" si="1"/>
        <v>39</v>
      </c>
      <c r="B64" s="262" t="s">
        <v>43</v>
      </c>
      <c r="C64" s="70" t="s">
        <v>44</v>
      </c>
      <c r="D64" s="70" t="s">
        <v>449</v>
      </c>
      <c r="E64" s="155" t="s">
        <v>3199</v>
      </c>
      <c r="F64" s="155" t="s">
        <v>124</v>
      </c>
      <c r="G64" s="248">
        <v>9857820623</v>
      </c>
      <c r="H64" s="69"/>
      <c r="I64" s="199">
        <v>37</v>
      </c>
      <c r="J64" s="155" t="s">
        <v>48</v>
      </c>
      <c r="K64" s="155" t="s">
        <v>1468</v>
      </c>
      <c r="L64" s="69"/>
      <c r="M64" s="155" t="s">
        <v>119</v>
      </c>
      <c r="N64" s="274">
        <v>65044</v>
      </c>
      <c r="O64" s="274">
        <v>65044</v>
      </c>
      <c r="P64" s="56"/>
      <c r="Q64" s="69" t="s">
        <v>940</v>
      </c>
      <c r="R64" s="56"/>
      <c r="S64" s="56"/>
      <c r="T64" s="71">
        <v>65046</v>
      </c>
      <c r="U64" s="69" t="s">
        <v>3370</v>
      </c>
    </row>
    <row r="65" spans="1:21" ht="18">
      <c r="A65" s="277">
        <f t="shared" si="1"/>
        <v>40</v>
      </c>
      <c r="B65" s="262" t="s">
        <v>43</v>
      </c>
      <c r="C65" s="70" t="s">
        <v>44</v>
      </c>
      <c r="D65" s="70" t="s">
        <v>449</v>
      </c>
      <c r="E65" s="275" t="s">
        <v>1802</v>
      </c>
      <c r="F65" s="275" t="s">
        <v>124</v>
      </c>
      <c r="G65" s="1198">
        <v>9840602702</v>
      </c>
      <c r="H65" s="277"/>
      <c r="I65" s="292">
        <v>34</v>
      </c>
      <c r="J65" s="155" t="s">
        <v>90</v>
      </c>
      <c r="K65" s="283" t="s">
        <v>709</v>
      </c>
      <c r="L65" s="129"/>
      <c r="M65" s="293" t="s">
        <v>54</v>
      </c>
      <c r="N65" s="294">
        <v>65029</v>
      </c>
      <c r="O65" s="294">
        <v>65029</v>
      </c>
      <c r="P65" s="56"/>
      <c r="Q65" s="277" t="s">
        <v>940</v>
      </c>
      <c r="R65" s="56"/>
      <c r="S65" s="56"/>
      <c r="T65" s="271">
        <v>65045</v>
      </c>
      <c r="U65" s="69" t="s">
        <v>3371</v>
      </c>
    </row>
    <row r="66" spans="1:21" ht="18">
      <c r="A66" s="277">
        <f t="shared" si="1"/>
        <v>41</v>
      </c>
      <c r="B66" s="262" t="s">
        <v>43</v>
      </c>
      <c r="C66" s="70" t="s">
        <v>44</v>
      </c>
      <c r="D66" s="70" t="s">
        <v>449</v>
      </c>
      <c r="E66" s="155" t="s">
        <v>3372</v>
      </c>
      <c r="F66" s="155" t="s">
        <v>791</v>
      </c>
      <c r="G66" s="266"/>
      <c r="H66" s="69"/>
      <c r="I66" s="155">
        <v>45</v>
      </c>
      <c r="J66" s="155" t="s">
        <v>90</v>
      </c>
      <c r="K66" s="69"/>
      <c r="L66" s="69"/>
      <c r="M66" s="155" t="s">
        <v>2651</v>
      </c>
      <c r="N66" s="71">
        <v>65046</v>
      </c>
      <c r="O66" s="71">
        <v>65046</v>
      </c>
      <c r="P66" s="56"/>
      <c r="Q66" s="69" t="s">
        <v>940</v>
      </c>
      <c r="R66" s="56"/>
      <c r="S66" s="56"/>
      <c r="T66" s="71">
        <v>65046</v>
      </c>
      <c r="U66" s="69" t="s">
        <v>3373</v>
      </c>
    </row>
    <row r="67" spans="1:21" s="61" customFormat="1" ht="39" customHeight="1">
      <c r="A67" s="296">
        <f t="shared" si="1"/>
        <v>42</v>
      </c>
      <c r="B67" s="262" t="s">
        <v>43</v>
      </c>
      <c r="C67" s="70" t="s">
        <v>44</v>
      </c>
      <c r="D67" s="70" t="s">
        <v>449</v>
      </c>
      <c r="E67" s="155" t="s">
        <v>3176</v>
      </c>
      <c r="F67" s="248" t="s">
        <v>124</v>
      </c>
      <c r="G67" s="248">
        <v>9829508247</v>
      </c>
      <c r="H67" s="297"/>
      <c r="I67" s="199">
        <v>38</v>
      </c>
      <c r="J67" s="155" t="s">
        <v>48</v>
      </c>
      <c r="K67" s="155" t="s">
        <v>1480</v>
      </c>
      <c r="L67" s="297"/>
      <c r="M67" s="155" t="s">
        <v>119</v>
      </c>
      <c r="N67" s="274">
        <v>65044</v>
      </c>
      <c r="O67" s="274">
        <v>65044</v>
      </c>
      <c r="P67" s="233"/>
      <c r="Q67" s="297" t="s">
        <v>940</v>
      </c>
      <c r="R67" s="233"/>
      <c r="S67" s="233"/>
      <c r="T67" s="290">
        <v>65046</v>
      </c>
      <c r="U67" s="297" t="s">
        <v>3374</v>
      </c>
    </row>
    <row r="68" spans="1:21" s="61" customFormat="1" ht="18">
      <c r="A68" s="296">
        <f t="shared" si="1"/>
        <v>43</v>
      </c>
      <c r="B68" s="262" t="s">
        <v>43</v>
      </c>
      <c r="C68" s="70" t="s">
        <v>44</v>
      </c>
      <c r="D68" s="70" t="s">
        <v>449</v>
      </c>
      <c r="E68" s="155" t="s">
        <v>3429</v>
      </c>
      <c r="F68" s="155" t="s">
        <v>1008</v>
      </c>
      <c r="G68" s="248">
        <v>9809755391</v>
      </c>
      <c r="H68" s="297"/>
      <c r="I68" s="155">
        <v>51</v>
      </c>
      <c r="J68" s="155" t="s">
        <v>90</v>
      </c>
      <c r="K68" s="155" t="s">
        <v>1480</v>
      </c>
      <c r="L68" s="155"/>
      <c r="M68" s="155" t="s">
        <v>119</v>
      </c>
      <c r="N68" s="282">
        <v>65046</v>
      </c>
      <c r="O68" s="282">
        <v>65046</v>
      </c>
      <c r="P68" s="233"/>
      <c r="Q68" s="297" t="s">
        <v>940</v>
      </c>
      <c r="R68" s="233"/>
      <c r="S68" s="233"/>
      <c r="T68" s="290">
        <v>65017</v>
      </c>
      <c r="U68" s="297" t="s">
        <v>3432</v>
      </c>
    </row>
    <row r="69" spans="1:21" s="61" customFormat="1" ht="18.75" thickBot="1">
      <c r="A69" s="296">
        <f t="shared" si="1"/>
        <v>44</v>
      </c>
      <c r="B69" s="262" t="s">
        <v>43</v>
      </c>
      <c r="C69" s="70" t="s">
        <v>44</v>
      </c>
      <c r="D69" s="70" t="s">
        <v>449</v>
      </c>
      <c r="E69" s="297" t="s">
        <v>3553</v>
      </c>
      <c r="F69" s="155" t="s">
        <v>497</v>
      </c>
      <c r="G69" s="248">
        <v>9829512844</v>
      </c>
      <c r="H69" s="297"/>
      <c r="I69" s="111">
        <v>78</v>
      </c>
      <c r="J69" s="155" t="s">
        <v>48</v>
      </c>
      <c r="K69" s="155" t="s">
        <v>1763</v>
      </c>
      <c r="L69" s="297"/>
      <c r="M69" s="155" t="s">
        <v>3291</v>
      </c>
      <c r="N69" s="295">
        <v>65045</v>
      </c>
      <c r="O69" s="295">
        <v>65045</v>
      </c>
      <c r="P69" s="297"/>
      <c r="Q69" s="297" t="s">
        <v>940</v>
      </c>
      <c r="R69" s="297"/>
      <c r="S69" s="297"/>
      <c r="T69" s="290">
        <v>65017</v>
      </c>
      <c r="U69" s="297" t="s">
        <v>3575</v>
      </c>
    </row>
    <row r="70" spans="1:21" ht="18.75" thickBot="1">
      <c r="A70" s="296">
        <f t="shared" si="1"/>
        <v>45</v>
      </c>
      <c r="B70" s="262" t="s">
        <v>43</v>
      </c>
      <c r="C70" s="70" t="s">
        <v>44</v>
      </c>
      <c r="D70" s="123" t="s">
        <v>45</v>
      </c>
      <c r="E70" s="123" t="s">
        <v>3640</v>
      </c>
      <c r="F70" s="123" t="s">
        <v>617</v>
      </c>
      <c r="G70" s="1249">
        <v>9847881054</v>
      </c>
      <c r="H70" s="27"/>
      <c r="I70" s="123">
        <v>55</v>
      </c>
      <c r="J70" s="123" t="s">
        <v>48</v>
      </c>
      <c r="K70" s="123" t="s">
        <v>53</v>
      </c>
      <c r="L70" s="123"/>
      <c r="M70" s="301" t="s">
        <v>119</v>
      </c>
      <c r="N70" s="302">
        <v>65047</v>
      </c>
      <c r="O70" s="302"/>
      <c r="Q70" s="27" t="s">
        <v>940</v>
      </c>
      <c r="T70" s="50">
        <v>65048</v>
      </c>
      <c r="U70" s="303" t="s">
        <v>3744</v>
      </c>
    </row>
    <row r="71" spans="1:21" ht="18.75" thickBot="1">
      <c r="A71" s="296">
        <f t="shared" si="1"/>
        <v>46</v>
      </c>
      <c r="B71" s="262" t="s">
        <v>43</v>
      </c>
      <c r="C71" s="70" t="s">
        <v>44</v>
      </c>
      <c r="D71" s="123" t="s">
        <v>45</v>
      </c>
      <c r="E71" s="228" t="s">
        <v>3745</v>
      </c>
      <c r="F71" s="114" t="s">
        <v>491</v>
      </c>
      <c r="G71" s="114"/>
      <c r="H71" s="27"/>
      <c r="I71" s="237">
        <v>53</v>
      </c>
      <c r="J71" s="123" t="s">
        <v>48</v>
      </c>
      <c r="K71" s="27"/>
      <c r="L71" s="27"/>
      <c r="M71" s="114"/>
      <c r="N71" s="304">
        <v>65047</v>
      </c>
      <c r="O71" s="304">
        <v>65047</v>
      </c>
      <c r="Q71" s="27" t="s">
        <v>940</v>
      </c>
      <c r="T71" s="50">
        <v>65048</v>
      </c>
    </row>
    <row r="72" spans="1:21" ht="18">
      <c r="A72" s="296">
        <f t="shared" si="1"/>
        <v>47</v>
      </c>
      <c r="B72" s="262" t="s">
        <v>43</v>
      </c>
      <c r="C72" s="70" t="s">
        <v>44</v>
      </c>
      <c r="D72" s="70" t="s">
        <v>449</v>
      </c>
      <c r="E72" s="630" t="s">
        <v>3102</v>
      </c>
      <c r="F72" s="597" t="s">
        <v>491</v>
      </c>
      <c r="G72" s="597">
        <v>9868421343</v>
      </c>
      <c r="H72" s="422"/>
      <c r="I72" s="631">
        <v>84</v>
      </c>
      <c r="J72" s="597" t="s">
        <v>90</v>
      </c>
      <c r="K72" s="597" t="s">
        <v>1468</v>
      </c>
      <c r="L72" s="423"/>
      <c r="M72" s="597" t="s">
        <v>119</v>
      </c>
      <c r="N72" s="632">
        <v>65043</v>
      </c>
      <c r="O72" s="632">
        <v>65043</v>
      </c>
      <c r="Q72" s="27" t="s">
        <v>940</v>
      </c>
    </row>
    <row r="73" spans="1:21" ht="18">
      <c r="A73" s="296">
        <f t="shared" si="1"/>
        <v>48</v>
      </c>
      <c r="B73" s="262" t="s">
        <v>43</v>
      </c>
      <c r="C73" s="70" t="s">
        <v>44</v>
      </c>
      <c r="D73" s="70" t="s">
        <v>449</v>
      </c>
      <c r="E73" s="662" t="s">
        <v>2490</v>
      </c>
      <c r="F73" s="620" t="s">
        <v>441</v>
      </c>
      <c r="G73" s="620"/>
      <c r="H73" s="662"/>
      <c r="I73" s="663">
        <v>55</v>
      </c>
      <c r="J73" s="620" t="s">
        <v>48</v>
      </c>
      <c r="K73" s="620" t="s">
        <v>53</v>
      </c>
      <c r="L73" s="620"/>
      <c r="M73" s="620" t="s">
        <v>54</v>
      </c>
      <c r="N73" s="678">
        <v>65038</v>
      </c>
      <c r="O73" s="678">
        <v>65038</v>
      </c>
      <c r="Q73" s="422" t="s">
        <v>940</v>
      </c>
      <c r="T73" s="476">
        <v>65049</v>
      </c>
    </row>
    <row r="74" spans="1:21" ht="18">
      <c r="A74" s="296">
        <f t="shared" si="1"/>
        <v>49</v>
      </c>
      <c r="B74" s="262" t="s">
        <v>43</v>
      </c>
      <c r="C74" s="70" t="s">
        <v>44</v>
      </c>
      <c r="D74" s="70" t="s">
        <v>449</v>
      </c>
      <c r="E74" s="422" t="s">
        <v>3843</v>
      </c>
      <c r="F74" s="423" t="s">
        <v>791</v>
      </c>
      <c r="G74" s="423"/>
      <c r="H74" s="422"/>
      <c r="I74" s="508">
        <v>62</v>
      </c>
      <c r="J74" s="597" t="s">
        <v>90</v>
      </c>
      <c r="K74" s="423"/>
      <c r="L74" s="423"/>
      <c r="M74" s="620" t="s">
        <v>54</v>
      </c>
      <c r="N74" s="686">
        <v>65027</v>
      </c>
      <c r="O74" s="686">
        <v>65027</v>
      </c>
      <c r="Q74" s="422" t="s">
        <v>940</v>
      </c>
      <c r="T74" s="476">
        <v>65049</v>
      </c>
    </row>
    <row r="75" spans="1:21" ht="18">
      <c r="A75" s="296">
        <f t="shared" si="1"/>
        <v>50</v>
      </c>
      <c r="B75" s="262" t="s">
        <v>43</v>
      </c>
      <c r="C75" s="70" t="s">
        <v>44</v>
      </c>
      <c r="D75" s="70" t="s">
        <v>449</v>
      </c>
      <c r="E75" s="422" t="s">
        <v>3844</v>
      </c>
      <c r="F75" s="423" t="s">
        <v>510</v>
      </c>
      <c r="G75" s="423"/>
      <c r="H75" s="422"/>
      <c r="I75" s="508">
        <v>55</v>
      </c>
      <c r="J75" s="597" t="s">
        <v>48</v>
      </c>
      <c r="K75" s="423"/>
      <c r="L75" s="423"/>
      <c r="M75" s="423" t="s">
        <v>3845</v>
      </c>
      <c r="N75" s="686">
        <v>65048</v>
      </c>
      <c r="O75" s="686">
        <v>65048</v>
      </c>
      <c r="Q75" s="422" t="s">
        <v>940</v>
      </c>
      <c r="T75" s="476">
        <v>65049</v>
      </c>
    </row>
    <row r="76" spans="1:21" ht="18">
      <c r="A76" s="296">
        <f t="shared" si="1"/>
        <v>51</v>
      </c>
      <c r="B76" s="262" t="s">
        <v>43</v>
      </c>
      <c r="C76" s="70" t="s">
        <v>44</v>
      </c>
      <c r="D76" s="70" t="s">
        <v>449</v>
      </c>
      <c r="E76" s="698" t="s">
        <v>2201</v>
      </c>
      <c r="F76" s="699" t="s">
        <v>1008</v>
      </c>
      <c r="G76" s="699">
        <v>9822884280</v>
      </c>
      <c r="H76" s="698"/>
      <c r="I76" s="700">
        <v>56</v>
      </c>
      <c r="J76" s="699" t="s">
        <v>48</v>
      </c>
      <c r="K76" s="699" t="s">
        <v>53</v>
      </c>
      <c r="L76" s="699"/>
      <c r="M76" s="699" t="s">
        <v>119</v>
      </c>
      <c r="N76" s="701">
        <v>65035</v>
      </c>
      <c r="O76" s="701">
        <v>65035</v>
      </c>
      <c r="Q76" s="422" t="s">
        <v>940</v>
      </c>
      <c r="T76" s="476">
        <v>65049</v>
      </c>
    </row>
    <row r="77" spans="1:21" ht="18">
      <c r="A77" s="296">
        <f t="shared" si="1"/>
        <v>52</v>
      </c>
      <c r="B77" s="262" t="s">
        <v>43</v>
      </c>
      <c r="C77" s="70" t="s">
        <v>44</v>
      </c>
      <c r="D77" s="70" t="s">
        <v>449</v>
      </c>
      <c r="E77" s="597" t="s">
        <v>2788</v>
      </c>
      <c r="F77" s="597" t="s">
        <v>502</v>
      </c>
      <c r="G77" s="597">
        <v>9857820134</v>
      </c>
      <c r="H77" s="630"/>
      <c r="I77" s="631">
        <v>46</v>
      </c>
      <c r="J77" s="597" t="s">
        <v>48</v>
      </c>
      <c r="K77" s="597" t="s">
        <v>1468</v>
      </c>
      <c r="L77" s="597"/>
      <c r="M77" s="597" t="s">
        <v>119</v>
      </c>
      <c r="N77" s="632">
        <v>65040</v>
      </c>
      <c r="O77" s="632">
        <v>65040</v>
      </c>
      <c r="Q77" s="422" t="s">
        <v>940</v>
      </c>
      <c r="T77" s="476">
        <v>65048</v>
      </c>
    </row>
    <row r="78" spans="1:21" ht="18">
      <c r="A78" s="776">
        <f t="shared" si="1"/>
        <v>53</v>
      </c>
      <c r="B78" s="777" t="s">
        <v>43</v>
      </c>
      <c r="C78" s="778" t="s">
        <v>44</v>
      </c>
      <c r="D78" s="778" t="s">
        <v>449</v>
      </c>
      <c r="E78" s="779" t="s">
        <v>3836</v>
      </c>
      <c r="F78" s="780" t="s">
        <v>1204</v>
      </c>
      <c r="G78" s="779">
        <v>9813202614</v>
      </c>
      <c r="H78" s="781"/>
      <c r="I78" s="782">
        <v>78</v>
      </c>
      <c r="J78" s="779" t="s">
        <v>48</v>
      </c>
      <c r="K78" s="779" t="s">
        <v>1468</v>
      </c>
      <c r="L78" s="779"/>
      <c r="M78" s="779" t="s">
        <v>119</v>
      </c>
      <c r="N78" s="783">
        <v>65049</v>
      </c>
      <c r="O78" s="783">
        <v>65049</v>
      </c>
      <c r="P78" s="784"/>
      <c r="Q78" s="781" t="s">
        <v>940</v>
      </c>
      <c r="T78" s="785">
        <v>65050</v>
      </c>
    </row>
    <row r="79" spans="1:21" s="98" customFormat="1" ht="18">
      <c r="A79" s="776">
        <f t="shared" si="1"/>
        <v>54</v>
      </c>
      <c r="B79" s="777" t="s">
        <v>43</v>
      </c>
      <c r="C79" s="778" t="s">
        <v>44</v>
      </c>
      <c r="D79" s="778" t="s">
        <v>449</v>
      </c>
      <c r="E79" s="155" t="s">
        <v>3907</v>
      </c>
      <c r="F79" s="155" t="s">
        <v>510</v>
      </c>
      <c r="G79" s="248">
        <v>9803509402</v>
      </c>
      <c r="H79" s="422"/>
      <c r="I79" s="155">
        <v>78</v>
      </c>
      <c r="J79" s="155" t="s">
        <v>48</v>
      </c>
      <c r="K79" s="155" t="s">
        <v>1468</v>
      </c>
      <c r="L79" s="423"/>
      <c r="M79" s="155" t="s">
        <v>119</v>
      </c>
      <c r="N79" s="775">
        <v>65050</v>
      </c>
      <c r="O79" s="282">
        <v>65050</v>
      </c>
      <c r="Q79" s="422" t="s">
        <v>940</v>
      </c>
      <c r="R79" s="56"/>
      <c r="S79" s="56"/>
      <c r="T79" s="476">
        <v>65049</v>
      </c>
      <c r="U79" s="56"/>
    </row>
    <row r="80" spans="1:21" ht="18">
      <c r="A80" s="776">
        <f t="shared" si="1"/>
        <v>55</v>
      </c>
      <c r="B80" s="777" t="s">
        <v>43</v>
      </c>
      <c r="C80" s="778" t="s">
        <v>44</v>
      </c>
      <c r="D80" s="778" t="s">
        <v>449</v>
      </c>
      <c r="E80" s="422" t="s">
        <v>3910</v>
      </c>
      <c r="F80" s="423" t="s">
        <v>512</v>
      </c>
      <c r="G80" s="423"/>
      <c r="H80" s="422"/>
      <c r="I80" s="155">
        <v>65</v>
      </c>
      <c r="J80" s="155" t="s">
        <v>48</v>
      </c>
      <c r="K80" s="423"/>
      <c r="L80" s="423"/>
      <c r="M80" s="423" t="s">
        <v>262</v>
      </c>
      <c r="N80" s="769">
        <v>65050</v>
      </c>
      <c r="O80" s="282">
        <v>65050</v>
      </c>
      <c r="P80" s="56"/>
      <c r="Q80" s="422" t="s">
        <v>940</v>
      </c>
      <c r="R80" s="56"/>
      <c r="S80" s="56"/>
      <c r="T80" s="476">
        <v>65051</v>
      </c>
      <c r="U80" s="69" t="s">
        <v>3911</v>
      </c>
    </row>
    <row r="81" spans="1:21" ht="18">
      <c r="A81" s="776">
        <f t="shared" si="1"/>
        <v>56</v>
      </c>
      <c r="B81" s="777" t="s">
        <v>43</v>
      </c>
      <c r="C81" s="778" t="s">
        <v>44</v>
      </c>
      <c r="D81" s="778" t="s">
        <v>449</v>
      </c>
      <c r="E81" s="662" t="s">
        <v>4012</v>
      </c>
      <c r="F81" s="794" t="s">
        <v>791</v>
      </c>
      <c r="G81" s="620"/>
      <c r="H81" s="662"/>
      <c r="I81" s="663">
        <v>56</v>
      </c>
      <c r="J81" s="620" t="s">
        <v>48</v>
      </c>
      <c r="K81" s="620" t="s">
        <v>53</v>
      </c>
      <c r="L81" s="474"/>
      <c r="M81" s="620" t="s">
        <v>2648</v>
      </c>
      <c r="N81" s="764">
        <v>65039</v>
      </c>
      <c r="O81" s="678">
        <v>65039</v>
      </c>
      <c r="P81" s="27"/>
      <c r="Q81" s="472" t="s">
        <v>940</v>
      </c>
      <c r="R81" s="27"/>
      <c r="S81" s="27"/>
      <c r="T81" s="475">
        <v>65051</v>
      </c>
      <c r="U81" s="27"/>
    </row>
    <row r="82" spans="1:21" ht="18">
      <c r="A82" s="776">
        <f t="shared" si="1"/>
        <v>57</v>
      </c>
      <c r="B82" s="777" t="s">
        <v>43</v>
      </c>
      <c r="C82" s="778" t="s">
        <v>44</v>
      </c>
      <c r="D82" s="778" t="s">
        <v>449</v>
      </c>
      <c r="E82" s="662" t="s">
        <v>2406</v>
      </c>
      <c r="F82" s="620" t="s">
        <v>1046</v>
      </c>
      <c r="G82" s="620">
        <v>9847946862</v>
      </c>
      <c r="H82" s="662"/>
      <c r="I82" s="663">
        <v>78</v>
      </c>
      <c r="J82" s="620" t="s">
        <v>48</v>
      </c>
      <c r="K82" s="620" t="s">
        <v>1480</v>
      </c>
      <c r="L82" s="620"/>
      <c r="M82" s="620" t="s">
        <v>4013</v>
      </c>
      <c r="N82" s="764">
        <v>65038</v>
      </c>
      <c r="O82" s="678">
        <v>65038</v>
      </c>
      <c r="P82" s="27"/>
      <c r="Q82" s="472" t="s">
        <v>940</v>
      </c>
      <c r="R82" s="27"/>
      <c r="S82" s="27"/>
      <c r="T82" s="475">
        <v>65052</v>
      </c>
      <c r="U82" s="27" t="s">
        <v>4014</v>
      </c>
    </row>
    <row r="83" spans="1:21" ht="18">
      <c r="A83" s="776">
        <f t="shared" si="1"/>
        <v>58</v>
      </c>
      <c r="B83" s="777" t="s">
        <v>43</v>
      </c>
      <c r="C83" s="778" t="s">
        <v>44</v>
      </c>
      <c r="D83" s="778" t="s">
        <v>449</v>
      </c>
      <c r="E83" s="422" t="s">
        <v>4015</v>
      </c>
      <c r="F83" s="423" t="s">
        <v>441</v>
      </c>
      <c r="G83" s="423"/>
      <c r="H83" s="422"/>
      <c r="I83" s="508">
        <v>39</v>
      </c>
      <c r="J83" s="155" t="s">
        <v>48</v>
      </c>
      <c r="K83" s="423"/>
      <c r="L83" s="423"/>
      <c r="M83" s="155" t="s">
        <v>119</v>
      </c>
      <c r="N83" s="282">
        <v>65051</v>
      </c>
      <c r="O83" s="282">
        <v>65051</v>
      </c>
      <c r="Q83" s="422" t="s">
        <v>940</v>
      </c>
      <c r="T83" s="476">
        <v>65052</v>
      </c>
      <c r="U83" s="27"/>
    </row>
    <row r="84" spans="1:21" ht="18">
      <c r="A84" s="776">
        <f t="shared" si="1"/>
        <v>59</v>
      </c>
      <c r="B84" s="777" t="s">
        <v>43</v>
      </c>
      <c r="C84" s="778" t="s">
        <v>44</v>
      </c>
      <c r="D84" s="778" t="s">
        <v>449</v>
      </c>
      <c r="E84" s="422" t="s">
        <v>4016</v>
      </c>
      <c r="F84" s="423" t="s">
        <v>124</v>
      </c>
      <c r="G84" s="423"/>
      <c r="H84" s="422"/>
      <c r="I84" s="508">
        <v>65</v>
      </c>
      <c r="J84" s="155" t="s">
        <v>90</v>
      </c>
      <c r="K84" s="423"/>
      <c r="L84" s="423"/>
      <c r="M84" s="155" t="s">
        <v>119</v>
      </c>
      <c r="N84" s="282">
        <v>65051</v>
      </c>
      <c r="O84" s="282">
        <v>65051</v>
      </c>
      <c r="Q84" s="422" t="s">
        <v>940</v>
      </c>
      <c r="T84" s="476">
        <v>65052</v>
      </c>
      <c r="U84" s="27" t="s">
        <v>824</v>
      </c>
    </row>
    <row r="85" spans="1:21" ht="18">
      <c r="A85" s="776">
        <f t="shared" si="1"/>
        <v>60</v>
      </c>
      <c r="B85" s="777" t="s">
        <v>43</v>
      </c>
      <c r="C85" s="778" t="s">
        <v>44</v>
      </c>
      <c r="D85" s="778" t="s">
        <v>449</v>
      </c>
      <c r="E85" s="779" t="s">
        <v>3841</v>
      </c>
      <c r="F85" s="780" t="s">
        <v>1046</v>
      </c>
      <c r="G85" s="779">
        <v>9866809942</v>
      </c>
      <c r="H85" s="781"/>
      <c r="I85" s="782">
        <v>73</v>
      </c>
      <c r="J85" s="779" t="s">
        <v>48</v>
      </c>
      <c r="K85" s="779" t="s">
        <v>1468</v>
      </c>
      <c r="L85" s="779"/>
      <c r="M85" s="779" t="s">
        <v>119</v>
      </c>
      <c r="N85" s="825">
        <v>65049</v>
      </c>
      <c r="O85" s="783">
        <v>65049</v>
      </c>
      <c r="P85" s="27"/>
      <c r="Q85" s="781" t="s">
        <v>940</v>
      </c>
      <c r="R85" s="27"/>
      <c r="S85" s="27"/>
      <c r="T85" s="785">
        <v>65053</v>
      </c>
      <c r="U85" s="27" t="s">
        <v>3432</v>
      </c>
    </row>
    <row r="86" spans="1:21" ht="18">
      <c r="A86" s="776">
        <f t="shared" si="1"/>
        <v>61</v>
      </c>
      <c r="B86" s="777" t="s">
        <v>43</v>
      </c>
      <c r="C86" s="778" t="s">
        <v>44</v>
      </c>
      <c r="D86" s="778" t="s">
        <v>449</v>
      </c>
      <c r="E86" s="622" t="s">
        <v>1614</v>
      </c>
      <c r="F86" s="619" t="s">
        <v>124</v>
      </c>
      <c r="G86" s="507">
        <v>9801077202</v>
      </c>
      <c r="H86" s="527"/>
      <c r="I86" s="623">
        <v>51</v>
      </c>
      <c r="J86" s="507" t="s">
        <v>90</v>
      </c>
      <c r="K86" s="507" t="s">
        <v>1193</v>
      </c>
      <c r="L86" s="507"/>
      <c r="M86" s="507" t="s">
        <v>1192</v>
      </c>
      <c r="N86" s="755">
        <v>65028</v>
      </c>
      <c r="O86" s="559">
        <v>65028</v>
      </c>
      <c r="P86" s="56"/>
      <c r="Q86" s="559" t="s">
        <v>940</v>
      </c>
      <c r="R86" s="56"/>
      <c r="S86" s="56"/>
      <c r="T86" s="559">
        <v>65053</v>
      </c>
      <c r="U86" s="69" t="s">
        <v>1133</v>
      </c>
    </row>
    <row r="87" spans="1:21" ht="18">
      <c r="A87" s="776">
        <f t="shared" si="1"/>
        <v>62</v>
      </c>
      <c r="B87" s="777" t="s">
        <v>43</v>
      </c>
      <c r="C87" s="778" t="s">
        <v>44</v>
      </c>
      <c r="D87" s="778" t="s">
        <v>449</v>
      </c>
      <c r="E87" s="698" t="s">
        <v>2423</v>
      </c>
      <c r="F87" s="699" t="s">
        <v>441</v>
      </c>
      <c r="G87" s="699">
        <v>9847917873</v>
      </c>
      <c r="H87" s="698"/>
      <c r="I87" s="700">
        <v>64</v>
      </c>
      <c r="J87" s="699" t="s">
        <v>48</v>
      </c>
      <c r="K87" s="699" t="s">
        <v>1480</v>
      </c>
      <c r="L87" s="699"/>
      <c r="M87" s="699" t="s">
        <v>119</v>
      </c>
      <c r="N87" s="861">
        <v>65038</v>
      </c>
      <c r="O87" s="862">
        <v>65038</v>
      </c>
      <c r="Q87" s="527" t="s">
        <v>940</v>
      </c>
      <c r="T87" s="559">
        <v>65055</v>
      </c>
      <c r="U87" s="864" t="s">
        <v>4255</v>
      </c>
    </row>
    <row r="88" spans="1:21" ht="18">
      <c r="A88" s="776">
        <f t="shared" si="1"/>
        <v>63</v>
      </c>
      <c r="B88" s="777" t="s">
        <v>43</v>
      </c>
      <c r="C88" s="778" t="s">
        <v>44</v>
      </c>
      <c r="D88" s="778" t="s">
        <v>449</v>
      </c>
      <c r="E88" s="630" t="s">
        <v>3662</v>
      </c>
      <c r="F88" s="630" t="s">
        <v>617</v>
      </c>
      <c r="G88" s="597">
        <v>9823168569</v>
      </c>
      <c r="H88" s="422"/>
      <c r="I88" s="630">
        <v>30</v>
      </c>
      <c r="J88" s="597" t="s">
        <v>90</v>
      </c>
      <c r="K88" s="597" t="s">
        <v>1480</v>
      </c>
      <c r="L88" s="597"/>
      <c r="M88" s="620" t="s">
        <v>2009</v>
      </c>
      <c r="N88" s="768">
        <v>65047</v>
      </c>
      <c r="O88" s="681">
        <v>65047</v>
      </c>
      <c r="Q88" s="422" t="s">
        <v>940</v>
      </c>
      <c r="T88" s="476">
        <v>65055</v>
      </c>
    </row>
    <row r="89" spans="1:21" ht="18">
      <c r="A89" s="776">
        <f t="shared" si="1"/>
        <v>64</v>
      </c>
      <c r="B89" s="777" t="s">
        <v>43</v>
      </c>
      <c r="C89" s="778" t="s">
        <v>44</v>
      </c>
      <c r="D89" s="778" t="s">
        <v>449</v>
      </c>
      <c r="E89" s="630" t="s">
        <v>3031</v>
      </c>
      <c r="F89" s="597" t="s">
        <v>791</v>
      </c>
      <c r="G89" s="597">
        <v>9809824863</v>
      </c>
      <c r="H89" s="422"/>
      <c r="I89" s="631">
        <v>52</v>
      </c>
      <c r="J89" s="597" t="s">
        <v>48</v>
      </c>
      <c r="K89" s="597" t="s">
        <v>1468</v>
      </c>
      <c r="L89" s="423"/>
      <c r="M89" s="597" t="s">
        <v>262</v>
      </c>
      <c r="N89" s="758">
        <v>65043</v>
      </c>
      <c r="O89" s="632">
        <v>65043</v>
      </c>
      <c r="Q89" s="422" t="s">
        <v>940</v>
      </c>
      <c r="T89" s="476">
        <v>65054</v>
      </c>
      <c r="U89" s="864" t="s">
        <v>4277</v>
      </c>
    </row>
    <row r="90" spans="1:21" ht="18">
      <c r="A90" s="776">
        <f t="shared" si="1"/>
        <v>65</v>
      </c>
      <c r="B90" s="777" t="s">
        <v>43</v>
      </c>
      <c r="C90" s="778" t="s">
        <v>44</v>
      </c>
      <c r="D90" s="778" t="s">
        <v>449</v>
      </c>
      <c r="E90" s="699" t="s">
        <v>2823</v>
      </c>
      <c r="F90" s="699" t="s">
        <v>1008</v>
      </c>
      <c r="G90" s="699">
        <v>9806281867</v>
      </c>
      <c r="H90" s="698"/>
      <c r="I90" s="700">
        <v>55</v>
      </c>
      <c r="J90" s="699" t="s">
        <v>48</v>
      </c>
      <c r="K90" s="699" t="s">
        <v>1468</v>
      </c>
      <c r="L90" s="699"/>
      <c r="M90" s="699" t="s">
        <v>262</v>
      </c>
      <c r="N90" s="861">
        <v>65041</v>
      </c>
      <c r="O90" s="862">
        <v>65041</v>
      </c>
      <c r="Q90" s="527" t="s">
        <v>940</v>
      </c>
      <c r="T90" s="559">
        <v>65057</v>
      </c>
    </row>
    <row r="91" spans="1:21" ht="18">
      <c r="A91" s="776">
        <f t="shared" si="1"/>
        <v>66</v>
      </c>
      <c r="B91" s="777" t="s">
        <v>43</v>
      </c>
      <c r="C91" s="778" t="s">
        <v>44</v>
      </c>
      <c r="D91" s="778" t="s">
        <v>449</v>
      </c>
      <c r="E91" s="903" t="s">
        <v>4251</v>
      </c>
      <c r="F91" s="904" t="s">
        <v>617</v>
      </c>
      <c r="G91" s="904">
        <v>9829568363</v>
      </c>
      <c r="H91" s="905"/>
      <c r="I91" s="905">
        <v>30</v>
      </c>
      <c r="J91" s="155" t="s">
        <v>90</v>
      </c>
      <c r="K91" s="155" t="s">
        <v>1459</v>
      </c>
      <c r="L91" s="155"/>
      <c r="M91" s="248" t="s">
        <v>2336</v>
      </c>
      <c r="N91" s="282">
        <v>65054</v>
      </c>
      <c r="O91" s="282">
        <v>65054</v>
      </c>
      <c r="Q91" s="422" t="s">
        <v>940</v>
      </c>
      <c r="T91" s="476">
        <v>65057</v>
      </c>
    </row>
    <row r="92" spans="1:21" ht="18">
      <c r="A92" s="776">
        <f t="shared" si="1"/>
        <v>67</v>
      </c>
      <c r="B92" s="777" t="s">
        <v>43</v>
      </c>
      <c r="C92" s="778" t="s">
        <v>44</v>
      </c>
      <c r="D92" s="778" t="s">
        <v>449</v>
      </c>
      <c r="E92" s="630" t="s">
        <v>3397</v>
      </c>
      <c r="F92" s="630" t="s">
        <v>441</v>
      </c>
      <c r="G92" s="597">
        <v>9812892247</v>
      </c>
      <c r="H92" s="422"/>
      <c r="I92" s="630">
        <v>42</v>
      </c>
      <c r="J92" s="597" t="s">
        <v>48</v>
      </c>
      <c r="K92" s="597" t="s">
        <v>1468</v>
      </c>
      <c r="L92" s="597"/>
      <c r="M92" s="597" t="s">
        <v>119</v>
      </c>
      <c r="N92" s="768">
        <v>65046</v>
      </c>
      <c r="O92" s="681">
        <v>65046</v>
      </c>
      <c r="Q92" s="422" t="s">
        <v>940</v>
      </c>
      <c r="T92" s="476">
        <v>65060</v>
      </c>
      <c r="U92" s="27" t="s">
        <v>4415</v>
      </c>
    </row>
    <row r="93" spans="1:21" ht="18">
      <c r="A93" s="776">
        <f t="shared" si="1"/>
        <v>68</v>
      </c>
      <c r="B93" s="777" t="s">
        <v>43</v>
      </c>
      <c r="C93" s="778" t="s">
        <v>44</v>
      </c>
      <c r="D93" s="778" t="s">
        <v>449</v>
      </c>
      <c r="E93" s="284" t="s">
        <v>3861</v>
      </c>
      <c r="F93" s="293" t="s">
        <v>1009</v>
      </c>
      <c r="G93" s="293">
        <v>9803425569</v>
      </c>
      <c r="H93" s="472"/>
      <c r="I93" s="285">
        <v>52</v>
      </c>
      <c r="J93" s="284" t="s">
        <v>48</v>
      </c>
      <c r="K93" s="284" t="s">
        <v>345</v>
      </c>
      <c r="L93" s="474"/>
      <c r="M93" s="284" t="s">
        <v>262</v>
      </c>
      <c r="N93" s="935">
        <v>65050</v>
      </c>
      <c r="O93" s="936">
        <v>65050</v>
      </c>
      <c r="Q93" s="472" t="s">
        <v>940</v>
      </c>
      <c r="T93" s="475">
        <v>65059</v>
      </c>
      <c r="U93" s="27" t="s">
        <v>2297</v>
      </c>
    </row>
    <row r="94" spans="1:21" ht="18">
      <c r="A94" s="776">
        <f t="shared" si="1"/>
        <v>69</v>
      </c>
      <c r="B94" s="777" t="s">
        <v>43</v>
      </c>
      <c r="C94" s="778" t="s">
        <v>44</v>
      </c>
      <c r="D94" s="778" t="s">
        <v>449</v>
      </c>
      <c r="E94" s="155" t="s">
        <v>4408</v>
      </c>
      <c r="F94" s="69" t="s">
        <v>488</v>
      </c>
      <c r="G94" s="248">
        <v>9843735062</v>
      </c>
      <c r="H94" s="422"/>
      <c r="I94" s="199">
        <v>22</v>
      </c>
      <c r="J94" s="155" t="s">
        <v>90</v>
      </c>
      <c r="K94" s="155" t="s">
        <v>1480</v>
      </c>
      <c r="L94" s="155"/>
      <c r="M94" s="1025" t="s">
        <v>54</v>
      </c>
      <c r="N94" s="282">
        <v>65058</v>
      </c>
      <c r="O94" s="282">
        <v>65058</v>
      </c>
      <c r="Q94" s="422" t="s">
        <v>940</v>
      </c>
      <c r="T94" s="476">
        <v>65060</v>
      </c>
      <c r="U94" s="27" t="s">
        <v>1134</v>
      </c>
    </row>
    <row r="95" spans="1:21" ht="18">
      <c r="A95" s="776">
        <f t="shared" si="1"/>
        <v>70</v>
      </c>
      <c r="B95" s="777" t="s">
        <v>43</v>
      </c>
      <c r="C95" s="778" t="s">
        <v>44</v>
      </c>
      <c r="D95" s="778" t="s">
        <v>449</v>
      </c>
      <c r="E95" s="1025" t="s">
        <v>4401</v>
      </c>
      <c r="F95" s="277" t="s">
        <v>1046</v>
      </c>
      <c r="G95" s="1026">
        <v>9864850048</v>
      </c>
      <c r="H95" s="527"/>
      <c r="I95" s="1027">
        <v>68</v>
      </c>
      <c r="J95" s="1025" t="s">
        <v>90</v>
      </c>
      <c r="K95" s="1025" t="s">
        <v>1468</v>
      </c>
      <c r="L95" s="1025"/>
      <c r="M95" s="1025" t="s">
        <v>54</v>
      </c>
      <c r="N95" s="1028">
        <v>65058</v>
      </c>
      <c r="O95" s="1028">
        <v>65058</v>
      </c>
      <c r="Q95" s="527" t="s">
        <v>940</v>
      </c>
      <c r="T95" s="559">
        <v>65061</v>
      </c>
      <c r="U95" s="27" t="s">
        <v>4481</v>
      </c>
    </row>
    <row r="96" spans="1:21" ht="18">
      <c r="A96" s="776">
        <f t="shared" si="1"/>
        <v>71</v>
      </c>
      <c r="B96" s="777" t="s">
        <v>43</v>
      </c>
      <c r="C96" s="778" t="s">
        <v>44</v>
      </c>
      <c r="D96" s="778" t="s">
        <v>449</v>
      </c>
      <c r="E96" s="69" t="s">
        <v>4512</v>
      </c>
      <c r="F96" s="69" t="s">
        <v>510</v>
      </c>
      <c r="G96" s="266"/>
      <c r="H96" s="69"/>
      <c r="I96" s="111">
        <v>37</v>
      </c>
      <c r="J96" s="597" t="s">
        <v>48</v>
      </c>
      <c r="K96" s="69"/>
      <c r="L96" s="69"/>
      <c r="M96" s="266"/>
      <c r="N96" s="70"/>
      <c r="O96" s="70"/>
      <c r="P96" s="27"/>
      <c r="Q96" s="527" t="s">
        <v>940</v>
      </c>
      <c r="R96" s="27"/>
      <c r="S96" s="27"/>
      <c r="T96" s="559">
        <v>65061</v>
      </c>
      <c r="U96" s="27"/>
    </row>
    <row r="97" spans="1:21" ht="18">
      <c r="A97" s="776">
        <f t="shared" si="1"/>
        <v>72</v>
      </c>
      <c r="B97" s="777" t="s">
        <v>43</v>
      </c>
      <c r="C97" s="778" t="s">
        <v>44</v>
      </c>
      <c r="D97" s="778" t="s">
        <v>449</v>
      </c>
      <c r="E97" s="1045" t="s">
        <v>4040</v>
      </c>
      <c r="F97" s="1045" t="s">
        <v>510</v>
      </c>
      <c r="G97" s="1046">
        <v>9842000699</v>
      </c>
      <c r="H97" s="1045"/>
      <c r="I97" s="1045">
        <v>40</v>
      </c>
      <c r="J97" s="1045" t="s">
        <v>90</v>
      </c>
      <c r="K97" s="1045" t="s">
        <v>1480</v>
      </c>
      <c r="L97" s="1045"/>
      <c r="M97" s="1045" t="s">
        <v>54</v>
      </c>
      <c r="N97" s="1047">
        <v>65052</v>
      </c>
      <c r="O97" s="1047">
        <v>65052</v>
      </c>
      <c r="Q97" s="527" t="s">
        <v>940</v>
      </c>
      <c r="T97" s="559">
        <v>65062</v>
      </c>
      <c r="U97" s="27" t="s">
        <v>4516</v>
      </c>
    </row>
    <row r="98" spans="1:21" ht="18">
      <c r="A98" s="776">
        <f t="shared" si="1"/>
        <v>73</v>
      </c>
      <c r="B98" s="777" t="s">
        <v>43</v>
      </c>
      <c r="C98" s="778" t="s">
        <v>44</v>
      </c>
      <c r="D98" s="778" t="s">
        <v>449</v>
      </c>
      <c r="E98" s="1042" t="s">
        <v>4517</v>
      </c>
      <c r="F98" s="1042" t="s">
        <v>497</v>
      </c>
      <c r="G98" s="1044"/>
      <c r="H98" s="1042"/>
      <c r="I98" s="1043">
        <v>83</v>
      </c>
      <c r="J98" s="779" t="s">
        <v>48</v>
      </c>
      <c r="K98" s="1042"/>
      <c r="L98" s="1042"/>
      <c r="M98" s="1042" t="s">
        <v>4513</v>
      </c>
      <c r="N98" s="1048">
        <v>65061</v>
      </c>
      <c r="O98" s="1048">
        <v>65061</v>
      </c>
      <c r="Q98" s="527" t="s">
        <v>940</v>
      </c>
      <c r="T98" s="260">
        <v>65062</v>
      </c>
      <c r="U98" s="27" t="s">
        <v>3373</v>
      </c>
    </row>
    <row r="99" spans="1:21" s="98" customFormat="1" ht="18">
      <c r="A99" s="776">
        <f t="shared" ref="A99:A112" si="2">A98+1</f>
        <v>74</v>
      </c>
      <c r="B99" s="777" t="s">
        <v>43</v>
      </c>
      <c r="C99" s="778" t="s">
        <v>44</v>
      </c>
      <c r="D99" s="778" t="s">
        <v>449</v>
      </c>
      <c r="E99" s="1042" t="s">
        <v>4514</v>
      </c>
      <c r="F99" s="1042" t="s">
        <v>510</v>
      </c>
      <c r="G99" s="1044"/>
      <c r="H99" s="1042"/>
      <c r="I99" s="1043">
        <v>42</v>
      </c>
      <c r="J99" s="155" t="s">
        <v>90</v>
      </c>
      <c r="K99" s="1042"/>
      <c r="L99" s="1042"/>
      <c r="M99" s="1044" t="s">
        <v>4515</v>
      </c>
      <c r="N99" s="1048">
        <v>65061</v>
      </c>
      <c r="O99" s="1048">
        <v>65061</v>
      </c>
      <c r="Q99" s="527" t="s">
        <v>940</v>
      </c>
      <c r="T99" s="260">
        <v>65061</v>
      </c>
      <c r="U99" s="27" t="s">
        <v>4519</v>
      </c>
    </row>
    <row r="100" spans="1:21" ht="18">
      <c r="A100" s="776">
        <f t="shared" si="2"/>
        <v>75</v>
      </c>
      <c r="B100" s="777" t="s">
        <v>43</v>
      </c>
      <c r="C100" s="778" t="s">
        <v>44</v>
      </c>
      <c r="D100" s="778" t="s">
        <v>449</v>
      </c>
      <c r="E100" s="155" t="s">
        <v>4518</v>
      </c>
      <c r="F100" s="155" t="s">
        <v>529</v>
      </c>
      <c r="G100" s="248"/>
      <c r="H100" s="422"/>
      <c r="I100" s="199">
        <v>52</v>
      </c>
      <c r="J100" s="155" t="s">
        <v>48</v>
      </c>
      <c r="K100" s="155"/>
      <c r="L100" s="155"/>
      <c r="M100" s="155" t="s">
        <v>119</v>
      </c>
      <c r="N100" s="282">
        <v>65062</v>
      </c>
      <c r="O100" s="282">
        <v>65062</v>
      </c>
      <c r="Q100" s="422" t="s">
        <v>940</v>
      </c>
      <c r="T100" s="1049">
        <v>65062</v>
      </c>
    </row>
    <row r="101" spans="1:21" ht="18">
      <c r="A101" s="296">
        <f t="shared" si="2"/>
        <v>76</v>
      </c>
      <c r="B101" s="262" t="s">
        <v>43</v>
      </c>
      <c r="C101" s="70" t="s">
        <v>44</v>
      </c>
      <c r="D101" s="70" t="s">
        <v>449</v>
      </c>
      <c r="E101" s="1050" t="s">
        <v>4082</v>
      </c>
      <c r="F101" s="1050" t="s">
        <v>617</v>
      </c>
      <c r="G101" s="1051">
        <v>9863344605</v>
      </c>
      <c r="H101" s="69"/>
      <c r="I101" s="1052">
        <v>24</v>
      </c>
      <c r="J101" s="1050" t="s">
        <v>90</v>
      </c>
      <c r="K101" s="1050" t="s">
        <v>262</v>
      </c>
      <c r="L101" s="1050"/>
      <c r="M101" s="1050" t="s">
        <v>262</v>
      </c>
      <c r="N101" s="1053">
        <v>65052</v>
      </c>
      <c r="O101" s="1053">
        <v>65052</v>
      </c>
      <c r="Q101" s="422" t="s">
        <v>940</v>
      </c>
      <c r="T101" s="476">
        <v>65062</v>
      </c>
      <c r="U101" s="27" t="s">
        <v>4520</v>
      </c>
    </row>
    <row r="102" spans="1:21" ht="18">
      <c r="A102" s="296">
        <f t="shared" si="2"/>
        <v>77</v>
      </c>
      <c r="B102" s="262" t="s">
        <v>43</v>
      </c>
      <c r="C102" s="70" t="s">
        <v>44</v>
      </c>
      <c r="D102" s="70" t="s">
        <v>449</v>
      </c>
      <c r="E102" s="698" t="s">
        <v>3720</v>
      </c>
      <c r="F102" s="698" t="s">
        <v>124</v>
      </c>
      <c r="G102" s="699">
        <v>9806207574</v>
      </c>
      <c r="H102" s="527"/>
      <c r="I102" s="698">
        <v>50</v>
      </c>
      <c r="J102" s="699" t="s">
        <v>90</v>
      </c>
      <c r="K102" s="699" t="s">
        <v>1468</v>
      </c>
      <c r="L102" s="699"/>
      <c r="M102" s="1054" t="s">
        <v>4449</v>
      </c>
      <c r="N102" s="1055">
        <v>65048</v>
      </c>
      <c r="O102" s="1056">
        <v>65048</v>
      </c>
      <c r="Q102" s="422" t="s">
        <v>940</v>
      </c>
      <c r="T102" s="476">
        <v>65063</v>
      </c>
      <c r="U102" s="422" t="s">
        <v>4521</v>
      </c>
    </row>
    <row r="103" spans="1:21" ht="18">
      <c r="A103" s="296">
        <f t="shared" si="2"/>
        <v>78</v>
      </c>
      <c r="B103" s="262" t="s">
        <v>43</v>
      </c>
      <c r="C103" s="70" t="s">
        <v>44</v>
      </c>
      <c r="D103" s="70" t="s">
        <v>449</v>
      </c>
      <c r="E103" s="1025" t="s">
        <v>4437</v>
      </c>
      <c r="F103" s="1025" t="s">
        <v>1046</v>
      </c>
      <c r="G103" s="1026">
        <v>9847881578</v>
      </c>
      <c r="H103" s="527"/>
      <c r="I103" s="1027">
        <v>52</v>
      </c>
      <c r="J103" s="1025" t="s">
        <v>90</v>
      </c>
      <c r="K103" s="1025" t="s">
        <v>53</v>
      </c>
      <c r="L103" s="1025"/>
      <c r="M103" s="1025" t="s">
        <v>54</v>
      </c>
      <c r="N103" s="1028">
        <v>65059</v>
      </c>
      <c r="O103" s="1028">
        <v>65059</v>
      </c>
      <c r="Q103" s="527" t="s">
        <v>940</v>
      </c>
      <c r="T103" s="559">
        <v>65063</v>
      </c>
      <c r="U103" s="1057" t="s">
        <v>4522</v>
      </c>
    </row>
    <row r="104" spans="1:21" ht="18">
      <c r="A104" s="296">
        <f t="shared" si="2"/>
        <v>79</v>
      </c>
      <c r="B104" s="262" t="s">
        <v>43</v>
      </c>
      <c r="C104" s="70" t="s">
        <v>44</v>
      </c>
      <c r="D104" s="70" t="s">
        <v>449</v>
      </c>
      <c r="E104" s="155" t="s">
        <v>4368</v>
      </c>
      <c r="F104" s="423" t="s">
        <v>491</v>
      </c>
      <c r="G104" s="248">
        <v>9866917249</v>
      </c>
      <c r="H104" s="155"/>
      <c r="I104" s="199">
        <v>65</v>
      </c>
      <c r="J104" s="155" t="s">
        <v>90</v>
      </c>
      <c r="K104" s="155" t="s">
        <v>1468</v>
      </c>
      <c r="L104" s="155"/>
      <c r="M104" s="155" t="s">
        <v>119</v>
      </c>
      <c r="N104" s="282">
        <v>65057</v>
      </c>
      <c r="O104" s="282">
        <v>65057</v>
      </c>
      <c r="Q104" s="422" t="s">
        <v>940</v>
      </c>
      <c r="T104" s="476">
        <v>65065</v>
      </c>
      <c r="U104" s="1057" t="s">
        <v>4594</v>
      </c>
    </row>
    <row r="105" spans="1:21" ht="18">
      <c r="A105" s="296">
        <f t="shared" si="2"/>
        <v>80</v>
      </c>
      <c r="B105" s="262" t="s">
        <v>43</v>
      </c>
      <c r="C105" s="70" t="s">
        <v>44</v>
      </c>
      <c r="D105" s="70" t="s">
        <v>449</v>
      </c>
      <c r="E105" s="1081" t="s">
        <v>4595</v>
      </c>
      <c r="F105" s="507" t="s">
        <v>441</v>
      </c>
      <c r="G105" s="1081">
        <v>9847836804</v>
      </c>
      <c r="H105" s="422"/>
      <c r="I105" s="1082">
        <v>62</v>
      </c>
      <c r="J105" s="507" t="s">
        <v>453</v>
      </c>
      <c r="K105" s="266" t="s">
        <v>3465</v>
      </c>
      <c r="L105" s="266"/>
      <c r="M105" s="155" t="s">
        <v>119</v>
      </c>
      <c r="N105" s="1083">
        <v>65064</v>
      </c>
      <c r="O105" s="1083">
        <v>65064</v>
      </c>
      <c r="Q105" s="476" t="s">
        <v>940</v>
      </c>
      <c r="T105" s="476">
        <v>65066</v>
      </c>
      <c r="U105" s="1057" t="s">
        <v>3744</v>
      </c>
    </row>
    <row r="106" spans="1:21" ht="18.75" thickBot="1">
      <c r="A106" s="296">
        <f t="shared" si="2"/>
        <v>81</v>
      </c>
      <c r="B106" s="262" t="s">
        <v>43</v>
      </c>
      <c r="C106" s="70" t="s">
        <v>44</v>
      </c>
      <c r="D106" s="70" t="s">
        <v>449</v>
      </c>
      <c r="E106" s="699" t="s">
        <v>3828</v>
      </c>
      <c r="F106" s="1094" t="s">
        <v>491</v>
      </c>
      <c r="G106" s="1460">
        <v>9847932877</v>
      </c>
      <c r="H106" s="527"/>
      <c r="I106" s="700">
        <v>64</v>
      </c>
      <c r="J106" s="699" t="s">
        <v>48</v>
      </c>
      <c r="K106" s="699" t="s">
        <v>53</v>
      </c>
      <c r="L106" s="699"/>
      <c r="M106" s="699" t="s">
        <v>54</v>
      </c>
      <c r="N106" s="1055">
        <v>65049</v>
      </c>
      <c r="O106" s="1096">
        <v>65049</v>
      </c>
      <c r="Q106" s="527" t="s">
        <v>940</v>
      </c>
      <c r="T106" s="559">
        <v>65067</v>
      </c>
      <c r="U106" s="1057" t="s">
        <v>4615</v>
      </c>
    </row>
    <row r="107" spans="1:21" ht="18.75" thickBot="1">
      <c r="A107" s="296">
        <f t="shared" si="2"/>
        <v>82</v>
      </c>
      <c r="B107" s="262" t="s">
        <v>43</v>
      </c>
      <c r="C107" s="70" t="s">
        <v>44</v>
      </c>
      <c r="D107" s="70" t="s">
        <v>449</v>
      </c>
      <c r="E107" s="155" t="s">
        <v>4687</v>
      </c>
      <c r="F107" s="155" t="s">
        <v>502</v>
      </c>
      <c r="G107" s="1249">
        <v>9888219699</v>
      </c>
      <c r="H107" s="155"/>
      <c r="I107" s="199">
        <v>60</v>
      </c>
      <c r="J107" s="155" t="s">
        <v>48</v>
      </c>
      <c r="K107" s="155"/>
      <c r="L107" s="155"/>
      <c r="M107" s="155" t="s">
        <v>54</v>
      </c>
      <c r="N107" s="1250">
        <v>65073</v>
      </c>
      <c r="O107" s="1250">
        <v>65073</v>
      </c>
      <c r="Q107" s="422" t="s">
        <v>940</v>
      </c>
      <c r="T107" s="476">
        <v>65080</v>
      </c>
      <c r="U107" s="1057" t="s">
        <v>4790</v>
      </c>
    </row>
    <row r="108" spans="1:21" ht="18">
      <c r="A108" s="296">
        <f t="shared" si="2"/>
        <v>83</v>
      </c>
      <c r="B108" s="262" t="s">
        <v>43</v>
      </c>
      <c r="C108" s="70" t="s">
        <v>44</v>
      </c>
      <c r="D108" s="70" t="s">
        <v>449</v>
      </c>
      <c r="E108" s="1025" t="s">
        <v>4434</v>
      </c>
      <c r="F108" s="1025" t="s">
        <v>1008</v>
      </c>
      <c r="G108" s="1026">
        <v>9848352606</v>
      </c>
      <c r="H108" s="527"/>
      <c r="I108" s="1027">
        <v>54</v>
      </c>
      <c r="J108" s="1025" t="s">
        <v>48</v>
      </c>
      <c r="K108" s="1025" t="s">
        <v>1468</v>
      </c>
      <c r="L108" s="1025"/>
      <c r="M108" s="1025" t="s">
        <v>2648</v>
      </c>
      <c r="N108" s="1320">
        <v>65059</v>
      </c>
      <c r="O108" s="1320">
        <v>65059</v>
      </c>
      <c r="Q108" s="527" t="s">
        <v>940</v>
      </c>
      <c r="T108" s="559">
        <v>65091</v>
      </c>
      <c r="U108" s="1057" t="s">
        <v>4836</v>
      </c>
    </row>
    <row r="109" spans="1:21" ht="18">
      <c r="A109" s="296">
        <f t="shared" si="2"/>
        <v>84</v>
      </c>
      <c r="B109" s="262" t="s">
        <v>43</v>
      </c>
      <c r="C109" s="70" t="s">
        <v>44</v>
      </c>
      <c r="D109" s="70" t="s">
        <v>449</v>
      </c>
      <c r="E109" s="1440" t="s">
        <v>5140</v>
      </c>
      <c r="F109" s="1440" t="s">
        <v>491</v>
      </c>
      <c r="G109" s="1441">
        <v>9848109518</v>
      </c>
      <c r="H109" s="69"/>
      <c r="I109" s="1440">
        <v>78</v>
      </c>
      <c r="J109" s="1440" t="s">
        <v>90</v>
      </c>
      <c r="K109" s="1442" t="s">
        <v>4556</v>
      </c>
      <c r="L109" s="1440"/>
      <c r="M109" s="1440" t="s">
        <v>2648</v>
      </c>
      <c r="N109" s="1443">
        <v>65126</v>
      </c>
      <c r="O109" s="1443">
        <v>65126</v>
      </c>
      <c r="Q109" s="422" t="s">
        <v>940</v>
      </c>
      <c r="T109" s="476">
        <v>65135</v>
      </c>
      <c r="U109" s="1057" t="s">
        <v>5139</v>
      </c>
    </row>
    <row r="110" spans="1:21" ht="18">
      <c r="A110" s="296">
        <f t="shared" si="2"/>
        <v>85</v>
      </c>
      <c r="B110" s="262" t="s">
        <v>43</v>
      </c>
      <c r="C110" s="70" t="s">
        <v>44</v>
      </c>
      <c r="D110" s="70" t="s">
        <v>449</v>
      </c>
      <c r="E110" s="1498" t="s">
        <v>5090</v>
      </c>
      <c r="F110" s="1440" t="s">
        <v>557</v>
      </c>
      <c r="G110" s="1441">
        <v>9809701073</v>
      </c>
      <c r="H110" s="1440"/>
      <c r="I110" s="1440">
        <v>45</v>
      </c>
      <c r="J110" s="1440" t="s">
        <v>48</v>
      </c>
      <c r="K110" s="1442" t="s">
        <v>4556</v>
      </c>
      <c r="L110" s="1440"/>
      <c r="M110" s="1440" t="s">
        <v>1764</v>
      </c>
      <c r="N110" s="1443">
        <v>65127</v>
      </c>
      <c r="O110" s="1443">
        <v>65127</v>
      </c>
      <c r="Q110" s="423" t="s">
        <v>940</v>
      </c>
      <c r="T110" s="508" t="s">
        <v>5143</v>
      </c>
    </row>
    <row r="111" spans="1:21" ht="18">
      <c r="A111" s="296">
        <f t="shared" si="2"/>
        <v>86</v>
      </c>
      <c r="B111" s="262" t="s">
        <v>43</v>
      </c>
      <c r="C111" s="70" t="s">
        <v>44</v>
      </c>
      <c r="D111" s="70" t="s">
        <v>449</v>
      </c>
      <c r="E111" s="1440" t="s">
        <v>5115</v>
      </c>
      <c r="F111" s="1440" t="s">
        <v>491</v>
      </c>
      <c r="G111" s="1441">
        <v>9844902298</v>
      </c>
      <c r="H111" s="1440"/>
      <c r="I111" s="1440">
        <v>55</v>
      </c>
      <c r="J111" s="1440" t="s">
        <v>48</v>
      </c>
      <c r="K111" s="1440" t="s">
        <v>1763</v>
      </c>
      <c r="L111" s="423"/>
      <c r="M111" s="1440" t="s">
        <v>1225</v>
      </c>
      <c r="N111" s="1443">
        <v>65132</v>
      </c>
      <c r="O111" s="1443">
        <v>65132</v>
      </c>
      <c r="Q111" s="422" t="s">
        <v>940</v>
      </c>
      <c r="T111" s="476">
        <v>65141</v>
      </c>
    </row>
    <row r="112" spans="1:21" ht="25.5">
      <c r="A112" s="296">
        <f t="shared" si="2"/>
        <v>87</v>
      </c>
      <c r="B112" s="262" t="s">
        <v>43</v>
      </c>
      <c r="C112" s="70" t="s">
        <v>44</v>
      </c>
      <c r="D112" s="70" t="s">
        <v>449</v>
      </c>
      <c r="E112" s="139" t="s">
        <v>5267</v>
      </c>
      <c r="F112" s="139" t="s">
        <v>441</v>
      </c>
      <c r="G112" s="570">
        <v>9857820703</v>
      </c>
      <c r="H112" s="139" t="s">
        <v>5268</v>
      </c>
      <c r="I112" s="139">
        <v>44</v>
      </c>
      <c r="J112" s="139" t="s">
        <v>48</v>
      </c>
      <c r="K112" s="139" t="s">
        <v>1763</v>
      </c>
      <c r="L112" s="989"/>
      <c r="M112" s="139" t="s">
        <v>2648</v>
      </c>
      <c r="N112" s="1461">
        <v>65164</v>
      </c>
      <c r="O112" s="1461">
        <v>65164</v>
      </c>
      <c r="Q112" s="989" t="s">
        <v>940</v>
      </c>
      <c r="R112" s="51"/>
      <c r="S112" s="51"/>
      <c r="T112" s="1462">
        <v>65168</v>
      </c>
      <c r="U112" s="1057" t="s">
        <v>937</v>
      </c>
    </row>
    <row r="114" spans="1:21">
      <c r="A114" s="27">
        <v>1</v>
      </c>
      <c r="B114" s="1486" t="s">
        <v>43</v>
      </c>
      <c r="C114" s="1025" t="s">
        <v>44</v>
      </c>
      <c r="D114" s="1025" t="s">
        <v>45</v>
      </c>
      <c r="E114" s="422" t="s">
        <v>5734</v>
      </c>
      <c r="F114" s="423">
        <v>6</v>
      </c>
      <c r="G114" s="423">
        <v>9847855397</v>
      </c>
      <c r="H114" s="422"/>
      <c r="I114" s="508">
        <v>41</v>
      </c>
      <c r="J114" s="423" t="s">
        <v>90</v>
      </c>
      <c r="K114" s="423" t="s">
        <v>2650</v>
      </c>
      <c r="L114" s="423"/>
      <c r="M114" s="155" t="s">
        <v>2649</v>
      </c>
      <c r="N114" s="1487">
        <v>65288</v>
      </c>
      <c r="O114" s="1487">
        <v>65288</v>
      </c>
      <c r="Q114" s="422" t="s">
        <v>940</v>
      </c>
      <c r="T114" s="476">
        <v>65291</v>
      </c>
      <c r="U114" t="s">
        <v>5735</v>
      </c>
    </row>
    <row r="1048576" spans="9:17">
      <c r="I1048576"/>
      <c r="M1048576"/>
      <c r="N1048576"/>
      <c r="O1048576"/>
      <c r="Q1048576" s="422" t="s">
        <v>940</v>
      </c>
    </row>
  </sheetData>
  <conditionalFormatting sqref="E60">
    <cfRule type="duplicateValues" dxfId="284" priority="112"/>
  </conditionalFormatting>
  <conditionalFormatting sqref="E61">
    <cfRule type="duplicateValues" dxfId="283" priority="111"/>
  </conditionalFormatting>
  <conditionalFormatting sqref="E64">
    <cfRule type="duplicateValues" dxfId="282" priority="110"/>
  </conditionalFormatting>
  <conditionalFormatting sqref="E67">
    <cfRule type="duplicateValues" dxfId="281" priority="109"/>
  </conditionalFormatting>
  <conditionalFormatting sqref="E87">
    <cfRule type="duplicateValues" dxfId="280" priority="108"/>
  </conditionalFormatting>
  <conditionalFormatting sqref="E87">
    <cfRule type="duplicateValues" dxfId="279" priority="107"/>
  </conditionalFormatting>
  <conditionalFormatting sqref="E88">
    <cfRule type="duplicateValues" dxfId="278" priority="106"/>
  </conditionalFormatting>
  <conditionalFormatting sqref="E88">
    <cfRule type="duplicateValues" dxfId="277" priority="104"/>
    <cfRule type="duplicateValues" dxfId="276" priority="105"/>
  </conditionalFormatting>
  <conditionalFormatting sqref="E89">
    <cfRule type="duplicateValues" dxfId="275" priority="103"/>
  </conditionalFormatting>
  <conditionalFormatting sqref="E89">
    <cfRule type="duplicateValues" dxfId="274" priority="101"/>
    <cfRule type="duplicateValues" dxfId="273" priority="102"/>
  </conditionalFormatting>
  <conditionalFormatting sqref="E90">
    <cfRule type="duplicateValues" dxfId="272" priority="100"/>
  </conditionalFormatting>
  <conditionalFormatting sqref="E90">
    <cfRule type="duplicateValues" dxfId="271" priority="98"/>
    <cfRule type="duplicateValues" dxfId="270" priority="99"/>
  </conditionalFormatting>
  <conditionalFormatting sqref="E90">
    <cfRule type="duplicateValues" dxfId="269" priority="97"/>
  </conditionalFormatting>
  <conditionalFormatting sqref="E91">
    <cfRule type="duplicateValues" dxfId="268" priority="96"/>
  </conditionalFormatting>
  <conditionalFormatting sqref="E91">
    <cfRule type="duplicateValues" dxfId="267" priority="94"/>
    <cfRule type="duplicateValues" dxfId="266" priority="95"/>
  </conditionalFormatting>
  <conditionalFormatting sqref="E91">
    <cfRule type="duplicateValues" dxfId="265" priority="93"/>
  </conditionalFormatting>
  <conditionalFormatting sqref="E92">
    <cfRule type="duplicateValues" dxfId="264" priority="92"/>
  </conditionalFormatting>
  <conditionalFormatting sqref="E92">
    <cfRule type="duplicateValues" dxfId="263" priority="90"/>
    <cfRule type="duplicateValues" dxfId="262" priority="91"/>
  </conditionalFormatting>
  <conditionalFormatting sqref="E92">
    <cfRule type="duplicateValues" dxfId="261" priority="89"/>
  </conditionalFormatting>
  <conditionalFormatting sqref="E93">
    <cfRule type="duplicateValues" dxfId="260" priority="88"/>
  </conditionalFormatting>
  <conditionalFormatting sqref="E93">
    <cfRule type="duplicateValues" dxfId="259" priority="86"/>
    <cfRule type="duplicateValues" dxfId="258" priority="87"/>
  </conditionalFormatting>
  <conditionalFormatting sqref="E93">
    <cfRule type="duplicateValues" dxfId="257" priority="85"/>
  </conditionalFormatting>
  <conditionalFormatting sqref="E94">
    <cfRule type="duplicateValues" dxfId="256" priority="84"/>
  </conditionalFormatting>
  <conditionalFormatting sqref="E94">
    <cfRule type="duplicateValues" dxfId="255" priority="82"/>
    <cfRule type="duplicateValues" dxfId="254" priority="83"/>
  </conditionalFormatting>
  <conditionalFormatting sqref="E94">
    <cfRule type="duplicateValues" dxfId="253" priority="81"/>
  </conditionalFormatting>
  <conditionalFormatting sqref="E95">
    <cfRule type="duplicateValues" dxfId="252" priority="80"/>
  </conditionalFormatting>
  <conditionalFormatting sqref="E95">
    <cfRule type="duplicateValues" dxfId="251" priority="78"/>
    <cfRule type="duplicateValues" dxfId="250" priority="79"/>
  </conditionalFormatting>
  <conditionalFormatting sqref="E95">
    <cfRule type="duplicateValues" dxfId="249" priority="77"/>
  </conditionalFormatting>
  <conditionalFormatting sqref="E97">
    <cfRule type="duplicateValues" dxfId="248" priority="76"/>
  </conditionalFormatting>
  <conditionalFormatting sqref="E97">
    <cfRule type="duplicateValues" dxfId="247" priority="74"/>
    <cfRule type="duplicateValues" dxfId="246" priority="75"/>
  </conditionalFormatting>
  <conditionalFormatting sqref="E97">
    <cfRule type="duplicateValues" dxfId="245" priority="73"/>
  </conditionalFormatting>
  <conditionalFormatting sqref="E100">
    <cfRule type="duplicateValues" dxfId="244" priority="72"/>
  </conditionalFormatting>
  <conditionalFormatting sqref="E100">
    <cfRule type="duplicateValues" dxfId="243" priority="70"/>
    <cfRule type="duplicateValues" dxfId="242" priority="71"/>
  </conditionalFormatting>
  <conditionalFormatting sqref="E100">
    <cfRule type="duplicateValues" dxfId="241" priority="69"/>
  </conditionalFormatting>
  <conditionalFormatting sqref="E101">
    <cfRule type="duplicateValues" dxfId="240" priority="68"/>
  </conditionalFormatting>
  <conditionalFormatting sqref="E101">
    <cfRule type="duplicateValues" dxfId="239" priority="66"/>
    <cfRule type="duplicateValues" dxfId="238" priority="67"/>
  </conditionalFormatting>
  <conditionalFormatting sqref="E101">
    <cfRule type="duplicateValues" dxfId="237" priority="65"/>
  </conditionalFormatting>
  <conditionalFormatting sqref="E102">
    <cfRule type="duplicateValues" dxfId="236" priority="64"/>
  </conditionalFormatting>
  <conditionalFormatting sqref="E102">
    <cfRule type="duplicateValues" dxfId="235" priority="62"/>
    <cfRule type="duplicateValues" dxfId="234" priority="63"/>
  </conditionalFormatting>
  <conditionalFormatting sqref="E102">
    <cfRule type="duplicateValues" dxfId="233" priority="61"/>
  </conditionalFormatting>
  <conditionalFormatting sqref="E103">
    <cfRule type="duplicateValues" dxfId="232" priority="60"/>
  </conditionalFormatting>
  <conditionalFormatting sqref="E103">
    <cfRule type="duplicateValues" dxfId="231" priority="58"/>
    <cfRule type="duplicateValues" dxfId="230" priority="59"/>
  </conditionalFormatting>
  <conditionalFormatting sqref="E103">
    <cfRule type="duplicateValues" dxfId="229" priority="57"/>
  </conditionalFormatting>
  <conditionalFormatting sqref="E104">
    <cfRule type="duplicateValues" dxfId="228" priority="56"/>
  </conditionalFormatting>
  <conditionalFormatting sqref="E104">
    <cfRule type="duplicateValues" dxfId="227" priority="54"/>
    <cfRule type="duplicateValues" dxfId="226" priority="55"/>
  </conditionalFormatting>
  <conditionalFormatting sqref="E104">
    <cfRule type="duplicateValues" dxfId="225" priority="53"/>
  </conditionalFormatting>
  <conditionalFormatting sqref="E105">
    <cfRule type="duplicateValues" dxfId="224" priority="52"/>
  </conditionalFormatting>
  <conditionalFormatting sqref="E105">
    <cfRule type="duplicateValues" dxfId="223" priority="50"/>
    <cfRule type="duplicateValues" dxfId="222" priority="51"/>
  </conditionalFormatting>
  <conditionalFormatting sqref="E105">
    <cfRule type="duplicateValues" dxfId="221" priority="49"/>
  </conditionalFormatting>
  <conditionalFormatting sqref="E106">
    <cfRule type="duplicateValues" dxfId="220" priority="48"/>
  </conditionalFormatting>
  <conditionalFormatting sqref="E106">
    <cfRule type="duplicateValues" dxfId="219" priority="46"/>
    <cfRule type="duplicateValues" dxfId="218" priority="47"/>
  </conditionalFormatting>
  <conditionalFormatting sqref="E106">
    <cfRule type="duplicateValues" dxfId="217" priority="45"/>
  </conditionalFormatting>
  <conditionalFormatting sqref="E107">
    <cfRule type="duplicateValues" dxfId="216" priority="44"/>
  </conditionalFormatting>
  <conditionalFormatting sqref="E107">
    <cfRule type="duplicateValues" dxfId="215" priority="42"/>
    <cfRule type="duplicateValues" dxfId="214" priority="43"/>
  </conditionalFormatting>
  <conditionalFormatting sqref="E107">
    <cfRule type="duplicateValues" dxfId="213" priority="41"/>
  </conditionalFormatting>
  <conditionalFormatting sqref="E108">
    <cfRule type="duplicateValues" dxfId="212" priority="37"/>
  </conditionalFormatting>
  <conditionalFormatting sqref="E108">
    <cfRule type="duplicateValues" dxfId="211" priority="38"/>
    <cfRule type="duplicateValues" dxfId="210" priority="39"/>
  </conditionalFormatting>
  <conditionalFormatting sqref="E108">
    <cfRule type="duplicateValues" dxfId="209" priority="40"/>
  </conditionalFormatting>
  <conditionalFormatting sqref="E109">
    <cfRule type="duplicateValues" dxfId="208" priority="33"/>
  </conditionalFormatting>
  <conditionalFormatting sqref="E109">
    <cfRule type="duplicateValues" dxfId="207" priority="34"/>
    <cfRule type="duplicateValues" dxfId="206" priority="35"/>
  </conditionalFormatting>
  <conditionalFormatting sqref="E109">
    <cfRule type="duplicateValues" dxfId="205" priority="36"/>
  </conditionalFormatting>
  <conditionalFormatting sqref="E109">
    <cfRule type="duplicateValues" dxfId="204" priority="31"/>
    <cfRule type="duplicateValues" dxfId="203" priority="32"/>
  </conditionalFormatting>
  <conditionalFormatting sqref="E111">
    <cfRule type="duplicateValues" dxfId="202" priority="21"/>
  </conditionalFormatting>
  <conditionalFormatting sqref="E111">
    <cfRule type="duplicateValues" dxfId="201" priority="22"/>
    <cfRule type="duplicateValues" dxfId="200" priority="23"/>
  </conditionalFormatting>
  <conditionalFormatting sqref="E111">
    <cfRule type="duplicateValues" dxfId="199" priority="24"/>
  </conditionalFormatting>
  <conditionalFormatting sqref="E111">
    <cfRule type="duplicateValues" dxfId="198" priority="19"/>
    <cfRule type="duplicateValues" dxfId="197" priority="20"/>
  </conditionalFormatting>
  <conditionalFormatting sqref="E112">
    <cfRule type="duplicateValues" dxfId="196" priority="15"/>
  </conditionalFormatting>
  <conditionalFormatting sqref="E112">
    <cfRule type="duplicateValues" dxfId="195" priority="16"/>
    <cfRule type="duplicateValues" dxfId="194" priority="17"/>
  </conditionalFormatting>
  <conditionalFormatting sqref="E112">
    <cfRule type="duplicateValues" dxfId="193" priority="18"/>
  </conditionalFormatting>
  <conditionalFormatting sqref="E112">
    <cfRule type="duplicateValues" dxfId="192" priority="13"/>
    <cfRule type="duplicateValues" dxfId="191" priority="14"/>
  </conditionalFormatting>
  <conditionalFormatting sqref="E110">
    <cfRule type="duplicateValues" dxfId="190" priority="9"/>
  </conditionalFormatting>
  <conditionalFormatting sqref="E110">
    <cfRule type="duplicateValues" dxfId="189" priority="10"/>
    <cfRule type="duplicateValues" dxfId="188" priority="11"/>
  </conditionalFormatting>
  <conditionalFormatting sqref="E110">
    <cfRule type="duplicateValues" dxfId="187" priority="12"/>
  </conditionalFormatting>
  <conditionalFormatting sqref="E110">
    <cfRule type="duplicateValues" dxfId="186" priority="7"/>
    <cfRule type="duplicateValues" dxfId="185" priority="8"/>
  </conditionalFormatting>
  <conditionalFormatting sqref="E114">
    <cfRule type="duplicateValues" dxfId="184" priority="1"/>
  </conditionalFormatting>
  <conditionalFormatting sqref="E114">
    <cfRule type="duplicateValues" dxfId="183" priority="2"/>
    <cfRule type="duplicateValues" dxfId="182" priority="3"/>
  </conditionalFormatting>
  <conditionalFormatting sqref="E114">
    <cfRule type="duplicateValues" dxfId="181" priority="4"/>
  </conditionalFormatting>
  <conditionalFormatting sqref="E114">
    <cfRule type="duplicateValues" dxfId="180" priority="5"/>
    <cfRule type="duplicateValues" dxfId="179" priority="6"/>
  </conditionalFormatting>
  <hyperlinks>
    <hyperlink ref="E1" r:id="rId1" display="!@ बजे"/>
  </hyperlinks>
  <pageMargins left="0.25" right="0.25" top="0.75" bottom="0.28000000000000003" header="0.3" footer="0.3"/>
  <pageSetup scale="37" orientation="landscape" r:id="rId2"/>
  <rowBreaks count="1" manualBreakCount="1">
    <brk id="77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R2"/>
  <sheetViews>
    <sheetView workbookViewId="0">
      <selection activeCell="A2" sqref="A2:J2"/>
    </sheetView>
  </sheetViews>
  <sheetFormatPr defaultRowHeight="15"/>
  <cols>
    <col min="1" max="1" width="4.85546875" bestFit="1" customWidth="1"/>
    <col min="2" max="2" width="21.140625" bestFit="1" customWidth="1"/>
    <col min="3" max="3" width="15" bestFit="1" customWidth="1"/>
    <col min="4" max="4" width="11.140625" bestFit="1" customWidth="1"/>
    <col min="5" max="5" width="4.28515625" style="49" bestFit="1" customWidth="1"/>
    <col min="6" max="6" width="7.42578125" style="93" customWidth="1"/>
    <col min="7" max="7" width="29.140625" bestFit="1" customWidth="1"/>
    <col min="8" max="8" width="42.5703125" bestFit="1" customWidth="1"/>
    <col min="9" max="9" width="22.5703125" bestFit="1" customWidth="1"/>
    <col min="10" max="10" width="14.7109375" bestFit="1" customWidth="1"/>
    <col min="11" max="12" width="10.7109375" bestFit="1" customWidth="1"/>
  </cols>
  <sheetData>
    <row r="1" spans="1:18" ht="19.5">
      <c r="A1" s="2" t="s">
        <v>24</v>
      </c>
      <c r="B1" s="4" t="s">
        <v>28</v>
      </c>
      <c r="C1" s="58" t="s">
        <v>29</v>
      </c>
      <c r="D1" s="2" t="s">
        <v>30</v>
      </c>
      <c r="E1" s="2" t="s">
        <v>32</v>
      </c>
      <c r="F1" s="1124" t="s">
        <v>33</v>
      </c>
      <c r="G1" s="984" t="s">
        <v>34</v>
      </c>
      <c r="H1" s="2" t="s">
        <v>36</v>
      </c>
      <c r="I1" s="58" t="s">
        <v>37</v>
      </c>
      <c r="J1" s="2" t="s">
        <v>38</v>
      </c>
      <c r="K1" s="7" t="s">
        <v>42</v>
      </c>
      <c r="L1" s="98"/>
      <c r="M1" s="98"/>
      <c r="N1" s="98"/>
      <c r="O1" s="98"/>
      <c r="P1" s="98"/>
      <c r="Q1" s="98"/>
      <c r="R1" s="98"/>
    </row>
    <row r="2" spans="1:18">
      <c r="B2" s="432"/>
      <c r="C2" s="434"/>
      <c r="D2" s="247"/>
      <c r="E2" s="489"/>
      <c r="F2" s="128"/>
      <c r="G2" s="434"/>
      <c r="H2" s="434"/>
      <c r="I2" s="730"/>
      <c r="J2" s="730"/>
    </row>
  </sheetData>
  <sortState ref="A2:AB59">
    <sortCondition ref="B2:B59"/>
  </sortState>
  <conditionalFormatting sqref="B2">
    <cfRule type="duplicateValues" dxfId="178" priority="1"/>
  </conditionalFormatting>
  <conditionalFormatting sqref="B2">
    <cfRule type="duplicateValues" dxfId="177" priority="2"/>
    <cfRule type="duplicateValues" dxfId="176" priority="3"/>
  </conditionalFormatting>
  <conditionalFormatting sqref="B2">
    <cfRule type="duplicateValues" dxfId="175" priority="4"/>
  </conditionalFormatting>
  <conditionalFormatting sqref="B2">
    <cfRule type="duplicateValues" dxfId="174" priority="5"/>
    <cfRule type="duplicateValues" dxfId="173" priority="6"/>
  </conditionalFormatting>
  <pageMargins left="0.7" right="0.7" top="0.75" bottom="0.75" header="0.3" footer="0.3"/>
  <pageSetup scale="6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8"/>
  <sheetViews>
    <sheetView view="pageBreakPreview" zoomScale="80" zoomScaleNormal="100" zoomScaleSheetLayoutView="80" workbookViewId="0">
      <selection sqref="A1:K1"/>
    </sheetView>
  </sheetViews>
  <sheetFormatPr defaultColWidth="33.28515625" defaultRowHeight="15"/>
  <cols>
    <col min="1" max="1" width="6.42578125" style="147" bestFit="1" customWidth="1"/>
    <col min="2" max="2" width="13.5703125" style="138" bestFit="1" customWidth="1"/>
    <col min="3" max="3" width="26.7109375" style="147" customWidth="1"/>
    <col min="4" max="4" width="5.85546875" style="245" bestFit="1" customWidth="1"/>
    <col min="5" max="5" width="13" style="138" bestFit="1" customWidth="1"/>
    <col min="6" max="6" width="4.85546875" style="138" bestFit="1" customWidth="1"/>
    <col min="7" max="7" width="6.5703125" style="138" bestFit="1" customWidth="1"/>
    <col min="8" max="8" width="25.85546875" style="138" customWidth="1"/>
    <col min="9" max="9" width="20.7109375" style="138" customWidth="1"/>
    <col min="10" max="10" width="13.42578125" style="138" bestFit="1" customWidth="1"/>
    <col min="11" max="11" width="13" style="138" bestFit="1" customWidth="1"/>
    <col min="12" max="12" width="33.28515625" style="830"/>
    <col min="13" max="16384" width="33.28515625" style="138"/>
  </cols>
  <sheetData>
    <row r="1" spans="1:11" ht="39">
      <c r="A1" s="1396" t="s">
        <v>24</v>
      </c>
      <c r="B1" s="1020" t="s">
        <v>27</v>
      </c>
      <c r="C1" s="1021" t="s">
        <v>28</v>
      </c>
      <c r="D1" s="1022" t="s">
        <v>2495</v>
      </c>
      <c r="E1" s="1020" t="s">
        <v>2007</v>
      </c>
      <c r="F1" s="1020" t="s">
        <v>32</v>
      </c>
      <c r="G1" s="1023" t="s">
        <v>33</v>
      </c>
      <c r="H1" s="1023" t="s">
        <v>34</v>
      </c>
      <c r="I1" s="1020" t="s">
        <v>36</v>
      </c>
      <c r="J1" s="1142" t="s">
        <v>37</v>
      </c>
      <c r="K1" s="1143" t="s">
        <v>38</v>
      </c>
    </row>
    <row r="2" spans="1:11">
      <c r="A2" s="147">
        <v>1</v>
      </c>
      <c r="B2" s="138" t="s">
        <v>5523</v>
      </c>
      <c r="C2" s="434" t="s">
        <v>6185</v>
      </c>
      <c r="D2" s="434">
        <v>3</v>
      </c>
      <c r="E2" s="434">
        <v>9849133878</v>
      </c>
      <c r="F2" s="434">
        <v>32</v>
      </c>
      <c r="G2" s="150" t="s">
        <v>48</v>
      </c>
      <c r="H2" s="434" t="s">
        <v>5405</v>
      </c>
      <c r="I2" s="434" t="s">
        <v>1764</v>
      </c>
      <c r="J2" s="1334">
        <v>65325</v>
      </c>
      <c r="K2" s="1334">
        <v>65325</v>
      </c>
    </row>
    <row r="3" spans="1:11">
      <c r="A3" s="147">
        <f>A2+1</f>
        <v>2</v>
      </c>
      <c r="B3" s="138" t="s">
        <v>5523</v>
      </c>
      <c r="C3" s="434" t="s">
        <v>6183</v>
      </c>
      <c r="D3" s="434">
        <v>6</v>
      </c>
      <c r="E3" s="434">
        <v>9841115415</v>
      </c>
      <c r="F3" s="434">
        <v>36</v>
      </c>
      <c r="G3" s="150" t="s">
        <v>48</v>
      </c>
      <c r="H3" s="434" t="s">
        <v>5405</v>
      </c>
      <c r="I3" s="434" t="s">
        <v>1764</v>
      </c>
      <c r="J3" s="1334">
        <v>65325</v>
      </c>
      <c r="K3" s="1334">
        <v>65325</v>
      </c>
    </row>
    <row r="4" spans="1:11">
      <c r="A4" s="147">
        <f t="shared" ref="A4:A8" si="0">A3+1</f>
        <v>3</v>
      </c>
      <c r="B4" s="138" t="s">
        <v>5523</v>
      </c>
      <c r="C4" s="434" t="s">
        <v>6184</v>
      </c>
      <c r="D4" s="434">
        <v>6</v>
      </c>
      <c r="E4" s="434">
        <v>9841115415</v>
      </c>
      <c r="F4" s="434">
        <v>35</v>
      </c>
      <c r="G4" s="434" t="s">
        <v>90</v>
      </c>
      <c r="H4" s="434" t="s">
        <v>5405</v>
      </c>
      <c r="I4" s="434" t="s">
        <v>1764</v>
      </c>
      <c r="J4" s="1334">
        <v>65325</v>
      </c>
      <c r="K4" s="1334">
        <v>65325</v>
      </c>
    </row>
    <row r="5" spans="1:11">
      <c r="A5" s="147">
        <f t="shared" si="0"/>
        <v>4</v>
      </c>
      <c r="B5" s="138" t="s">
        <v>5523</v>
      </c>
      <c r="C5" s="434" t="s">
        <v>6179</v>
      </c>
      <c r="D5" s="434">
        <v>8</v>
      </c>
      <c r="E5" s="434">
        <v>9851241456</v>
      </c>
      <c r="F5" s="434">
        <v>43</v>
      </c>
      <c r="G5" s="150" t="s">
        <v>48</v>
      </c>
      <c r="H5" s="434" t="s">
        <v>5405</v>
      </c>
      <c r="I5" s="434" t="s">
        <v>1764</v>
      </c>
      <c r="J5" s="1334">
        <v>65321</v>
      </c>
      <c r="K5" s="1334">
        <v>65321</v>
      </c>
    </row>
    <row r="6" spans="1:11">
      <c r="A6" s="147">
        <f t="shared" si="0"/>
        <v>5</v>
      </c>
      <c r="B6" s="138" t="s">
        <v>5523</v>
      </c>
      <c r="C6" s="434" t="s">
        <v>6180</v>
      </c>
      <c r="D6" s="434">
        <v>8</v>
      </c>
      <c r="E6" s="434">
        <v>9822410757</v>
      </c>
      <c r="F6" s="434">
        <v>6</v>
      </c>
      <c r="G6" s="150" t="s">
        <v>48</v>
      </c>
      <c r="H6" s="434" t="s">
        <v>5405</v>
      </c>
      <c r="I6" s="434" t="s">
        <v>1764</v>
      </c>
      <c r="J6" s="1334">
        <v>65321</v>
      </c>
      <c r="K6" s="1334">
        <v>65321</v>
      </c>
    </row>
    <row r="7" spans="1:11">
      <c r="A7" s="147">
        <f t="shared" si="0"/>
        <v>6</v>
      </c>
      <c r="B7" s="138" t="s">
        <v>5523</v>
      </c>
      <c r="C7" s="434" t="s">
        <v>6181</v>
      </c>
      <c r="D7" s="434">
        <v>8</v>
      </c>
      <c r="E7" s="434">
        <v>9822410757</v>
      </c>
      <c r="F7" s="434">
        <v>11</v>
      </c>
      <c r="G7" s="434" t="s">
        <v>90</v>
      </c>
      <c r="H7" s="434" t="s">
        <v>5405</v>
      </c>
      <c r="I7" s="434" t="s">
        <v>1764</v>
      </c>
      <c r="J7" s="1334">
        <v>65321</v>
      </c>
      <c r="K7" s="1334">
        <v>65321</v>
      </c>
    </row>
    <row r="8" spans="1:11">
      <c r="A8" s="147">
        <f t="shared" si="0"/>
        <v>7</v>
      </c>
      <c r="B8" s="138" t="s">
        <v>5523</v>
      </c>
      <c r="C8" s="434" t="s">
        <v>244</v>
      </c>
      <c r="D8" s="434">
        <v>8</v>
      </c>
      <c r="E8" s="434">
        <v>9810881325</v>
      </c>
      <c r="F8" s="434">
        <v>40</v>
      </c>
      <c r="G8" s="434" t="s">
        <v>90</v>
      </c>
      <c r="H8" s="434" t="s">
        <v>5405</v>
      </c>
      <c r="I8" s="434" t="s">
        <v>1764</v>
      </c>
      <c r="J8" s="1334">
        <v>65321</v>
      </c>
      <c r="K8" s="1334">
        <v>65321</v>
      </c>
    </row>
  </sheetData>
  <sortState ref="A2:L12">
    <sortCondition ref="D2:D12"/>
    <sortCondition ref="J2:J12"/>
  </sortState>
  <conditionalFormatting sqref="C9:C1048576 C1">
    <cfRule type="duplicateValues" dxfId="172" priority="2041"/>
  </conditionalFormatting>
  <conditionalFormatting sqref="C9:C1048576">
    <cfRule type="duplicateValues" dxfId="171" priority="2044"/>
  </conditionalFormatting>
  <conditionalFormatting sqref="C2:C5">
    <cfRule type="duplicateValues" dxfId="170" priority="4"/>
  </conditionalFormatting>
  <conditionalFormatting sqref="C2:C5">
    <cfRule type="duplicateValues" dxfId="169" priority="5"/>
    <cfRule type="duplicateValues" dxfId="168" priority="6"/>
  </conditionalFormatting>
  <conditionalFormatting sqref="C6:C8">
    <cfRule type="duplicateValues" dxfId="167" priority="1"/>
  </conditionalFormatting>
  <conditionalFormatting sqref="C6:C8">
    <cfRule type="duplicateValues" dxfId="166" priority="2"/>
    <cfRule type="duplicateValues" dxfId="165" priority="3"/>
  </conditionalFormatting>
  <pageMargins left="0.12" right="0.15" top="0.11" bottom="0.01" header="0.11" footer="0.1"/>
  <pageSetup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cro1">
                <anchor moveWithCells="1" sizeWithCells="1">
                  <from>
                    <xdr:col>11</xdr:col>
                    <xdr:colOff>438150</xdr:colOff>
                    <xdr:row>0</xdr:row>
                    <xdr:rowOff>38100</xdr:rowOff>
                  </from>
                  <to>
                    <xdr:col>11</xdr:col>
                    <xdr:colOff>2171700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Macro2">
                <anchor moveWithCells="1" sizeWithCells="1">
                  <from>
                    <xdr:col>12</xdr:col>
                    <xdr:colOff>314325</xdr:colOff>
                    <xdr:row>0</xdr:row>
                    <xdr:rowOff>85725</xdr:rowOff>
                  </from>
                  <to>
                    <xdr:col>12</xdr:col>
                    <xdr:colOff>1781175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Y4579"/>
  <sheetViews>
    <sheetView topLeftCell="A4570" zoomScale="80" zoomScaleNormal="80" workbookViewId="0">
      <selection activeCell="A4580" sqref="A4580"/>
    </sheetView>
  </sheetViews>
  <sheetFormatPr defaultRowHeight="15"/>
  <cols>
    <col min="1" max="1" width="6.28515625" style="509" bestFit="1" customWidth="1"/>
    <col min="2" max="2" width="13.140625" style="432" bestFit="1" customWidth="1"/>
    <col min="3" max="3" width="6" style="432" bestFit="1" customWidth="1"/>
    <col min="4" max="4" width="19.140625" style="432" bestFit="1" customWidth="1"/>
    <col min="5" max="5" width="33.85546875" style="432" bestFit="1" customWidth="1"/>
    <col min="6" max="6" width="28.85546875" style="434" customWidth="1"/>
    <col min="7" max="7" width="30.5703125" style="434" bestFit="1" customWidth="1"/>
    <col min="8" max="8" width="22.140625" style="432" bestFit="1" customWidth="1"/>
    <col min="9" max="9" width="9.5703125" style="434" bestFit="1" customWidth="1"/>
    <col min="10" max="10" width="8" style="434" bestFit="1" customWidth="1"/>
    <col min="11" max="11" width="35.85546875" style="434" customWidth="1"/>
    <col min="12" max="12" width="26" style="434" bestFit="1" customWidth="1"/>
    <col min="13" max="13" width="42.85546875" style="434" bestFit="1" customWidth="1"/>
    <col min="14" max="14" width="21.140625" style="733" bestFit="1" customWidth="1"/>
    <col min="15" max="15" width="14.5703125" style="432" bestFit="1" customWidth="1"/>
    <col min="16" max="17" width="16.7109375" style="432" bestFit="1" customWidth="1"/>
    <col min="18" max="18" width="22.42578125" style="322" bestFit="1" customWidth="1"/>
    <col min="19" max="19" width="12.85546875" style="322" bestFit="1" customWidth="1"/>
    <col min="20" max="20" width="9.85546875" style="322" bestFit="1" customWidth="1"/>
    <col min="21" max="21" width="9.140625" style="322"/>
    <col min="22" max="23" width="9.85546875" style="322" bestFit="1" customWidth="1"/>
    <col min="24" max="16384" width="9.140625" style="322"/>
  </cols>
  <sheetData>
    <row r="1" spans="1:20" ht="19.5">
      <c r="A1" s="369" t="s">
        <v>24</v>
      </c>
      <c r="B1" s="370" t="s">
        <v>25</v>
      </c>
      <c r="C1" s="370" t="s">
        <v>26</v>
      </c>
      <c r="D1" s="371" t="s">
        <v>27</v>
      </c>
      <c r="E1" s="372" t="s">
        <v>28</v>
      </c>
      <c r="F1" s="373" t="s">
        <v>29</v>
      </c>
      <c r="G1" s="375" t="s">
        <v>30</v>
      </c>
      <c r="H1" s="372" t="s">
        <v>31</v>
      </c>
      <c r="I1" s="375" t="s">
        <v>32</v>
      </c>
      <c r="J1" s="374" t="s">
        <v>33</v>
      </c>
      <c r="K1" s="374" t="s">
        <v>34</v>
      </c>
      <c r="L1" s="374" t="s">
        <v>35</v>
      </c>
      <c r="M1" s="375" t="s">
        <v>36</v>
      </c>
      <c r="N1" s="714" t="s">
        <v>37</v>
      </c>
      <c r="O1" s="15" t="s">
        <v>38</v>
      </c>
      <c r="P1" s="370" t="s">
        <v>39</v>
      </c>
      <c r="Q1" s="15" t="s">
        <v>40</v>
      </c>
      <c r="R1" s="363" t="s">
        <v>41</v>
      </c>
      <c r="S1" s="321" t="s">
        <v>42</v>
      </c>
      <c r="T1" s="321"/>
    </row>
    <row r="2" spans="1:20" ht="18">
      <c r="A2" s="377">
        <v>1</v>
      </c>
      <c r="B2" s="378" t="s">
        <v>43</v>
      </c>
      <c r="C2" s="15" t="s">
        <v>44</v>
      </c>
      <c r="D2" s="15" t="s">
        <v>45</v>
      </c>
      <c r="E2" s="379" t="s">
        <v>46</v>
      </c>
      <c r="F2" s="375"/>
      <c r="G2" s="375"/>
      <c r="H2" s="15" t="s">
        <v>47</v>
      </c>
      <c r="I2" s="375">
        <v>46</v>
      </c>
      <c r="J2" s="375" t="s">
        <v>48</v>
      </c>
      <c r="K2" s="375" t="s">
        <v>49</v>
      </c>
      <c r="L2" s="375"/>
      <c r="M2" s="375" t="s">
        <v>50</v>
      </c>
      <c r="N2" s="715">
        <v>64683</v>
      </c>
      <c r="O2" s="380">
        <v>64683</v>
      </c>
      <c r="P2" s="381">
        <v>64690</v>
      </c>
      <c r="Q2" s="15" t="s">
        <v>51</v>
      </c>
      <c r="R2" s="364"/>
      <c r="S2" s="321"/>
      <c r="T2" s="321"/>
    </row>
    <row r="3" spans="1:20" ht="18">
      <c r="A3" s="377">
        <v>2</v>
      </c>
      <c r="B3" s="378" t="s">
        <v>43</v>
      </c>
      <c r="C3" s="15" t="s">
        <v>44</v>
      </c>
      <c r="D3" s="15" t="s">
        <v>45</v>
      </c>
      <c r="E3" s="382" t="s">
        <v>52</v>
      </c>
      <c r="F3" s="375"/>
      <c r="G3" s="375"/>
      <c r="H3" s="15" t="s">
        <v>47</v>
      </c>
      <c r="I3" s="375">
        <v>23</v>
      </c>
      <c r="J3" s="375" t="s">
        <v>48</v>
      </c>
      <c r="K3" s="375" t="s">
        <v>53</v>
      </c>
      <c r="L3" s="375"/>
      <c r="M3" s="375" t="s">
        <v>54</v>
      </c>
      <c r="N3" s="716" t="s">
        <v>55</v>
      </c>
      <c r="O3" s="379" t="s">
        <v>55</v>
      </c>
      <c r="P3" s="370" t="s">
        <v>56</v>
      </c>
      <c r="Q3" s="15" t="s">
        <v>51</v>
      </c>
      <c r="R3" s="364"/>
      <c r="S3" s="321"/>
      <c r="T3" s="321"/>
    </row>
    <row r="4" spans="1:20" ht="18">
      <c r="A4" s="377">
        <v>3</v>
      </c>
      <c r="B4" s="378" t="s">
        <v>43</v>
      </c>
      <c r="C4" s="15" t="s">
        <v>44</v>
      </c>
      <c r="D4" s="15" t="s">
        <v>45</v>
      </c>
      <c r="E4" s="382" t="s">
        <v>57</v>
      </c>
      <c r="F4" s="375"/>
      <c r="G4" s="375"/>
      <c r="H4" s="15" t="s">
        <v>47</v>
      </c>
      <c r="I4" s="375">
        <v>18</v>
      </c>
      <c r="J4" s="375" t="s">
        <v>48</v>
      </c>
      <c r="K4" s="375" t="s">
        <v>53</v>
      </c>
      <c r="L4" s="375"/>
      <c r="M4" s="375" t="s">
        <v>54</v>
      </c>
      <c r="N4" s="716" t="s">
        <v>55</v>
      </c>
      <c r="O4" s="379" t="s">
        <v>55</v>
      </c>
      <c r="P4" s="370" t="s">
        <v>56</v>
      </c>
      <c r="Q4" s="15" t="s">
        <v>51</v>
      </c>
      <c r="R4" s="364"/>
      <c r="S4" s="321"/>
      <c r="T4" s="321"/>
    </row>
    <row r="5" spans="1:20" ht="18">
      <c r="A5" s="377">
        <v>4</v>
      </c>
      <c r="B5" s="378" t="s">
        <v>43</v>
      </c>
      <c r="C5" s="15" t="s">
        <v>44</v>
      </c>
      <c r="D5" s="15" t="s">
        <v>45</v>
      </c>
      <c r="E5" s="379" t="s">
        <v>58</v>
      </c>
      <c r="F5" s="375"/>
      <c r="G5" s="375"/>
      <c r="H5" s="15" t="s">
        <v>47</v>
      </c>
      <c r="I5" s="375">
        <v>20</v>
      </c>
      <c r="J5" s="375" t="s">
        <v>48</v>
      </c>
      <c r="K5" s="375" t="s">
        <v>53</v>
      </c>
      <c r="L5" s="375"/>
      <c r="M5" s="375" t="s">
        <v>54</v>
      </c>
      <c r="N5" s="716" t="s">
        <v>55</v>
      </c>
      <c r="O5" s="379" t="s">
        <v>55</v>
      </c>
      <c r="P5" s="370" t="s">
        <v>56</v>
      </c>
      <c r="Q5" s="15" t="s">
        <v>51</v>
      </c>
      <c r="R5" s="364"/>
      <c r="S5" s="321"/>
      <c r="T5" s="321"/>
    </row>
    <row r="6" spans="1:20" ht="18">
      <c r="A6" s="377">
        <v>5</v>
      </c>
      <c r="B6" s="378" t="s">
        <v>43</v>
      </c>
      <c r="C6" s="15" t="s">
        <v>44</v>
      </c>
      <c r="D6" s="15" t="s">
        <v>45</v>
      </c>
      <c r="E6" s="379" t="s">
        <v>59</v>
      </c>
      <c r="F6" s="375"/>
      <c r="G6" s="375"/>
      <c r="H6" s="15" t="s">
        <v>47</v>
      </c>
      <c r="I6" s="375">
        <v>32</v>
      </c>
      <c r="J6" s="375" t="s">
        <v>48</v>
      </c>
      <c r="K6" s="375" t="s">
        <v>53</v>
      </c>
      <c r="L6" s="375"/>
      <c r="M6" s="375" t="s">
        <v>54</v>
      </c>
      <c r="N6" s="716" t="s">
        <v>55</v>
      </c>
      <c r="O6" s="379" t="s">
        <v>55</v>
      </c>
      <c r="P6" s="370" t="s">
        <v>56</v>
      </c>
      <c r="Q6" s="15" t="s">
        <v>51</v>
      </c>
      <c r="R6" s="364"/>
      <c r="S6" s="321"/>
      <c r="T6" s="321"/>
    </row>
    <row r="7" spans="1:20" ht="18">
      <c r="A7" s="377">
        <v>6</v>
      </c>
      <c r="B7" s="378" t="s">
        <v>43</v>
      </c>
      <c r="C7" s="15" t="s">
        <v>44</v>
      </c>
      <c r="D7" s="15" t="s">
        <v>45</v>
      </c>
      <c r="E7" s="379" t="s">
        <v>60</v>
      </c>
      <c r="F7" s="375"/>
      <c r="G7" s="375"/>
      <c r="H7" s="15" t="s">
        <v>47</v>
      </c>
      <c r="I7" s="375">
        <v>20</v>
      </c>
      <c r="J7" s="375" t="s">
        <v>48</v>
      </c>
      <c r="K7" s="375" t="s">
        <v>53</v>
      </c>
      <c r="L7" s="375"/>
      <c r="M7" s="375" t="s">
        <v>54</v>
      </c>
      <c r="N7" s="716" t="s">
        <v>55</v>
      </c>
      <c r="O7" s="379" t="s">
        <v>55</v>
      </c>
      <c r="P7" s="370" t="s">
        <v>56</v>
      </c>
      <c r="Q7" s="15" t="s">
        <v>51</v>
      </c>
      <c r="R7" s="364"/>
      <c r="S7" s="321"/>
      <c r="T7" s="321"/>
    </row>
    <row r="8" spans="1:20">
      <c r="A8" s="377">
        <v>7</v>
      </c>
      <c r="B8" s="15" t="s">
        <v>43</v>
      </c>
      <c r="C8" s="15" t="s">
        <v>44</v>
      </c>
      <c r="D8" s="15" t="s">
        <v>45</v>
      </c>
      <c r="E8" s="15" t="s">
        <v>61</v>
      </c>
      <c r="F8" s="375"/>
      <c r="G8" s="375"/>
      <c r="H8" s="15" t="s">
        <v>47</v>
      </c>
      <c r="I8" s="375">
        <v>28</v>
      </c>
      <c r="J8" s="375" t="s">
        <v>48</v>
      </c>
      <c r="K8" s="384" t="s">
        <v>53</v>
      </c>
      <c r="L8" s="375"/>
      <c r="M8" s="375" t="s">
        <v>54</v>
      </c>
      <c r="N8" s="714" t="s">
        <v>62</v>
      </c>
      <c r="O8" s="385" t="s">
        <v>62</v>
      </c>
      <c r="P8" s="370" t="s">
        <v>63</v>
      </c>
      <c r="Q8" s="15" t="s">
        <v>51</v>
      </c>
      <c r="R8" s="364"/>
      <c r="S8" s="321"/>
      <c r="T8" s="321"/>
    </row>
    <row r="9" spans="1:20">
      <c r="A9" s="377">
        <v>8</v>
      </c>
      <c r="B9" s="15" t="s">
        <v>43</v>
      </c>
      <c r="C9" s="15" t="s">
        <v>44</v>
      </c>
      <c r="D9" s="15" t="s">
        <v>45</v>
      </c>
      <c r="E9" s="15" t="s">
        <v>64</v>
      </c>
      <c r="F9" s="375"/>
      <c r="G9" s="375"/>
      <c r="H9" s="15" t="s">
        <v>47</v>
      </c>
      <c r="I9" s="375">
        <v>27</v>
      </c>
      <c r="J9" s="375" t="s">
        <v>48</v>
      </c>
      <c r="K9" s="384" t="s">
        <v>53</v>
      </c>
      <c r="L9" s="375"/>
      <c r="M9" s="375" t="s">
        <v>54</v>
      </c>
      <c r="N9" s="714" t="s">
        <v>65</v>
      </c>
      <c r="O9" s="385" t="s">
        <v>65</v>
      </c>
      <c r="P9" s="370" t="s">
        <v>66</v>
      </c>
      <c r="Q9" s="15" t="s">
        <v>51</v>
      </c>
      <c r="R9" s="364"/>
      <c r="S9" s="321"/>
      <c r="T9" s="321"/>
    </row>
    <row r="10" spans="1:20">
      <c r="A10" s="377">
        <v>9</v>
      </c>
      <c r="B10" s="15" t="s">
        <v>43</v>
      </c>
      <c r="C10" s="15" t="s">
        <v>44</v>
      </c>
      <c r="D10" s="15" t="s">
        <v>45</v>
      </c>
      <c r="E10" s="379" t="s">
        <v>67</v>
      </c>
      <c r="F10" s="375"/>
      <c r="G10" s="375"/>
      <c r="H10" s="15" t="s">
        <v>47</v>
      </c>
      <c r="I10" s="375">
        <v>24</v>
      </c>
      <c r="J10" s="375" t="s">
        <v>48</v>
      </c>
      <c r="K10" s="384" t="s">
        <v>53</v>
      </c>
      <c r="L10" s="375"/>
      <c r="M10" s="375" t="s">
        <v>54</v>
      </c>
      <c r="N10" s="717">
        <v>64713</v>
      </c>
      <c r="O10" s="386">
        <v>64713</v>
      </c>
      <c r="P10" s="370" t="s">
        <v>68</v>
      </c>
      <c r="Q10" s="15" t="s">
        <v>51</v>
      </c>
      <c r="R10" s="364"/>
      <c r="S10" s="320"/>
      <c r="T10" s="320"/>
    </row>
    <row r="11" spans="1:20">
      <c r="A11" s="377">
        <v>10</v>
      </c>
      <c r="B11" s="15" t="s">
        <v>43</v>
      </c>
      <c r="C11" s="15" t="s">
        <v>44</v>
      </c>
      <c r="D11" s="15" t="s">
        <v>45</v>
      </c>
      <c r="E11" s="379" t="s">
        <v>69</v>
      </c>
      <c r="F11" s="375"/>
      <c r="G11" s="375"/>
      <c r="H11" s="15" t="s">
        <v>47</v>
      </c>
      <c r="I11" s="375">
        <v>47</v>
      </c>
      <c r="J11" s="375" t="s">
        <v>48</v>
      </c>
      <c r="K11" s="384" t="s">
        <v>53</v>
      </c>
      <c r="L11" s="375"/>
      <c r="M11" s="375" t="s">
        <v>54</v>
      </c>
      <c r="N11" s="717">
        <v>64713</v>
      </c>
      <c r="O11" s="386">
        <v>64713</v>
      </c>
      <c r="P11" s="370" t="s">
        <v>68</v>
      </c>
      <c r="Q11" s="15" t="s">
        <v>51</v>
      </c>
      <c r="R11" s="364"/>
      <c r="S11" s="320"/>
      <c r="T11" s="320"/>
    </row>
    <row r="12" spans="1:20" ht="15.75">
      <c r="A12" s="377">
        <v>11</v>
      </c>
      <c r="B12" s="15" t="s">
        <v>43</v>
      </c>
      <c r="C12" s="15" t="s">
        <v>44</v>
      </c>
      <c r="D12" s="15" t="s">
        <v>45</v>
      </c>
      <c r="E12" s="387" t="s">
        <v>70</v>
      </c>
      <c r="F12" s="388">
        <v>9847834652</v>
      </c>
      <c r="G12" s="375"/>
      <c r="H12" s="15" t="s">
        <v>47</v>
      </c>
      <c r="I12" s="388">
        <v>19</v>
      </c>
      <c r="J12" s="375" t="s">
        <v>48</v>
      </c>
      <c r="K12" s="384" t="s">
        <v>53</v>
      </c>
      <c r="L12" s="375"/>
      <c r="M12" s="375" t="s">
        <v>54</v>
      </c>
      <c r="N12" s="714" t="s">
        <v>71</v>
      </c>
      <c r="O12" s="15" t="s">
        <v>71</v>
      </c>
      <c r="P12" s="370" t="s">
        <v>72</v>
      </c>
      <c r="Q12" s="15" t="s">
        <v>51</v>
      </c>
      <c r="R12" s="364"/>
      <c r="S12" s="321"/>
      <c r="T12" s="321"/>
    </row>
    <row r="13" spans="1:20" ht="15.75">
      <c r="A13" s="377">
        <v>12</v>
      </c>
      <c r="B13" s="15" t="s">
        <v>43</v>
      </c>
      <c r="C13" s="15" t="s">
        <v>44</v>
      </c>
      <c r="D13" s="15" t="s">
        <v>45</v>
      </c>
      <c r="E13" s="387" t="s">
        <v>73</v>
      </c>
      <c r="F13" s="388">
        <v>9847834652</v>
      </c>
      <c r="G13" s="375"/>
      <c r="H13" s="15" t="s">
        <v>47</v>
      </c>
      <c r="I13" s="388">
        <v>16</v>
      </c>
      <c r="J13" s="375" t="s">
        <v>48</v>
      </c>
      <c r="K13" s="384" t="s">
        <v>53</v>
      </c>
      <c r="L13" s="375"/>
      <c r="M13" s="375" t="s">
        <v>54</v>
      </c>
      <c r="N13" s="714" t="s">
        <v>71</v>
      </c>
      <c r="O13" s="15" t="s">
        <v>71</v>
      </c>
      <c r="P13" s="370" t="s">
        <v>72</v>
      </c>
      <c r="Q13" s="15" t="s">
        <v>51</v>
      </c>
      <c r="R13" s="364"/>
      <c r="S13" s="321"/>
      <c r="T13" s="321"/>
    </row>
    <row r="14" spans="1:20" ht="15.75">
      <c r="A14" s="377">
        <v>13</v>
      </c>
      <c r="B14" s="15" t="s">
        <v>43</v>
      </c>
      <c r="C14" s="15" t="s">
        <v>44</v>
      </c>
      <c r="D14" s="15" t="s">
        <v>45</v>
      </c>
      <c r="E14" s="389" t="s">
        <v>74</v>
      </c>
      <c r="F14" s="388">
        <v>9847834652</v>
      </c>
      <c r="G14" s="375"/>
      <c r="H14" s="15" t="s">
        <v>47</v>
      </c>
      <c r="I14" s="388">
        <v>33</v>
      </c>
      <c r="J14" s="375" t="s">
        <v>48</v>
      </c>
      <c r="K14" s="384" t="s">
        <v>53</v>
      </c>
      <c r="L14" s="375"/>
      <c r="M14" s="375" t="s">
        <v>54</v>
      </c>
      <c r="N14" s="714" t="s">
        <v>71</v>
      </c>
      <c r="O14" s="15" t="s">
        <v>71</v>
      </c>
      <c r="P14" s="370" t="s">
        <v>72</v>
      </c>
      <c r="Q14" s="15" t="s">
        <v>51</v>
      </c>
      <c r="R14" s="364"/>
      <c r="S14" s="321"/>
      <c r="T14" s="321"/>
    </row>
    <row r="15" spans="1:20" ht="15.75">
      <c r="A15" s="377">
        <v>14</v>
      </c>
      <c r="B15" s="15" t="s">
        <v>43</v>
      </c>
      <c r="C15" s="15" t="s">
        <v>44</v>
      </c>
      <c r="D15" s="15" t="s">
        <v>45</v>
      </c>
      <c r="E15" s="387" t="s">
        <v>75</v>
      </c>
      <c r="F15" s="388">
        <v>9847834652</v>
      </c>
      <c r="G15" s="375"/>
      <c r="H15" s="15" t="s">
        <v>47</v>
      </c>
      <c r="I15" s="388">
        <v>39</v>
      </c>
      <c r="J15" s="375" t="s">
        <v>48</v>
      </c>
      <c r="K15" s="384" t="s">
        <v>53</v>
      </c>
      <c r="L15" s="375"/>
      <c r="M15" s="375" t="s">
        <v>54</v>
      </c>
      <c r="N15" s="714" t="s">
        <v>71</v>
      </c>
      <c r="O15" s="15" t="s">
        <v>71</v>
      </c>
      <c r="P15" s="370" t="s">
        <v>72</v>
      </c>
      <c r="Q15" s="15" t="s">
        <v>51</v>
      </c>
      <c r="R15" s="364"/>
      <c r="S15" s="321"/>
      <c r="T15" s="321"/>
    </row>
    <row r="16" spans="1:20" ht="15.75">
      <c r="A16" s="377">
        <v>15</v>
      </c>
      <c r="B16" s="15" t="s">
        <v>43</v>
      </c>
      <c r="C16" s="15" t="s">
        <v>44</v>
      </c>
      <c r="D16" s="15" t="s">
        <v>45</v>
      </c>
      <c r="E16" s="389" t="s">
        <v>76</v>
      </c>
      <c r="F16" s="388">
        <v>9847834652</v>
      </c>
      <c r="G16" s="375"/>
      <c r="H16" s="15" t="s">
        <v>47</v>
      </c>
      <c r="I16" s="388">
        <v>19</v>
      </c>
      <c r="J16" s="375" t="s">
        <v>48</v>
      </c>
      <c r="K16" s="384" t="s">
        <v>53</v>
      </c>
      <c r="L16" s="375"/>
      <c r="M16" s="375" t="s">
        <v>54</v>
      </c>
      <c r="N16" s="714" t="s">
        <v>71</v>
      </c>
      <c r="O16" s="15" t="s">
        <v>71</v>
      </c>
      <c r="P16" s="370" t="s">
        <v>72</v>
      </c>
      <c r="Q16" s="15" t="s">
        <v>51</v>
      </c>
      <c r="R16" s="364"/>
      <c r="S16" s="321"/>
      <c r="T16" s="321"/>
    </row>
    <row r="17" spans="1:20">
      <c r="A17" s="377">
        <v>16</v>
      </c>
      <c r="B17" s="15" t="s">
        <v>43</v>
      </c>
      <c r="C17" s="15" t="s">
        <v>44</v>
      </c>
      <c r="D17" s="15" t="s">
        <v>45</v>
      </c>
      <c r="E17" s="390" t="s">
        <v>77</v>
      </c>
      <c r="F17" s="391" t="s">
        <v>78</v>
      </c>
      <c r="G17" s="375"/>
      <c r="H17" s="15" t="s">
        <v>47</v>
      </c>
      <c r="I17" s="1473">
        <v>21</v>
      </c>
      <c r="J17" s="375" t="s">
        <v>48</v>
      </c>
      <c r="K17" s="384" t="s">
        <v>53</v>
      </c>
      <c r="L17" s="375"/>
      <c r="M17" s="375" t="s">
        <v>54</v>
      </c>
      <c r="N17" s="714" t="s">
        <v>63</v>
      </c>
      <c r="O17" s="15" t="s">
        <v>63</v>
      </c>
      <c r="P17" s="370" t="s">
        <v>79</v>
      </c>
      <c r="Q17" s="15" t="s">
        <v>51</v>
      </c>
      <c r="R17" s="364"/>
      <c r="S17" s="320"/>
      <c r="T17" s="320"/>
    </row>
    <row r="18" spans="1:20">
      <c r="A18" s="377">
        <v>17</v>
      </c>
      <c r="B18" s="15" t="s">
        <v>43</v>
      </c>
      <c r="C18" s="15" t="s">
        <v>44</v>
      </c>
      <c r="D18" s="15" t="s">
        <v>45</v>
      </c>
      <c r="E18" s="390" t="s">
        <v>80</v>
      </c>
      <c r="F18" s="391" t="s">
        <v>78</v>
      </c>
      <c r="G18" s="375"/>
      <c r="H18" s="15" t="s">
        <v>47</v>
      </c>
      <c r="I18" s="1473">
        <v>17</v>
      </c>
      <c r="J18" s="375" t="s">
        <v>48</v>
      </c>
      <c r="K18" s="384" t="s">
        <v>53</v>
      </c>
      <c r="L18" s="375"/>
      <c r="M18" s="375" t="s">
        <v>54</v>
      </c>
      <c r="N18" s="714" t="s">
        <v>63</v>
      </c>
      <c r="O18" s="15" t="s">
        <v>63</v>
      </c>
      <c r="P18" s="370" t="s">
        <v>79</v>
      </c>
      <c r="Q18" s="15" t="s">
        <v>51</v>
      </c>
      <c r="R18" s="364"/>
      <c r="S18" s="320"/>
      <c r="T18" s="320"/>
    </row>
    <row r="19" spans="1:20">
      <c r="A19" s="377">
        <v>18</v>
      </c>
      <c r="B19" s="15" t="s">
        <v>43</v>
      </c>
      <c r="C19" s="15" t="s">
        <v>44</v>
      </c>
      <c r="D19" s="15" t="s">
        <v>45</v>
      </c>
      <c r="E19" s="390" t="s">
        <v>81</v>
      </c>
      <c r="F19" s="391" t="s">
        <v>78</v>
      </c>
      <c r="G19" s="375"/>
      <c r="H19" s="15" t="s">
        <v>47</v>
      </c>
      <c r="I19" s="1473">
        <v>19</v>
      </c>
      <c r="J19" s="375" t="s">
        <v>48</v>
      </c>
      <c r="K19" s="384" t="s">
        <v>53</v>
      </c>
      <c r="L19" s="375"/>
      <c r="M19" s="375" t="s">
        <v>54</v>
      </c>
      <c r="N19" s="714" t="s">
        <v>63</v>
      </c>
      <c r="O19" s="15" t="s">
        <v>63</v>
      </c>
      <c r="P19" s="370" t="s">
        <v>79</v>
      </c>
      <c r="Q19" s="15" t="s">
        <v>51</v>
      </c>
      <c r="R19" s="364"/>
      <c r="S19" s="320"/>
      <c r="T19" s="320"/>
    </row>
    <row r="20" spans="1:20">
      <c r="A20" s="377">
        <v>19</v>
      </c>
      <c r="B20" s="15" t="s">
        <v>43</v>
      </c>
      <c r="C20" s="15" t="s">
        <v>44</v>
      </c>
      <c r="D20" s="15" t="s">
        <v>45</v>
      </c>
      <c r="E20" s="390" t="s">
        <v>82</v>
      </c>
      <c r="F20" s="391" t="s">
        <v>78</v>
      </c>
      <c r="G20" s="375"/>
      <c r="H20" s="15" t="s">
        <v>47</v>
      </c>
      <c r="I20" s="1473">
        <v>25</v>
      </c>
      <c r="J20" s="375" t="s">
        <v>48</v>
      </c>
      <c r="K20" s="384" t="s">
        <v>53</v>
      </c>
      <c r="L20" s="375"/>
      <c r="M20" s="375" t="s">
        <v>54</v>
      </c>
      <c r="N20" s="714" t="s">
        <v>63</v>
      </c>
      <c r="O20" s="15" t="s">
        <v>63</v>
      </c>
      <c r="P20" s="370" t="s">
        <v>79</v>
      </c>
      <c r="Q20" s="15" t="s">
        <v>51</v>
      </c>
      <c r="R20" s="364"/>
      <c r="S20" s="320"/>
      <c r="T20" s="320"/>
    </row>
    <row r="21" spans="1:20">
      <c r="A21" s="377">
        <v>20</v>
      </c>
      <c r="B21" s="15" t="s">
        <v>43</v>
      </c>
      <c r="C21" s="15" t="s">
        <v>44</v>
      </c>
      <c r="D21" s="15" t="s">
        <v>45</v>
      </c>
      <c r="E21" s="390" t="s">
        <v>83</v>
      </c>
      <c r="F21" s="391" t="s">
        <v>78</v>
      </c>
      <c r="G21" s="375"/>
      <c r="H21" s="15" t="s">
        <v>47</v>
      </c>
      <c r="I21" s="1473">
        <v>24</v>
      </c>
      <c r="J21" s="375" t="s">
        <v>48</v>
      </c>
      <c r="K21" s="384" t="s">
        <v>53</v>
      </c>
      <c r="L21" s="375"/>
      <c r="M21" s="375" t="s">
        <v>54</v>
      </c>
      <c r="N21" s="714" t="s">
        <v>63</v>
      </c>
      <c r="O21" s="15" t="s">
        <v>63</v>
      </c>
      <c r="P21" s="370" t="s">
        <v>84</v>
      </c>
      <c r="Q21" s="15" t="s">
        <v>51</v>
      </c>
      <c r="R21" s="364"/>
      <c r="S21" s="320"/>
      <c r="T21" s="320"/>
    </row>
    <row r="22" spans="1:20">
      <c r="A22" s="377">
        <v>21</v>
      </c>
      <c r="B22" s="15" t="s">
        <v>43</v>
      </c>
      <c r="C22" s="15" t="s">
        <v>44</v>
      </c>
      <c r="D22" s="15" t="s">
        <v>45</v>
      </c>
      <c r="E22" s="390" t="s">
        <v>85</v>
      </c>
      <c r="F22" s="391" t="s">
        <v>78</v>
      </c>
      <c r="G22" s="375"/>
      <c r="H22" s="15" t="s">
        <v>47</v>
      </c>
      <c r="I22" s="1473">
        <v>32</v>
      </c>
      <c r="J22" s="375" t="s">
        <v>48</v>
      </c>
      <c r="K22" s="384" t="s">
        <v>53</v>
      </c>
      <c r="L22" s="375"/>
      <c r="M22" s="375" t="s">
        <v>54</v>
      </c>
      <c r="N22" s="714" t="s">
        <v>63</v>
      </c>
      <c r="O22" s="15" t="s">
        <v>63</v>
      </c>
      <c r="P22" s="370" t="s">
        <v>79</v>
      </c>
      <c r="Q22" s="15" t="s">
        <v>51</v>
      </c>
      <c r="R22" s="364"/>
      <c r="S22" s="320"/>
      <c r="T22" s="320"/>
    </row>
    <row r="23" spans="1:20">
      <c r="A23" s="377">
        <v>22</v>
      </c>
      <c r="B23" s="15" t="s">
        <v>43</v>
      </c>
      <c r="C23" s="15" t="s">
        <v>44</v>
      </c>
      <c r="D23" s="15" t="s">
        <v>45</v>
      </c>
      <c r="E23" s="390" t="s">
        <v>86</v>
      </c>
      <c r="F23" s="391" t="s">
        <v>78</v>
      </c>
      <c r="G23" s="375"/>
      <c r="H23" s="15" t="s">
        <v>47</v>
      </c>
      <c r="I23" s="1473">
        <v>33</v>
      </c>
      <c r="J23" s="375" t="s">
        <v>48</v>
      </c>
      <c r="K23" s="384" t="s">
        <v>53</v>
      </c>
      <c r="L23" s="375"/>
      <c r="M23" s="375" t="s">
        <v>54</v>
      </c>
      <c r="N23" s="714" t="s">
        <v>63</v>
      </c>
      <c r="O23" s="15" t="s">
        <v>63</v>
      </c>
      <c r="P23" s="370" t="s">
        <v>79</v>
      </c>
      <c r="Q23" s="15" t="s">
        <v>51</v>
      </c>
      <c r="R23" s="364"/>
      <c r="S23" s="320"/>
      <c r="T23" s="320"/>
    </row>
    <row r="24" spans="1:20">
      <c r="A24" s="377">
        <v>23</v>
      </c>
      <c r="B24" s="15" t="s">
        <v>43</v>
      </c>
      <c r="C24" s="15" t="s">
        <v>44</v>
      </c>
      <c r="D24" s="15" t="s">
        <v>45</v>
      </c>
      <c r="E24" s="390" t="s">
        <v>87</v>
      </c>
      <c r="F24" s="391" t="s">
        <v>78</v>
      </c>
      <c r="G24" s="375"/>
      <c r="H24" s="15" t="s">
        <v>47</v>
      </c>
      <c r="I24" s="1473">
        <v>22</v>
      </c>
      <c r="J24" s="375" t="s">
        <v>48</v>
      </c>
      <c r="K24" s="384" t="s">
        <v>53</v>
      </c>
      <c r="L24" s="375"/>
      <c r="M24" s="375" t="s">
        <v>54</v>
      </c>
      <c r="N24" s="714" t="s">
        <v>63</v>
      </c>
      <c r="O24" s="15" t="s">
        <v>63</v>
      </c>
      <c r="P24" s="370" t="s">
        <v>79</v>
      </c>
      <c r="Q24" s="15" t="s">
        <v>51</v>
      </c>
      <c r="R24" s="364"/>
      <c r="S24" s="320"/>
      <c r="T24" s="320"/>
    </row>
    <row r="25" spans="1:20">
      <c r="A25" s="377">
        <v>24</v>
      </c>
      <c r="B25" s="15" t="s">
        <v>43</v>
      </c>
      <c r="C25" s="15" t="s">
        <v>44</v>
      </c>
      <c r="D25" s="15" t="s">
        <v>45</v>
      </c>
      <c r="E25" s="390" t="s">
        <v>88</v>
      </c>
      <c r="F25" s="391" t="s">
        <v>78</v>
      </c>
      <c r="G25" s="375"/>
      <c r="H25" s="15" t="s">
        <v>47</v>
      </c>
      <c r="I25" s="1473">
        <v>52</v>
      </c>
      <c r="J25" s="375" t="s">
        <v>48</v>
      </c>
      <c r="K25" s="384" t="s">
        <v>53</v>
      </c>
      <c r="L25" s="375"/>
      <c r="M25" s="375" t="s">
        <v>54</v>
      </c>
      <c r="N25" s="714" t="s">
        <v>63</v>
      </c>
      <c r="O25" s="15" t="s">
        <v>63</v>
      </c>
      <c r="P25" s="370" t="s">
        <v>79</v>
      </c>
      <c r="Q25" s="15" t="s">
        <v>51</v>
      </c>
      <c r="R25" s="364"/>
      <c r="S25" s="320"/>
      <c r="T25" s="320"/>
    </row>
    <row r="26" spans="1:20">
      <c r="A26" s="377">
        <v>25</v>
      </c>
      <c r="B26" s="15" t="s">
        <v>43</v>
      </c>
      <c r="C26" s="15" t="s">
        <v>44</v>
      </c>
      <c r="D26" s="15" t="s">
        <v>45</v>
      </c>
      <c r="E26" s="390" t="s">
        <v>89</v>
      </c>
      <c r="F26" s="391" t="s">
        <v>78</v>
      </c>
      <c r="G26" s="375"/>
      <c r="H26" s="15" t="s">
        <v>47</v>
      </c>
      <c r="I26" s="1473">
        <v>40</v>
      </c>
      <c r="J26" s="392" t="s">
        <v>90</v>
      </c>
      <c r="K26" s="384" t="s">
        <v>53</v>
      </c>
      <c r="L26" s="375"/>
      <c r="M26" s="375" t="s">
        <v>54</v>
      </c>
      <c r="N26" s="714" t="s">
        <v>63</v>
      </c>
      <c r="O26" s="15" t="s">
        <v>63</v>
      </c>
      <c r="P26" s="370" t="s">
        <v>79</v>
      </c>
      <c r="Q26" s="15" t="s">
        <v>51</v>
      </c>
      <c r="R26" s="364"/>
      <c r="S26" s="320"/>
      <c r="T26" s="320"/>
    </row>
    <row r="27" spans="1:20">
      <c r="A27" s="377">
        <v>26</v>
      </c>
      <c r="B27" s="15" t="s">
        <v>43</v>
      </c>
      <c r="C27" s="15" t="s">
        <v>44</v>
      </c>
      <c r="D27" s="15" t="s">
        <v>45</v>
      </c>
      <c r="E27" s="390" t="s">
        <v>91</v>
      </c>
      <c r="F27" s="391" t="s">
        <v>78</v>
      </c>
      <c r="G27" s="375"/>
      <c r="H27" s="15" t="s">
        <v>47</v>
      </c>
      <c r="I27" s="1473">
        <v>21</v>
      </c>
      <c r="J27" s="375" t="s">
        <v>48</v>
      </c>
      <c r="K27" s="384" t="s">
        <v>53</v>
      </c>
      <c r="L27" s="375"/>
      <c r="M27" s="375" t="s">
        <v>54</v>
      </c>
      <c r="N27" s="714" t="s">
        <v>63</v>
      </c>
      <c r="O27" s="15" t="s">
        <v>63</v>
      </c>
      <c r="P27" s="370" t="s">
        <v>79</v>
      </c>
      <c r="Q27" s="15" t="s">
        <v>51</v>
      </c>
      <c r="R27" s="364"/>
      <c r="S27" s="320"/>
      <c r="T27" s="320"/>
    </row>
    <row r="28" spans="1:20">
      <c r="A28" s="377">
        <v>27</v>
      </c>
      <c r="B28" s="15" t="s">
        <v>43</v>
      </c>
      <c r="C28" s="15" t="s">
        <v>44</v>
      </c>
      <c r="D28" s="15" t="s">
        <v>45</v>
      </c>
      <c r="E28" s="15" t="s">
        <v>92</v>
      </c>
      <c r="F28" s="375" t="s">
        <v>78</v>
      </c>
      <c r="G28" s="375"/>
      <c r="H28" s="15" t="s">
        <v>47</v>
      </c>
      <c r="I28" s="375">
        <v>40</v>
      </c>
      <c r="J28" s="375" t="s">
        <v>48</v>
      </c>
      <c r="K28" s="375" t="s">
        <v>53</v>
      </c>
      <c r="L28" s="375"/>
      <c r="M28" s="375" t="s">
        <v>54</v>
      </c>
      <c r="N28" s="714" t="s">
        <v>93</v>
      </c>
      <c r="O28" s="15" t="s">
        <v>93</v>
      </c>
      <c r="P28" s="370" t="s">
        <v>84</v>
      </c>
      <c r="Q28" s="15" t="s">
        <v>51</v>
      </c>
      <c r="R28" s="364"/>
      <c r="S28" s="320"/>
      <c r="T28" s="320"/>
    </row>
    <row r="29" spans="1:20">
      <c r="A29" s="377">
        <v>28</v>
      </c>
      <c r="B29" s="15" t="s">
        <v>43</v>
      </c>
      <c r="C29" s="15" t="s">
        <v>44</v>
      </c>
      <c r="D29" s="15" t="s">
        <v>45</v>
      </c>
      <c r="E29" s="15" t="s">
        <v>94</v>
      </c>
      <c r="F29" s="375" t="s">
        <v>78</v>
      </c>
      <c r="G29" s="375"/>
      <c r="H29" s="15" t="s">
        <v>47</v>
      </c>
      <c r="I29" s="375">
        <v>35</v>
      </c>
      <c r="J29" s="375" t="s">
        <v>48</v>
      </c>
      <c r="K29" s="375" t="s">
        <v>53</v>
      </c>
      <c r="L29" s="375"/>
      <c r="M29" s="375" t="s">
        <v>54</v>
      </c>
      <c r="N29" s="714" t="s">
        <v>93</v>
      </c>
      <c r="O29" s="15" t="s">
        <v>93</v>
      </c>
      <c r="P29" s="370" t="s">
        <v>84</v>
      </c>
      <c r="Q29" s="15" t="s">
        <v>51</v>
      </c>
      <c r="R29" s="364"/>
      <c r="S29" s="320"/>
      <c r="T29" s="320"/>
    </row>
    <row r="30" spans="1:20">
      <c r="A30" s="377">
        <v>29</v>
      </c>
      <c r="B30" s="15" t="s">
        <v>43</v>
      </c>
      <c r="C30" s="15" t="s">
        <v>44</v>
      </c>
      <c r="D30" s="15" t="s">
        <v>45</v>
      </c>
      <c r="E30" s="15" t="s">
        <v>95</v>
      </c>
      <c r="F30" s="375" t="s">
        <v>78</v>
      </c>
      <c r="G30" s="375"/>
      <c r="H30" s="15" t="s">
        <v>47</v>
      </c>
      <c r="I30" s="375">
        <v>23</v>
      </c>
      <c r="J30" s="375" t="s">
        <v>48</v>
      </c>
      <c r="K30" s="375" t="s">
        <v>53</v>
      </c>
      <c r="L30" s="375"/>
      <c r="M30" s="375" t="s">
        <v>54</v>
      </c>
      <c r="N30" s="714" t="s">
        <v>93</v>
      </c>
      <c r="O30" s="15" t="s">
        <v>93</v>
      </c>
      <c r="P30" s="370" t="s">
        <v>84</v>
      </c>
      <c r="Q30" s="15" t="s">
        <v>51</v>
      </c>
      <c r="R30" s="364"/>
      <c r="S30" s="320"/>
      <c r="T30" s="320"/>
    </row>
    <row r="31" spans="1:20">
      <c r="A31" s="377">
        <v>30</v>
      </c>
      <c r="B31" s="15" t="s">
        <v>43</v>
      </c>
      <c r="C31" s="15" t="s">
        <v>44</v>
      </c>
      <c r="D31" s="15" t="s">
        <v>45</v>
      </c>
      <c r="E31" s="15" t="s">
        <v>96</v>
      </c>
      <c r="F31" s="375" t="s">
        <v>78</v>
      </c>
      <c r="G31" s="375"/>
      <c r="H31" s="15" t="s">
        <v>47</v>
      </c>
      <c r="I31" s="375">
        <v>26</v>
      </c>
      <c r="J31" s="375" t="s">
        <v>48</v>
      </c>
      <c r="K31" s="375" t="s">
        <v>53</v>
      </c>
      <c r="L31" s="375"/>
      <c r="M31" s="375" t="s">
        <v>54</v>
      </c>
      <c r="N31" s="714" t="s">
        <v>93</v>
      </c>
      <c r="O31" s="15" t="s">
        <v>93</v>
      </c>
      <c r="P31" s="370" t="s">
        <v>84</v>
      </c>
      <c r="Q31" s="15" t="s">
        <v>51</v>
      </c>
      <c r="R31" s="364"/>
      <c r="S31" s="320"/>
      <c r="T31" s="320"/>
    </row>
    <row r="32" spans="1:20">
      <c r="A32" s="377">
        <v>31</v>
      </c>
      <c r="B32" s="15" t="s">
        <v>43</v>
      </c>
      <c r="C32" s="15" t="s">
        <v>44</v>
      </c>
      <c r="D32" s="15" t="s">
        <v>45</v>
      </c>
      <c r="E32" s="15" t="s">
        <v>97</v>
      </c>
      <c r="F32" s="375" t="s">
        <v>78</v>
      </c>
      <c r="G32" s="375"/>
      <c r="H32" s="15" t="s">
        <v>47</v>
      </c>
      <c r="I32" s="375">
        <v>30</v>
      </c>
      <c r="J32" s="375" t="s">
        <v>48</v>
      </c>
      <c r="K32" s="375" t="s">
        <v>53</v>
      </c>
      <c r="L32" s="375"/>
      <c r="M32" s="375" t="s">
        <v>54</v>
      </c>
      <c r="N32" s="714" t="s">
        <v>93</v>
      </c>
      <c r="O32" s="15" t="s">
        <v>93</v>
      </c>
      <c r="P32" s="370" t="s">
        <v>84</v>
      </c>
      <c r="Q32" s="15" t="s">
        <v>51</v>
      </c>
      <c r="R32" s="364"/>
      <c r="S32" s="320"/>
      <c r="T32" s="320"/>
    </row>
    <row r="33" spans="1:20">
      <c r="A33" s="377">
        <v>32</v>
      </c>
      <c r="B33" s="15" t="s">
        <v>43</v>
      </c>
      <c r="C33" s="15" t="s">
        <v>44</v>
      </c>
      <c r="D33" s="15" t="s">
        <v>45</v>
      </c>
      <c r="E33" s="15" t="s">
        <v>98</v>
      </c>
      <c r="F33" s="375" t="s">
        <v>78</v>
      </c>
      <c r="G33" s="375"/>
      <c r="H33" s="15" t="s">
        <v>47</v>
      </c>
      <c r="I33" s="375">
        <v>35</v>
      </c>
      <c r="J33" s="375" t="s">
        <v>48</v>
      </c>
      <c r="K33" s="375" t="s">
        <v>53</v>
      </c>
      <c r="L33" s="375"/>
      <c r="M33" s="375" t="s">
        <v>54</v>
      </c>
      <c r="N33" s="714" t="s">
        <v>93</v>
      </c>
      <c r="O33" s="15" t="s">
        <v>93</v>
      </c>
      <c r="P33" s="370" t="s">
        <v>84</v>
      </c>
      <c r="Q33" s="15" t="s">
        <v>51</v>
      </c>
      <c r="R33" s="364"/>
      <c r="S33" s="320"/>
      <c r="T33" s="320"/>
    </row>
    <row r="34" spans="1:20">
      <c r="A34" s="377">
        <v>33</v>
      </c>
      <c r="B34" s="15" t="s">
        <v>43</v>
      </c>
      <c r="C34" s="15" t="s">
        <v>44</v>
      </c>
      <c r="D34" s="15" t="s">
        <v>45</v>
      </c>
      <c r="E34" s="15" t="s">
        <v>99</v>
      </c>
      <c r="F34" s="375" t="s">
        <v>78</v>
      </c>
      <c r="G34" s="375"/>
      <c r="H34" s="15" t="s">
        <v>47</v>
      </c>
      <c r="I34" s="375">
        <v>35</v>
      </c>
      <c r="J34" s="375" t="s">
        <v>48</v>
      </c>
      <c r="K34" s="375" t="s">
        <v>53</v>
      </c>
      <c r="L34" s="375"/>
      <c r="M34" s="375" t="s">
        <v>54</v>
      </c>
      <c r="N34" s="714" t="s">
        <v>93</v>
      </c>
      <c r="O34" s="15" t="s">
        <v>93</v>
      </c>
      <c r="P34" s="370" t="s">
        <v>84</v>
      </c>
      <c r="Q34" s="15" t="s">
        <v>51</v>
      </c>
      <c r="R34" s="364"/>
      <c r="S34" s="320"/>
      <c r="T34" s="320"/>
    </row>
    <row r="35" spans="1:20">
      <c r="A35" s="377">
        <v>34</v>
      </c>
      <c r="B35" s="15" t="s">
        <v>43</v>
      </c>
      <c r="C35" s="15" t="s">
        <v>44</v>
      </c>
      <c r="D35" s="15" t="s">
        <v>45</v>
      </c>
      <c r="E35" s="15" t="s">
        <v>100</v>
      </c>
      <c r="F35" s="393" t="s">
        <v>78</v>
      </c>
      <c r="G35" s="375"/>
      <c r="H35" s="15" t="s">
        <v>47</v>
      </c>
      <c r="I35" s="375">
        <v>40</v>
      </c>
      <c r="J35" s="373" t="s">
        <v>90</v>
      </c>
      <c r="K35" s="375" t="s">
        <v>53</v>
      </c>
      <c r="L35" s="375"/>
      <c r="M35" s="375" t="s">
        <v>54</v>
      </c>
      <c r="N35" s="714" t="s">
        <v>101</v>
      </c>
      <c r="O35" s="15" t="s">
        <v>101</v>
      </c>
      <c r="P35" s="370" t="s">
        <v>84</v>
      </c>
      <c r="Q35" s="15" t="s">
        <v>51</v>
      </c>
      <c r="R35" s="364"/>
      <c r="S35" s="320"/>
      <c r="T35" s="320"/>
    </row>
    <row r="36" spans="1:20">
      <c r="A36" s="377">
        <v>35</v>
      </c>
      <c r="B36" s="15" t="s">
        <v>43</v>
      </c>
      <c r="C36" s="15" t="s">
        <v>44</v>
      </c>
      <c r="D36" s="15" t="s">
        <v>45</v>
      </c>
      <c r="E36" s="15" t="s">
        <v>102</v>
      </c>
      <c r="F36" s="393" t="s">
        <v>78</v>
      </c>
      <c r="G36" s="375"/>
      <c r="H36" s="15" t="s">
        <v>47</v>
      </c>
      <c r="I36" s="375">
        <v>25</v>
      </c>
      <c r="J36" s="373" t="s">
        <v>90</v>
      </c>
      <c r="K36" s="375" t="s">
        <v>53</v>
      </c>
      <c r="L36" s="375"/>
      <c r="M36" s="375" t="s">
        <v>54</v>
      </c>
      <c r="N36" s="714" t="s">
        <v>101</v>
      </c>
      <c r="O36" s="15" t="s">
        <v>101</v>
      </c>
      <c r="P36" s="370" t="s">
        <v>84</v>
      </c>
      <c r="Q36" s="15" t="s">
        <v>51</v>
      </c>
      <c r="R36" s="364"/>
      <c r="S36" s="320"/>
      <c r="T36" s="320"/>
    </row>
    <row r="37" spans="1:20">
      <c r="A37" s="377">
        <v>36</v>
      </c>
      <c r="B37" s="15" t="s">
        <v>43</v>
      </c>
      <c r="C37" s="15" t="s">
        <v>44</v>
      </c>
      <c r="D37" s="15" t="s">
        <v>45</v>
      </c>
      <c r="E37" s="15" t="s">
        <v>103</v>
      </c>
      <c r="F37" s="393" t="s">
        <v>78</v>
      </c>
      <c r="G37" s="375"/>
      <c r="H37" s="15" t="s">
        <v>47</v>
      </c>
      <c r="I37" s="375">
        <v>25</v>
      </c>
      <c r="J37" s="373" t="s">
        <v>90</v>
      </c>
      <c r="K37" s="375" t="s">
        <v>53</v>
      </c>
      <c r="L37" s="375"/>
      <c r="M37" s="375" t="s">
        <v>54</v>
      </c>
      <c r="N37" s="714" t="s">
        <v>101</v>
      </c>
      <c r="O37" s="15" t="s">
        <v>101</v>
      </c>
      <c r="P37" s="370" t="s">
        <v>84</v>
      </c>
      <c r="Q37" s="15" t="s">
        <v>51</v>
      </c>
      <c r="R37" s="364"/>
      <c r="S37" s="320"/>
      <c r="T37" s="320"/>
    </row>
    <row r="38" spans="1:20">
      <c r="A38" s="377">
        <v>37</v>
      </c>
      <c r="B38" s="15" t="s">
        <v>43</v>
      </c>
      <c r="C38" s="15" t="s">
        <v>44</v>
      </c>
      <c r="D38" s="15" t="s">
        <v>45</v>
      </c>
      <c r="E38" s="15" t="s">
        <v>104</v>
      </c>
      <c r="F38" s="393" t="s">
        <v>78</v>
      </c>
      <c r="G38" s="375"/>
      <c r="H38" s="15" t="s">
        <v>47</v>
      </c>
      <c r="I38" s="375">
        <v>35</v>
      </c>
      <c r="J38" s="373" t="s">
        <v>90</v>
      </c>
      <c r="K38" s="375" t="s">
        <v>53</v>
      </c>
      <c r="L38" s="375"/>
      <c r="M38" s="375" t="s">
        <v>54</v>
      </c>
      <c r="N38" s="714" t="s">
        <v>101</v>
      </c>
      <c r="O38" s="15" t="s">
        <v>101</v>
      </c>
      <c r="P38" s="370" t="s">
        <v>84</v>
      </c>
      <c r="Q38" s="15" t="s">
        <v>51</v>
      </c>
      <c r="R38" s="364"/>
      <c r="S38" s="320"/>
      <c r="T38" s="320"/>
    </row>
    <row r="39" spans="1:20">
      <c r="A39" s="377">
        <v>38</v>
      </c>
      <c r="B39" s="15" t="s">
        <v>43</v>
      </c>
      <c r="C39" s="15" t="s">
        <v>44</v>
      </c>
      <c r="D39" s="15" t="s">
        <v>45</v>
      </c>
      <c r="E39" s="15" t="s">
        <v>105</v>
      </c>
      <c r="F39" s="393" t="s">
        <v>78</v>
      </c>
      <c r="G39" s="375"/>
      <c r="H39" s="15" t="s">
        <v>47</v>
      </c>
      <c r="I39" s="375">
        <v>42</v>
      </c>
      <c r="J39" s="373" t="s">
        <v>90</v>
      </c>
      <c r="K39" s="375" t="s">
        <v>53</v>
      </c>
      <c r="L39" s="375"/>
      <c r="M39" s="375" t="s">
        <v>54</v>
      </c>
      <c r="N39" s="714" t="s">
        <v>101</v>
      </c>
      <c r="O39" s="15" t="s">
        <v>101</v>
      </c>
      <c r="P39" s="370" t="s">
        <v>84</v>
      </c>
      <c r="Q39" s="15" t="s">
        <v>51</v>
      </c>
      <c r="R39" s="364"/>
      <c r="S39" s="320"/>
      <c r="T39" s="320"/>
    </row>
    <row r="40" spans="1:20">
      <c r="A40" s="377">
        <v>39</v>
      </c>
      <c r="B40" s="15" t="s">
        <v>43</v>
      </c>
      <c r="C40" s="15" t="s">
        <v>44</v>
      </c>
      <c r="D40" s="15" t="s">
        <v>45</v>
      </c>
      <c r="E40" s="15" t="s">
        <v>106</v>
      </c>
      <c r="F40" s="393" t="s">
        <v>78</v>
      </c>
      <c r="G40" s="375"/>
      <c r="H40" s="15" t="s">
        <v>47</v>
      </c>
      <c r="I40" s="375">
        <v>30</v>
      </c>
      <c r="J40" s="373" t="s">
        <v>90</v>
      </c>
      <c r="K40" s="375" t="s">
        <v>53</v>
      </c>
      <c r="L40" s="375"/>
      <c r="M40" s="375" t="s">
        <v>54</v>
      </c>
      <c r="N40" s="714" t="s">
        <v>101</v>
      </c>
      <c r="O40" s="15" t="s">
        <v>101</v>
      </c>
      <c r="P40" s="370" t="s">
        <v>84</v>
      </c>
      <c r="Q40" s="15" t="s">
        <v>51</v>
      </c>
      <c r="R40" s="364"/>
      <c r="S40" s="320"/>
      <c r="T40" s="320"/>
    </row>
    <row r="41" spans="1:20">
      <c r="A41" s="377">
        <v>40</v>
      </c>
      <c r="B41" s="15" t="s">
        <v>43</v>
      </c>
      <c r="C41" s="15" t="s">
        <v>44</v>
      </c>
      <c r="D41" s="15" t="s">
        <v>45</v>
      </c>
      <c r="E41" s="394" t="s">
        <v>107</v>
      </c>
      <c r="F41" s="393" t="s">
        <v>78</v>
      </c>
      <c r="G41" s="375"/>
      <c r="H41" s="15" t="s">
        <v>47</v>
      </c>
      <c r="I41" s="375">
        <v>24</v>
      </c>
      <c r="J41" s="375" t="s">
        <v>48</v>
      </c>
      <c r="K41" s="375" t="s">
        <v>53</v>
      </c>
      <c r="L41" s="375"/>
      <c r="M41" s="375" t="s">
        <v>54</v>
      </c>
      <c r="N41" s="714" t="s">
        <v>101</v>
      </c>
      <c r="O41" s="15" t="s">
        <v>101</v>
      </c>
      <c r="P41" s="370" t="s">
        <v>84</v>
      </c>
      <c r="Q41" s="15" t="s">
        <v>51</v>
      </c>
      <c r="R41" s="364"/>
      <c r="S41" s="320"/>
      <c r="T41" s="320"/>
    </row>
    <row r="42" spans="1:20">
      <c r="A42" s="377">
        <v>41</v>
      </c>
      <c r="B42" s="15" t="s">
        <v>43</v>
      </c>
      <c r="C42" s="15" t="s">
        <v>44</v>
      </c>
      <c r="D42" s="15" t="s">
        <v>45</v>
      </c>
      <c r="E42" s="394" t="s">
        <v>108</v>
      </c>
      <c r="F42" s="393" t="s">
        <v>78</v>
      </c>
      <c r="G42" s="375"/>
      <c r="H42" s="15" t="s">
        <v>47</v>
      </c>
      <c r="I42" s="375">
        <v>23</v>
      </c>
      <c r="J42" s="375" t="s">
        <v>48</v>
      </c>
      <c r="K42" s="375" t="s">
        <v>53</v>
      </c>
      <c r="L42" s="375"/>
      <c r="M42" s="375" t="s">
        <v>54</v>
      </c>
      <c r="N42" s="714" t="s">
        <v>101</v>
      </c>
      <c r="O42" s="15" t="s">
        <v>101</v>
      </c>
      <c r="P42" s="370" t="s">
        <v>84</v>
      </c>
      <c r="Q42" s="15" t="s">
        <v>51</v>
      </c>
      <c r="R42" s="364"/>
      <c r="S42" s="320"/>
      <c r="T42" s="320"/>
    </row>
    <row r="43" spans="1:20">
      <c r="A43" s="377">
        <v>42</v>
      </c>
      <c r="B43" s="15" t="s">
        <v>43</v>
      </c>
      <c r="C43" s="15" t="s">
        <v>44</v>
      </c>
      <c r="D43" s="15" t="s">
        <v>45</v>
      </c>
      <c r="E43" s="395" t="s">
        <v>109</v>
      </c>
      <c r="F43" s="396" t="s">
        <v>78</v>
      </c>
      <c r="G43" s="375"/>
      <c r="H43" s="15" t="s">
        <v>47</v>
      </c>
      <c r="I43" s="396">
        <v>46</v>
      </c>
      <c r="J43" s="375" t="s">
        <v>48</v>
      </c>
      <c r="K43" s="375" t="s">
        <v>53</v>
      </c>
      <c r="L43" s="375"/>
      <c r="M43" s="375" t="s">
        <v>54</v>
      </c>
      <c r="N43" s="714" t="s">
        <v>110</v>
      </c>
      <c r="O43" s="15" t="s">
        <v>72</v>
      </c>
      <c r="P43" s="370" t="s">
        <v>111</v>
      </c>
      <c r="Q43" s="15" t="s">
        <v>51</v>
      </c>
      <c r="R43" s="364"/>
      <c r="S43" s="320"/>
      <c r="T43" s="320"/>
    </row>
    <row r="44" spans="1:20">
      <c r="A44" s="377">
        <v>43</v>
      </c>
      <c r="B44" s="15" t="s">
        <v>43</v>
      </c>
      <c r="C44" s="15" t="s">
        <v>44</v>
      </c>
      <c r="D44" s="15" t="s">
        <v>45</v>
      </c>
      <c r="E44" s="395" t="s">
        <v>112</v>
      </c>
      <c r="F44" s="396" t="s">
        <v>78</v>
      </c>
      <c r="G44" s="375"/>
      <c r="H44" s="15" t="s">
        <v>47</v>
      </c>
      <c r="I44" s="396">
        <v>49</v>
      </c>
      <c r="J44" s="375" t="s">
        <v>48</v>
      </c>
      <c r="K44" s="375" t="s">
        <v>53</v>
      </c>
      <c r="L44" s="375"/>
      <c r="M44" s="375" t="s">
        <v>54</v>
      </c>
      <c r="N44" s="714" t="s">
        <v>110</v>
      </c>
      <c r="O44" s="15" t="s">
        <v>72</v>
      </c>
      <c r="P44" s="370" t="s">
        <v>111</v>
      </c>
      <c r="Q44" s="15" t="s">
        <v>51</v>
      </c>
      <c r="R44" s="364"/>
      <c r="S44" s="320"/>
      <c r="T44" s="320"/>
    </row>
    <row r="45" spans="1:20">
      <c r="A45" s="377">
        <v>44</v>
      </c>
      <c r="B45" s="15" t="s">
        <v>43</v>
      </c>
      <c r="C45" s="15" t="s">
        <v>44</v>
      </c>
      <c r="D45" s="15" t="s">
        <v>45</v>
      </c>
      <c r="E45" s="395" t="s">
        <v>113</v>
      </c>
      <c r="F45" s="396" t="s">
        <v>78</v>
      </c>
      <c r="G45" s="375"/>
      <c r="H45" s="15" t="s">
        <v>47</v>
      </c>
      <c r="I45" s="396">
        <v>21</v>
      </c>
      <c r="J45" s="375" t="s">
        <v>48</v>
      </c>
      <c r="K45" s="375" t="s">
        <v>53</v>
      </c>
      <c r="L45" s="375"/>
      <c r="M45" s="375" t="s">
        <v>54</v>
      </c>
      <c r="N45" s="714" t="s">
        <v>110</v>
      </c>
      <c r="O45" s="15" t="s">
        <v>72</v>
      </c>
      <c r="P45" s="370" t="s">
        <v>111</v>
      </c>
      <c r="Q45" s="15" t="s">
        <v>51</v>
      </c>
      <c r="R45" s="364"/>
      <c r="S45" s="320"/>
      <c r="T45" s="320"/>
    </row>
    <row r="46" spans="1:20">
      <c r="A46" s="377">
        <v>45</v>
      </c>
      <c r="B46" s="15" t="s">
        <v>43</v>
      </c>
      <c r="C46" s="15" t="s">
        <v>44</v>
      </c>
      <c r="D46" s="15" t="s">
        <v>45</v>
      </c>
      <c r="E46" s="395" t="s">
        <v>114</v>
      </c>
      <c r="F46" s="396" t="s">
        <v>78</v>
      </c>
      <c r="G46" s="375"/>
      <c r="H46" s="15" t="s">
        <v>47</v>
      </c>
      <c r="I46" s="396">
        <v>50</v>
      </c>
      <c r="J46" s="375" t="s">
        <v>48</v>
      </c>
      <c r="K46" s="375" t="s">
        <v>53</v>
      </c>
      <c r="L46" s="375"/>
      <c r="M46" s="375" t="s">
        <v>54</v>
      </c>
      <c r="N46" s="714" t="s">
        <v>110</v>
      </c>
      <c r="O46" s="15" t="s">
        <v>72</v>
      </c>
      <c r="P46" s="370" t="s">
        <v>111</v>
      </c>
      <c r="Q46" s="15" t="s">
        <v>51</v>
      </c>
      <c r="R46" s="364"/>
      <c r="S46" s="320"/>
      <c r="T46" s="320"/>
    </row>
    <row r="47" spans="1:20">
      <c r="A47" s="377">
        <v>46</v>
      </c>
      <c r="B47" s="15" t="s">
        <v>43</v>
      </c>
      <c r="C47" s="15" t="s">
        <v>44</v>
      </c>
      <c r="D47" s="15" t="s">
        <v>45</v>
      </c>
      <c r="E47" s="395" t="s">
        <v>115</v>
      </c>
      <c r="F47" s="396" t="s">
        <v>78</v>
      </c>
      <c r="G47" s="375"/>
      <c r="H47" s="15" t="s">
        <v>47</v>
      </c>
      <c r="I47" s="396">
        <v>39</v>
      </c>
      <c r="J47" s="375" t="s">
        <v>48</v>
      </c>
      <c r="K47" s="375" t="s">
        <v>53</v>
      </c>
      <c r="L47" s="375"/>
      <c r="M47" s="375" t="s">
        <v>54</v>
      </c>
      <c r="N47" s="714" t="s">
        <v>110</v>
      </c>
      <c r="O47" s="15" t="s">
        <v>72</v>
      </c>
      <c r="P47" s="370" t="s">
        <v>111</v>
      </c>
      <c r="Q47" s="15" t="s">
        <v>51</v>
      </c>
      <c r="R47" s="364"/>
      <c r="S47" s="320"/>
      <c r="T47" s="320"/>
    </row>
    <row r="48" spans="1:20">
      <c r="A48" s="377">
        <v>47</v>
      </c>
      <c r="B48" s="15" t="s">
        <v>43</v>
      </c>
      <c r="C48" s="15" t="s">
        <v>44</v>
      </c>
      <c r="D48" s="15" t="s">
        <v>45</v>
      </c>
      <c r="E48" s="395" t="s">
        <v>116</v>
      </c>
      <c r="F48" s="396" t="s">
        <v>78</v>
      </c>
      <c r="G48" s="375" t="s">
        <v>117</v>
      </c>
      <c r="H48" s="15" t="s">
        <v>118</v>
      </c>
      <c r="I48" s="396">
        <v>58</v>
      </c>
      <c r="J48" s="375" t="s">
        <v>48</v>
      </c>
      <c r="K48" s="375" t="s">
        <v>53</v>
      </c>
      <c r="L48" s="375"/>
      <c r="M48" s="375" t="s">
        <v>119</v>
      </c>
      <c r="N48" s="714" t="s">
        <v>110</v>
      </c>
      <c r="O48" s="15" t="s">
        <v>110</v>
      </c>
      <c r="P48" s="15" t="s">
        <v>110</v>
      </c>
      <c r="Q48" s="15" t="s">
        <v>51</v>
      </c>
      <c r="R48" s="364"/>
      <c r="S48" s="320"/>
      <c r="T48" s="320"/>
    </row>
    <row r="49" spans="1:20">
      <c r="A49" s="377">
        <v>48</v>
      </c>
      <c r="B49" s="15" t="s">
        <v>43</v>
      </c>
      <c r="C49" s="15" t="s">
        <v>44</v>
      </c>
      <c r="D49" s="15" t="s">
        <v>45</v>
      </c>
      <c r="E49" s="15" t="s">
        <v>120</v>
      </c>
      <c r="F49" s="375"/>
      <c r="G49" s="375"/>
      <c r="H49" s="15"/>
      <c r="I49" s="375">
        <v>0</v>
      </c>
      <c r="J49" s="375" t="s">
        <v>48</v>
      </c>
      <c r="K49" s="384" t="s">
        <v>53</v>
      </c>
      <c r="L49" s="375"/>
      <c r="M49" s="375" t="s">
        <v>54</v>
      </c>
      <c r="N49" s="714" t="s">
        <v>121</v>
      </c>
      <c r="O49" s="15" t="s">
        <v>121</v>
      </c>
      <c r="P49" s="370" t="s">
        <v>122</v>
      </c>
      <c r="Q49" s="15" t="s">
        <v>51</v>
      </c>
      <c r="R49" s="364"/>
      <c r="S49" s="321"/>
      <c r="T49" s="321"/>
    </row>
    <row r="50" spans="1:20">
      <c r="A50" s="377">
        <v>49</v>
      </c>
      <c r="B50" s="15" t="s">
        <v>43</v>
      </c>
      <c r="C50" s="15" t="s">
        <v>44</v>
      </c>
      <c r="D50" s="15" t="s">
        <v>45</v>
      </c>
      <c r="E50" s="394" t="s">
        <v>123</v>
      </c>
      <c r="F50" s="375" t="s">
        <v>124</v>
      </c>
      <c r="G50" s="375"/>
      <c r="H50" s="15"/>
      <c r="I50" s="375">
        <v>28</v>
      </c>
      <c r="J50" s="375" t="s">
        <v>48</v>
      </c>
      <c r="K50" s="384" t="s">
        <v>53</v>
      </c>
      <c r="L50" s="375"/>
      <c r="M50" s="375" t="s">
        <v>54</v>
      </c>
      <c r="N50" s="714" t="s">
        <v>125</v>
      </c>
      <c r="O50" s="15" t="s">
        <v>126</v>
      </c>
      <c r="P50" s="370" t="s">
        <v>127</v>
      </c>
      <c r="Q50" s="15" t="s">
        <v>51</v>
      </c>
      <c r="R50" s="364"/>
      <c r="S50" s="321"/>
      <c r="T50" s="321"/>
    </row>
    <row r="51" spans="1:20">
      <c r="A51" s="377">
        <v>50</v>
      </c>
      <c r="B51" s="15" t="s">
        <v>43</v>
      </c>
      <c r="C51" s="15" t="s">
        <v>44</v>
      </c>
      <c r="D51" s="15" t="s">
        <v>45</v>
      </c>
      <c r="E51" s="379" t="s">
        <v>128</v>
      </c>
      <c r="F51" s="397"/>
      <c r="G51" s="375"/>
      <c r="H51" s="15"/>
      <c r="I51" s="375">
        <v>34</v>
      </c>
      <c r="J51" s="375" t="s">
        <v>48</v>
      </c>
      <c r="K51" s="384" t="s">
        <v>53</v>
      </c>
      <c r="L51" s="375"/>
      <c r="M51" s="375" t="s">
        <v>54</v>
      </c>
      <c r="N51" s="717">
        <v>64742</v>
      </c>
      <c r="O51" s="15" t="s">
        <v>129</v>
      </c>
      <c r="P51" s="370" t="s">
        <v>130</v>
      </c>
      <c r="Q51" s="15" t="s">
        <v>51</v>
      </c>
      <c r="R51" s="364"/>
      <c r="S51" s="321"/>
      <c r="T51" s="321"/>
    </row>
    <row r="52" spans="1:20">
      <c r="A52" s="377">
        <v>51</v>
      </c>
      <c r="B52" s="15" t="s">
        <v>43</v>
      </c>
      <c r="C52" s="15" t="s">
        <v>44</v>
      </c>
      <c r="D52" s="15" t="s">
        <v>45</v>
      </c>
      <c r="E52" s="379" t="s">
        <v>131</v>
      </c>
      <c r="F52" s="397"/>
      <c r="G52" s="375"/>
      <c r="H52" s="15"/>
      <c r="I52" s="375">
        <v>32</v>
      </c>
      <c r="J52" s="375" t="s">
        <v>48</v>
      </c>
      <c r="K52" s="384" t="s">
        <v>53</v>
      </c>
      <c r="L52" s="375"/>
      <c r="M52" s="375" t="s">
        <v>54</v>
      </c>
      <c r="N52" s="717">
        <v>64742</v>
      </c>
      <c r="O52" s="15" t="s">
        <v>129</v>
      </c>
      <c r="P52" s="370" t="s">
        <v>130</v>
      </c>
      <c r="Q52" s="15" t="s">
        <v>51</v>
      </c>
      <c r="R52" s="364"/>
      <c r="S52" s="321"/>
      <c r="T52" s="321"/>
    </row>
    <row r="53" spans="1:20">
      <c r="A53" s="377">
        <v>52</v>
      </c>
      <c r="B53" s="15" t="s">
        <v>43</v>
      </c>
      <c r="C53" s="15" t="s">
        <v>44</v>
      </c>
      <c r="D53" s="15" t="s">
        <v>45</v>
      </c>
      <c r="E53" s="379" t="s">
        <v>132</v>
      </c>
      <c r="F53" s="397"/>
      <c r="G53" s="375"/>
      <c r="H53" s="15"/>
      <c r="I53" s="375">
        <v>20</v>
      </c>
      <c r="J53" s="375" t="s">
        <v>48</v>
      </c>
      <c r="K53" s="384" t="s">
        <v>53</v>
      </c>
      <c r="L53" s="375"/>
      <c r="M53" s="375" t="s">
        <v>54</v>
      </c>
      <c r="N53" s="717">
        <v>64742</v>
      </c>
      <c r="O53" s="15" t="s">
        <v>129</v>
      </c>
      <c r="P53" s="370" t="s">
        <v>130</v>
      </c>
      <c r="Q53" s="15" t="s">
        <v>51</v>
      </c>
      <c r="R53" s="364"/>
      <c r="S53" s="321"/>
      <c r="T53" s="321"/>
    </row>
    <row r="54" spans="1:20">
      <c r="A54" s="377">
        <v>53</v>
      </c>
      <c r="B54" s="15" t="s">
        <v>43</v>
      </c>
      <c r="C54" s="15" t="s">
        <v>44</v>
      </c>
      <c r="D54" s="15" t="s">
        <v>45</v>
      </c>
      <c r="E54" s="15" t="s">
        <v>133</v>
      </c>
      <c r="F54" s="375"/>
      <c r="G54" s="375"/>
      <c r="H54" s="15"/>
      <c r="I54" s="375">
        <v>39</v>
      </c>
      <c r="J54" s="375" t="s">
        <v>48</v>
      </c>
      <c r="K54" s="384" t="s">
        <v>53</v>
      </c>
      <c r="L54" s="375"/>
      <c r="M54" s="375" t="s">
        <v>54</v>
      </c>
      <c r="N54" s="717">
        <v>64748</v>
      </c>
      <c r="O54" s="386">
        <v>64748</v>
      </c>
      <c r="P54" s="370" t="s">
        <v>134</v>
      </c>
      <c r="Q54" s="15" t="s">
        <v>51</v>
      </c>
      <c r="R54" s="364"/>
      <c r="S54" s="321"/>
      <c r="T54" s="321"/>
    </row>
    <row r="55" spans="1:20">
      <c r="A55" s="377">
        <v>54</v>
      </c>
      <c r="B55" s="15" t="s">
        <v>43</v>
      </c>
      <c r="C55" s="15" t="s">
        <v>44</v>
      </c>
      <c r="D55" s="15" t="s">
        <v>45</v>
      </c>
      <c r="E55" s="394" t="s">
        <v>135</v>
      </c>
      <c r="F55" s="375"/>
      <c r="G55" s="375"/>
      <c r="H55" s="15"/>
      <c r="I55" s="375">
        <v>39</v>
      </c>
      <c r="J55" s="375" t="s">
        <v>48</v>
      </c>
      <c r="K55" s="384" t="s">
        <v>53</v>
      </c>
      <c r="L55" s="375"/>
      <c r="M55" s="375" t="s">
        <v>54</v>
      </c>
      <c r="N55" s="717">
        <v>64748</v>
      </c>
      <c r="O55" s="386">
        <v>64748</v>
      </c>
      <c r="P55" s="370" t="s">
        <v>134</v>
      </c>
      <c r="Q55" s="15" t="s">
        <v>51</v>
      </c>
      <c r="R55" s="364"/>
      <c r="S55" s="321"/>
      <c r="T55" s="321"/>
    </row>
    <row r="56" spans="1:20">
      <c r="A56" s="377">
        <v>55</v>
      </c>
      <c r="B56" s="15" t="s">
        <v>43</v>
      </c>
      <c r="C56" s="15" t="s">
        <v>44</v>
      </c>
      <c r="D56" s="15" t="s">
        <v>45</v>
      </c>
      <c r="E56" s="15" t="s">
        <v>136</v>
      </c>
      <c r="F56" s="375"/>
      <c r="G56" s="375"/>
      <c r="H56" s="15"/>
      <c r="I56" s="375">
        <v>23</v>
      </c>
      <c r="J56" s="375" t="s">
        <v>48</v>
      </c>
      <c r="K56" s="384" t="s">
        <v>53</v>
      </c>
      <c r="L56" s="375"/>
      <c r="M56" s="375" t="s">
        <v>54</v>
      </c>
      <c r="N56" s="717">
        <v>64748</v>
      </c>
      <c r="O56" s="386">
        <v>64748</v>
      </c>
      <c r="P56" s="370" t="s">
        <v>134</v>
      </c>
      <c r="Q56" s="15" t="s">
        <v>51</v>
      </c>
      <c r="R56" s="364"/>
      <c r="S56" s="321"/>
      <c r="T56" s="321"/>
    </row>
    <row r="57" spans="1:20">
      <c r="A57" s="377">
        <v>56</v>
      </c>
      <c r="B57" s="15" t="s">
        <v>43</v>
      </c>
      <c r="C57" s="15" t="s">
        <v>44</v>
      </c>
      <c r="D57" s="15" t="s">
        <v>45</v>
      </c>
      <c r="E57" s="15" t="s">
        <v>137</v>
      </c>
      <c r="F57" s="375"/>
      <c r="G57" s="375"/>
      <c r="H57" s="15"/>
      <c r="I57" s="375">
        <v>40</v>
      </c>
      <c r="J57" s="375" t="s">
        <v>48</v>
      </c>
      <c r="K57" s="384" t="s">
        <v>53</v>
      </c>
      <c r="L57" s="375"/>
      <c r="M57" s="375" t="s">
        <v>54</v>
      </c>
      <c r="N57" s="717">
        <v>64749</v>
      </c>
      <c r="O57" s="386">
        <v>64749</v>
      </c>
      <c r="P57" s="370" t="s">
        <v>138</v>
      </c>
      <c r="Q57" s="15" t="s">
        <v>51</v>
      </c>
      <c r="R57" s="364"/>
      <c r="S57" s="321"/>
      <c r="T57" s="321"/>
    </row>
    <row r="58" spans="1:20">
      <c r="A58" s="377">
        <v>57</v>
      </c>
      <c r="B58" s="15" t="s">
        <v>43</v>
      </c>
      <c r="C58" s="15" t="s">
        <v>44</v>
      </c>
      <c r="D58" s="15" t="s">
        <v>45</v>
      </c>
      <c r="E58" s="379" t="s">
        <v>139</v>
      </c>
      <c r="F58" s="375"/>
      <c r="G58" s="375"/>
      <c r="H58" s="15"/>
      <c r="I58" s="397">
        <v>16</v>
      </c>
      <c r="J58" s="375" t="s">
        <v>48</v>
      </c>
      <c r="K58" s="384" t="s">
        <v>53</v>
      </c>
      <c r="L58" s="375"/>
      <c r="M58" s="375" t="s">
        <v>54</v>
      </c>
      <c r="N58" s="717">
        <v>64752</v>
      </c>
      <c r="O58" s="386">
        <v>64752</v>
      </c>
      <c r="P58" s="370" t="s">
        <v>138</v>
      </c>
      <c r="Q58" s="15" t="s">
        <v>51</v>
      </c>
      <c r="R58" s="364"/>
      <c r="S58" s="321"/>
      <c r="T58" s="321"/>
    </row>
    <row r="59" spans="1:20">
      <c r="A59" s="377">
        <v>58</v>
      </c>
      <c r="B59" s="15" t="s">
        <v>43</v>
      </c>
      <c r="C59" s="15" t="s">
        <v>44</v>
      </c>
      <c r="D59" s="15" t="s">
        <v>45</v>
      </c>
      <c r="E59" s="379" t="s">
        <v>140</v>
      </c>
      <c r="F59" s="375"/>
      <c r="G59" s="375"/>
      <c r="H59" s="15" t="s">
        <v>141</v>
      </c>
      <c r="I59" s="397">
        <v>36</v>
      </c>
      <c r="J59" s="375" t="s">
        <v>48</v>
      </c>
      <c r="K59" s="384" t="s">
        <v>53</v>
      </c>
      <c r="L59" s="375"/>
      <c r="M59" s="375" t="s">
        <v>54</v>
      </c>
      <c r="N59" s="717">
        <v>64752</v>
      </c>
      <c r="O59" s="386">
        <v>64752</v>
      </c>
      <c r="P59" s="370" t="s">
        <v>138</v>
      </c>
      <c r="Q59" s="15" t="s">
        <v>51</v>
      </c>
      <c r="R59" s="364"/>
      <c r="S59" s="321"/>
      <c r="T59" s="321"/>
    </row>
    <row r="60" spans="1:20">
      <c r="A60" s="377">
        <v>59</v>
      </c>
      <c r="B60" s="15" t="s">
        <v>43</v>
      </c>
      <c r="C60" s="15" t="s">
        <v>44</v>
      </c>
      <c r="D60" s="15" t="s">
        <v>45</v>
      </c>
      <c r="E60" s="379" t="s">
        <v>142</v>
      </c>
      <c r="F60" s="375"/>
      <c r="G60" s="375"/>
      <c r="H60" s="15"/>
      <c r="I60" s="397">
        <v>24</v>
      </c>
      <c r="J60" s="375" t="s">
        <v>48</v>
      </c>
      <c r="K60" s="384" t="s">
        <v>53</v>
      </c>
      <c r="L60" s="375"/>
      <c r="M60" s="375" t="s">
        <v>54</v>
      </c>
      <c r="N60" s="717">
        <v>64752</v>
      </c>
      <c r="O60" s="386">
        <v>64752</v>
      </c>
      <c r="P60" s="370" t="s">
        <v>138</v>
      </c>
      <c r="Q60" s="15" t="s">
        <v>51</v>
      </c>
      <c r="R60" s="364"/>
      <c r="S60" s="321"/>
      <c r="T60" s="321"/>
    </row>
    <row r="61" spans="1:20">
      <c r="A61" s="377">
        <v>60</v>
      </c>
      <c r="B61" s="15" t="s">
        <v>43</v>
      </c>
      <c r="C61" s="15" t="s">
        <v>44</v>
      </c>
      <c r="D61" s="15" t="s">
        <v>45</v>
      </c>
      <c r="E61" s="379" t="s">
        <v>143</v>
      </c>
      <c r="F61" s="375"/>
      <c r="G61" s="375"/>
      <c r="H61" s="15"/>
      <c r="I61" s="397">
        <v>36</v>
      </c>
      <c r="J61" s="375" t="s">
        <v>48</v>
      </c>
      <c r="K61" s="384" t="s">
        <v>53</v>
      </c>
      <c r="L61" s="375"/>
      <c r="M61" s="375" t="s">
        <v>54</v>
      </c>
      <c r="N61" s="717">
        <v>64752</v>
      </c>
      <c r="O61" s="386">
        <v>64752</v>
      </c>
      <c r="P61" s="370" t="s">
        <v>138</v>
      </c>
      <c r="Q61" s="15" t="s">
        <v>51</v>
      </c>
      <c r="R61" s="364"/>
      <c r="S61" s="321"/>
      <c r="T61" s="321"/>
    </row>
    <row r="62" spans="1:20">
      <c r="A62" s="377">
        <v>61</v>
      </c>
      <c r="B62" s="15" t="s">
        <v>43</v>
      </c>
      <c r="C62" s="15" t="s">
        <v>44</v>
      </c>
      <c r="D62" s="15" t="s">
        <v>45</v>
      </c>
      <c r="E62" s="379" t="s">
        <v>144</v>
      </c>
      <c r="F62" s="375"/>
      <c r="G62" s="375"/>
      <c r="H62" s="15"/>
      <c r="I62" s="397">
        <v>31</v>
      </c>
      <c r="J62" s="375" t="s">
        <v>48</v>
      </c>
      <c r="K62" s="384" t="s">
        <v>53</v>
      </c>
      <c r="L62" s="375"/>
      <c r="M62" s="375" t="s">
        <v>54</v>
      </c>
      <c r="N62" s="717">
        <v>64752</v>
      </c>
      <c r="O62" s="386">
        <v>64752</v>
      </c>
      <c r="P62" s="370" t="s">
        <v>138</v>
      </c>
      <c r="Q62" s="15" t="s">
        <v>51</v>
      </c>
      <c r="R62" s="364"/>
      <c r="S62" s="321"/>
      <c r="T62" s="321"/>
    </row>
    <row r="63" spans="1:20">
      <c r="A63" s="377">
        <v>62</v>
      </c>
      <c r="B63" s="15" t="s">
        <v>43</v>
      </c>
      <c r="C63" s="15" t="s">
        <v>44</v>
      </c>
      <c r="D63" s="15" t="s">
        <v>45</v>
      </c>
      <c r="E63" s="379" t="s">
        <v>145</v>
      </c>
      <c r="F63" s="375"/>
      <c r="G63" s="375" t="s">
        <v>146</v>
      </c>
      <c r="H63" s="15" t="s">
        <v>147</v>
      </c>
      <c r="I63" s="375">
        <v>35</v>
      </c>
      <c r="J63" s="375" t="s">
        <v>48</v>
      </c>
      <c r="K63" s="384" t="s">
        <v>53</v>
      </c>
      <c r="L63" s="375"/>
      <c r="M63" s="375" t="s">
        <v>54</v>
      </c>
      <c r="N63" s="717">
        <v>64757</v>
      </c>
      <c r="O63" s="386">
        <v>64757</v>
      </c>
      <c r="P63" s="370" t="s">
        <v>148</v>
      </c>
      <c r="Q63" s="15" t="s">
        <v>51</v>
      </c>
      <c r="R63" s="364"/>
      <c r="S63" s="323"/>
      <c r="T63" s="323"/>
    </row>
    <row r="64" spans="1:20">
      <c r="A64" s="377">
        <v>63</v>
      </c>
      <c r="B64" s="15" t="s">
        <v>43</v>
      </c>
      <c r="C64" s="15" t="s">
        <v>44</v>
      </c>
      <c r="D64" s="15" t="s">
        <v>45</v>
      </c>
      <c r="E64" s="15" t="s">
        <v>149</v>
      </c>
      <c r="F64" s="375"/>
      <c r="G64" s="375"/>
      <c r="H64" s="15"/>
      <c r="I64" s="375">
        <v>34</v>
      </c>
      <c r="J64" s="375" t="s">
        <v>48</v>
      </c>
      <c r="K64" s="384" t="s">
        <v>53</v>
      </c>
      <c r="L64" s="375"/>
      <c r="M64" s="375" t="s">
        <v>54</v>
      </c>
      <c r="N64" s="717">
        <v>64764</v>
      </c>
      <c r="O64" s="386">
        <v>64764</v>
      </c>
      <c r="P64" s="370" t="s">
        <v>150</v>
      </c>
      <c r="Q64" s="15" t="s">
        <v>51</v>
      </c>
      <c r="R64" s="364"/>
      <c r="S64" s="321"/>
      <c r="T64" s="321"/>
    </row>
    <row r="65" spans="1:20">
      <c r="A65" s="377">
        <v>64</v>
      </c>
      <c r="B65" s="15" t="s">
        <v>43</v>
      </c>
      <c r="C65" s="15" t="s">
        <v>44</v>
      </c>
      <c r="D65" s="15" t="s">
        <v>45</v>
      </c>
      <c r="E65" s="15" t="s">
        <v>151</v>
      </c>
      <c r="F65" s="375"/>
      <c r="G65" s="375"/>
      <c r="H65" s="15"/>
      <c r="I65" s="375">
        <v>23</v>
      </c>
      <c r="J65" s="375" t="s">
        <v>48</v>
      </c>
      <c r="K65" s="384" t="s">
        <v>53</v>
      </c>
      <c r="L65" s="375"/>
      <c r="M65" s="375" t="s">
        <v>54</v>
      </c>
      <c r="N65" s="717">
        <v>64764</v>
      </c>
      <c r="O65" s="386">
        <v>64764</v>
      </c>
      <c r="P65" s="370" t="s">
        <v>150</v>
      </c>
      <c r="Q65" s="15" t="s">
        <v>51</v>
      </c>
      <c r="R65" s="364"/>
      <c r="S65" s="321"/>
      <c r="T65" s="321"/>
    </row>
    <row r="66" spans="1:20">
      <c r="A66" s="377">
        <v>65</v>
      </c>
      <c r="B66" s="15" t="s">
        <v>43</v>
      </c>
      <c r="C66" s="15" t="s">
        <v>44</v>
      </c>
      <c r="D66" s="15" t="s">
        <v>45</v>
      </c>
      <c r="E66" s="15" t="s">
        <v>152</v>
      </c>
      <c r="F66" s="375"/>
      <c r="G66" s="375"/>
      <c r="H66" s="15"/>
      <c r="I66" s="375">
        <v>31</v>
      </c>
      <c r="J66" s="375" t="s">
        <v>48</v>
      </c>
      <c r="K66" s="384" t="s">
        <v>53</v>
      </c>
      <c r="L66" s="375"/>
      <c r="M66" s="375" t="s">
        <v>54</v>
      </c>
      <c r="N66" s="717">
        <v>64764</v>
      </c>
      <c r="O66" s="386">
        <v>64764</v>
      </c>
      <c r="P66" s="370" t="s">
        <v>150</v>
      </c>
      <c r="Q66" s="15" t="s">
        <v>51</v>
      </c>
      <c r="R66" s="364"/>
      <c r="S66" s="321"/>
      <c r="T66" s="321"/>
    </row>
    <row r="67" spans="1:20">
      <c r="A67" s="377">
        <v>66</v>
      </c>
      <c r="B67" s="15" t="s">
        <v>43</v>
      </c>
      <c r="C67" s="15" t="s">
        <v>44</v>
      </c>
      <c r="D67" s="15" t="s">
        <v>45</v>
      </c>
      <c r="E67" s="15" t="s">
        <v>153</v>
      </c>
      <c r="F67" s="375" t="s">
        <v>154</v>
      </c>
      <c r="G67" s="375" t="s">
        <v>146</v>
      </c>
      <c r="H67" s="15"/>
      <c r="I67" s="375">
        <v>36</v>
      </c>
      <c r="J67" s="375" t="s">
        <v>48</v>
      </c>
      <c r="K67" s="384" t="s">
        <v>53</v>
      </c>
      <c r="L67" s="375"/>
      <c r="M67" s="375" t="s">
        <v>155</v>
      </c>
      <c r="N67" s="717">
        <v>64767</v>
      </c>
      <c r="O67" s="386">
        <v>64767</v>
      </c>
      <c r="P67" s="370" t="s">
        <v>156</v>
      </c>
      <c r="Q67" s="15" t="s">
        <v>51</v>
      </c>
      <c r="R67" s="364"/>
      <c r="S67" s="321"/>
      <c r="T67" s="321"/>
    </row>
    <row r="68" spans="1:20">
      <c r="A68" s="377">
        <v>67</v>
      </c>
      <c r="B68" s="15" t="s">
        <v>43</v>
      </c>
      <c r="C68" s="15" t="s">
        <v>44</v>
      </c>
      <c r="D68" s="15" t="s">
        <v>45</v>
      </c>
      <c r="E68" s="15" t="s">
        <v>157</v>
      </c>
      <c r="F68" s="375" t="s">
        <v>158</v>
      </c>
      <c r="G68" s="375" t="s">
        <v>146</v>
      </c>
      <c r="H68" s="15"/>
      <c r="I68" s="375">
        <v>32</v>
      </c>
      <c r="J68" s="375" t="s">
        <v>48</v>
      </c>
      <c r="K68" s="384" t="s">
        <v>53</v>
      </c>
      <c r="L68" s="375"/>
      <c r="M68" s="375" t="s">
        <v>155</v>
      </c>
      <c r="N68" s="717">
        <v>64767</v>
      </c>
      <c r="O68" s="386">
        <v>64767</v>
      </c>
      <c r="P68" s="370" t="s">
        <v>156</v>
      </c>
      <c r="Q68" s="15" t="s">
        <v>51</v>
      </c>
      <c r="R68" s="364"/>
      <c r="S68" s="321"/>
      <c r="T68" s="321"/>
    </row>
    <row r="69" spans="1:20">
      <c r="A69" s="377">
        <v>68</v>
      </c>
      <c r="B69" s="15" t="s">
        <v>43</v>
      </c>
      <c r="C69" s="15" t="s">
        <v>44</v>
      </c>
      <c r="D69" s="15" t="s">
        <v>45</v>
      </c>
      <c r="E69" s="15" t="s">
        <v>159</v>
      </c>
      <c r="F69" s="375" t="s">
        <v>160</v>
      </c>
      <c r="G69" s="375" t="s">
        <v>146</v>
      </c>
      <c r="H69" s="15"/>
      <c r="I69" s="375">
        <v>31</v>
      </c>
      <c r="J69" s="375" t="s">
        <v>48</v>
      </c>
      <c r="K69" s="384" t="s">
        <v>53</v>
      </c>
      <c r="L69" s="375"/>
      <c r="M69" s="375" t="s">
        <v>155</v>
      </c>
      <c r="N69" s="717">
        <v>64767</v>
      </c>
      <c r="O69" s="386">
        <v>64767</v>
      </c>
      <c r="P69" s="370" t="s">
        <v>156</v>
      </c>
      <c r="Q69" s="15" t="s">
        <v>51</v>
      </c>
      <c r="R69" s="364"/>
      <c r="S69" s="321"/>
      <c r="T69" s="321"/>
    </row>
    <row r="70" spans="1:20">
      <c r="A70" s="377">
        <v>69</v>
      </c>
      <c r="B70" s="15" t="s">
        <v>43</v>
      </c>
      <c r="C70" s="15" t="s">
        <v>44</v>
      </c>
      <c r="D70" s="15" t="s">
        <v>45</v>
      </c>
      <c r="E70" s="398" t="s">
        <v>161</v>
      </c>
      <c r="F70" s="399" t="s">
        <v>162</v>
      </c>
      <c r="G70" s="375" t="s">
        <v>146</v>
      </c>
      <c r="H70" s="15"/>
      <c r="I70" s="399">
        <v>35</v>
      </c>
      <c r="J70" s="375" t="s">
        <v>48</v>
      </c>
      <c r="K70" s="384" t="s">
        <v>53</v>
      </c>
      <c r="L70" s="375"/>
      <c r="M70" s="375" t="s">
        <v>155</v>
      </c>
      <c r="N70" s="717">
        <v>64767</v>
      </c>
      <c r="O70" s="386">
        <v>64768</v>
      </c>
      <c r="P70" s="370" t="s">
        <v>156</v>
      </c>
      <c r="Q70" s="15" t="s">
        <v>51</v>
      </c>
      <c r="R70" s="364"/>
      <c r="S70" s="321"/>
      <c r="T70" s="321"/>
    </row>
    <row r="71" spans="1:20">
      <c r="A71" s="377">
        <v>70</v>
      </c>
      <c r="B71" s="15" t="s">
        <v>43</v>
      </c>
      <c r="C71" s="15" t="s">
        <v>44</v>
      </c>
      <c r="D71" s="15" t="s">
        <v>45</v>
      </c>
      <c r="E71" s="398" t="s">
        <v>163</v>
      </c>
      <c r="F71" s="399" t="s">
        <v>164</v>
      </c>
      <c r="G71" s="375" t="s">
        <v>146</v>
      </c>
      <c r="H71" s="15"/>
      <c r="I71" s="399">
        <v>34</v>
      </c>
      <c r="J71" s="375" t="s">
        <v>48</v>
      </c>
      <c r="K71" s="384" t="s">
        <v>53</v>
      </c>
      <c r="L71" s="375"/>
      <c r="M71" s="375" t="s">
        <v>155</v>
      </c>
      <c r="N71" s="717">
        <v>64767</v>
      </c>
      <c r="O71" s="386">
        <v>64769</v>
      </c>
      <c r="P71" s="370" t="s">
        <v>156</v>
      </c>
      <c r="Q71" s="15" t="s">
        <v>51</v>
      </c>
      <c r="R71" s="364"/>
      <c r="S71" s="321"/>
      <c r="T71" s="321"/>
    </row>
    <row r="72" spans="1:20">
      <c r="A72" s="377">
        <v>71</v>
      </c>
      <c r="B72" s="15" t="s">
        <v>43</v>
      </c>
      <c r="C72" s="15" t="s">
        <v>44</v>
      </c>
      <c r="D72" s="15" t="s">
        <v>45</v>
      </c>
      <c r="E72" s="398" t="s">
        <v>165</v>
      </c>
      <c r="F72" s="399" t="s">
        <v>166</v>
      </c>
      <c r="G72" s="375" t="s">
        <v>146</v>
      </c>
      <c r="H72" s="15"/>
      <c r="I72" s="399">
        <v>31</v>
      </c>
      <c r="J72" s="375" t="s">
        <v>48</v>
      </c>
      <c r="K72" s="384" t="s">
        <v>53</v>
      </c>
      <c r="L72" s="375"/>
      <c r="M72" s="375" t="s">
        <v>155</v>
      </c>
      <c r="N72" s="717">
        <v>64767</v>
      </c>
      <c r="O72" s="386">
        <v>64770</v>
      </c>
      <c r="P72" s="370" t="s">
        <v>156</v>
      </c>
      <c r="Q72" s="15" t="s">
        <v>51</v>
      </c>
      <c r="R72" s="364"/>
      <c r="S72" s="321"/>
      <c r="T72" s="321"/>
    </row>
    <row r="73" spans="1:20">
      <c r="A73" s="377">
        <v>72</v>
      </c>
      <c r="B73" s="15"/>
      <c r="C73" s="15"/>
      <c r="D73" s="15" t="s">
        <v>45</v>
      </c>
      <c r="E73" s="398" t="s">
        <v>167</v>
      </c>
      <c r="F73" s="399" t="s">
        <v>168</v>
      </c>
      <c r="G73" s="375" t="s">
        <v>169</v>
      </c>
      <c r="H73" s="15"/>
      <c r="I73" s="399">
        <v>24</v>
      </c>
      <c r="J73" s="373" t="s">
        <v>90</v>
      </c>
      <c r="K73" s="384" t="s">
        <v>53</v>
      </c>
      <c r="L73" s="375"/>
      <c r="M73" s="375" t="s">
        <v>119</v>
      </c>
      <c r="N73" s="714" t="s">
        <v>170</v>
      </c>
      <c r="O73" s="15" t="s">
        <v>171</v>
      </c>
      <c r="P73" s="400">
        <v>64784</v>
      </c>
      <c r="Q73" s="15" t="s">
        <v>51</v>
      </c>
      <c r="R73" s="364"/>
      <c r="S73" s="321"/>
      <c r="T73" s="321"/>
    </row>
    <row r="74" spans="1:20">
      <c r="A74" s="377">
        <v>73</v>
      </c>
      <c r="B74" s="15" t="s">
        <v>43</v>
      </c>
      <c r="C74" s="15" t="s">
        <v>44</v>
      </c>
      <c r="D74" s="15" t="s">
        <v>45</v>
      </c>
      <c r="E74" s="398" t="s">
        <v>172</v>
      </c>
      <c r="F74" s="399" t="s">
        <v>173</v>
      </c>
      <c r="G74" s="375" t="s">
        <v>146</v>
      </c>
      <c r="H74" s="15"/>
      <c r="I74" s="399">
        <v>34</v>
      </c>
      <c r="J74" s="375" t="s">
        <v>48</v>
      </c>
      <c r="K74" s="384" t="s">
        <v>53</v>
      </c>
      <c r="L74" s="375"/>
      <c r="M74" s="375" t="s">
        <v>155</v>
      </c>
      <c r="N74" s="717">
        <v>64767</v>
      </c>
      <c r="O74" s="386">
        <v>64771</v>
      </c>
      <c r="P74" s="370" t="s">
        <v>156</v>
      </c>
      <c r="Q74" s="15" t="s">
        <v>51</v>
      </c>
      <c r="R74" s="364"/>
      <c r="S74" s="321"/>
      <c r="T74" s="321"/>
    </row>
    <row r="75" spans="1:20">
      <c r="A75" s="377">
        <v>74</v>
      </c>
      <c r="B75" s="15" t="s">
        <v>43</v>
      </c>
      <c r="C75" s="15" t="s">
        <v>44</v>
      </c>
      <c r="D75" s="15" t="s">
        <v>45</v>
      </c>
      <c r="E75" s="398" t="s">
        <v>174</v>
      </c>
      <c r="F75" s="399" t="s">
        <v>175</v>
      </c>
      <c r="G75" s="375" t="s">
        <v>146</v>
      </c>
      <c r="H75" s="15"/>
      <c r="I75" s="399">
        <v>31</v>
      </c>
      <c r="J75" s="375" t="s">
        <v>48</v>
      </c>
      <c r="K75" s="384" t="s">
        <v>53</v>
      </c>
      <c r="L75" s="375"/>
      <c r="M75" s="375" t="s">
        <v>155</v>
      </c>
      <c r="N75" s="717">
        <v>64767</v>
      </c>
      <c r="O75" s="386">
        <v>64772</v>
      </c>
      <c r="P75" s="370" t="s">
        <v>156</v>
      </c>
      <c r="Q75" s="15" t="s">
        <v>51</v>
      </c>
      <c r="R75" s="364"/>
      <c r="S75" s="321"/>
      <c r="T75" s="321"/>
    </row>
    <row r="76" spans="1:20">
      <c r="A76" s="377">
        <v>75</v>
      </c>
      <c r="B76" s="15" t="s">
        <v>43</v>
      </c>
      <c r="C76" s="15" t="s">
        <v>44</v>
      </c>
      <c r="D76" s="15" t="s">
        <v>45</v>
      </c>
      <c r="E76" s="398" t="s">
        <v>176</v>
      </c>
      <c r="F76" s="399" t="s">
        <v>177</v>
      </c>
      <c r="G76" s="375" t="s">
        <v>146</v>
      </c>
      <c r="H76" s="15"/>
      <c r="I76" s="399">
        <v>28</v>
      </c>
      <c r="J76" s="375" t="s">
        <v>48</v>
      </c>
      <c r="K76" s="384" t="s">
        <v>53</v>
      </c>
      <c r="L76" s="375"/>
      <c r="M76" s="375" t="s">
        <v>155</v>
      </c>
      <c r="N76" s="717">
        <v>64767</v>
      </c>
      <c r="O76" s="386">
        <v>64773</v>
      </c>
      <c r="P76" s="370" t="s">
        <v>156</v>
      </c>
      <c r="Q76" s="15" t="s">
        <v>51</v>
      </c>
      <c r="R76" s="364"/>
      <c r="S76" s="321"/>
      <c r="T76" s="321"/>
    </row>
    <row r="77" spans="1:20">
      <c r="A77" s="377">
        <v>76</v>
      </c>
      <c r="B77" s="15" t="s">
        <v>43</v>
      </c>
      <c r="C77" s="15" t="s">
        <v>44</v>
      </c>
      <c r="D77" s="15" t="s">
        <v>45</v>
      </c>
      <c r="E77" s="398" t="s">
        <v>178</v>
      </c>
      <c r="F77" s="399" t="s">
        <v>179</v>
      </c>
      <c r="G77" s="375" t="s">
        <v>146</v>
      </c>
      <c r="H77" s="15"/>
      <c r="I77" s="399">
        <v>28</v>
      </c>
      <c r="J77" s="375" t="s">
        <v>48</v>
      </c>
      <c r="K77" s="384" t="s">
        <v>53</v>
      </c>
      <c r="L77" s="375"/>
      <c r="M77" s="375" t="s">
        <v>155</v>
      </c>
      <c r="N77" s="717">
        <v>64767</v>
      </c>
      <c r="O77" s="386">
        <v>64774</v>
      </c>
      <c r="P77" s="370" t="s">
        <v>156</v>
      </c>
      <c r="Q77" s="15" t="s">
        <v>51</v>
      </c>
      <c r="R77" s="364"/>
      <c r="S77" s="321"/>
      <c r="T77" s="321"/>
    </row>
    <row r="78" spans="1:20">
      <c r="A78" s="377">
        <v>77</v>
      </c>
      <c r="B78" s="15" t="s">
        <v>43</v>
      </c>
      <c r="C78" s="15" t="s">
        <v>44</v>
      </c>
      <c r="D78" s="15" t="s">
        <v>45</v>
      </c>
      <c r="E78" s="398" t="s">
        <v>180</v>
      </c>
      <c r="F78" s="399" t="s">
        <v>181</v>
      </c>
      <c r="G78" s="375" t="s">
        <v>146</v>
      </c>
      <c r="H78" s="15"/>
      <c r="I78" s="399">
        <v>24</v>
      </c>
      <c r="J78" s="375" t="s">
        <v>48</v>
      </c>
      <c r="K78" s="384" t="s">
        <v>53</v>
      </c>
      <c r="L78" s="375"/>
      <c r="M78" s="375" t="s">
        <v>155</v>
      </c>
      <c r="N78" s="717">
        <v>64767</v>
      </c>
      <c r="O78" s="386">
        <v>64775</v>
      </c>
      <c r="P78" s="370" t="s">
        <v>156</v>
      </c>
      <c r="Q78" s="15" t="s">
        <v>51</v>
      </c>
      <c r="R78" s="364"/>
      <c r="S78" s="321"/>
      <c r="T78" s="321"/>
    </row>
    <row r="79" spans="1:20">
      <c r="A79" s="377">
        <v>78</v>
      </c>
      <c r="B79" s="15" t="s">
        <v>43</v>
      </c>
      <c r="C79" s="15" t="s">
        <v>44</v>
      </c>
      <c r="D79" s="15" t="s">
        <v>45</v>
      </c>
      <c r="E79" s="398" t="s">
        <v>182</v>
      </c>
      <c r="F79" s="399" t="s">
        <v>183</v>
      </c>
      <c r="G79" s="375" t="s">
        <v>146</v>
      </c>
      <c r="H79" s="15"/>
      <c r="I79" s="399">
        <v>27</v>
      </c>
      <c r="J79" s="375" t="s">
        <v>48</v>
      </c>
      <c r="K79" s="384" t="s">
        <v>53</v>
      </c>
      <c r="L79" s="375"/>
      <c r="M79" s="375" t="s">
        <v>155</v>
      </c>
      <c r="N79" s="717">
        <v>64767</v>
      </c>
      <c r="O79" s="386">
        <v>64776</v>
      </c>
      <c r="P79" s="370" t="s">
        <v>156</v>
      </c>
      <c r="Q79" s="15" t="s">
        <v>51</v>
      </c>
      <c r="R79" s="364"/>
      <c r="S79" s="321"/>
      <c r="T79" s="321"/>
    </row>
    <row r="80" spans="1:20">
      <c r="A80" s="377">
        <v>79</v>
      </c>
      <c r="B80" s="15" t="s">
        <v>43</v>
      </c>
      <c r="C80" s="15" t="s">
        <v>44</v>
      </c>
      <c r="D80" s="15" t="s">
        <v>45</v>
      </c>
      <c r="E80" s="398" t="s">
        <v>184</v>
      </c>
      <c r="F80" s="399" t="s">
        <v>185</v>
      </c>
      <c r="G80" s="375" t="s">
        <v>146</v>
      </c>
      <c r="H80" s="15"/>
      <c r="I80" s="399">
        <v>26</v>
      </c>
      <c r="J80" s="375" t="s">
        <v>48</v>
      </c>
      <c r="K80" s="384" t="s">
        <v>53</v>
      </c>
      <c r="L80" s="375"/>
      <c r="M80" s="375" t="s">
        <v>155</v>
      </c>
      <c r="N80" s="717">
        <v>64767</v>
      </c>
      <c r="O80" s="386">
        <v>64777</v>
      </c>
      <c r="P80" s="370" t="s">
        <v>156</v>
      </c>
      <c r="Q80" s="15" t="s">
        <v>51</v>
      </c>
      <c r="R80" s="364"/>
      <c r="S80" s="321"/>
      <c r="T80" s="321"/>
    </row>
    <row r="81" spans="1:20">
      <c r="A81" s="377">
        <v>80</v>
      </c>
      <c r="B81" s="15" t="s">
        <v>43</v>
      </c>
      <c r="C81" s="15" t="s">
        <v>44</v>
      </c>
      <c r="D81" s="15" t="s">
        <v>45</v>
      </c>
      <c r="E81" s="398" t="s">
        <v>186</v>
      </c>
      <c r="F81" s="399" t="s">
        <v>187</v>
      </c>
      <c r="G81" s="375" t="s">
        <v>146</v>
      </c>
      <c r="H81" s="15"/>
      <c r="I81" s="399">
        <v>25</v>
      </c>
      <c r="J81" s="375" t="s">
        <v>48</v>
      </c>
      <c r="K81" s="384" t="s">
        <v>53</v>
      </c>
      <c r="L81" s="375"/>
      <c r="M81" s="375" t="s">
        <v>155</v>
      </c>
      <c r="N81" s="717">
        <v>64767</v>
      </c>
      <c r="O81" s="386">
        <v>64778</v>
      </c>
      <c r="P81" s="370" t="s">
        <v>156</v>
      </c>
      <c r="Q81" s="15" t="s">
        <v>51</v>
      </c>
      <c r="R81" s="364"/>
      <c r="S81" s="321"/>
      <c r="T81" s="321"/>
    </row>
    <row r="82" spans="1:20">
      <c r="A82" s="377">
        <v>81</v>
      </c>
      <c r="B82" s="15" t="s">
        <v>43</v>
      </c>
      <c r="C82" s="15" t="s">
        <v>44</v>
      </c>
      <c r="D82" s="15" t="s">
        <v>45</v>
      </c>
      <c r="E82" s="398" t="s">
        <v>188</v>
      </c>
      <c r="F82" s="399" t="s">
        <v>189</v>
      </c>
      <c r="G82" s="375" t="s">
        <v>146</v>
      </c>
      <c r="H82" s="15"/>
      <c r="I82" s="399">
        <v>27</v>
      </c>
      <c r="J82" s="375" t="s">
        <v>48</v>
      </c>
      <c r="K82" s="384" t="s">
        <v>53</v>
      </c>
      <c r="L82" s="375"/>
      <c r="M82" s="375" t="s">
        <v>155</v>
      </c>
      <c r="N82" s="717">
        <v>64767</v>
      </c>
      <c r="O82" s="386">
        <v>64779</v>
      </c>
      <c r="P82" s="370" t="s">
        <v>156</v>
      </c>
      <c r="Q82" s="15" t="s">
        <v>51</v>
      </c>
      <c r="R82" s="364"/>
      <c r="S82" s="321"/>
      <c r="T82" s="321"/>
    </row>
    <row r="83" spans="1:20">
      <c r="A83" s="377">
        <v>82</v>
      </c>
      <c r="B83" s="15" t="s">
        <v>43</v>
      </c>
      <c r="C83" s="15" t="s">
        <v>44</v>
      </c>
      <c r="D83" s="15" t="s">
        <v>45</v>
      </c>
      <c r="E83" s="398" t="s">
        <v>190</v>
      </c>
      <c r="F83" s="399" t="s">
        <v>191</v>
      </c>
      <c r="G83" s="375" t="s">
        <v>146</v>
      </c>
      <c r="H83" s="15"/>
      <c r="I83" s="399">
        <v>25</v>
      </c>
      <c r="J83" s="375" t="s">
        <v>48</v>
      </c>
      <c r="K83" s="384" t="s">
        <v>53</v>
      </c>
      <c r="L83" s="375"/>
      <c r="M83" s="375" t="s">
        <v>155</v>
      </c>
      <c r="N83" s="717">
        <v>64767</v>
      </c>
      <c r="O83" s="386">
        <v>64780</v>
      </c>
      <c r="P83" s="370" t="s">
        <v>156</v>
      </c>
      <c r="Q83" s="15" t="s">
        <v>51</v>
      </c>
      <c r="R83" s="364"/>
      <c r="S83" s="321"/>
      <c r="T83" s="321"/>
    </row>
    <row r="84" spans="1:20">
      <c r="A84" s="377">
        <v>83</v>
      </c>
      <c r="B84" s="15" t="s">
        <v>43</v>
      </c>
      <c r="C84" s="15" t="s">
        <v>44</v>
      </c>
      <c r="D84" s="15" t="s">
        <v>45</v>
      </c>
      <c r="E84" s="398" t="s">
        <v>192</v>
      </c>
      <c r="F84" s="399" t="s">
        <v>193</v>
      </c>
      <c r="G84" s="375" t="s">
        <v>146</v>
      </c>
      <c r="H84" s="15"/>
      <c r="I84" s="399">
        <v>24</v>
      </c>
      <c r="J84" s="375" t="s">
        <v>48</v>
      </c>
      <c r="K84" s="384" t="s">
        <v>53</v>
      </c>
      <c r="L84" s="375"/>
      <c r="M84" s="375" t="s">
        <v>155</v>
      </c>
      <c r="N84" s="717">
        <v>64767</v>
      </c>
      <c r="O84" s="386">
        <v>64781</v>
      </c>
      <c r="P84" s="370" t="s">
        <v>156</v>
      </c>
      <c r="Q84" s="15" t="s">
        <v>51</v>
      </c>
      <c r="R84" s="364"/>
      <c r="S84" s="321"/>
      <c r="T84" s="321"/>
    </row>
    <row r="85" spans="1:20">
      <c r="A85" s="377">
        <v>84</v>
      </c>
      <c r="B85" s="15" t="s">
        <v>43</v>
      </c>
      <c r="C85" s="15" t="s">
        <v>44</v>
      </c>
      <c r="D85" s="15" t="s">
        <v>45</v>
      </c>
      <c r="E85" s="398" t="s">
        <v>194</v>
      </c>
      <c r="F85" s="399" t="s">
        <v>195</v>
      </c>
      <c r="G85" s="375" t="s">
        <v>146</v>
      </c>
      <c r="H85" s="15"/>
      <c r="I85" s="399">
        <v>33</v>
      </c>
      <c r="J85" s="375" t="s">
        <v>48</v>
      </c>
      <c r="K85" s="384" t="s">
        <v>53</v>
      </c>
      <c r="L85" s="375"/>
      <c r="M85" s="375" t="s">
        <v>155</v>
      </c>
      <c r="N85" s="717">
        <v>64767</v>
      </c>
      <c r="O85" s="386">
        <v>64782</v>
      </c>
      <c r="P85" s="370" t="s">
        <v>156</v>
      </c>
      <c r="Q85" s="15" t="s">
        <v>51</v>
      </c>
      <c r="R85" s="364"/>
      <c r="S85" s="321"/>
      <c r="T85" s="321"/>
    </row>
    <row r="86" spans="1:20">
      <c r="A86" s="377">
        <v>85</v>
      </c>
      <c r="B86" s="15" t="s">
        <v>43</v>
      </c>
      <c r="C86" s="15" t="s">
        <v>44</v>
      </c>
      <c r="D86" s="15" t="s">
        <v>45</v>
      </c>
      <c r="E86" s="398" t="s">
        <v>196</v>
      </c>
      <c r="F86" s="399" t="s">
        <v>197</v>
      </c>
      <c r="G86" s="375" t="s">
        <v>146</v>
      </c>
      <c r="H86" s="15"/>
      <c r="I86" s="399">
        <v>32</v>
      </c>
      <c r="J86" s="375" t="s">
        <v>48</v>
      </c>
      <c r="K86" s="384" t="s">
        <v>53</v>
      </c>
      <c r="L86" s="375"/>
      <c r="M86" s="375" t="s">
        <v>155</v>
      </c>
      <c r="N86" s="717">
        <v>64767</v>
      </c>
      <c r="O86" s="386">
        <v>64783</v>
      </c>
      <c r="P86" s="370" t="s">
        <v>156</v>
      </c>
      <c r="Q86" s="15" t="s">
        <v>51</v>
      </c>
      <c r="R86" s="364"/>
      <c r="S86" s="321"/>
      <c r="T86" s="321"/>
    </row>
    <row r="87" spans="1:20">
      <c r="A87" s="377">
        <v>86</v>
      </c>
      <c r="B87" s="15" t="s">
        <v>43</v>
      </c>
      <c r="C87" s="15" t="s">
        <v>44</v>
      </c>
      <c r="D87" s="15" t="s">
        <v>45</v>
      </c>
      <c r="E87" s="398" t="s">
        <v>198</v>
      </c>
      <c r="F87" s="399" t="s">
        <v>199</v>
      </c>
      <c r="G87" s="375" t="s">
        <v>146</v>
      </c>
      <c r="H87" s="15"/>
      <c r="I87" s="399">
        <v>30</v>
      </c>
      <c r="J87" s="375" t="s">
        <v>48</v>
      </c>
      <c r="K87" s="384" t="s">
        <v>53</v>
      </c>
      <c r="L87" s="375"/>
      <c r="M87" s="375" t="s">
        <v>155</v>
      </c>
      <c r="N87" s="717">
        <v>64767</v>
      </c>
      <c r="O87" s="386">
        <v>64784</v>
      </c>
      <c r="P87" s="370" t="s">
        <v>156</v>
      </c>
      <c r="Q87" s="15" t="s">
        <v>51</v>
      </c>
      <c r="R87" s="364"/>
      <c r="S87" s="321"/>
      <c r="T87" s="321"/>
    </row>
    <row r="88" spans="1:20">
      <c r="A88" s="377">
        <v>87</v>
      </c>
      <c r="B88" s="15" t="s">
        <v>43</v>
      </c>
      <c r="C88" s="15" t="s">
        <v>44</v>
      </c>
      <c r="D88" s="15" t="s">
        <v>45</v>
      </c>
      <c r="E88" s="382" t="s">
        <v>200</v>
      </c>
      <c r="F88" s="399" t="s">
        <v>201</v>
      </c>
      <c r="G88" s="375" t="s">
        <v>146</v>
      </c>
      <c r="H88" s="15"/>
      <c r="I88" s="399">
        <v>30</v>
      </c>
      <c r="J88" s="375" t="s">
        <v>48</v>
      </c>
      <c r="K88" s="384" t="s">
        <v>53</v>
      </c>
      <c r="L88" s="375"/>
      <c r="M88" s="375" t="s">
        <v>155</v>
      </c>
      <c r="N88" s="717">
        <v>64767</v>
      </c>
      <c r="O88" s="386">
        <v>64785</v>
      </c>
      <c r="P88" s="370" t="s">
        <v>156</v>
      </c>
      <c r="Q88" s="15" t="s">
        <v>51</v>
      </c>
      <c r="R88" s="364"/>
      <c r="S88" s="321"/>
      <c r="T88" s="321"/>
    </row>
    <row r="89" spans="1:20">
      <c r="A89" s="377">
        <v>88</v>
      </c>
      <c r="B89" s="15" t="s">
        <v>43</v>
      </c>
      <c r="C89" s="15" t="s">
        <v>44</v>
      </c>
      <c r="D89" s="15" t="s">
        <v>45</v>
      </c>
      <c r="E89" s="398" t="s">
        <v>202</v>
      </c>
      <c r="F89" s="399" t="s">
        <v>201</v>
      </c>
      <c r="G89" s="375" t="s">
        <v>146</v>
      </c>
      <c r="H89" s="15"/>
      <c r="I89" s="399">
        <v>27</v>
      </c>
      <c r="J89" s="375" t="s">
        <v>48</v>
      </c>
      <c r="K89" s="384" t="s">
        <v>53</v>
      </c>
      <c r="L89" s="375"/>
      <c r="M89" s="375" t="s">
        <v>155</v>
      </c>
      <c r="N89" s="717">
        <v>64767</v>
      </c>
      <c r="O89" s="386">
        <v>64786</v>
      </c>
      <c r="P89" s="370" t="s">
        <v>156</v>
      </c>
      <c r="Q89" s="15" t="s">
        <v>51</v>
      </c>
      <c r="R89" s="364"/>
      <c r="S89" s="321"/>
      <c r="T89" s="321"/>
    </row>
    <row r="90" spans="1:20">
      <c r="A90" s="377">
        <v>89</v>
      </c>
      <c r="B90" s="15" t="s">
        <v>43</v>
      </c>
      <c r="C90" s="15" t="s">
        <v>44</v>
      </c>
      <c r="D90" s="15" t="s">
        <v>45</v>
      </c>
      <c r="E90" s="398" t="s">
        <v>203</v>
      </c>
      <c r="F90" s="399" t="s">
        <v>204</v>
      </c>
      <c r="G90" s="375" t="s">
        <v>146</v>
      </c>
      <c r="H90" s="15"/>
      <c r="I90" s="399">
        <v>27</v>
      </c>
      <c r="J90" s="375" t="s">
        <v>48</v>
      </c>
      <c r="K90" s="384" t="s">
        <v>53</v>
      </c>
      <c r="L90" s="375"/>
      <c r="M90" s="375" t="s">
        <v>155</v>
      </c>
      <c r="N90" s="717">
        <v>64767</v>
      </c>
      <c r="O90" s="386">
        <v>64787</v>
      </c>
      <c r="P90" s="370" t="s">
        <v>156</v>
      </c>
      <c r="Q90" s="15" t="s">
        <v>51</v>
      </c>
      <c r="R90" s="364"/>
      <c r="S90" s="321"/>
      <c r="T90" s="321"/>
    </row>
    <row r="91" spans="1:20">
      <c r="A91" s="377">
        <v>90</v>
      </c>
      <c r="B91" s="15" t="s">
        <v>43</v>
      </c>
      <c r="C91" s="15" t="s">
        <v>44</v>
      </c>
      <c r="D91" s="15" t="s">
        <v>45</v>
      </c>
      <c r="E91" s="398" t="s">
        <v>205</v>
      </c>
      <c r="F91" s="399" t="s">
        <v>206</v>
      </c>
      <c r="G91" s="375" t="s">
        <v>146</v>
      </c>
      <c r="H91" s="15"/>
      <c r="I91" s="399">
        <v>27</v>
      </c>
      <c r="J91" s="375" t="s">
        <v>48</v>
      </c>
      <c r="K91" s="384" t="s">
        <v>53</v>
      </c>
      <c r="L91" s="375"/>
      <c r="M91" s="375" t="s">
        <v>155</v>
      </c>
      <c r="N91" s="717">
        <v>64767</v>
      </c>
      <c r="O91" s="386">
        <v>64788</v>
      </c>
      <c r="P91" s="370" t="s">
        <v>156</v>
      </c>
      <c r="Q91" s="15" t="s">
        <v>51</v>
      </c>
      <c r="R91" s="364"/>
      <c r="S91" s="321"/>
      <c r="T91" s="321"/>
    </row>
    <row r="92" spans="1:20">
      <c r="A92" s="377">
        <v>91</v>
      </c>
      <c r="B92" s="15" t="s">
        <v>43</v>
      </c>
      <c r="C92" s="15" t="s">
        <v>44</v>
      </c>
      <c r="D92" s="15" t="s">
        <v>45</v>
      </c>
      <c r="E92" s="398" t="s">
        <v>207</v>
      </c>
      <c r="F92" s="399" t="s">
        <v>208</v>
      </c>
      <c r="G92" s="375" t="s">
        <v>146</v>
      </c>
      <c r="H92" s="15"/>
      <c r="I92" s="399">
        <v>25</v>
      </c>
      <c r="J92" s="375" t="s">
        <v>48</v>
      </c>
      <c r="K92" s="384" t="s">
        <v>53</v>
      </c>
      <c r="L92" s="375"/>
      <c r="M92" s="375" t="s">
        <v>155</v>
      </c>
      <c r="N92" s="717">
        <v>64767</v>
      </c>
      <c r="O92" s="386">
        <v>64789</v>
      </c>
      <c r="P92" s="370" t="s">
        <v>156</v>
      </c>
      <c r="Q92" s="15" t="s">
        <v>51</v>
      </c>
      <c r="R92" s="364"/>
      <c r="S92" s="321"/>
      <c r="T92" s="321"/>
    </row>
    <row r="93" spans="1:20">
      <c r="A93" s="377">
        <v>92</v>
      </c>
      <c r="B93" s="15" t="s">
        <v>43</v>
      </c>
      <c r="C93" s="15" t="s">
        <v>44</v>
      </c>
      <c r="D93" s="15" t="s">
        <v>45</v>
      </c>
      <c r="E93" s="398" t="s">
        <v>209</v>
      </c>
      <c r="F93" s="399" t="s">
        <v>210</v>
      </c>
      <c r="G93" s="375" t="s">
        <v>146</v>
      </c>
      <c r="H93" s="15"/>
      <c r="I93" s="399">
        <v>28</v>
      </c>
      <c r="J93" s="375" t="s">
        <v>48</v>
      </c>
      <c r="K93" s="384" t="s">
        <v>53</v>
      </c>
      <c r="L93" s="375"/>
      <c r="M93" s="375" t="s">
        <v>155</v>
      </c>
      <c r="N93" s="717">
        <v>64767</v>
      </c>
      <c r="O93" s="386">
        <v>64790</v>
      </c>
      <c r="P93" s="370" t="s">
        <v>156</v>
      </c>
      <c r="Q93" s="15" t="s">
        <v>51</v>
      </c>
      <c r="R93" s="364"/>
      <c r="S93" s="321"/>
      <c r="T93" s="321"/>
    </row>
    <row r="94" spans="1:20">
      <c r="A94" s="377">
        <v>93</v>
      </c>
      <c r="B94" s="15" t="s">
        <v>43</v>
      </c>
      <c r="C94" s="15" t="s">
        <v>44</v>
      </c>
      <c r="D94" s="15" t="s">
        <v>45</v>
      </c>
      <c r="E94" s="398" t="s">
        <v>211</v>
      </c>
      <c r="F94" s="399" t="s">
        <v>212</v>
      </c>
      <c r="G94" s="375" t="s">
        <v>146</v>
      </c>
      <c r="H94" s="15"/>
      <c r="I94" s="399">
        <v>32</v>
      </c>
      <c r="J94" s="375" t="s">
        <v>48</v>
      </c>
      <c r="K94" s="384" t="s">
        <v>53</v>
      </c>
      <c r="L94" s="375"/>
      <c r="M94" s="375" t="s">
        <v>155</v>
      </c>
      <c r="N94" s="717">
        <v>64767</v>
      </c>
      <c r="O94" s="386">
        <v>64791</v>
      </c>
      <c r="P94" s="370" t="s">
        <v>156</v>
      </c>
      <c r="Q94" s="15" t="s">
        <v>51</v>
      </c>
      <c r="R94" s="364"/>
      <c r="S94" s="321"/>
      <c r="T94" s="321"/>
    </row>
    <row r="95" spans="1:20">
      <c r="A95" s="377">
        <v>94</v>
      </c>
      <c r="B95" s="15" t="s">
        <v>43</v>
      </c>
      <c r="C95" s="15" t="s">
        <v>44</v>
      </c>
      <c r="D95" s="15" t="s">
        <v>45</v>
      </c>
      <c r="E95" s="398" t="s">
        <v>213</v>
      </c>
      <c r="F95" s="399" t="s">
        <v>214</v>
      </c>
      <c r="G95" s="375" t="s">
        <v>146</v>
      </c>
      <c r="H95" s="15"/>
      <c r="I95" s="399">
        <v>25</v>
      </c>
      <c r="J95" s="375" t="s">
        <v>48</v>
      </c>
      <c r="K95" s="384" t="s">
        <v>53</v>
      </c>
      <c r="L95" s="375"/>
      <c r="M95" s="375" t="s">
        <v>155</v>
      </c>
      <c r="N95" s="717">
        <v>64767</v>
      </c>
      <c r="O95" s="386">
        <v>64792</v>
      </c>
      <c r="P95" s="370" t="s">
        <v>156</v>
      </c>
      <c r="Q95" s="15" t="s">
        <v>51</v>
      </c>
      <c r="R95" s="364"/>
      <c r="S95" s="321"/>
      <c r="T95" s="321"/>
    </row>
    <row r="96" spans="1:20">
      <c r="A96" s="377">
        <v>95</v>
      </c>
      <c r="B96" s="15" t="s">
        <v>43</v>
      </c>
      <c r="C96" s="15" t="s">
        <v>44</v>
      </c>
      <c r="D96" s="15" t="s">
        <v>45</v>
      </c>
      <c r="E96" s="379" t="s">
        <v>215</v>
      </c>
      <c r="F96" s="375"/>
      <c r="G96" s="375"/>
      <c r="H96" s="379" t="s">
        <v>216</v>
      </c>
      <c r="I96" s="397">
        <v>46</v>
      </c>
      <c r="J96" s="375" t="s">
        <v>48</v>
      </c>
      <c r="K96" s="384" t="s">
        <v>53</v>
      </c>
      <c r="L96" s="375"/>
      <c r="M96" s="375" t="s">
        <v>54</v>
      </c>
      <c r="N96" s="717">
        <v>64770</v>
      </c>
      <c r="O96" s="386">
        <v>64770</v>
      </c>
      <c r="P96" s="15" t="s">
        <v>217</v>
      </c>
      <c r="Q96" s="15" t="s">
        <v>51</v>
      </c>
      <c r="R96" s="364"/>
      <c r="S96" s="321"/>
      <c r="T96" s="321"/>
    </row>
    <row r="97" spans="1:20">
      <c r="A97" s="377">
        <v>96</v>
      </c>
      <c r="B97" s="15" t="s">
        <v>43</v>
      </c>
      <c r="C97" s="15" t="s">
        <v>44</v>
      </c>
      <c r="D97" s="15" t="s">
        <v>45</v>
      </c>
      <c r="E97" s="379" t="s">
        <v>218</v>
      </c>
      <c r="F97" s="375"/>
      <c r="G97" s="375"/>
      <c r="H97" s="379" t="s">
        <v>216</v>
      </c>
      <c r="I97" s="397">
        <v>34</v>
      </c>
      <c r="J97" s="373" t="s">
        <v>90</v>
      </c>
      <c r="K97" s="384" t="s">
        <v>53</v>
      </c>
      <c r="L97" s="375"/>
      <c r="M97" s="375" t="s">
        <v>54</v>
      </c>
      <c r="N97" s="714" t="s">
        <v>219</v>
      </c>
      <c r="O97" s="15" t="s">
        <v>219</v>
      </c>
      <c r="P97" s="15" t="s">
        <v>217</v>
      </c>
      <c r="Q97" s="15" t="s">
        <v>51</v>
      </c>
      <c r="R97" s="364"/>
      <c r="S97" s="321"/>
      <c r="T97" s="321"/>
    </row>
    <row r="98" spans="1:20">
      <c r="A98" s="377">
        <v>97</v>
      </c>
      <c r="B98" s="15" t="s">
        <v>43</v>
      </c>
      <c r="C98" s="15" t="s">
        <v>44</v>
      </c>
      <c r="D98" s="15" t="s">
        <v>45</v>
      </c>
      <c r="E98" s="379" t="s">
        <v>220</v>
      </c>
      <c r="F98" s="375"/>
      <c r="G98" s="375"/>
      <c r="H98" s="379" t="s">
        <v>221</v>
      </c>
      <c r="I98" s="397">
        <v>22</v>
      </c>
      <c r="J98" s="375" t="s">
        <v>48</v>
      </c>
      <c r="K98" s="384" t="s">
        <v>53</v>
      </c>
      <c r="L98" s="375"/>
      <c r="M98" s="375" t="s">
        <v>54</v>
      </c>
      <c r="N98" s="714" t="s">
        <v>219</v>
      </c>
      <c r="O98" s="15" t="s">
        <v>219</v>
      </c>
      <c r="P98" s="15" t="s">
        <v>217</v>
      </c>
      <c r="Q98" s="15" t="s">
        <v>51</v>
      </c>
      <c r="R98" s="364"/>
      <c r="S98" s="321"/>
      <c r="T98" s="321"/>
    </row>
    <row r="99" spans="1:20">
      <c r="A99" s="377">
        <v>98</v>
      </c>
      <c r="B99" s="15" t="s">
        <v>43</v>
      </c>
      <c r="C99" s="15" t="s">
        <v>44</v>
      </c>
      <c r="D99" s="15" t="s">
        <v>45</v>
      </c>
      <c r="E99" s="379" t="s">
        <v>222</v>
      </c>
      <c r="F99" s="375"/>
      <c r="G99" s="375"/>
      <c r="H99" s="379" t="s">
        <v>223</v>
      </c>
      <c r="I99" s="397">
        <v>31</v>
      </c>
      <c r="J99" s="375" t="s">
        <v>48</v>
      </c>
      <c r="K99" s="384" t="s">
        <v>53</v>
      </c>
      <c r="L99" s="375"/>
      <c r="M99" s="375" t="s">
        <v>54</v>
      </c>
      <c r="N99" s="714" t="s">
        <v>219</v>
      </c>
      <c r="O99" s="15" t="s">
        <v>219</v>
      </c>
      <c r="P99" s="15" t="s">
        <v>217</v>
      </c>
      <c r="Q99" s="15" t="s">
        <v>51</v>
      </c>
      <c r="R99" s="364"/>
      <c r="S99" s="321"/>
      <c r="T99" s="321"/>
    </row>
    <row r="100" spans="1:20">
      <c r="A100" s="377">
        <v>99</v>
      </c>
      <c r="B100" s="15" t="s">
        <v>43</v>
      </c>
      <c r="C100" s="15" t="s">
        <v>44</v>
      </c>
      <c r="D100" s="15" t="s">
        <v>45</v>
      </c>
      <c r="E100" s="379" t="s">
        <v>224</v>
      </c>
      <c r="F100" s="375"/>
      <c r="G100" s="375"/>
      <c r="H100" s="379" t="s">
        <v>225</v>
      </c>
      <c r="I100" s="397">
        <v>33</v>
      </c>
      <c r="J100" s="375" t="s">
        <v>48</v>
      </c>
      <c r="K100" s="384" t="s">
        <v>53</v>
      </c>
      <c r="L100" s="375"/>
      <c r="M100" s="375" t="s">
        <v>54</v>
      </c>
      <c r="N100" s="714" t="s">
        <v>219</v>
      </c>
      <c r="O100" s="15" t="s">
        <v>219</v>
      </c>
      <c r="P100" s="15" t="s">
        <v>217</v>
      </c>
      <c r="Q100" s="15" t="s">
        <v>51</v>
      </c>
      <c r="R100" s="364"/>
      <c r="S100" s="321"/>
      <c r="T100" s="321"/>
    </row>
    <row r="101" spans="1:20">
      <c r="A101" s="377">
        <v>100</v>
      </c>
      <c r="B101" s="15" t="s">
        <v>43</v>
      </c>
      <c r="C101" s="15" t="s">
        <v>44</v>
      </c>
      <c r="D101" s="15" t="s">
        <v>45</v>
      </c>
      <c r="E101" s="379" t="s">
        <v>226</v>
      </c>
      <c r="F101" s="375"/>
      <c r="G101" s="375"/>
      <c r="H101" s="379" t="s">
        <v>227</v>
      </c>
      <c r="I101" s="397">
        <v>35</v>
      </c>
      <c r="J101" s="375" t="s">
        <v>48</v>
      </c>
      <c r="K101" s="384" t="s">
        <v>53</v>
      </c>
      <c r="L101" s="375"/>
      <c r="M101" s="375" t="s">
        <v>54</v>
      </c>
      <c r="N101" s="714" t="s">
        <v>219</v>
      </c>
      <c r="O101" s="15" t="s">
        <v>219</v>
      </c>
      <c r="P101" s="15" t="s">
        <v>217</v>
      </c>
      <c r="Q101" s="15" t="s">
        <v>51</v>
      </c>
      <c r="R101" s="364"/>
      <c r="S101" s="321"/>
      <c r="T101" s="321"/>
    </row>
    <row r="102" spans="1:20">
      <c r="A102" s="377">
        <v>101</v>
      </c>
      <c r="B102" s="15" t="s">
        <v>43</v>
      </c>
      <c r="C102" s="15" t="s">
        <v>44</v>
      </c>
      <c r="D102" s="15" t="s">
        <v>45</v>
      </c>
      <c r="E102" s="379" t="s">
        <v>228</v>
      </c>
      <c r="F102" s="375"/>
      <c r="G102" s="375"/>
      <c r="H102" s="379" t="s">
        <v>216</v>
      </c>
      <c r="I102" s="397">
        <v>17</v>
      </c>
      <c r="J102" s="375" t="s">
        <v>48</v>
      </c>
      <c r="K102" s="384" t="s">
        <v>53</v>
      </c>
      <c r="L102" s="375"/>
      <c r="M102" s="375" t="s">
        <v>54</v>
      </c>
      <c r="N102" s="714" t="s">
        <v>219</v>
      </c>
      <c r="O102" s="15" t="s">
        <v>219</v>
      </c>
      <c r="P102" s="15" t="s">
        <v>217</v>
      </c>
      <c r="Q102" s="15" t="s">
        <v>51</v>
      </c>
      <c r="R102" s="364"/>
      <c r="S102" s="321"/>
      <c r="T102" s="321"/>
    </row>
    <row r="103" spans="1:20">
      <c r="A103" s="377">
        <v>102</v>
      </c>
      <c r="B103" s="15" t="s">
        <v>43</v>
      </c>
      <c r="C103" s="15" t="s">
        <v>44</v>
      </c>
      <c r="D103" s="15" t="s">
        <v>45</v>
      </c>
      <c r="E103" s="379" t="s">
        <v>229</v>
      </c>
      <c r="F103" s="375"/>
      <c r="G103" s="375"/>
      <c r="H103" s="379" t="s">
        <v>216</v>
      </c>
      <c r="I103" s="397">
        <v>17</v>
      </c>
      <c r="J103" s="375" t="s">
        <v>48</v>
      </c>
      <c r="K103" s="384" t="s">
        <v>53</v>
      </c>
      <c r="L103" s="375"/>
      <c r="M103" s="375" t="s">
        <v>54</v>
      </c>
      <c r="N103" s="714" t="s">
        <v>219</v>
      </c>
      <c r="O103" s="15" t="s">
        <v>219</v>
      </c>
      <c r="P103" s="15" t="s">
        <v>217</v>
      </c>
      <c r="Q103" s="15" t="s">
        <v>51</v>
      </c>
      <c r="R103" s="364"/>
      <c r="S103" s="321"/>
      <c r="T103" s="321"/>
    </row>
    <row r="104" spans="1:20">
      <c r="A104" s="377">
        <v>103</v>
      </c>
      <c r="B104" s="15" t="s">
        <v>43</v>
      </c>
      <c r="C104" s="15" t="s">
        <v>44</v>
      </c>
      <c r="D104" s="15" t="s">
        <v>45</v>
      </c>
      <c r="E104" s="379" t="s">
        <v>230</v>
      </c>
      <c r="F104" s="375"/>
      <c r="G104" s="375"/>
      <c r="H104" s="379" t="s">
        <v>216</v>
      </c>
      <c r="I104" s="397">
        <v>28</v>
      </c>
      <c r="J104" s="373" t="s">
        <v>90</v>
      </c>
      <c r="K104" s="384" t="s">
        <v>53</v>
      </c>
      <c r="L104" s="375"/>
      <c r="M104" s="375" t="s">
        <v>54</v>
      </c>
      <c r="N104" s="714" t="s">
        <v>219</v>
      </c>
      <c r="O104" s="15" t="s">
        <v>219</v>
      </c>
      <c r="P104" s="15" t="s">
        <v>217</v>
      </c>
      <c r="Q104" s="15" t="s">
        <v>51</v>
      </c>
      <c r="R104" s="364"/>
      <c r="S104" s="321"/>
      <c r="T104" s="321"/>
    </row>
    <row r="105" spans="1:20">
      <c r="A105" s="377">
        <v>104</v>
      </c>
      <c r="B105" s="15" t="s">
        <v>43</v>
      </c>
      <c r="C105" s="15" t="s">
        <v>44</v>
      </c>
      <c r="D105" s="15" t="s">
        <v>45</v>
      </c>
      <c r="E105" s="15" t="s">
        <v>231</v>
      </c>
      <c r="F105" s="375">
        <v>9858320527</v>
      </c>
      <c r="G105" s="375" t="s">
        <v>232</v>
      </c>
      <c r="H105" s="15" t="s">
        <v>118</v>
      </c>
      <c r="I105" s="375">
        <v>53</v>
      </c>
      <c r="J105" s="375" t="s">
        <v>48</v>
      </c>
      <c r="K105" s="384" t="s">
        <v>53</v>
      </c>
      <c r="L105" s="375"/>
      <c r="M105" s="375" t="s">
        <v>54</v>
      </c>
      <c r="N105" s="714" t="s">
        <v>233</v>
      </c>
      <c r="O105" s="15" t="s">
        <v>233</v>
      </c>
      <c r="P105" s="370" t="s">
        <v>234</v>
      </c>
      <c r="Q105" s="15" t="s">
        <v>51</v>
      </c>
      <c r="R105" s="364"/>
      <c r="S105" s="321"/>
      <c r="T105" s="321"/>
    </row>
    <row r="106" spans="1:20">
      <c r="A106" s="377">
        <v>105</v>
      </c>
      <c r="B106" s="15" t="s">
        <v>43</v>
      </c>
      <c r="C106" s="15" t="s">
        <v>44</v>
      </c>
      <c r="D106" s="15" t="s">
        <v>45</v>
      </c>
      <c r="E106" s="398" t="s">
        <v>235</v>
      </c>
      <c r="F106" s="399">
        <v>9809732186</v>
      </c>
      <c r="G106" s="375"/>
      <c r="H106" s="401" t="s">
        <v>47</v>
      </c>
      <c r="I106" s="399">
        <v>17</v>
      </c>
      <c r="J106" s="402" t="s">
        <v>90</v>
      </c>
      <c r="K106" s="384" t="s">
        <v>53</v>
      </c>
      <c r="L106" s="375"/>
      <c r="M106" s="375" t="s">
        <v>54</v>
      </c>
      <c r="N106" s="714" t="s">
        <v>236</v>
      </c>
      <c r="O106" s="15" t="s">
        <v>236</v>
      </c>
      <c r="P106" s="370" t="s">
        <v>237</v>
      </c>
      <c r="Q106" s="15" t="s">
        <v>51</v>
      </c>
      <c r="R106" s="364"/>
      <c r="S106" s="321"/>
      <c r="T106" s="321"/>
    </row>
    <row r="107" spans="1:20">
      <c r="A107" s="377">
        <v>106</v>
      </c>
      <c r="B107" s="15" t="s">
        <v>43</v>
      </c>
      <c r="C107" s="15" t="s">
        <v>44</v>
      </c>
      <c r="D107" s="15" t="s">
        <v>45</v>
      </c>
      <c r="E107" s="398" t="s">
        <v>238</v>
      </c>
      <c r="F107" s="399">
        <v>9847885213</v>
      </c>
      <c r="G107" s="403"/>
      <c r="H107" s="401" t="s">
        <v>47</v>
      </c>
      <c r="I107" s="399">
        <v>57</v>
      </c>
      <c r="J107" s="399" t="s">
        <v>48</v>
      </c>
      <c r="K107" s="384" t="s">
        <v>53</v>
      </c>
      <c r="L107" s="403"/>
      <c r="M107" s="375" t="s">
        <v>54</v>
      </c>
      <c r="N107" s="714" t="s">
        <v>236</v>
      </c>
      <c r="O107" s="15" t="s">
        <v>236</v>
      </c>
      <c r="P107" s="370" t="s">
        <v>237</v>
      </c>
      <c r="Q107" s="15" t="s">
        <v>51</v>
      </c>
      <c r="R107" s="364"/>
      <c r="S107" s="321"/>
      <c r="T107" s="321"/>
    </row>
    <row r="108" spans="1:20">
      <c r="A108" s="377">
        <v>107</v>
      </c>
      <c r="B108" s="15" t="s">
        <v>43</v>
      </c>
      <c r="C108" s="15" t="s">
        <v>44</v>
      </c>
      <c r="D108" s="15" t="s">
        <v>45</v>
      </c>
      <c r="E108" s="398" t="s">
        <v>239</v>
      </c>
      <c r="F108" s="399">
        <v>9847946810</v>
      </c>
      <c r="G108" s="375"/>
      <c r="H108" s="401" t="s">
        <v>47</v>
      </c>
      <c r="I108" s="399">
        <v>41</v>
      </c>
      <c r="J108" s="399" t="s">
        <v>48</v>
      </c>
      <c r="K108" s="384" t="s">
        <v>53</v>
      </c>
      <c r="L108" s="375"/>
      <c r="M108" s="375" t="s">
        <v>54</v>
      </c>
      <c r="N108" s="714" t="s">
        <v>236</v>
      </c>
      <c r="O108" s="15" t="s">
        <v>236</v>
      </c>
      <c r="P108" s="370" t="s">
        <v>237</v>
      </c>
      <c r="Q108" s="15" t="s">
        <v>51</v>
      </c>
      <c r="R108" s="364"/>
      <c r="S108" s="321"/>
      <c r="T108" s="321"/>
    </row>
    <row r="109" spans="1:20">
      <c r="A109" s="377">
        <v>108</v>
      </c>
      <c r="B109" s="15" t="s">
        <v>43</v>
      </c>
      <c r="C109" s="15" t="s">
        <v>44</v>
      </c>
      <c r="D109" s="15" t="s">
        <v>45</v>
      </c>
      <c r="E109" s="398" t="s">
        <v>240</v>
      </c>
      <c r="F109" s="384"/>
      <c r="G109" s="946" t="s">
        <v>241</v>
      </c>
      <c r="H109" s="404" t="s">
        <v>118</v>
      </c>
      <c r="I109" s="399">
        <v>36</v>
      </c>
      <c r="J109" s="399" t="s">
        <v>48</v>
      </c>
      <c r="K109" s="384" t="s">
        <v>53</v>
      </c>
      <c r="L109" s="403"/>
      <c r="M109" s="375" t="s">
        <v>54</v>
      </c>
      <c r="N109" s="714" t="s">
        <v>236</v>
      </c>
      <c r="O109" s="15" t="s">
        <v>236</v>
      </c>
      <c r="P109" s="370" t="s">
        <v>237</v>
      </c>
      <c r="Q109" s="15" t="s">
        <v>51</v>
      </c>
      <c r="R109" s="364"/>
      <c r="S109" s="321"/>
      <c r="T109" s="321"/>
    </row>
    <row r="110" spans="1:20">
      <c r="A110" s="377">
        <v>109</v>
      </c>
      <c r="B110" s="15" t="s">
        <v>43</v>
      </c>
      <c r="C110" s="15" t="s">
        <v>44</v>
      </c>
      <c r="D110" s="15" t="s">
        <v>45</v>
      </c>
      <c r="E110" s="398" t="s">
        <v>242</v>
      </c>
      <c r="F110" s="384"/>
      <c r="G110" s="375"/>
      <c r="H110" s="401" t="s">
        <v>243</v>
      </c>
      <c r="I110" s="399">
        <v>25</v>
      </c>
      <c r="J110" s="399" t="s">
        <v>48</v>
      </c>
      <c r="K110" s="384" t="s">
        <v>53</v>
      </c>
      <c r="L110" s="375"/>
      <c r="M110" s="375" t="s">
        <v>54</v>
      </c>
      <c r="N110" s="714" t="s">
        <v>236</v>
      </c>
      <c r="O110" s="15" t="s">
        <v>236</v>
      </c>
      <c r="P110" s="370" t="s">
        <v>237</v>
      </c>
      <c r="Q110" s="15" t="s">
        <v>51</v>
      </c>
      <c r="R110" s="364"/>
      <c r="S110" s="321"/>
      <c r="T110" s="321"/>
    </row>
    <row r="111" spans="1:20">
      <c r="A111" s="377">
        <v>110</v>
      </c>
      <c r="B111" s="15" t="s">
        <v>43</v>
      </c>
      <c r="C111" s="15" t="s">
        <v>44</v>
      </c>
      <c r="D111" s="15" t="s">
        <v>45</v>
      </c>
      <c r="E111" s="398" t="s">
        <v>244</v>
      </c>
      <c r="F111" s="384"/>
      <c r="G111" s="403"/>
      <c r="H111" s="404" t="s">
        <v>118</v>
      </c>
      <c r="I111" s="399">
        <v>62</v>
      </c>
      <c r="J111" s="402" t="s">
        <v>90</v>
      </c>
      <c r="K111" s="384" t="s">
        <v>53</v>
      </c>
      <c r="L111" s="403"/>
      <c r="M111" s="375" t="s">
        <v>54</v>
      </c>
      <c r="N111" s="714" t="s">
        <v>236</v>
      </c>
      <c r="O111" s="15" t="s">
        <v>236</v>
      </c>
      <c r="P111" s="370" t="s">
        <v>237</v>
      </c>
      <c r="Q111" s="15" t="s">
        <v>51</v>
      </c>
      <c r="R111" s="364"/>
      <c r="S111" s="321"/>
      <c r="T111" s="321"/>
    </row>
    <row r="112" spans="1:20">
      <c r="A112" s="377">
        <v>111</v>
      </c>
      <c r="B112" s="15" t="s">
        <v>43</v>
      </c>
      <c r="C112" s="15" t="s">
        <v>44</v>
      </c>
      <c r="D112" s="15" t="s">
        <v>45</v>
      </c>
      <c r="E112" s="398" t="s">
        <v>245</v>
      </c>
      <c r="F112" s="384"/>
      <c r="G112" s="947" t="s">
        <v>246</v>
      </c>
      <c r="H112" s="401" t="s">
        <v>118</v>
      </c>
      <c r="I112" s="399">
        <v>41</v>
      </c>
      <c r="J112" s="399" t="s">
        <v>48</v>
      </c>
      <c r="K112" s="384" t="s">
        <v>53</v>
      </c>
      <c r="L112" s="375"/>
      <c r="M112" s="375" t="s">
        <v>54</v>
      </c>
      <c r="N112" s="714" t="s">
        <v>236</v>
      </c>
      <c r="O112" s="15" t="s">
        <v>236</v>
      </c>
      <c r="P112" s="370" t="s">
        <v>237</v>
      </c>
      <c r="Q112" s="15" t="s">
        <v>51</v>
      </c>
      <c r="R112" s="364"/>
      <c r="S112" s="321"/>
      <c r="T112" s="321"/>
    </row>
    <row r="113" spans="1:20">
      <c r="A113" s="377">
        <v>112</v>
      </c>
      <c r="B113" s="15" t="s">
        <v>43</v>
      </c>
      <c r="C113" s="15" t="s">
        <v>44</v>
      </c>
      <c r="D113" s="15" t="s">
        <v>45</v>
      </c>
      <c r="E113" s="398" t="s">
        <v>247</v>
      </c>
      <c r="F113" s="399">
        <v>5</v>
      </c>
      <c r="G113" s="391" t="s">
        <v>248</v>
      </c>
      <c r="H113" s="15"/>
      <c r="I113" s="399">
        <v>37</v>
      </c>
      <c r="J113" s="399" t="s">
        <v>48</v>
      </c>
      <c r="K113" s="384" t="s">
        <v>53</v>
      </c>
      <c r="L113" s="375"/>
      <c r="M113" s="375" t="s">
        <v>119</v>
      </c>
      <c r="N113" s="714" t="s">
        <v>217</v>
      </c>
      <c r="O113" s="15" t="s">
        <v>217</v>
      </c>
      <c r="P113" s="370" t="s">
        <v>249</v>
      </c>
      <c r="Q113" s="15" t="s">
        <v>51</v>
      </c>
      <c r="R113" s="364"/>
      <c r="S113" s="321"/>
      <c r="T113" s="321"/>
    </row>
    <row r="114" spans="1:20">
      <c r="A114" s="377">
        <v>113</v>
      </c>
      <c r="B114" s="15" t="s">
        <v>43</v>
      </c>
      <c r="C114" s="15" t="s">
        <v>44</v>
      </c>
      <c r="D114" s="15" t="s">
        <v>45</v>
      </c>
      <c r="E114" s="398" t="s">
        <v>250</v>
      </c>
      <c r="F114" s="399">
        <v>9</v>
      </c>
      <c r="G114" s="375" t="s">
        <v>241</v>
      </c>
      <c r="H114" s="15"/>
      <c r="I114" s="399">
        <v>56</v>
      </c>
      <c r="J114" s="402" t="s">
        <v>90</v>
      </c>
      <c r="K114" s="384" t="s">
        <v>53</v>
      </c>
      <c r="L114" s="375"/>
      <c r="M114" s="375" t="s">
        <v>119</v>
      </c>
      <c r="N114" s="714" t="s">
        <v>217</v>
      </c>
      <c r="O114" s="15" t="s">
        <v>217</v>
      </c>
      <c r="P114" s="370" t="s">
        <v>249</v>
      </c>
      <c r="Q114" s="15" t="s">
        <v>51</v>
      </c>
      <c r="R114" s="364"/>
      <c r="S114" s="321"/>
      <c r="T114" s="321"/>
    </row>
    <row r="115" spans="1:20">
      <c r="A115" s="377">
        <v>114</v>
      </c>
      <c r="B115" s="15" t="s">
        <v>43</v>
      </c>
      <c r="C115" s="15" t="s">
        <v>44</v>
      </c>
      <c r="D115" s="15" t="s">
        <v>45</v>
      </c>
      <c r="E115" s="398" t="s">
        <v>251</v>
      </c>
      <c r="F115" s="399">
        <v>6</v>
      </c>
      <c r="G115" s="375" t="s">
        <v>169</v>
      </c>
      <c r="H115" s="15"/>
      <c r="I115" s="399">
        <v>41</v>
      </c>
      <c r="J115" s="402" t="s">
        <v>90</v>
      </c>
      <c r="K115" s="384" t="s">
        <v>53</v>
      </c>
      <c r="L115" s="375"/>
      <c r="M115" s="375" t="s">
        <v>119</v>
      </c>
      <c r="N115" s="714" t="s">
        <v>217</v>
      </c>
      <c r="O115" s="15" t="s">
        <v>217</v>
      </c>
      <c r="P115" s="370" t="s">
        <v>249</v>
      </c>
      <c r="Q115" s="15" t="s">
        <v>51</v>
      </c>
      <c r="R115" s="364"/>
      <c r="S115" s="321"/>
      <c r="T115" s="321"/>
    </row>
    <row r="116" spans="1:20">
      <c r="A116" s="377">
        <v>115</v>
      </c>
      <c r="B116" s="15" t="s">
        <v>43</v>
      </c>
      <c r="C116" s="15" t="s">
        <v>44</v>
      </c>
      <c r="D116" s="15" t="s">
        <v>45</v>
      </c>
      <c r="E116" s="398" t="s">
        <v>252</v>
      </c>
      <c r="F116" s="399" t="s">
        <v>253</v>
      </c>
      <c r="G116" s="375" t="s">
        <v>232</v>
      </c>
      <c r="H116" s="15"/>
      <c r="I116" s="399">
        <v>35</v>
      </c>
      <c r="J116" s="402" t="s">
        <v>90</v>
      </c>
      <c r="K116" s="384" t="s">
        <v>53</v>
      </c>
      <c r="L116" s="375"/>
      <c r="M116" s="375" t="s">
        <v>54</v>
      </c>
      <c r="N116" s="714" t="s">
        <v>217</v>
      </c>
      <c r="O116" s="15" t="s">
        <v>217</v>
      </c>
      <c r="P116" s="370" t="s">
        <v>254</v>
      </c>
      <c r="Q116" s="15" t="s">
        <v>51</v>
      </c>
      <c r="R116" s="364"/>
      <c r="S116" s="321"/>
      <c r="T116" s="321"/>
    </row>
    <row r="117" spans="1:20">
      <c r="A117" s="377">
        <v>116</v>
      </c>
      <c r="B117" s="15" t="s">
        <v>43</v>
      </c>
      <c r="C117" s="15" t="s">
        <v>44</v>
      </c>
      <c r="D117" s="15" t="s">
        <v>45</v>
      </c>
      <c r="E117" s="398" t="s">
        <v>255</v>
      </c>
      <c r="F117" s="399">
        <v>12</v>
      </c>
      <c r="G117" s="375" t="s">
        <v>241</v>
      </c>
      <c r="H117" s="15"/>
      <c r="I117" s="399">
        <v>32</v>
      </c>
      <c r="J117" s="399" t="s">
        <v>48</v>
      </c>
      <c r="K117" s="384" t="s">
        <v>53</v>
      </c>
      <c r="L117" s="375"/>
      <c r="M117" s="375" t="s">
        <v>119</v>
      </c>
      <c r="N117" s="714" t="s">
        <v>217</v>
      </c>
      <c r="O117" s="15" t="s">
        <v>217</v>
      </c>
      <c r="P117" s="370" t="s">
        <v>249</v>
      </c>
      <c r="Q117" s="15" t="s">
        <v>51</v>
      </c>
      <c r="R117" s="364"/>
      <c r="S117" s="321"/>
      <c r="T117" s="321"/>
    </row>
    <row r="118" spans="1:20">
      <c r="A118" s="377">
        <v>117</v>
      </c>
      <c r="B118" s="15" t="s">
        <v>43</v>
      </c>
      <c r="C118" s="15" t="s">
        <v>44</v>
      </c>
      <c r="D118" s="15" t="s">
        <v>45</v>
      </c>
      <c r="E118" s="398" t="s">
        <v>256</v>
      </c>
      <c r="F118" s="399" t="s">
        <v>257</v>
      </c>
      <c r="G118" s="375" t="s">
        <v>232</v>
      </c>
      <c r="H118" s="15"/>
      <c r="I118" s="399">
        <v>35</v>
      </c>
      <c r="J118" s="402" t="s">
        <v>90</v>
      </c>
      <c r="K118" s="384" t="s">
        <v>53</v>
      </c>
      <c r="L118" s="375"/>
      <c r="M118" s="375" t="s">
        <v>54</v>
      </c>
      <c r="N118" s="714" t="s">
        <v>217</v>
      </c>
      <c r="O118" s="15" t="s">
        <v>217</v>
      </c>
      <c r="P118" s="370" t="s">
        <v>254</v>
      </c>
      <c r="Q118" s="15" t="s">
        <v>51</v>
      </c>
      <c r="R118" s="364"/>
      <c r="S118" s="321"/>
      <c r="T118" s="321"/>
    </row>
    <row r="119" spans="1:20">
      <c r="A119" s="377">
        <v>118</v>
      </c>
      <c r="B119" s="15" t="s">
        <v>43</v>
      </c>
      <c r="C119" s="15" t="s">
        <v>44</v>
      </c>
      <c r="D119" s="15" t="s">
        <v>45</v>
      </c>
      <c r="E119" s="398" t="s">
        <v>258</v>
      </c>
      <c r="F119" s="399">
        <v>17</v>
      </c>
      <c r="G119" s="375" t="s">
        <v>232</v>
      </c>
      <c r="H119" s="15"/>
      <c r="I119" s="399">
        <v>30</v>
      </c>
      <c r="J119" s="402" t="s">
        <v>90</v>
      </c>
      <c r="K119" s="384" t="s">
        <v>53</v>
      </c>
      <c r="L119" s="375"/>
      <c r="M119" s="375" t="s">
        <v>54</v>
      </c>
      <c r="N119" s="714" t="s">
        <v>217</v>
      </c>
      <c r="O119" s="15" t="s">
        <v>217</v>
      </c>
      <c r="P119" s="370" t="s">
        <v>259</v>
      </c>
      <c r="Q119" s="15" t="s">
        <v>51</v>
      </c>
      <c r="R119" s="364"/>
      <c r="S119" s="321"/>
      <c r="T119" s="321"/>
    </row>
    <row r="120" spans="1:20">
      <c r="A120" s="377">
        <v>119</v>
      </c>
      <c r="B120" s="15" t="s">
        <v>43</v>
      </c>
      <c r="C120" s="15" t="s">
        <v>44</v>
      </c>
      <c r="D120" s="15" t="s">
        <v>45</v>
      </c>
      <c r="E120" s="398" t="s">
        <v>260</v>
      </c>
      <c r="F120" s="399">
        <v>6</v>
      </c>
      <c r="G120" s="375" t="s">
        <v>248</v>
      </c>
      <c r="H120" s="15"/>
      <c r="I120" s="399">
        <v>26</v>
      </c>
      <c r="J120" s="399" t="s">
        <v>48</v>
      </c>
      <c r="K120" s="384" t="s">
        <v>53</v>
      </c>
      <c r="L120" s="375"/>
      <c r="M120" s="375" t="s">
        <v>119</v>
      </c>
      <c r="N120" s="714" t="s">
        <v>217</v>
      </c>
      <c r="O120" s="15" t="s">
        <v>217</v>
      </c>
      <c r="P120" s="370" t="s">
        <v>249</v>
      </c>
      <c r="Q120" s="15" t="s">
        <v>51</v>
      </c>
      <c r="R120" s="364"/>
      <c r="S120" s="321"/>
      <c r="T120" s="321"/>
    </row>
    <row r="121" spans="1:20">
      <c r="A121" s="377">
        <v>120</v>
      </c>
      <c r="B121" s="15" t="s">
        <v>43</v>
      </c>
      <c r="C121" s="405" t="s">
        <v>44</v>
      </c>
      <c r="D121" s="405" t="s">
        <v>45</v>
      </c>
      <c r="E121" s="401" t="s">
        <v>261</v>
      </c>
      <c r="F121" s="384"/>
      <c r="G121" s="384"/>
      <c r="H121" s="405"/>
      <c r="I121" s="947">
        <v>47</v>
      </c>
      <c r="J121" s="384" t="s">
        <v>48</v>
      </c>
      <c r="K121" s="384" t="s">
        <v>53</v>
      </c>
      <c r="L121" s="384"/>
      <c r="M121" s="384" t="s">
        <v>262</v>
      </c>
      <c r="N121" s="714" t="s">
        <v>234</v>
      </c>
      <c r="O121" s="405" t="s">
        <v>234</v>
      </c>
      <c r="P121" s="370" t="s">
        <v>259</v>
      </c>
      <c r="Q121" s="15" t="s">
        <v>51</v>
      </c>
      <c r="R121" s="365"/>
      <c r="S121" s="321"/>
      <c r="T121" s="321"/>
    </row>
    <row r="122" spans="1:20">
      <c r="A122" s="377">
        <v>121</v>
      </c>
      <c r="B122" s="15" t="s">
        <v>43</v>
      </c>
      <c r="C122" s="405" t="s">
        <v>44</v>
      </c>
      <c r="D122" s="405" t="s">
        <v>45</v>
      </c>
      <c r="E122" s="398" t="s">
        <v>263</v>
      </c>
      <c r="F122" s="399" t="s">
        <v>264</v>
      </c>
      <c r="G122" s="384"/>
      <c r="H122" s="405"/>
      <c r="I122" s="399">
        <v>39</v>
      </c>
      <c r="J122" s="402" t="s">
        <v>90</v>
      </c>
      <c r="K122" s="384" t="s">
        <v>53</v>
      </c>
      <c r="L122" s="384"/>
      <c r="M122" s="375" t="s">
        <v>119</v>
      </c>
      <c r="N122" s="714" t="s">
        <v>265</v>
      </c>
      <c r="O122" s="405" t="s">
        <v>265</v>
      </c>
      <c r="P122" s="406" t="s">
        <v>266</v>
      </c>
      <c r="Q122" s="405" t="s">
        <v>51</v>
      </c>
      <c r="R122" s="365"/>
      <c r="S122" s="321"/>
      <c r="T122" s="321"/>
    </row>
    <row r="123" spans="1:20">
      <c r="A123" s="377">
        <v>122</v>
      </c>
      <c r="B123" s="15" t="s">
        <v>43</v>
      </c>
      <c r="C123" s="405" t="s">
        <v>44</v>
      </c>
      <c r="D123" s="405" t="s">
        <v>45</v>
      </c>
      <c r="E123" s="405" t="s">
        <v>267</v>
      </c>
      <c r="F123" s="384" t="s">
        <v>264</v>
      </c>
      <c r="G123" s="384" t="s">
        <v>232</v>
      </c>
      <c r="H123" s="405"/>
      <c r="I123" s="384">
        <v>34</v>
      </c>
      <c r="J123" s="399" t="s">
        <v>48</v>
      </c>
      <c r="K123" s="384" t="s">
        <v>53</v>
      </c>
      <c r="L123" s="384"/>
      <c r="M123" s="375" t="s">
        <v>54</v>
      </c>
      <c r="N123" s="714" t="s">
        <v>265</v>
      </c>
      <c r="O123" s="405" t="s">
        <v>265</v>
      </c>
      <c r="P123" s="406" t="s">
        <v>266</v>
      </c>
      <c r="Q123" s="405" t="s">
        <v>51</v>
      </c>
      <c r="R123" s="365"/>
      <c r="S123" s="321"/>
      <c r="T123" s="321"/>
    </row>
    <row r="124" spans="1:20">
      <c r="A124" s="377">
        <v>123</v>
      </c>
      <c r="B124" s="15" t="s">
        <v>43</v>
      </c>
      <c r="C124" s="405" t="s">
        <v>44</v>
      </c>
      <c r="D124" s="405" t="s">
        <v>45</v>
      </c>
      <c r="E124" s="405" t="s">
        <v>268</v>
      </c>
      <c r="F124" s="384">
        <v>9822836859</v>
      </c>
      <c r="G124" s="384" t="s">
        <v>269</v>
      </c>
      <c r="H124" s="405"/>
      <c r="I124" s="384">
        <v>65</v>
      </c>
      <c r="J124" s="402" t="s">
        <v>90</v>
      </c>
      <c r="K124" s="384" t="s">
        <v>53</v>
      </c>
      <c r="L124" s="384"/>
      <c r="M124" s="375" t="s">
        <v>54</v>
      </c>
      <c r="N124" s="714" t="s">
        <v>270</v>
      </c>
      <c r="O124" s="405" t="s">
        <v>265</v>
      </c>
      <c r="P124" s="406" t="s">
        <v>259</v>
      </c>
      <c r="Q124" s="405" t="s">
        <v>51</v>
      </c>
      <c r="R124" s="365"/>
      <c r="S124" s="321"/>
      <c r="T124" s="321"/>
    </row>
    <row r="125" spans="1:20">
      <c r="A125" s="377">
        <v>124</v>
      </c>
      <c r="B125" s="15" t="s">
        <v>43</v>
      </c>
      <c r="C125" s="405" t="s">
        <v>44</v>
      </c>
      <c r="D125" s="405" t="s">
        <v>45</v>
      </c>
      <c r="E125" s="405" t="s">
        <v>271</v>
      </c>
      <c r="F125" s="384" t="s">
        <v>272</v>
      </c>
      <c r="G125" s="384" t="s">
        <v>273</v>
      </c>
      <c r="H125" s="405"/>
      <c r="I125" s="384">
        <v>40</v>
      </c>
      <c r="J125" s="402" t="s">
        <v>90</v>
      </c>
      <c r="K125" s="384" t="s">
        <v>53</v>
      </c>
      <c r="L125" s="384"/>
      <c r="M125" s="375" t="s">
        <v>54</v>
      </c>
      <c r="N125" s="714" t="s">
        <v>265</v>
      </c>
      <c r="O125" s="405" t="s">
        <v>274</v>
      </c>
      <c r="P125" s="406" t="s">
        <v>259</v>
      </c>
      <c r="Q125" s="405" t="s">
        <v>51</v>
      </c>
      <c r="R125" s="365"/>
      <c r="S125" s="321"/>
      <c r="T125" s="321"/>
    </row>
    <row r="126" spans="1:20">
      <c r="A126" s="377">
        <v>125</v>
      </c>
      <c r="B126" s="15" t="s">
        <v>43</v>
      </c>
      <c r="C126" s="405" t="s">
        <v>44</v>
      </c>
      <c r="D126" s="405" t="s">
        <v>45</v>
      </c>
      <c r="E126" s="405" t="s">
        <v>275</v>
      </c>
      <c r="F126" s="384" t="s">
        <v>272</v>
      </c>
      <c r="G126" s="384" t="s">
        <v>169</v>
      </c>
      <c r="H126" s="405"/>
      <c r="I126" s="384">
        <v>28</v>
      </c>
      <c r="J126" s="402" t="s">
        <v>90</v>
      </c>
      <c r="K126" s="384" t="s">
        <v>53</v>
      </c>
      <c r="L126" s="384"/>
      <c r="M126" s="375" t="s">
        <v>119</v>
      </c>
      <c r="N126" s="714" t="s">
        <v>265</v>
      </c>
      <c r="O126" s="405" t="s">
        <v>265</v>
      </c>
      <c r="P126" s="406" t="s">
        <v>266</v>
      </c>
      <c r="Q126" s="405" t="s">
        <v>51</v>
      </c>
      <c r="R126" s="365"/>
      <c r="S126" s="321"/>
      <c r="T126" s="321"/>
    </row>
    <row r="127" spans="1:20">
      <c r="A127" s="377">
        <v>126</v>
      </c>
      <c r="B127" s="15" t="s">
        <v>43</v>
      </c>
      <c r="C127" s="405" t="s">
        <v>44</v>
      </c>
      <c r="D127" s="405" t="s">
        <v>45</v>
      </c>
      <c r="E127" s="405" t="s">
        <v>276</v>
      </c>
      <c r="F127" s="384" t="s">
        <v>272</v>
      </c>
      <c r="G127" s="384" t="s">
        <v>273</v>
      </c>
      <c r="H127" s="405"/>
      <c r="I127" s="384">
        <v>39</v>
      </c>
      <c r="J127" s="402" t="s">
        <v>90</v>
      </c>
      <c r="K127" s="384" t="s">
        <v>53</v>
      </c>
      <c r="L127" s="384"/>
      <c r="M127" s="375" t="s">
        <v>54</v>
      </c>
      <c r="N127" s="714" t="s">
        <v>265</v>
      </c>
      <c r="O127" s="405" t="s">
        <v>274</v>
      </c>
      <c r="P127" s="406" t="s">
        <v>259</v>
      </c>
      <c r="Q127" s="405" t="s">
        <v>51</v>
      </c>
      <c r="R127" s="365"/>
      <c r="S127" s="321"/>
      <c r="T127" s="321"/>
    </row>
    <row r="128" spans="1:20">
      <c r="A128" s="377">
        <v>127</v>
      </c>
      <c r="B128" s="15" t="s">
        <v>43</v>
      </c>
      <c r="C128" s="405" t="s">
        <v>44</v>
      </c>
      <c r="D128" s="405" t="s">
        <v>45</v>
      </c>
      <c r="E128" s="405" t="s">
        <v>277</v>
      </c>
      <c r="F128" s="384" t="s">
        <v>278</v>
      </c>
      <c r="G128" s="384"/>
      <c r="H128" s="405"/>
      <c r="I128" s="384">
        <v>60</v>
      </c>
      <c r="J128" s="402" t="s">
        <v>90</v>
      </c>
      <c r="K128" s="384" t="s">
        <v>53</v>
      </c>
      <c r="L128" s="384"/>
      <c r="M128" s="384" t="s">
        <v>262</v>
      </c>
      <c r="N128" s="714" t="s">
        <v>265</v>
      </c>
      <c r="O128" s="405" t="s">
        <v>265</v>
      </c>
      <c r="P128" s="406" t="s">
        <v>266</v>
      </c>
      <c r="Q128" s="405" t="s">
        <v>51</v>
      </c>
      <c r="R128" s="365"/>
      <c r="S128" s="321"/>
      <c r="T128" s="321"/>
    </row>
    <row r="129" spans="1:20">
      <c r="A129" s="377">
        <v>128</v>
      </c>
      <c r="B129" s="15" t="s">
        <v>43</v>
      </c>
      <c r="C129" s="405" t="s">
        <v>44</v>
      </c>
      <c r="D129" s="405" t="s">
        <v>45</v>
      </c>
      <c r="E129" s="405" t="s">
        <v>279</v>
      </c>
      <c r="F129" s="399">
        <v>6</v>
      </c>
      <c r="G129" s="384"/>
      <c r="H129" s="405"/>
      <c r="I129" s="384">
        <v>32</v>
      </c>
      <c r="J129" s="399" t="s">
        <v>48</v>
      </c>
      <c r="K129" s="384" t="s">
        <v>53</v>
      </c>
      <c r="L129" s="384"/>
      <c r="M129" s="384" t="s">
        <v>280</v>
      </c>
      <c r="N129" s="714" t="s">
        <v>281</v>
      </c>
      <c r="O129" s="405" t="s">
        <v>281</v>
      </c>
      <c r="P129" s="407">
        <v>64804</v>
      </c>
      <c r="Q129" s="405" t="s">
        <v>51</v>
      </c>
      <c r="R129" s="365"/>
      <c r="S129" s="321"/>
      <c r="T129" s="321"/>
    </row>
    <row r="130" spans="1:20">
      <c r="A130" s="377">
        <v>129</v>
      </c>
      <c r="B130" s="15" t="s">
        <v>43</v>
      </c>
      <c r="C130" s="405" t="s">
        <v>44</v>
      </c>
      <c r="D130" s="405" t="s">
        <v>45</v>
      </c>
      <c r="E130" s="405" t="s">
        <v>282</v>
      </c>
      <c r="F130" s="399">
        <v>6</v>
      </c>
      <c r="G130" s="384"/>
      <c r="H130" s="405"/>
      <c r="I130" s="384">
        <v>35</v>
      </c>
      <c r="J130" s="399" t="s">
        <v>48</v>
      </c>
      <c r="K130" s="384" t="s">
        <v>53</v>
      </c>
      <c r="L130" s="384"/>
      <c r="M130" s="384" t="s">
        <v>280</v>
      </c>
      <c r="N130" s="714" t="s">
        <v>281</v>
      </c>
      <c r="O130" s="405" t="s">
        <v>281</v>
      </c>
      <c r="P130" s="407">
        <v>64804</v>
      </c>
      <c r="Q130" s="405" t="s">
        <v>51</v>
      </c>
      <c r="R130" s="365"/>
      <c r="S130" s="321"/>
      <c r="T130" s="321"/>
    </row>
    <row r="131" spans="1:20">
      <c r="A131" s="377">
        <v>130</v>
      </c>
      <c r="B131" s="15" t="s">
        <v>43</v>
      </c>
      <c r="C131" s="405" t="s">
        <v>44</v>
      </c>
      <c r="D131" s="405" t="s">
        <v>45</v>
      </c>
      <c r="E131" s="405" t="s">
        <v>283</v>
      </c>
      <c r="F131" s="399">
        <v>5</v>
      </c>
      <c r="G131" s="384"/>
      <c r="H131" s="405"/>
      <c r="I131" s="384">
        <v>27</v>
      </c>
      <c r="J131" s="399" t="s">
        <v>48</v>
      </c>
      <c r="K131" s="384" t="s">
        <v>53</v>
      </c>
      <c r="L131" s="384"/>
      <c r="M131" s="384" t="s">
        <v>284</v>
      </c>
      <c r="N131" s="714" t="s">
        <v>281</v>
      </c>
      <c r="O131" s="405" t="s">
        <v>281</v>
      </c>
      <c r="P131" s="407">
        <v>64804</v>
      </c>
      <c r="Q131" s="405" t="s">
        <v>51</v>
      </c>
      <c r="R131" s="365"/>
      <c r="S131" s="321"/>
      <c r="T131" s="321"/>
    </row>
    <row r="132" spans="1:20">
      <c r="A132" s="377">
        <v>131</v>
      </c>
      <c r="B132" s="15" t="s">
        <v>43</v>
      </c>
      <c r="C132" s="405" t="s">
        <v>44</v>
      </c>
      <c r="D132" s="405" t="s">
        <v>45</v>
      </c>
      <c r="E132" s="405" t="s">
        <v>285</v>
      </c>
      <c r="F132" s="399" t="s">
        <v>286</v>
      </c>
      <c r="G132" s="384"/>
      <c r="H132" s="405"/>
      <c r="I132" s="384">
        <v>15</v>
      </c>
      <c r="J132" s="399" t="s">
        <v>48</v>
      </c>
      <c r="K132" s="384" t="s">
        <v>53</v>
      </c>
      <c r="L132" s="384"/>
      <c r="M132" s="375" t="s">
        <v>54</v>
      </c>
      <c r="N132" s="714" t="s">
        <v>281</v>
      </c>
      <c r="O132" s="405" t="s">
        <v>281</v>
      </c>
      <c r="P132" s="407">
        <v>64802</v>
      </c>
      <c r="Q132" s="405" t="s">
        <v>51</v>
      </c>
      <c r="R132" s="365"/>
      <c r="S132" s="321"/>
      <c r="T132" s="321"/>
    </row>
    <row r="133" spans="1:20">
      <c r="A133" s="377">
        <v>132</v>
      </c>
      <c r="B133" s="15" t="s">
        <v>43</v>
      </c>
      <c r="C133" s="405" t="s">
        <v>44</v>
      </c>
      <c r="D133" s="405" t="s">
        <v>45</v>
      </c>
      <c r="E133" s="405" t="s">
        <v>287</v>
      </c>
      <c r="F133" s="399" t="s">
        <v>288</v>
      </c>
      <c r="G133" s="384"/>
      <c r="H133" s="405"/>
      <c r="I133" s="384">
        <v>17</v>
      </c>
      <c r="J133" s="402" t="s">
        <v>90</v>
      </c>
      <c r="K133" s="384" t="s">
        <v>53</v>
      </c>
      <c r="L133" s="384"/>
      <c r="M133" s="375" t="s">
        <v>54</v>
      </c>
      <c r="N133" s="714" t="s">
        <v>281</v>
      </c>
      <c r="O133" s="405" t="s">
        <v>281</v>
      </c>
      <c r="P133" s="407">
        <v>64802</v>
      </c>
      <c r="Q133" s="405" t="s">
        <v>51</v>
      </c>
      <c r="R133" s="365"/>
      <c r="S133" s="321"/>
      <c r="T133" s="321"/>
    </row>
    <row r="134" spans="1:20">
      <c r="A134" s="377">
        <v>133</v>
      </c>
      <c r="B134" s="15" t="s">
        <v>43</v>
      </c>
      <c r="C134" s="405" t="s">
        <v>44</v>
      </c>
      <c r="D134" s="405" t="s">
        <v>45</v>
      </c>
      <c r="E134" s="405" t="s">
        <v>289</v>
      </c>
      <c r="F134" s="399">
        <v>5</v>
      </c>
      <c r="G134" s="384"/>
      <c r="H134" s="405"/>
      <c r="I134" s="384">
        <v>23</v>
      </c>
      <c r="J134" s="402" t="s">
        <v>90</v>
      </c>
      <c r="K134" s="384" t="s">
        <v>53</v>
      </c>
      <c r="L134" s="384"/>
      <c r="M134" s="375" t="s">
        <v>54</v>
      </c>
      <c r="N134" s="714" t="s">
        <v>281</v>
      </c>
      <c r="O134" s="405" t="s">
        <v>281</v>
      </c>
      <c r="P134" s="407">
        <v>64802</v>
      </c>
      <c r="Q134" s="405" t="s">
        <v>51</v>
      </c>
      <c r="R134" s="365"/>
      <c r="S134" s="321"/>
      <c r="T134" s="321"/>
    </row>
    <row r="135" spans="1:20">
      <c r="A135" s="377">
        <v>134</v>
      </c>
      <c r="B135" s="15" t="s">
        <v>43</v>
      </c>
      <c r="C135" s="405" t="s">
        <v>44</v>
      </c>
      <c r="D135" s="405" t="s">
        <v>45</v>
      </c>
      <c r="E135" s="405" t="s">
        <v>290</v>
      </c>
      <c r="F135" s="399" t="s">
        <v>291</v>
      </c>
      <c r="G135" s="384"/>
      <c r="H135" s="405"/>
      <c r="I135" s="384">
        <v>40</v>
      </c>
      <c r="J135" s="399" t="s">
        <v>48</v>
      </c>
      <c r="K135" s="384" t="s">
        <v>53</v>
      </c>
      <c r="L135" s="384"/>
      <c r="M135" s="375" t="s">
        <v>54</v>
      </c>
      <c r="N135" s="714" t="s">
        <v>281</v>
      </c>
      <c r="O135" s="405" t="s">
        <v>281</v>
      </c>
      <c r="P135" s="407">
        <v>64802</v>
      </c>
      <c r="Q135" s="405" t="s">
        <v>51</v>
      </c>
      <c r="R135" s="365"/>
      <c r="S135" s="321"/>
      <c r="T135" s="321"/>
    </row>
    <row r="136" spans="1:20">
      <c r="A136" s="377">
        <v>135</v>
      </c>
      <c r="B136" s="15" t="s">
        <v>43</v>
      </c>
      <c r="C136" s="405" t="s">
        <v>44</v>
      </c>
      <c r="D136" s="405" t="s">
        <v>45</v>
      </c>
      <c r="E136" s="405" t="s">
        <v>292</v>
      </c>
      <c r="F136" s="399" t="s">
        <v>293</v>
      </c>
      <c r="G136" s="384" t="s">
        <v>232</v>
      </c>
      <c r="H136" s="405"/>
      <c r="I136" s="384">
        <v>30</v>
      </c>
      <c r="J136" s="399" t="s">
        <v>48</v>
      </c>
      <c r="K136" s="384" t="s">
        <v>53</v>
      </c>
      <c r="L136" s="384"/>
      <c r="M136" s="375" t="s">
        <v>54</v>
      </c>
      <c r="N136" s="714" t="s">
        <v>281</v>
      </c>
      <c r="O136" s="405" t="s">
        <v>281</v>
      </c>
      <c r="P136" s="407">
        <v>64802</v>
      </c>
      <c r="Q136" s="405" t="s">
        <v>51</v>
      </c>
      <c r="R136" s="365"/>
      <c r="S136" s="321"/>
      <c r="T136" s="321"/>
    </row>
    <row r="137" spans="1:20">
      <c r="A137" s="377">
        <v>136</v>
      </c>
      <c r="B137" s="15" t="s">
        <v>43</v>
      </c>
      <c r="C137" s="405" t="s">
        <v>44</v>
      </c>
      <c r="D137" s="405" t="s">
        <v>45</v>
      </c>
      <c r="E137" s="405" t="s">
        <v>294</v>
      </c>
      <c r="F137" s="399" t="s">
        <v>295</v>
      </c>
      <c r="G137" s="384" t="s">
        <v>296</v>
      </c>
      <c r="H137" s="405"/>
      <c r="I137" s="384">
        <v>21</v>
      </c>
      <c r="J137" s="402" t="s">
        <v>90</v>
      </c>
      <c r="K137" s="384" t="s">
        <v>53</v>
      </c>
      <c r="L137" s="384"/>
      <c r="M137" s="375" t="s">
        <v>54</v>
      </c>
      <c r="N137" s="714" t="s">
        <v>281</v>
      </c>
      <c r="O137" s="405" t="s">
        <v>281</v>
      </c>
      <c r="P137" s="407">
        <v>64802</v>
      </c>
      <c r="Q137" s="405" t="s">
        <v>51</v>
      </c>
      <c r="R137" s="365"/>
      <c r="S137" s="321"/>
      <c r="T137" s="321"/>
    </row>
    <row r="138" spans="1:20">
      <c r="A138" s="377">
        <v>137</v>
      </c>
      <c r="B138" s="15" t="s">
        <v>43</v>
      </c>
      <c r="C138" s="405" t="s">
        <v>44</v>
      </c>
      <c r="D138" s="405" t="s">
        <v>45</v>
      </c>
      <c r="E138" s="405" t="s">
        <v>297</v>
      </c>
      <c r="F138" s="399" t="s">
        <v>298</v>
      </c>
      <c r="G138" s="384" t="s">
        <v>232</v>
      </c>
      <c r="H138" s="405"/>
      <c r="I138" s="384">
        <v>25</v>
      </c>
      <c r="J138" s="402" t="s">
        <v>90</v>
      </c>
      <c r="K138" s="384" t="s">
        <v>53</v>
      </c>
      <c r="L138" s="384"/>
      <c r="M138" s="375" t="s">
        <v>54</v>
      </c>
      <c r="N138" s="714" t="s">
        <v>281</v>
      </c>
      <c r="O138" s="405" t="s">
        <v>281</v>
      </c>
      <c r="P138" s="407">
        <v>64802</v>
      </c>
      <c r="Q138" s="405" t="s">
        <v>51</v>
      </c>
      <c r="R138" s="365"/>
      <c r="S138" s="321"/>
      <c r="T138" s="321"/>
    </row>
    <row r="139" spans="1:20">
      <c r="A139" s="377">
        <v>138</v>
      </c>
      <c r="B139" s="15" t="s">
        <v>43</v>
      </c>
      <c r="C139" s="405" t="s">
        <v>44</v>
      </c>
      <c r="D139" s="405" t="s">
        <v>45</v>
      </c>
      <c r="E139" s="405" t="s">
        <v>299</v>
      </c>
      <c r="F139" s="399" t="s">
        <v>300</v>
      </c>
      <c r="G139" s="384" t="s">
        <v>169</v>
      </c>
      <c r="H139" s="405"/>
      <c r="I139" s="384">
        <v>50</v>
      </c>
      <c r="J139" s="402" t="s">
        <v>90</v>
      </c>
      <c r="K139" s="384" t="s">
        <v>53</v>
      </c>
      <c r="L139" s="384"/>
      <c r="M139" s="375" t="s">
        <v>54</v>
      </c>
      <c r="N139" s="714" t="s">
        <v>281</v>
      </c>
      <c r="O139" s="405" t="s">
        <v>281</v>
      </c>
      <c r="P139" s="407">
        <v>64802</v>
      </c>
      <c r="Q139" s="405" t="s">
        <v>51</v>
      </c>
      <c r="R139" s="365"/>
      <c r="S139" s="321"/>
      <c r="T139" s="321"/>
    </row>
    <row r="140" spans="1:20">
      <c r="A140" s="377">
        <v>139</v>
      </c>
      <c r="B140" s="15" t="s">
        <v>43</v>
      </c>
      <c r="C140" s="405" t="s">
        <v>44</v>
      </c>
      <c r="D140" s="405" t="s">
        <v>45</v>
      </c>
      <c r="E140" s="405" t="s">
        <v>301</v>
      </c>
      <c r="F140" s="399" t="s">
        <v>302</v>
      </c>
      <c r="G140" s="384" t="s">
        <v>169</v>
      </c>
      <c r="H140" s="405"/>
      <c r="I140" s="384">
        <v>30</v>
      </c>
      <c r="J140" s="402" t="s">
        <v>90</v>
      </c>
      <c r="K140" s="384" t="s">
        <v>53</v>
      </c>
      <c r="L140" s="384"/>
      <c r="M140" s="375" t="s">
        <v>54</v>
      </c>
      <c r="N140" s="714" t="s">
        <v>281</v>
      </c>
      <c r="O140" s="405" t="s">
        <v>281</v>
      </c>
      <c r="P140" s="407">
        <v>64802</v>
      </c>
      <c r="Q140" s="405" t="s">
        <v>51</v>
      </c>
      <c r="R140" s="365"/>
      <c r="S140" s="321"/>
      <c r="T140" s="321"/>
    </row>
    <row r="141" spans="1:20">
      <c r="A141" s="377">
        <v>140</v>
      </c>
      <c r="B141" s="15" t="s">
        <v>43</v>
      </c>
      <c r="C141" s="405" t="s">
        <v>44</v>
      </c>
      <c r="D141" s="405" t="s">
        <v>45</v>
      </c>
      <c r="E141" s="405" t="s">
        <v>303</v>
      </c>
      <c r="F141" s="399" t="s">
        <v>304</v>
      </c>
      <c r="G141" s="384" t="s">
        <v>241</v>
      </c>
      <c r="H141" s="405"/>
      <c r="I141" s="384">
        <v>47</v>
      </c>
      <c r="J141" s="399" t="s">
        <v>48</v>
      </c>
      <c r="K141" s="384" t="s">
        <v>53</v>
      </c>
      <c r="L141" s="384"/>
      <c r="M141" s="375" t="s">
        <v>54</v>
      </c>
      <c r="N141" s="714" t="s">
        <v>281</v>
      </c>
      <c r="O141" s="405" t="s">
        <v>305</v>
      </c>
      <c r="P141" s="407">
        <v>64802</v>
      </c>
      <c r="Q141" s="405" t="s">
        <v>51</v>
      </c>
      <c r="R141" s="365"/>
      <c r="S141" s="321"/>
      <c r="T141" s="321"/>
    </row>
    <row r="142" spans="1:20">
      <c r="A142" s="377">
        <v>141</v>
      </c>
      <c r="B142" s="15" t="s">
        <v>43</v>
      </c>
      <c r="C142" s="405" t="s">
        <v>44</v>
      </c>
      <c r="D142" s="405" t="s">
        <v>45</v>
      </c>
      <c r="E142" s="405" t="s">
        <v>306</v>
      </c>
      <c r="F142" s="399">
        <v>7</v>
      </c>
      <c r="G142" s="384"/>
      <c r="H142" s="405"/>
      <c r="I142" s="384">
        <v>31</v>
      </c>
      <c r="J142" s="402" t="s">
        <v>90</v>
      </c>
      <c r="K142" s="384" t="s">
        <v>53</v>
      </c>
      <c r="L142" s="384"/>
      <c r="M142" s="375" t="s">
        <v>119</v>
      </c>
      <c r="N142" s="714" t="s">
        <v>281</v>
      </c>
      <c r="O142" s="405" t="s">
        <v>281</v>
      </c>
      <c r="P142" s="407">
        <v>64804</v>
      </c>
      <c r="Q142" s="405" t="s">
        <v>51</v>
      </c>
      <c r="R142" s="365"/>
      <c r="S142" s="321"/>
      <c r="T142" s="321"/>
    </row>
    <row r="143" spans="1:20">
      <c r="A143" s="377">
        <v>142</v>
      </c>
      <c r="B143" s="15" t="s">
        <v>43</v>
      </c>
      <c r="C143" s="405" t="s">
        <v>44</v>
      </c>
      <c r="D143" s="405" t="s">
        <v>45</v>
      </c>
      <c r="E143" s="405" t="s">
        <v>307</v>
      </c>
      <c r="F143" s="399">
        <v>7</v>
      </c>
      <c r="G143" s="384"/>
      <c r="H143" s="405"/>
      <c r="I143" s="384">
        <v>9</v>
      </c>
      <c r="J143" s="399" t="s">
        <v>48</v>
      </c>
      <c r="K143" s="384" t="s">
        <v>53</v>
      </c>
      <c r="L143" s="384"/>
      <c r="M143" s="375" t="s">
        <v>119</v>
      </c>
      <c r="N143" s="714" t="s">
        <v>281</v>
      </c>
      <c r="O143" s="405" t="s">
        <v>281</v>
      </c>
      <c r="P143" s="407">
        <v>64804</v>
      </c>
      <c r="Q143" s="405" t="s">
        <v>51</v>
      </c>
      <c r="R143" s="365"/>
      <c r="S143" s="321"/>
      <c r="T143" s="321"/>
    </row>
    <row r="144" spans="1:20">
      <c r="A144" s="377">
        <v>143</v>
      </c>
      <c r="B144" s="15" t="s">
        <v>43</v>
      </c>
      <c r="C144" s="405" t="s">
        <v>44</v>
      </c>
      <c r="D144" s="405" t="s">
        <v>45</v>
      </c>
      <c r="E144" s="405" t="s">
        <v>308</v>
      </c>
      <c r="F144" s="399">
        <v>18</v>
      </c>
      <c r="G144" s="384"/>
      <c r="H144" s="405"/>
      <c r="I144" s="384">
        <v>45</v>
      </c>
      <c r="J144" s="402" t="s">
        <v>90</v>
      </c>
      <c r="K144" s="384" t="s">
        <v>53</v>
      </c>
      <c r="L144" s="384"/>
      <c r="M144" s="375" t="s">
        <v>54</v>
      </c>
      <c r="N144" s="714" t="s">
        <v>281</v>
      </c>
      <c r="O144" s="405" t="s">
        <v>281</v>
      </c>
      <c r="P144" s="407">
        <v>64802</v>
      </c>
      <c r="Q144" s="405" t="s">
        <v>51</v>
      </c>
      <c r="R144" s="365"/>
      <c r="S144" s="321"/>
      <c r="T144" s="321"/>
    </row>
    <row r="145" spans="1:20">
      <c r="A145" s="377">
        <v>144</v>
      </c>
      <c r="B145" s="15" t="s">
        <v>43</v>
      </c>
      <c r="C145" s="405" t="s">
        <v>44</v>
      </c>
      <c r="D145" s="405" t="s">
        <v>45</v>
      </c>
      <c r="E145" s="405" t="s">
        <v>309</v>
      </c>
      <c r="F145" s="399" t="s">
        <v>310</v>
      </c>
      <c r="G145" s="384"/>
      <c r="H145" s="405"/>
      <c r="I145" s="384">
        <v>75</v>
      </c>
      <c r="J145" s="399" t="s">
        <v>48</v>
      </c>
      <c r="K145" s="384" t="s">
        <v>53</v>
      </c>
      <c r="L145" s="384"/>
      <c r="M145" s="375" t="s">
        <v>54</v>
      </c>
      <c r="N145" s="714" t="s">
        <v>281</v>
      </c>
      <c r="O145" s="405" t="s">
        <v>281</v>
      </c>
      <c r="P145" s="407">
        <v>64802</v>
      </c>
      <c r="Q145" s="405" t="s">
        <v>51</v>
      </c>
      <c r="R145" s="365"/>
      <c r="S145" s="321"/>
      <c r="T145" s="321"/>
    </row>
    <row r="146" spans="1:20">
      <c r="A146" s="377">
        <v>145</v>
      </c>
      <c r="B146" s="15" t="s">
        <v>43</v>
      </c>
      <c r="C146" s="405" t="s">
        <v>44</v>
      </c>
      <c r="D146" s="405" t="s">
        <v>45</v>
      </c>
      <c r="E146" s="405" t="s">
        <v>311</v>
      </c>
      <c r="F146" s="399">
        <v>19</v>
      </c>
      <c r="G146" s="384"/>
      <c r="H146" s="405"/>
      <c r="I146" s="384">
        <v>71</v>
      </c>
      <c r="J146" s="402" t="s">
        <v>90</v>
      </c>
      <c r="K146" s="384" t="s">
        <v>53</v>
      </c>
      <c r="L146" s="384"/>
      <c r="M146" s="375" t="s">
        <v>54</v>
      </c>
      <c r="N146" s="714" t="s">
        <v>281</v>
      </c>
      <c r="O146" s="405" t="s">
        <v>281</v>
      </c>
      <c r="P146" s="407">
        <v>64802</v>
      </c>
      <c r="Q146" s="405" t="s">
        <v>51</v>
      </c>
      <c r="R146" s="365"/>
      <c r="S146" s="321"/>
      <c r="T146" s="321"/>
    </row>
    <row r="147" spans="1:20">
      <c r="A147" s="377">
        <v>146</v>
      </c>
      <c r="B147" s="15" t="s">
        <v>43</v>
      </c>
      <c r="C147" s="405" t="s">
        <v>44</v>
      </c>
      <c r="D147" s="405" t="s">
        <v>45</v>
      </c>
      <c r="E147" s="405" t="s">
        <v>312</v>
      </c>
      <c r="F147" s="399">
        <v>19</v>
      </c>
      <c r="G147" s="384"/>
      <c r="H147" s="405"/>
      <c r="I147" s="384">
        <v>28</v>
      </c>
      <c r="J147" s="402" t="s">
        <v>90</v>
      </c>
      <c r="K147" s="384" t="s">
        <v>53</v>
      </c>
      <c r="L147" s="384"/>
      <c r="M147" s="375" t="s">
        <v>54</v>
      </c>
      <c r="N147" s="714" t="s">
        <v>281</v>
      </c>
      <c r="O147" s="405" t="s">
        <v>281</v>
      </c>
      <c r="P147" s="407">
        <v>64802</v>
      </c>
      <c r="Q147" s="405" t="s">
        <v>51</v>
      </c>
      <c r="R147" s="365"/>
      <c r="S147" s="321"/>
      <c r="T147" s="321"/>
    </row>
    <row r="148" spans="1:20">
      <c r="A148" s="377">
        <v>147</v>
      </c>
      <c r="B148" s="15" t="s">
        <v>43</v>
      </c>
      <c r="C148" s="405" t="s">
        <v>44</v>
      </c>
      <c r="D148" s="405" t="s">
        <v>45</v>
      </c>
      <c r="E148" s="405" t="s">
        <v>313</v>
      </c>
      <c r="F148" s="384">
        <v>18</v>
      </c>
      <c r="G148" s="384"/>
      <c r="H148" s="405"/>
      <c r="I148" s="384">
        <v>25</v>
      </c>
      <c r="J148" s="399" t="s">
        <v>48</v>
      </c>
      <c r="K148" s="384" t="s">
        <v>53</v>
      </c>
      <c r="L148" s="384"/>
      <c r="M148" s="375" t="s">
        <v>54</v>
      </c>
      <c r="N148" s="714" t="s">
        <v>249</v>
      </c>
      <c r="O148" s="405" t="s">
        <v>249</v>
      </c>
      <c r="P148" s="406" t="s">
        <v>314</v>
      </c>
      <c r="Q148" s="405" t="s">
        <v>51</v>
      </c>
      <c r="R148" s="365"/>
      <c r="S148" s="321"/>
      <c r="T148" s="321"/>
    </row>
    <row r="149" spans="1:20">
      <c r="A149" s="377">
        <v>148</v>
      </c>
      <c r="B149" s="15" t="s">
        <v>43</v>
      </c>
      <c r="C149" s="405" t="s">
        <v>44</v>
      </c>
      <c r="D149" s="405" t="s">
        <v>45</v>
      </c>
      <c r="E149" s="405" t="s">
        <v>315</v>
      </c>
      <c r="F149" s="384">
        <v>18</v>
      </c>
      <c r="G149" s="384"/>
      <c r="H149" s="405"/>
      <c r="I149" s="384">
        <v>48</v>
      </c>
      <c r="J149" s="399" t="s">
        <v>48</v>
      </c>
      <c r="K149" s="384" t="s">
        <v>53</v>
      </c>
      <c r="L149" s="384"/>
      <c r="M149" s="375" t="s">
        <v>54</v>
      </c>
      <c r="N149" s="714" t="s">
        <v>249</v>
      </c>
      <c r="O149" s="405" t="s">
        <v>249</v>
      </c>
      <c r="P149" s="406" t="s">
        <v>314</v>
      </c>
      <c r="Q149" s="405" t="s">
        <v>51</v>
      </c>
      <c r="R149" s="365"/>
      <c r="S149" s="321"/>
      <c r="T149" s="321"/>
    </row>
    <row r="150" spans="1:20">
      <c r="A150" s="377">
        <v>149</v>
      </c>
      <c r="B150" s="15" t="s">
        <v>43</v>
      </c>
      <c r="C150" s="405" t="s">
        <v>44</v>
      </c>
      <c r="D150" s="405" t="s">
        <v>45</v>
      </c>
      <c r="E150" s="405" t="s">
        <v>316</v>
      </c>
      <c r="F150" s="384">
        <v>18</v>
      </c>
      <c r="G150" s="384"/>
      <c r="H150" s="405"/>
      <c r="I150" s="384">
        <v>17</v>
      </c>
      <c r="J150" s="402" t="s">
        <v>90</v>
      </c>
      <c r="K150" s="384" t="s">
        <v>53</v>
      </c>
      <c r="L150" s="384"/>
      <c r="M150" s="375" t="s">
        <v>54</v>
      </c>
      <c r="N150" s="714" t="s">
        <v>249</v>
      </c>
      <c r="O150" s="405" t="s">
        <v>249</v>
      </c>
      <c r="P150" s="406" t="s">
        <v>314</v>
      </c>
      <c r="Q150" s="405" t="s">
        <v>51</v>
      </c>
      <c r="R150" s="365"/>
      <c r="S150" s="321"/>
      <c r="T150" s="321"/>
    </row>
    <row r="151" spans="1:20">
      <c r="A151" s="377">
        <v>150</v>
      </c>
      <c r="B151" s="15" t="s">
        <v>43</v>
      </c>
      <c r="C151" s="405" t="s">
        <v>44</v>
      </c>
      <c r="D151" s="405" t="s">
        <v>45</v>
      </c>
      <c r="E151" s="405" t="s">
        <v>317</v>
      </c>
      <c r="F151" s="384">
        <v>18</v>
      </c>
      <c r="G151" s="948">
        <v>9866932378</v>
      </c>
      <c r="H151" s="405"/>
      <c r="I151" s="384">
        <v>14</v>
      </c>
      <c r="J151" s="402" t="s">
        <v>90</v>
      </c>
      <c r="K151" s="384" t="s">
        <v>53</v>
      </c>
      <c r="L151" s="384"/>
      <c r="M151" s="375" t="s">
        <v>54</v>
      </c>
      <c r="N151" s="714" t="s">
        <v>249</v>
      </c>
      <c r="O151" s="405" t="s">
        <v>249</v>
      </c>
      <c r="P151" s="406" t="s">
        <v>314</v>
      </c>
      <c r="Q151" s="405" t="s">
        <v>51</v>
      </c>
      <c r="R151" s="365"/>
      <c r="S151" s="321"/>
      <c r="T151" s="321"/>
    </row>
    <row r="152" spans="1:20">
      <c r="A152" s="377">
        <v>151</v>
      </c>
      <c r="B152" s="15" t="s">
        <v>43</v>
      </c>
      <c r="C152" s="405" t="s">
        <v>44</v>
      </c>
      <c r="D152" s="405" t="s">
        <v>45</v>
      </c>
      <c r="E152" s="405" t="s">
        <v>318</v>
      </c>
      <c r="F152" s="384">
        <v>17</v>
      </c>
      <c r="G152" s="384"/>
      <c r="H152" s="405"/>
      <c r="I152" s="384">
        <v>30</v>
      </c>
      <c r="J152" s="399" t="s">
        <v>48</v>
      </c>
      <c r="K152" s="384" t="s">
        <v>53</v>
      </c>
      <c r="L152" s="384"/>
      <c r="M152" s="375" t="s">
        <v>54</v>
      </c>
      <c r="N152" s="714" t="s">
        <v>249</v>
      </c>
      <c r="O152" s="405" t="s">
        <v>249</v>
      </c>
      <c r="P152" s="406" t="s">
        <v>314</v>
      </c>
      <c r="Q152" s="405" t="s">
        <v>51</v>
      </c>
      <c r="R152" s="365"/>
      <c r="S152" s="321"/>
      <c r="T152" s="321"/>
    </row>
    <row r="153" spans="1:20">
      <c r="A153" s="377">
        <v>152</v>
      </c>
      <c r="B153" s="15" t="s">
        <v>43</v>
      </c>
      <c r="C153" s="405" t="s">
        <v>44</v>
      </c>
      <c r="D153" s="405" t="s">
        <v>45</v>
      </c>
      <c r="E153" s="405" t="s">
        <v>319</v>
      </c>
      <c r="F153" s="384">
        <v>15</v>
      </c>
      <c r="G153" s="384"/>
      <c r="H153" s="405"/>
      <c r="I153" s="384">
        <v>14</v>
      </c>
      <c r="J153" s="402" t="s">
        <v>90</v>
      </c>
      <c r="K153" s="384" t="s">
        <v>53</v>
      </c>
      <c r="L153" s="384"/>
      <c r="M153" s="375" t="s">
        <v>54</v>
      </c>
      <c r="N153" s="714" t="s">
        <v>249</v>
      </c>
      <c r="O153" s="405" t="s">
        <v>249</v>
      </c>
      <c r="P153" s="406" t="s">
        <v>314</v>
      </c>
      <c r="Q153" s="405" t="s">
        <v>51</v>
      </c>
      <c r="R153" s="365"/>
      <c r="S153" s="321"/>
      <c r="T153" s="321"/>
    </row>
    <row r="154" spans="1:20">
      <c r="A154" s="377">
        <v>153</v>
      </c>
      <c r="B154" s="15" t="s">
        <v>43</v>
      </c>
      <c r="C154" s="405" t="s">
        <v>44</v>
      </c>
      <c r="D154" s="405" t="s">
        <v>45</v>
      </c>
      <c r="E154" s="15" t="s">
        <v>320</v>
      </c>
      <c r="F154" s="384">
        <v>6</v>
      </c>
      <c r="G154" s="384"/>
      <c r="H154" s="405"/>
      <c r="I154" s="384">
        <v>23</v>
      </c>
      <c r="J154" s="402" t="s">
        <v>90</v>
      </c>
      <c r="K154" s="384" t="s">
        <v>53</v>
      </c>
      <c r="L154" s="384"/>
      <c r="M154" s="375" t="s">
        <v>54</v>
      </c>
      <c r="N154" s="714" t="s">
        <v>249</v>
      </c>
      <c r="O154" s="405" t="s">
        <v>249</v>
      </c>
      <c r="P154" s="406" t="s">
        <v>314</v>
      </c>
      <c r="Q154" s="405" t="s">
        <v>51</v>
      </c>
      <c r="R154" s="365"/>
      <c r="S154" s="321"/>
      <c r="T154" s="321"/>
    </row>
    <row r="155" spans="1:20">
      <c r="A155" s="377">
        <v>154</v>
      </c>
      <c r="B155" s="15" t="s">
        <v>43</v>
      </c>
      <c r="C155" s="405" t="s">
        <v>44</v>
      </c>
      <c r="D155" s="405" t="s">
        <v>45</v>
      </c>
      <c r="E155" s="405" t="s">
        <v>321</v>
      </c>
      <c r="F155" s="384">
        <v>6</v>
      </c>
      <c r="G155" s="384"/>
      <c r="H155" s="405"/>
      <c r="I155" s="384">
        <v>39</v>
      </c>
      <c r="J155" s="402" t="s">
        <v>90</v>
      </c>
      <c r="K155" s="384" t="s">
        <v>53</v>
      </c>
      <c r="L155" s="384"/>
      <c r="M155" s="375" t="s">
        <v>119</v>
      </c>
      <c r="N155" s="714" t="s">
        <v>249</v>
      </c>
      <c r="O155" s="405" t="s">
        <v>249</v>
      </c>
      <c r="P155" s="406" t="s">
        <v>314</v>
      </c>
      <c r="Q155" s="405" t="s">
        <v>51</v>
      </c>
      <c r="R155" s="365"/>
      <c r="S155" s="321"/>
      <c r="T155" s="321"/>
    </row>
    <row r="156" spans="1:20">
      <c r="A156" s="377">
        <v>155</v>
      </c>
      <c r="B156" s="15" t="s">
        <v>43</v>
      </c>
      <c r="C156" s="405" t="s">
        <v>44</v>
      </c>
      <c r="D156" s="405" t="s">
        <v>45</v>
      </c>
      <c r="E156" s="405" t="s">
        <v>322</v>
      </c>
      <c r="F156" s="384">
        <v>6</v>
      </c>
      <c r="G156" s="384"/>
      <c r="H156" s="405"/>
      <c r="I156" s="384">
        <v>42</v>
      </c>
      <c r="J156" s="399" t="s">
        <v>48</v>
      </c>
      <c r="K156" s="384" t="s">
        <v>53</v>
      </c>
      <c r="L156" s="384"/>
      <c r="M156" s="375" t="s">
        <v>54</v>
      </c>
      <c r="N156" s="714" t="s">
        <v>249</v>
      </c>
      <c r="O156" s="405" t="s">
        <v>249</v>
      </c>
      <c r="P156" s="406" t="s">
        <v>314</v>
      </c>
      <c r="Q156" s="405" t="s">
        <v>51</v>
      </c>
      <c r="R156" s="365"/>
      <c r="S156" s="321"/>
      <c r="T156" s="321"/>
    </row>
    <row r="157" spans="1:20">
      <c r="A157" s="377">
        <v>156</v>
      </c>
      <c r="B157" s="15" t="s">
        <v>43</v>
      </c>
      <c r="C157" s="405" t="s">
        <v>44</v>
      </c>
      <c r="D157" s="405" t="s">
        <v>45</v>
      </c>
      <c r="E157" s="405" t="s">
        <v>323</v>
      </c>
      <c r="F157" s="384">
        <v>2</v>
      </c>
      <c r="G157" s="384"/>
      <c r="H157" s="405"/>
      <c r="I157" s="384">
        <v>24</v>
      </c>
      <c r="J157" s="399" t="s">
        <v>48</v>
      </c>
      <c r="K157" s="384" t="s">
        <v>53</v>
      </c>
      <c r="L157" s="384"/>
      <c r="M157" s="375" t="s">
        <v>54</v>
      </c>
      <c r="N157" s="714" t="s">
        <v>249</v>
      </c>
      <c r="O157" s="405" t="s">
        <v>249</v>
      </c>
      <c r="P157" s="406" t="s">
        <v>314</v>
      </c>
      <c r="Q157" s="405" t="s">
        <v>51</v>
      </c>
      <c r="R157" s="365"/>
      <c r="S157" s="321"/>
      <c r="T157" s="321"/>
    </row>
    <row r="158" spans="1:20">
      <c r="A158" s="377">
        <v>157</v>
      </c>
      <c r="B158" s="15" t="s">
        <v>43</v>
      </c>
      <c r="C158" s="405" t="s">
        <v>44</v>
      </c>
      <c r="D158" s="405" t="s">
        <v>45</v>
      </c>
      <c r="E158" s="405" t="s">
        <v>324</v>
      </c>
      <c r="F158" s="384">
        <v>2</v>
      </c>
      <c r="G158" s="384"/>
      <c r="H158" s="405"/>
      <c r="I158" s="384">
        <v>48</v>
      </c>
      <c r="J158" s="399" t="s">
        <v>48</v>
      </c>
      <c r="K158" s="384" t="s">
        <v>53</v>
      </c>
      <c r="L158" s="384"/>
      <c r="M158" s="375" t="s">
        <v>54</v>
      </c>
      <c r="N158" s="714" t="s">
        <v>249</v>
      </c>
      <c r="O158" s="405" t="s">
        <v>249</v>
      </c>
      <c r="P158" s="406" t="s">
        <v>314</v>
      </c>
      <c r="Q158" s="405" t="s">
        <v>51</v>
      </c>
      <c r="R158" s="365"/>
      <c r="S158" s="321"/>
      <c r="T158" s="321"/>
    </row>
    <row r="159" spans="1:20">
      <c r="A159" s="377">
        <v>158</v>
      </c>
      <c r="B159" s="15" t="s">
        <v>43</v>
      </c>
      <c r="C159" s="405" t="s">
        <v>44</v>
      </c>
      <c r="D159" s="405" t="s">
        <v>45</v>
      </c>
      <c r="E159" s="405" t="s">
        <v>325</v>
      </c>
      <c r="F159" s="384">
        <v>981243433021</v>
      </c>
      <c r="G159" s="384"/>
      <c r="H159" s="405"/>
      <c r="I159" s="384">
        <v>26</v>
      </c>
      <c r="J159" s="402" t="s">
        <v>90</v>
      </c>
      <c r="K159" s="384" t="s">
        <v>53</v>
      </c>
      <c r="L159" s="384"/>
      <c r="M159" s="375" t="s">
        <v>54</v>
      </c>
      <c r="N159" s="714" t="s">
        <v>249</v>
      </c>
      <c r="O159" s="405" t="s">
        <v>249</v>
      </c>
      <c r="P159" s="406" t="s">
        <v>314</v>
      </c>
      <c r="Q159" s="405" t="s">
        <v>51</v>
      </c>
      <c r="R159" s="365"/>
      <c r="S159" s="321"/>
      <c r="T159" s="321"/>
    </row>
    <row r="160" spans="1:20">
      <c r="A160" s="377">
        <v>159</v>
      </c>
      <c r="B160" s="15" t="s">
        <v>43</v>
      </c>
      <c r="C160" s="405" t="s">
        <v>44</v>
      </c>
      <c r="D160" s="405" t="s">
        <v>45</v>
      </c>
      <c r="E160" s="405" t="s">
        <v>326</v>
      </c>
      <c r="F160" s="384">
        <v>16</v>
      </c>
      <c r="G160" s="384"/>
      <c r="H160" s="405"/>
      <c r="I160" s="384">
        <v>26</v>
      </c>
      <c r="J160" s="399" t="s">
        <v>48</v>
      </c>
      <c r="K160" s="384" t="s">
        <v>53</v>
      </c>
      <c r="L160" s="384"/>
      <c r="M160" s="375" t="s">
        <v>54</v>
      </c>
      <c r="N160" s="714" t="s">
        <v>249</v>
      </c>
      <c r="O160" s="405" t="s">
        <v>249</v>
      </c>
      <c r="P160" s="406" t="s">
        <v>314</v>
      </c>
      <c r="Q160" s="405" t="s">
        <v>51</v>
      </c>
      <c r="R160" s="365"/>
      <c r="S160" s="321"/>
      <c r="T160" s="321"/>
    </row>
    <row r="161" spans="1:20">
      <c r="A161" s="377">
        <v>160</v>
      </c>
      <c r="B161" s="15" t="s">
        <v>43</v>
      </c>
      <c r="C161" s="405" t="s">
        <v>44</v>
      </c>
      <c r="D161" s="405" t="s">
        <v>45</v>
      </c>
      <c r="E161" s="405" t="s">
        <v>327</v>
      </c>
      <c r="F161" s="384">
        <v>16</v>
      </c>
      <c r="G161" s="384"/>
      <c r="H161" s="405"/>
      <c r="I161" s="384">
        <v>30</v>
      </c>
      <c r="J161" s="399" t="s">
        <v>48</v>
      </c>
      <c r="K161" s="384" t="s">
        <v>53</v>
      </c>
      <c r="L161" s="384"/>
      <c r="M161" s="375" t="s">
        <v>54</v>
      </c>
      <c r="N161" s="714" t="s">
        <v>249</v>
      </c>
      <c r="O161" s="405" t="s">
        <v>249</v>
      </c>
      <c r="P161" s="406" t="s">
        <v>314</v>
      </c>
      <c r="Q161" s="405" t="s">
        <v>51</v>
      </c>
      <c r="R161" s="365"/>
      <c r="S161" s="321"/>
      <c r="T161" s="321"/>
    </row>
    <row r="162" spans="1:20">
      <c r="A162" s="377">
        <v>161</v>
      </c>
      <c r="B162" s="15" t="s">
        <v>43</v>
      </c>
      <c r="C162" s="405" t="s">
        <v>44</v>
      </c>
      <c r="D162" s="405" t="s">
        <v>45</v>
      </c>
      <c r="E162" s="405" t="s">
        <v>328</v>
      </c>
      <c r="F162" s="384">
        <v>6</v>
      </c>
      <c r="G162" s="384" t="s">
        <v>241</v>
      </c>
      <c r="H162" s="405"/>
      <c r="I162" s="384">
        <v>48</v>
      </c>
      <c r="J162" s="399" t="s">
        <v>48</v>
      </c>
      <c r="K162" s="384" t="s">
        <v>53</v>
      </c>
      <c r="L162" s="384"/>
      <c r="M162" s="375" t="s">
        <v>54</v>
      </c>
      <c r="N162" s="714" t="s">
        <v>249</v>
      </c>
      <c r="O162" s="405" t="s">
        <v>249</v>
      </c>
      <c r="P162" s="406" t="s">
        <v>314</v>
      </c>
      <c r="Q162" s="405" t="s">
        <v>51</v>
      </c>
      <c r="R162" s="365"/>
      <c r="S162" s="321"/>
      <c r="T162" s="321"/>
    </row>
    <row r="163" spans="1:20">
      <c r="A163" s="377">
        <v>162</v>
      </c>
      <c r="B163" s="15" t="s">
        <v>43</v>
      </c>
      <c r="C163" s="405" t="s">
        <v>44</v>
      </c>
      <c r="D163" s="405" t="s">
        <v>45</v>
      </c>
      <c r="E163" s="405" t="s">
        <v>329</v>
      </c>
      <c r="F163" s="384">
        <v>6</v>
      </c>
      <c r="G163" s="384"/>
      <c r="H163" s="405"/>
      <c r="I163" s="384">
        <v>19</v>
      </c>
      <c r="J163" s="402" t="s">
        <v>90</v>
      </c>
      <c r="K163" s="384" t="s">
        <v>53</v>
      </c>
      <c r="L163" s="384"/>
      <c r="M163" s="375" t="s">
        <v>54</v>
      </c>
      <c r="N163" s="714" t="s">
        <v>249</v>
      </c>
      <c r="O163" s="405" t="s">
        <v>249</v>
      </c>
      <c r="P163" s="406" t="s">
        <v>314</v>
      </c>
      <c r="Q163" s="405" t="s">
        <v>51</v>
      </c>
      <c r="R163" s="365"/>
      <c r="S163" s="321"/>
      <c r="T163" s="321"/>
    </row>
    <row r="164" spans="1:20">
      <c r="A164" s="377">
        <v>163</v>
      </c>
      <c r="B164" s="15" t="s">
        <v>43</v>
      </c>
      <c r="C164" s="405" t="s">
        <v>44</v>
      </c>
      <c r="D164" s="405" t="s">
        <v>45</v>
      </c>
      <c r="E164" s="405" t="s">
        <v>330</v>
      </c>
      <c r="F164" s="384">
        <v>3</v>
      </c>
      <c r="G164" s="384" t="s">
        <v>241</v>
      </c>
      <c r="H164" s="405"/>
      <c r="I164" s="384">
        <v>27</v>
      </c>
      <c r="J164" s="399" t="s">
        <v>48</v>
      </c>
      <c r="K164" s="384" t="s">
        <v>53</v>
      </c>
      <c r="L164" s="384"/>
      <c r="M164" s="375" t="s">
        <v>54</v>
      </c>
      <c r="N164" s="714" t="s">
        <v>249</v>
      </c>
      <c r="O164" s="405" t="s">
        <v>249</v>
      </c>
      <c r="P164" s="406" t="s">
        <v>314</v>
      </c>
      <c r="Q164" s="405" t="s">
        <v>51</v>
      </c>
      <c r="R164" s="365"/>
      <c r="S164" s="321"/>
      <c r="T164" s="321"/>
    </row>
    <row r="165" spans="1:20">
      <c r="A165" s="377">
        <v>164</v>
      </c>
      <c r="B165" s="15" t="s">
        <v>43</v>
      </c>
      <c r="C165" s="405" t="s">
        <v>44</v>
      </c>
      <c r="D165" s="405" t="s">
        <v>45</v>
      </c>
      <c r="E165" s="405" t="s">
        <v>331</v>
      </c>
      <c r="F165" s="384">
        <v>4</v>
      </c>
      <c r="G165" s="384" t="s">
        <v>169</v>
      </c>
      <c r="H165" s="405"/>
      <c r="I165" s="384">
        <v>31</v>
      </c>
      <c r="J165" s="402" t="s">
        <v>90</v>
      </c>
      <c r="K165" s="384" t="s">
        <v>53</v>
      </c>
      <c r="L165" s="384"/>
      <c r="M165" s="375" t="s">
        <v>54</v>
      </c>
      <c r="N165" s="714" t="s">
        <v>249</v>
      </c>
      <c r="O165" s="405" t="s">
        <v>249</v>
      </c>
      <c r="P165" s="406" t="s">
        <v>314</v>
      </c>
      <c r="Q165" s="405" t="s">
        <v>51</v>
      </c>
      <c r="R165" s="365"/>
      <c r="S165" s="321"/>
      <c r="T165" s="321"/>
    </row>
    <row r="166" spans="1:20">
      <c r="A166" s="377">
        <v>165</v>
      </c>
      <c r="B166" s="15" t="s">
        <v>43</v>
      </c>
      <c r="C166" s="405" t="s">
        <v>44</v>
      </c>
      <c r="D166" s="405" t="s">
        <v>45</v>
      </c>
      <c r="E166" s="405" t="s">
        <v>332</v>
      </c>
      <c r="F166" s="384">
        <v>19</v>
      </c>
      <c r="G166" s="384" t="s">
        <v>232</v>
      </c>
      <c r="H166" s="405"/>
      <c r="I166" s="384">
        <v>22</v>
      </c>
      <c r="J166" s="402" t="s">
        <v>90</v>
      </c>
      <c r="K166" s="384" t="s">
        <v>53</v>
      </c>
      <c r="L166" s="384"/>
      <c r="M166" s="375" t="s">
        <v>54</v>
      </c>
      <c r="N166" s="714" t="s">
        <v>249</v>
      </c>
      <c r="O166" s="405" t="s">
        <v>259</v>
      </c>
      <c r="P166" s="406" t="s">
        <v>314</v>
      </c>
      <c r="Q166" s="405" t="s">
        <v>51</v>
      </c>
      <c r="R166" s="365"/>
      <c r="S166" s="321"/>
      <c r="T166" s="321"/>
    </row>
    <row r="167" spans="1:20">
      <c r="A167" s="377">
        <v>166</v>
      </c>
      <c r="B167" s="15" t="s">
        <v>43</v>
      </c>
      <c r="C167" s="405" t="s">
        <v>44</v>
      </c>
      <c r="D167" s="405" t="s">
        <v>45</v>
      </c>
      <c r="E167" s="405" t="s">
        <v>333</v>
      </c>
      <c r="F167" s="384">
        <v>8</v>
      </c>
      <c r="G167" s="384" t="s">
        <v>232</v>
      </c>
      <c r="H167" s="405"/>
      <c r="I167" s="384">
        <v>30</v>
      </c>
      <c r="J167" s="402" t="s">
        <v>90</v>
      </c>
      <c r="K167" s="384" t="s">
        <v>53</v>
      </c>
      <c r="L167" s="384"/>
      <c r="M167" s="375" t="s">
        <v>54</v>
      </c>
      <c r="N167" s="714" t="s">
        <v>249</v>
      </c>
      <c r="O167" s="405" t="s">
        <v>249</v>
      </c>
      <c r="P167" s="406" t="s">
        <v>314</v>
      </c>
      <c r="Q167" s="405" t="s">
        <v>51</v>
      </c>
      <c r="R167" s="365"/>
      <c r="S167" s="321"/>
      <c r="T167" s="321"/>
    </row>
    <row r="168" spans="1:20">
      <c r="A168" s="377">
        <v>167</v>
      </c>
      <c r="B168" s="15" t="s">
        <v>43</v>
      </c>
      <c r="C168" s="405" t="s">
        <v>44</v>
      </c>
      <c r="D168" s="405" t="s">
        <v>45</v>
      </c>
      <c r="E168" s="405" t="s">
        <v>334</v>
      </c>
      <c r="F168" s="384">
        <v>6</v>
      </c>
      <c r="G168" s="384" t="s">
        <v>241</v>
      </c>
      <c r="H168" s="405"/>
      <c r="I168" s="384">
        <v>44</v>
      </c>
      <c r="J168" s="399" t="s">
        <v>48</v>
      </c>
      <c r="K168" s="384" t="s">
        <v>53</v>
      </c>
      <c r="L168" s="384"/>
      <c r="M168" s="375" t="s">
        <v>54</v>
      </c>
      <c r="N168" s="714" t="s">
        <v>249</v>
      </c>
      <c r="O168" s="405" t="s">
        <v>249</v>
      </c>
      <c r="P168" s="406" t="s">
        <v>314</v>
      </c>
      <c r="Q168" s="405" t="s">
        <v>51</v>
      </c>
      <c r="R168" s="365"/>
      <c r="S168" s="321"/>
      <c r="T168" s="321"/>
    </row>
    <row r="169" spans="1:20">
      <c r="A169" s="377">
        <v>168</v>
      </c>
      <c r="B169" s="15" t="s">
        <v>43</v>
      </c>
      <c r="C169" s="405" t="s">
        <v>44</v>
      </c>
      <c r="D169" s="405" t="s">
        <v>45</v>
      </c>
      <c r="E169" s="405" t="s">
        <v>335</v>
      </c>
      <c r="F169" s="384">
        <v>5</v>
      </c>
      <c r="G169" s="384"/>
      <c r="H169" s="405"/>
      <c r="I169" s="384">
        <v>45</v>
      </c>
      <c r="J169" s="399" t="s">
        <v>48</v>
      </c>
      <c r="K169" s="384" t="s">
        <v>53</v>
      </c>
      <c r="L169" s="384"/>
      <c r="M169" s="375" t="s">
        <v>119</v>
      </c>
      <c r="N169" s="714" t="s">
        <v>249</v>
      </c>
      <c r="O169" s="405" t="s">
        <v>249</v>
      </c>
      <c r="P169" s="406" t="s">
        <v>314</v>
      </c>
      <c r="Q169" s="405" t="s">
        <v>51</v>
      </c>
      <c r="R169" s="365"/>
      <c r="S169" s="321"/>
      <c r="T169" s="321"/>
    </row>
    <row r="170" spans="1:20">
      <c r="A170" s="377">
        <v>169</v>
      </c>
      <c r="B170" s="15" t="s">
        <v>43</v>
      </c>
      <c r="C170" s="405" t="s">
        <v>44</v>
      </c>
      <c r="D170" s="405" t="s">
        <v>45</v>
      </c>
      <c r="E170" s="398" t="s">
        <v>336</v>
      </c>
      <c r="F170" s="399">
        <v>7</v>
      </c>
      <c r="G170" s="384"/>
      <c r="H170" s="405"/>
      <c r="I170" s="399">
        <v>40</v>
      </c>
      <c r="J170" s="399" t="s">
        <v>48</v>
      </c>
      <c r="K170" s="384" t="s">
        <v>53</v>
      </c>
      <c r="L170" s="384"/>
      <c r="M170" s="375" t="s">
        <v>119</v>
      </c>
      <c r="N170" s="717">
        <v>64802</v>
      </c>
      <c r="O170" s="408">
        <v>64802</v>
      </c>
      <c r="P170" s="408">
        <v>64811</v>
      </c>
      <c r="Q170" s="405" t="s">
        <v>51</v>
      </c>
      <c r="R170" s="365"/>
      <c r="S170" s="321"/>
      <c r="T170" s="321"/>
    </row>
    <row r="171" spans="1:20">
      <c r="A171" s="377">
        <v>170</v>
      </c>
      <c r="B171" s="15" t="s">
        <v>43</v>
      </c>
      <c r="C171" s="405" t="s">
        <v>44</v>
      </c>
      <c r="D171" s="405" t="s">
        <v>45</v>
      </c>
      <c r="E171" s="398" t="s">
        <v>337</v>
      </c>
      <c r="F171" s="399">
        <v>12</v>
      </c>
      <c r="G171" s="384"/>
      <c r="H171" s="405"/>
      <c r="I171" s="399">
        <v>34</v>
      </c>
      <c r="J171" s="399" t="s">
        <v>48</v>
      </c>
      <c r="K171" s="384" t="s">
        <v>53</v>
      </c>
      <c r="L171" s="384"/>
      <c r="M171" s="375" t="s">
        <v>54</v>
      </c>
      <c r="N171" s="717">
        <v>64802</v>
      </c>
      <c r="O171" s="408">
        <v>64802</v>
      </c>
      <c r="P171" s="408">
        <v>64811</v>
      </c>
      <c r="Q171" s="405" t="s">
        <v>51</v>
      </c>
      <c r="R171" s="365"/>
      <c r="S171" s="321"/>
      <c r="T171" s="321"/>
    </row>
    <row r="172" spans="1:20">
      <c r="A172" s="377">
        <v>171</v>
      </c>
      <c r="B172" s="15" t="s">
        <v>43</v>
      </c>
      <c r="C172" s="405" t="s">
        <v>44</v>
      </c>
      <c r="D172" s="405" t="s">
        <v>45</v>
      </c>
      <c r="E172" s="398" t="s">
        <v>338</v>
      </c>
      <c r="F172" s="399">
        <v>12</v>
      </c>
      <c r="G172" s="384"/>
      <c r="H172" s="405"/>
      <c r="I172" s="399">
        <v>29</v>
      </c>
      <c r="J172" s="399" t="s">
        <v>48</v>
      </c>
      <c r="K172" s="384" t="s">
        <v>53</v>
      </c>
      <c r="L172" s="384"/>
      <c r="M172" s="375" t="s">
        <v>54</v>
      </c>
      <c r="N172" s="717">
        <v>64802</v>
      </c>
      <c r="O172" s="408">
        <v>64802</v>
      </c>
      <c r="P172" s="408">
        <v>64811</v>
      </c>
      <c r="Q172" s="405" t="s">
        <v>51</v>
      </c>
      <c r="R172" s="365"/>
      <c r="S172" s="321"/>
      <c r="T172" s="321"/>
    </row>
    <row r="173" spans="1:20">
      <c r="A173" s="377">
        <v>172</v>
      </c>
      <c r="B173" s="15" t="s">
        <v>43</v>
      </c>
      <c r="C173" s="405" t="s">
        <v>44</v>
      </c>
      <c r="D173" s="405" t="s">
        <v>45</v>
      </c>
      <c r="E173" s="398" t="s">
        <v>339</v>
      </c>
      <c r="F173" s="399">
        <v>10</v>
      </c>
      <c r="G173" s="384"/>
      <c r="H173" s="405"/>
      <c r="I173" s="399">
        <v>33</v>
      </c>
      <c r="J173" s="399" t="s">
        <v>48</v>
      </c>
      <c r="K173" s="384" t="s">
        <v>53</v>
      </c>
      <c r="L173" s="384"/>
      <c r="M173" s="375" t="s">
        <v>54</v>
      </c>
      <c r="N173" s="717">
        <v>64802</v>
      </c>
      <c r="O173" s="408">
        <v>64802</v>
      </c>
      <c r="P173" s="408">
        <v>64811</v>
      </c>
      <c r="Q173" s="405" t="s">
        <v>51</v>
      </c>
      <c r="R173" s="365"/>
      <c r="S173" s="321"/>
      <c r="T173" s="321"/>
    </row>
    <row r="174" spans="1:20">
      <c r="A174" s="377">
        <v>173</v>
      </c>
      <c r="B174" s="15" t="s">
        <v>43</v>
      </c>
      <c r="C174" s="405" t="s">
        <v>44</v>
      </c>
      <c r="D174" s="405" t="s">
        <v>45</v>
      </c>
      <c r="E174" s="398" t="s">
        <v>340</v>
      </c>
      <c r="F174" s="399">
        <v>16</v>
      </c>
      <c r="G174" s="384"/>
      <c r="H174" s="405"/>
      <c r="I174" s="399">
        <v>50</v>
      </c>
      <c r="J174" s="399" t="s">
        <v>48</v>
      </c>
      <c r="K174" s="384" t="s">
        <v>53</v>
      </c>
      <c r="L174" s="384"/>
      <c r="M174" s="375" t="s">
        <v>54</v>
      </c>
      <c r="N174" s="717">
        <v>64802</v>
      </c>
      <c r="O174" s="408">
        <v>64802</v>
      </c>
      <c r="P174" s="408">
        <v>64811</v>
      </c>
      <c r="Q174" s="405" t="s">
        <v>51</v>
      </c>
      <c r="R174" s="365"/>
      <c r="S174" s="321"/>
      <c r="T174" s="321"/>
    </row>
    <row r="175" spans="1:20">
      <c r="A175" s="377">
        <v>174</v>
      </c>
      <c r="B175" s="15" t="s">
        <v>43</v>
      </c>
      <c r="C175" s="405" t="s">
        <v>44</v>
      </c>
      <c r="D175" s="405" t="s">
        <v>45</v>
      </c>
      <c r="E175" s="398" t="s">
        <v>341</v>
      </c>
      <c r="F175" s="399">
        <v>16</v>
      </c>
      <c r="G175" s="384"/>
      <c r="H175" s="405"/>
      <c r="I175" s="399">
        <v>40</v>
      </c>
      <c r="J175" s="402" t="s">
        <v>90</v>
      </c>
      <c r="K175" s="384" t="s">
        <v>53</v>
      </c>
      <c r="L175" s="384"/>
      <c r="M175" s="375" t="s">
        <v>54</v>
      </c>
      <c r="N175" s="717">
        <v>64802</v>
      </c>
      <c r="O175" s="408">
        <v>64802</v>
      </c>
      <c r="P175" s="408">
        <v>64811</v>
      </c>
      <c r="Q175" s="405" t="s">
        <v>51</v>
      </c>
      <c r="R175" s="365"/>
      <c r="S175" s="321"/>
      <c r="T175" s="321"/>
    </row>
    <row r="176" spans="1:20">
      <c r="A176" s="377">
        <v>175</v>
      </c>
      <c r="B176" s="15" t="s">
        <v>43</v>
      </c>
      <c r="C176" s="405" t="s">
        <v>44</v>
      </c>
      <c r="D176" s="405" t="s">
        <v>45</v>
      </c>
      <c r="E176" s="398" t="s">
        <v>342</v>
      </c>
      <c r="F176" s="399">
        <v>8</v>
      </c>
      <c r="G176" s="384"/>
      <c r="H176" s="405"/>
      <c r="I176" s="399">
        <v>30</v>
      </c>
      <c r="J176" s="399" t="s">
        <v>48</v>
      </c>
      <c r="K176" s="384" t="s">
        <v>53</v>
      </c>
      <c r="L176" s="384"/>
      <c r="M176" s="375" t="s">
        <v>119</v>
      </c>
      <c r="N176" s="717">
        <v>64803</v>
      </c>
      <c r="O176" s="408">
        <v>64803</v>
      </c>
      <c r="P176" s="405" t="s">
        <v>343</v>
      </c>
      <c r="Q176" s="405" t="s">
        <v>51</v>
      </c>
      <c r="R176" s="365"/>
      <c r="S176" s="321"/>
      <c r="T176" s="321"/>
    </row>
    <row r="177" spans="1:20">
      <c r="A177" s="377">
        <v>176</v>
      </c>
      <c r="B177" s="15" t="s">
        <v>43</v>
      </c>
      <c r="C177" s="405" t="s">
        <v>44</v>
      </c>
      <c r="D177" s="405" t="s">
        <v>45</v>
      </c>
      <c r="E177" s="405" t="s">
        <v>344</v>
      </c>
      <c r="F177" s="384">
        <v>7</v>
      </c>
      <c r="G177" s="384"/>
      <c r="H177" s="405"/>
      <c r="I177" s="384">
        <v>20</v>
      </c>
      <c r="J177" s="399" t="s">
        <v>48</v>
      </c>
      <c r="K177" s="384" t="s">
        <v>345</v>
      </c>
      <c r="L177" s="384"/>
      <c r="M177" s="375" t="s">
        <v>119</v>
      </c>
      <c r="N177" s="714" t="s">
        <v>346</v>
      </c>
      <c r="O177" s="405" t="s">
        <v>346</v>
      </c>
      <c r="P177" s="405" t="s">
        <v>343</v>
      </c>
      <c r="Q177" s="405" t="s">
        <v>51</v>
      </c>
      <c r="R177" s="365"/>
      <c r="S177" s="321"/>
      <c r="T177" s="321"/>
    </row>
    <row r="178" spans="1:20">
      <c r="A178" s="377">
        <v>177</v>
      </c>
      <c r="B178" s="15" t="s">
        <v>43</v>
      </c>
      <c r="C178" s="405" t="s">
        <v>44</v>
      </c>
      <c r="D178" s="405" t="s">
        <v>45</v>
      </c>
      <c r="E178" s="405" t="s">
        <v>347</v>
      </c>
      <c r="F178" s="384">
        <v>6</v>
      </c>
      <c r="G178" s="384"/>
      <c r="H178" s="405"/>
      <c r="I178" s="384">
        <v>26</v>
      </c>
      <c r="J178" s="402" t="s">
        <v>90</v>
      </c>
      <c r="K178" s="384" t="s">
        <v>345</v>
      </c>
      <c r="L178" s="384"/>
      <c r="M178" s="375" t="s">
        <v>119</v>
      </c>
      <c r="N178" s="714" t="s">
        <v>346</v>
      </c>
      <c r="O178" s="405" t="s">
        <v>346</v>
      </c>
      <c r="P178" s="405" t="s">
        <v>343</v>
      </c>
      <c r="Q178" s="405" t="s">
        <v>51</v>
      </c>
      <c r="R178" s="365"/>
      <c r="S178" s="321"/>
      <c r="T178" s="321"/>
    </row>
    <row r="179" spans="1:20">
      <c r="A179" s="377">
        <v>178</v>
      </c>
      <c r="B179" s="15" t="s">
        <v>43</v>
      </c>
      <c r="C179" s="405" t="s">
        <v>44</v>
      </c>
      <c r="D179" s="405" t="s">
        <v>45</v>
      </c>
      <c r="E179" s="405" t="s">
        <v>348</v>
      </c>
      <c r="F179" s="399">
        <v>9</v>
      </c>
      <c r="G179" s="384"/>
      <c r="H179" s="405"/>
      <c r="I179" s="384">
        <v>23</v>
      </c>
      <c r="J179" s="402" t="s">
        <v>90</v>
      </c>
      <c r="K179" s="384" t="s">
        <v>53</v>
      </c>
      <c r="L179" s="384"/>
      <c r="M179" s="375" t="s">
        <v>119</v>
      </c>
      <c r="N179" s="714" t="s">
        <v>346</v>
      </c>
      <c r="O179" s="405" t="s">
        <v>346</v>
      </c>
      <c r="P179" s="405" t="s">
        <v>343</v>
      </c>
      <c r="Q179" s="405" t="s">
        <v>51</v>
      </c>
      <c r="R179" s="365"/>
      <c r="S179" s="321"/>
      <c r="T179" s="321"/>
    </row>
    <row r="180" spans="1:20">
      <c r="A180" s="377">
        <v>179</v>
      </c>
      <c r="B180" s="15" t="s">
        <v>43</v>
      </c>
      <c r="C180" s="405" t="s">
        <v>44</v>
      </c>
      <c r="D180" s="405" t="s">
        <v>45</v>
      </c>
      <c r="E180" s="405" t="s">
        <v>349</v>
      </c>
      <c r="F180" s="399">
        <v>15</v>
      </c>
      <c r="G180" s="384"/>
      <c r="H180" s="405"/>
      <c r="I180" s="384">
        <v>20</v>
      </c>
      <c r="J180" s="399" t="s">
        <v>48</v>
      </c>
      <c r="K180" s="384" t="s">
        <v>53</v>
      </c>
      <c r="L180" s="384"/>
      <c r="M180" s="375" t="s">
        <v>119</v>
      </c>
      <c r="N180" s="714" t="s">
        <v>346</v>
      </c>
      <c r="O180" s="405" t="s">
        <v>346</v>
      </c>
      <c r="P180" s="405" t="s">
        <v>343</v>
      </c>
      <c r="Q180" s="405" t="s">
        <v>51</v>
      </c>
      <c r="R180" s="365"/>
      <c r="S180" s="321"/>
      <c r="T180" s="321"/>
    </row>
    <row r="181" spans="1:20">
      <c r="A181" s="377">
        <v>180</v>
      </c>
      <c r="B181" s="15" t="s">
        <v>43</v>
      </c>
      <c r="C181" s="405" t="s">
        <v>44</v>
      </c>
      <c r="D181" s="405" t="s">
        <v>45</v>
      </c>
      <c r="E181" s="394" t="s">
        <v>350</v>
      </c>
      <c r="F181" s="399">
        <v>17</v>
      </c>
      <c r="G181" s="384"/>
      <c r="H181" s="405"/>
      <c r="I181" s="384">
        <v>15</v>
      </c>
      <c r="J181" s="402" t="s">
        <v>90</v>
      </c>
      <c r="K181" s="384" t="s">
        <v>53</v>
      </c>
      <c r="L181" s="384"/>
      <c r="M181" s="375" t="s">
        <v>119</v>
      </c>
      <c r="N181" s="714" t="s">
        <v>346</v>
      </c>
      <c r="O181" s="405" t="s">
        <v>346</v>
      </c>
      <c r="P181" s="405" t="s">
        <v>343</v>
      </c>
      <c r="Q181" s="405" t="s">
        <v>51</v>
      </c>
      <c r="R181" s="365"/>
      <c r="S181" s="321"/>
      <c r="T181" s="321"/>
    </row>
    <row r="182" spans="1:20">
      <c r="A182" s="377">
        <v>181</v>
      </c>
      <c r="B182" s="15" t="s">
        <v>43</v>
      </c>
      <c r="C182" s="405" t="s">
        <v>44</v>
      </c>
      <c r="D182" s="405" t="s">
        <v>45</v>
      </c>
      <c r="E182" s="405" t="s">
        <v>351</v>
      </c>
      <c r="F182" s="399" t="s">
        <v>352</v>
      </c>
      <c r="G182" s="384"/>
      <c r="H182" s="405"/>
      <c r="I182" s="384">
        <v>24</v>
      </c>
      <c r="J182" s="399" t="s">
        <v>48</v>
      </c>
      <c r="K182" s="384" t="s">
        <v>345</v>
      </c>
      <c r="L182" s="384"/>
      <c r="M182" s="384" t="s">
        <v>262</v>
      </c>
      <c r="N182" s="718">
        <v>44095</v>
      </c>
      <c r="O182" s="405"/>
      <c r="P182" s="405" t="s">
        <v>343</v>
      </c>
      <c r="Q182" s="405" t="s">
        <v>51</v>
      </c>
      <c r="R182" s="365"/>
      <c r="S182" s="321"/>
      <c r="T182" s="321"/>
    </row>
    <row r="183" spans="1:20">
      <c r="A183" s="377">
        <v>182</v>
      </c>
      <c r="B183" s="15" t="s">
        <v>43</v>
      </c>
      <c r="C183" s="405" t="s">
        <v>44</v>
      </c>
      <c r="D183" s="405" t="s">
        <v>45</v>
      </c>
      <c r="E183" s="405" t="s">
        <v>353</v>
      </c>
      <c r="F183" s="384">
        <v>9844932952</v>
      </c>
      <c r="G183" s="384"/>
      <c r="H183" s="405"/>
      <c r="I183" s="384">
        <v>25</v>
      </c>
      <c r="J183" s="399" t="s">
        <v>48</v>
      </c>
      <c r="K183" s="384" t="s">
        <v>53</v>
      </c>
      <c r="L183" s="384"/>
      <c r="M183" s="375" t="s">
        <v>119</v>
      </c>
      <c r="N183" s="714" t="s">
        <v>354</v>
      </c>
      <c r="O183" s="405" t="s">
        <v>354</v>
      </c>
      <c r="P183" s="405" t="s">
        <v>343</v>
      </c>
      <c r="Q183" s="405" t="s">
        <v>51</v>
      </c>
      <c r="R183" s="365"/>
      <c r="S183" s="321"/>
      <c r="T183" s="321"/>
    </row>
    <row r="184" spans="1:20">
      <c r="A184" s="377">
        <v>183</v>
      </c>
      <c r="B184" s="15" t="s">
        <v>43</v>
      </c>
      <c r="C184" s="405" t="s">
        <v>44</v>
      </c>
      <c r="D184" s="405" t="s">
        <v>45</v>
      </c>
      <c r="E184" s="405" t="s">
        <v>355</v>
      </c>
      <c r="F184" s="384">
        <v>9857866788</v>
      </c>
      <c r="G184" s="384"/>
      <c r="H184" s="405"/>
      <c r="I184" s="384">
        <v>34</v>
      </c>
      <c r="J184" s="399" t="s">
        <v>48</v>
      </c>
      <c r="K184" s="384" t="s">
        <v>53</v>
      </c>
      <c r="L184" s="384"/>
      <c r="M184" s="384" t="s">
        <v>280</v>
      </c>
      <c r="N184" s="714" t="s">
        <v>354</v>
      </c>
      <c r="O184" s="405" t="s">
        <v>354</v>
      </c>
      <c r="P184" s="405" t="s">
        <v>343</v>
      </c>
      <c r="Q184" s="405" t="s">
        <v>51</v>
      </c>
      <c r="R184" s="365"/>
      <c r="S184" s="321"/>
      <c r="T184" s="321"/>
    </row>
    <row r="185" spans="1:20">
      <c r="A185" s="377">
        <v>184</v>
      </c>
      <c r="B185" s="15" t="s">
        <v>43</v>
      </c>
      <c r="C185" s="405" t="s">
        <v>44</v>
      </c>
      <c r="D185" s="405" t="s">
        <v>45</v>
      </c>
      <c r="E185" s="405" t="s">
        <v>356</v>
      </c>
      <c r="F185" s="384">
        <v>9844972249</v>
      </c>
      <c r="G185" s="384"/>
      <c r="H185" s="405"/>
      <c r="I185" s="384">
        <v>29</v>
      </c>
      <c r="J185" s="399" t="s">
        <v>48</v>
      </c>
      <c r="K185" s="384" t="s">
        <v>53</v>
      </c>
      <c r="L185" s="384"/>
      <c r="M185" s="375" t="s">
        <v>119</v>
      </c>
      <c r="N185" s="714" t="s">
        <v>354</v>
      </c>
      <c r="O185" s="405" t="s">
        <v>354</v>
      </c>
      <c r="P185" s="405" t="s">
        <v>343</v>
      </c>
      <c r="Q185" s="405" t="s">
        <v>51</v>
      </c>
      <c r="R185" s="365"/>
      <c r="S185" s="321"/>
      <c r="T185" s="321"/>
    </row>
    <row r="186" spans="1:20">
      <c r="A186" s="377">
        <v>185</v>
      </c>
      <c r="B186" s="15" t="s">
        <v>43</v>
      </c>
      <c r="C186" s="405" t="s">
        <v>44</v>
      </c>
      <c r="D186" s="405" t="s">
        <v>45</v>
      </c>
      <c r="E186" s="405" t="s">
        <v>357</v>
      </c>
      <c r="F186" s="384">
        <v>9841742428</v>
      </c>
      <c r="G186" s="384"/>
      <c r="H186" s="405"/>
      <c r="I186" s="384">
        <v>52</v>
      </c>
      <c r="J186" s="399" t="s">
        <v>48</v>
      </c>
      <c r="K186" s="384" t="s">
        <v>53</v>
      </c>
      <c r="L186" s="384"/>
      <c r="M186" s="375" t="s">
        <v>155</v>
      </c>
      <c r="N186" s="714" t="s">
        <v>354</v>
      </c>
      <c r="O186" s="405" t="s">
        <v>354</v>
      </c>
      <c r="P186" s="405" t="s">
        <v>343</v>
      </c>
      <c r="Q186" s="405" t="s">
        <v>51</v>
      </c>
      <c r="R186" s="365"/>
      <c r="S186" s="321"/>
      <c r="T186" s="321"/>
    </row>
    <row r="187" spans="1:20">
      <c r="A187" s="377">
        <v>186</v>
      </c>
      <c r="B187" s="15" t="s">
        <v>43</v>
      </c>
      <c r="C187" s="405" t="s">
        <v>44</v>
      </c>
      <c r="D187" s="405" t="s">
        <v>45</v>
      </c>
      <c r="E187" s="405" t="s">
        <v>358</v>
      </c>
      <c r="F187" s="384" t="s">
        <v>359</v>
      </c>
      <c r="G187" s="384"/>
      <c r="H187" s="405"/>
      <c r="I187" s="384">
        <v>29</v>
      </c>
      <c r="J187" s="399" t="s">
        <v>48</v>
      </c>
      <c r="K187" s="384" t="s">
        <v>53</v>
      </c>
      <c r="L187" s="384"/>
      <c r="M187" s="375" t="s">
        <v>119</v>
      </c>
      <c r="N187" s="714" t="s">
        <v>360</v>
      </c>
      <c r="O187" s="405" t="s">
        <v>360</v>
      </c>
      <c r="P187" s="405" t="s">
        <v>343</v>
      </c>
      <c r="Q187" s="405" t="s">
        <v>51</v>
      </c>
      <c r="R187" s="365"/>
      <c r="S187" s="321"/>
      <c r="T187" s="321"/>
    </row>
    <row r="188" spans="1:20">
      <c r="A188" s="377">
        <v>187</v>
      </c>
      <c r="B188" s="15" t="s">
        <v>43</v>
      </c>
      <c r="C188" s="405" t="s">
        <v>44</v>
      </c>
      <c r="D188" s="405" t="s">
        <v>45</v>
      </c>
      <c r="E188" s="405" t="s">
        <v>361</v>
      </c>
      <c r="F188" s="384" t="s">
        <v>359</v>
      </c>
      <c r="G188" s="384"/>
      <c r="H188" s="405"/>
      <c r="I188" s="384">
        <v>10</v>
      </c>
      <c r="J188" s="399" t="s">
        <v>48</v>
      </c>
      <c r="K188" s="384" t="s">
        <v>53</v>
      </c>
      <c r="L188" s="384"/>
      <c r="M188" s="375" t="s">
        <v>119</v>
      </c>
      <c r="N188" s="714" t="s">
        <v>360</v>
      </c>
      <c r="O188" s="405" t="s">
        <v>360</v>
      </c>
      <c r="P188" s="405" t="s">
        <v>343</v>
      </c>
      <c r="Q188" s="405" t="s">
        <v>51</v>
      </c>
      <c r="R188" s="365"/>
      <c r="S188" s="321"/>
      <c r="T188" s="321"/>
    </row>
    <row r="189" spans="1:20">
      <c r="A189" s="377">
        <v>188</v>
      </c>
      <c r="B189" s="15" t="s">
        <v>43</v>
      </c>
      <c r="C189" s="405" t="s">
        <v>44</v>
      </c>
      <c r="D189" s="405" t="s">
        <v>45</v>
      </c>
      <c r="E189" s="405" t="s">
        <v>362</v>
      </c>
      <c r="F189" s="384" t="s">
        <v>363</v>
      </c>
      <c r="G189" s="384"/>
      <c r="H189" s="405"/>
      <c r="I189" s="384">
        <v>61</v>
      </c>
      <c r="J189" s="402" t="s">
        <v>90</v>
      </c>
      <c r="K189" s="384" t="s">
        <v>53</v>
      </c>
      <c r="L189" s="384"/>
      <c r="M189" s="375" t="s">
        <v>119</v>
      </c>
      <c r="N189" s="714" t="s">
        <v>360</v>
      </c>
      <c r="O189" s="405" t="s">
        <v>360</v>
      </c>
      <c r="P189" s="405" t="s">
        <v>343</v>
      </c>
      <c r="Q189" s="405" t="s">
        <v>51</v>
      </c>
      <c r="R189" s="365"/>
      <c r="S189" s="321"/>
      <c r="T189" s="321"/>
    </row>
    <row r="190" spans="1:20">
      <c r="A190" s="377">
        <v>189</v>
      </c>
      <c r="B190" s="15" t="s">
        <v>43</v>
      </c>
      <c r="C190" s="405" t="s">
        <v>44</v>
      </c>
      <c r="D190" s="405" t="s">
        <v>45</v>
      </c>
      <c r="E190" s="405" t="s">
        <v>364</v>
      </c>
      <c r="F190" s="384" t="s">
        <v>363</v>
      </c>
      <c r="G190" s="384"/>
      <c r="H190" s="405"/>
      <c r="I190" s="384">
        <v>25</v>
      </c>
      <c r="J190" s="399" t="s">
        <v>48</v>
      </c>
      <c r="K190" s="384" t="s">
        <v>53</v>
      </c>
      <c r="L190" s="384"/>
      <c r="M190" s="375" t="s">
        <v>119</v>
      </c>
      <c r="N190" s="714" t="s">
        <v>360</v>
      </c>
      <c r="O190" s="405" t="s">
        <v>360</v>
      </c>
      <c r="P190" s="405" t="s">
        <v>343</v>
      </c>
      <c r="Q190" s="405" t="s">
        <v>51</v>
      </c>
      <c r="R190" s="365"/>
      <c r="S190" s="321"/>
      <c r="T190" s="321"/>
    </row>
    <row r="191" spans="1:20">
      <c r="A191" s="377">
        <v>190</v>
      </c>
      <c r="B191" s="15" t="s">
        <v>43</v>
      </c>
      <c r="C191" s="405" t="s">
        <v>44</v>
      </c>
      <c r="D191" s="405" t="s">
        <v>45</v>
      </c>
      <c r="E191" s="405" t="s">
        <v>365</v>
      </c>
      <c r="F191" s="384" t="s">
        <v>366</v>
      </c>
      <c r="G191" s="384"/>
      <c r="H191" s="405"/>
      <c r="I191" s="384">
        <v>23</v>
      </c>
      <c r="J191" s="402" t="s">
        <v>90</v>
      </c>
      <c r="K191" s="384" t="s">
        <v>53</v>
      </c>
      <c r="L191" s="384"/>
      <c r="M191" s="375" t="s">
        <v>54</v>
      </c>
      <c r="N191" s="714" t="s">
        <v>360</v>
      </c>
      <c r="O191" s="405" t="s">
        <v>367</v>
      </c>
      <c r="P191" s="405" t="s">
        <v>343</v>
      </c>
      <c r="Q191" s="405" t="s">
        <v>51</v>
      </c>
      <c r="R191" s="365"/>
      <c r="S191" s="321"/>
      <c r="T191" s="321"/>
    </row>
    <row r="192" spans="1:20">
      <c r="A192" s="377">
        <v>191</v>
      </c>
      <c r="B192" s="15" t="s">
        <v>43</v>
      </c>
      <c r="C192" s="405" t="s">
        <v>44</v>
      </c>
      <c r="D192" s="405" t="s">
        <v>45</v>
      </c>
      <c r="E192" s="405" t="s">
        <v>368</v>
      </c>
      <c r="F192" s="384" t="s">
        <v>366</v>
      </c>
      <c r="G192" s="384"/>
      <c r="H192" s="405"/>
      <c r="I192" s="384">
        <v>4</v>
      </c>
      <c r="J192" s="399" t="s">
        <v>48</v>
      </c>
      <c r="K192" s="384" t="s">
        <v>53</v>
      </c>
      <c r="L192" s="384"/>
      <c r="M192" s="375" t="s">
        <v>54</v>
      </c>
      <c r="N192" s="714" t="s">
        <v>360</v>
      </c>
      <c r="O192" s="405" t="s">
        <v>367</v>
      </c>
      <c r="P192" s="405" t="s">
        <v>343</v>
      </c>
      <c r="Q192" s="405" t="s">
        <v>51</v>
      </c>
      <c r="R192" s="365"/>
      <c r="S192" s="321"/>
      <c r="T192" s="321"/>
    </row>
    <row r="193" spans="1:20">
      <c r="A193" s="377">
        <v>192</v>
      </c>
      <c r="B193" s="15" t="s">
        <v>43</v>
      </c>
      <c r="C193" s="405" t="s">
        <v>44</v>
      </c>
      <c r="D193" s="405" t="s">
        <v>45</v>
      </c>
      <c r="E193" s="405" t="s">
        <v>369</v>
      </c>
      <c r="F193" s="384" t="s">
        <v>370</v>
      </c>
      <c r="G193" s="384"/>
      <c r="H193" s="405"/>
      <c r="I193" s="384">
        <v>58</v>
      </c>
      <c r="J193" s="399" t="s">
        <v>48</v>
      </c>
      <c r="K193" s="384" t="s">
        <v>53</v>
      </c>
      <c r="L193" s="384"/>
      <c r="M193" s="375" t="s">
        <v>54</v>
      </c>
      <c r="N193" s="714" t="s">
        <v>360</v>
      </c>
      <c r="O193" s="405" t="s">
        <v>367</v>
      </c>
      <c r="P193" s="405" t="s">
        <v>343</v>
      </c>
      <c r="Q193" s="405" t="s">
        <v>51</v>
      </c>
      <c r="R193" s="365"/>
      <c r="S193" s="321"/>
      <c r="T193" s="321"/>
    </row>
    <row r="194" spans="1:20">
      <c r="A194" s="377">
        <v>193</v>
      </c>
      <c r="B194" s="15" t="s">
        <v>43</v>
      </c>
      <c r="C194" s="405" t="s">
        <v>44</v>
      </c>
      <c r="D194" s="405" t="s">
        <v>45</v>
      </c>
      <c r="E194" s="405" t="s">
        <v>371</v>
      </c>
      <c r="F194" s="384" t="s">
        <v>370</v>
      </c>
      <c r="G194" s="384"/>
      <c r="H194" s="405"/>
      <c r="I194" s="384">
        <v>7</v>
      </c>
      <c r="J194" s="402" t="s">
        <v>90</v>
      </c>
      <c r="K194" s="384" t="s">
        <v>53</v>
      </c>
      <c r="L194" s="384"/>
      <c r="M194" s="375" t="s">
        <v>54</v>
      </c>
      <c r="N194" s="714" t="s">
        <v>360</v>
      </c>
      <c r="O194" s="405" t="s">
        <v>367</v>
      </c>
      <c r="P194" s="405" t="s">
        <v>343</v>
      </c>
      <c r="Q194" s="405" t="s">
        <v>51</v>
      </c>
      <c r="R194" s="365"/>
      <c r="S194" s="321"/>
      <c r="T194" s="321"/>
    </row>
    <row r="195" spans="1:20">
      <c r="A195" s="377">
        <v>194</v>
      </c>
      <c r="B195" s="15" t="s">
        <v>43</v>
      </c>
      <c r="C195" s="405" t="s">
        <v>44</v>
      </c>
      <c r="D195" s="405" t="s">
        <v>45</v>
      </c>
      <c r="E195" s="405" t="s">
        <v>372</v>
      </c>
      <c r="F195" s="384" t="s">
        <v>370</v>
      </c>
      <c r="G195" s="384"/>
      <c r="H195" s="405"/>
      <c r="I195" s="384">
        <v>7</v>
      </c>
      <c r="J195" s="402" t="s">
        <v>90</v>
      </c>
      <c r="K195" s="384" t="s">
        <v>53</v>
      </c>
      <c r="L195" s="384"/>
      <c r="M195" s="375" t="s">
        <v>54</v>
      </c>
      <c r="N195" s="714" t="s">
        <v>360</v>
      </c>
      <c r="O195" s="405" t="s">
        <v>367</v>
      </c>
      <c r="P195" s="405" t="s">
        <v>343</v>
      </c>
      <c r="Q195" s="405" t="s">
        <v>51</v>
      </c>
      <c r="R195" s="365"/>
      <c r="S195" s="321"/>
      <c r="T195" s="321"/>
    </row>
    <row r="196" spans="1:20">
      <c r="A196" s="377">
        <v>195</v>
      </c>
      <c r="B196" s="15" t="s">
        <v>43</v>
      </c>
      <c r="C196" s="405" t="s">
        <v>44</v>
      </c>
      <c r="D196" s="405" t="s">
        <v>45</v>
      </c>
      <c r="E196" s="405" t="s">
        <v>373</v>
      </c>
      <c r="F196" s="384" t="s">
        <v>370</v>
      </c>
      <c r="G196" s="384"/>
      <c r="H196" s="405"/>
      <c r="I196" s="384">
        <v>14</v>
      </c>
      <c r="J196" s="402" t="s">
        <v>90</v>
      </c>
      <c r="K196" s="384" t="s">
        <v>53</v>
      </c>
      <c r="L196" s="384"/>
      <c r="M196" s="375" t="s">
        <v>54</v>
      </c>
      <c r="N196" s="714" t="s">
        <v>360</v>
      </c>
      <c r="O196" s="405" t="s">
        <v>367</v>
      </c>
      <c r="P196" s="405" t="s">
        <v>343</v>
      </c>
      <c r="Q196" s="405" t="s">
        <v>51</v>
      </c>
      <c r="R196" s="365"/>
      <c r="S196" s="321"/>
      <c r="T196" s="321"/>
    </row>
    <row r="197" spans="1:20">
      <c r="A197" s="377">
        <v>196</v>
      </c>
      <c r="B197" s="15" t="s">
        <v>43</v>
      </c>
      <c r="C197" s="405" t="s">
        <v>44</v>
      </c>
      <c r="D197" s="405" t="s">
        <v>45</v>
      </c>
      <c r="E197" s="405" t="s">
        <v>374</v>
      </c>
      <c r="F197" s="384" t="s">
        <v>168</v>
      </c>
      <c r="G197" s="384"/>
      <c r="H197" s="405"/>
      <c r="I197" s="384">
        <v>50</v>
      </c>
      <c r="J197" s="399" t="s">
        <v>48</v>
      </c>
      <c r="K197" s="384" t="s">
        <v>53</v>
      </c>
      <c r="L197" s="384"/>
      <c r="M197" s="375" t="s">
        <v>54</v>
      </c>
      <c r="N197" s="714" t="s">
        <v>360</v>
      </c>
      <c r="O197" s="405" t="s">
        <v>367</v>
      </c>
      <c r="P197" s="405" t="s">
        <v>343</v>
      </c>
      <c r="Q197" s="405" t="s">
        <v>51</v>
      </c>
      <c r="R197" s="365"/>
      <c r="S197" s="321"/>
      <c r="T197" s="321"/>
    </row>
    <row r="198" spans="1:20">
      <c r="A198" s="377">
        <v>197</v>
      </c>
      <c r="B198" s="409" t="s">
        <v>43</v>
      </c>
      <c r="C198" s="410" t="s">
        <v>44</v>
      </c>
      <c r="D198" s="410" t="s">
        <v>45</v>
      </c>
      <c r="E198" s="410" t="s">
        <v>375</v>
      </c>
      <c r="F198" s="411" t="s">
        <v>366</v>
      </c>
      <c r="G198" s="411"/>
      <c r="H198" s="410"/>
      <c r="I198" s="411">
        <v>24</v>
      </c>
      <c r="J198" s="412" t="s">
        <v>48</v>
      </c>
      <c r="K198" s="411" t="s">
        <v>53</v>
      </c>
      <c r="L198" s="411"/>
      <c r="M198" s="413" t="s">
        <v>54</v>
      </c>
      <c r="N198" s="719" t="s">
        <v>360</v>
      </c>
      <c r="O198" s="410" t="s">
        <v>367</v>
      </c>
      <c r="P198" s="410" t="s">
        <v>343</v>
      </c>
      <c r="Q198" s="410" t="s">
        <v>51</v>
      </c>
      <c r="R198" s="366"/>
      <c r="S198" s="324"/>
      <c r="T198" s="324"/>
    </row>
    <row r="199" spans="1:20">
      <c r="A199" s="377">
        <v>198</v>
      </c>
      <c r="B199" s="415" t="s">
        <v>43</v>
      </c>
      <c r="C199" s="416" t="s">
        <v>44</v>
      </c>
      <c r="D199" s="416" t="s">
        <v>45</v>
      </c>
      <c r="E199" s="416" t="s">
        <v>376</v>
      </c>
      <c r="F199" s="417" t="s">
        <v>377</v>
      </c>
      <c r="G199" s="417">
        <v>9844934756</v>
      </c>
      <c r="H199" s="416"/>
      <c r="I199" s="417">
        <v>28</v>
      </c>
      <c r="J199" s="418" t="s">
        <v>48</v>
      </c>
      <c r="K199" s="417" t="s">
        <v>53</v>
      </c>
      <c r="L199" s="417"/>
      <c r="M199" s="419" t="s">
        <v>119</v>
      </c>
      <c r="N199" s="720" t="s">
        <v>360</v>
      </c>
      <c r="O199" s="416" t="s">
        <v>360</v>
      </c>
      <c r="P199" s="416" t="s">
        <v>343</v>
      </c>
      <c r="Q199" s="416" t="s">
        <v>51</v>
      </c>
      <c r="R199" s="367" t="s">
        <v>378</v>
      </c>
      <c r="S199" s="325"/>
      <c r="T199" s="325"/>
    </row>
    <row r="200" spans="1:20">
      <c r="A200" s="377">
        <v>199</v>
      </c>
      <c r="B200" s="15" t="s">
        <v>43</v>
      </c>
      <c r="C200" s="405" t="s">
        <v>44</v>
      </c>
      <c r="D200" s="405" t="s">
        <v>45</v>
      </c>
      <c r="E200" s="405" t="s">
        <v>379</v>
      </c>
      <c r="F200" s="384" t="s">
        <v>377</v>
      </c>
      <c r="G200" s="384"/>
      <c r="H200" s="405"/>
      <c r="I200" s="384">
        <v>12</v>
      </c>
      <c r="J200" s="399" t="s">
        <v>48</v>
      </c>
      <c r="K200" s="384" t="s">
        <v>53</v>
      </c>
      <c r="L200" s="384"/>
      <c r="M200" s="375" t="s">
        <v>119</v>
      </c>
      <c r="N200" s="714" t="s">
        <v>360</v>
      </c>
      <c r="O200" s="405" t="s">
        <v>360</v>
      </c>
      <c r="P200" s="405" t="s">
        <v>343</v>
      </c>
      <c r="Q200" s="405" t="s">
        <v>51</v>
      </c>
      <c r="R200" s="365"/>
      <c r="S200" s="321"/>
      <c r="T200" s="321"/>
    </row>
    <row r="201" spans="1:20">
      <c r="A201" s="377">
        <v>200</v>
      </c>
      <c r="B201" s="15" t="s">
        <v>43</v>
      </c>
      <c r="C201" s="405" t="s">
        <v>44</v>
      </c>
      <c r="D201" s="405" t="s">
        <v>45</v>
      </c>
      <c r="E201" s="405" t="s">
        <v>380</v>
      </c>
      <c r="F201" s="384" t="s">
        <v>381</v>
      </c>
      <c r="G201" s="384"/>
      <c r="H201" s="405"/>
      <c r="I201" s="384">
        <v>27</v>
      </c>
      <c r="J201" s="402" t="s">
        <v>90</v>
      </c>
      <c r="K201" s="384" t="s">
        <v>53</v>
      </c>
      <c r="L201" s="384"/>
      <c r="M201" s="375" t="s">
        <v>119</v>
      </c>
      <c r="N201" s="714" t="s">
        <v>360</v>
      </c>
      <c r="O201" s="405" t="s">
        <v>360</v>
      </c>
      <c r="P201" s="405" t="s">
        <v>343</v>
      </c>
      <c r="Q201" s="405" t="s">
        <v>51</v>
      </c>
      <c r="R201" s="365"/>
      <c r="S201" s="321"/>
      <c r="T201" s="321"/>
    </row>
    <row r="202" spans="1:20">
      <c r="A202" s="377">
        <v>201</v>
      </c>
      <c r="B202" s="15" t="s">
        <v>43</v>
      </c>
      <c r="C202" s="405" t="s">
        <v>44</v>
      </c>
      <c r="D202" s="405" t="s">
        <v>45</v>
      </c>
      <c r="E202" s="405" t="s">
        <v>382</v>
      </c>
      <c r="F202" s="384" t="s">
        <v>377</v>
      </c>
      <c r="G202" s="384"/>
      <c r="H202" s="405"/>
      <c r="I202" s="384">
        <v>31</v>
      </c>
      <c r="J202" s="399" t="s">
        <v>48</v>
      </c>
      <c r="K202" s="384" t="s">
        <v>53</v>
      </c>
      <c r="L202" s="384"/>
      <c r="M202" s="375" t="s">
        <v>119</v>
      </c>
      <c r="N202" s="714" t="s">
        <v>360</v>
      </c>
      <c r="O202" s="405" t="s">
        <v>360</v>
      </c>
      <c r="P202" s="405" t="s">
        <v>343</v>
      </c>
      <c r="Q202" s="405" t="s">
        <v>51</v>
      </c>
      <c r="R202" s="365"/>
      <c r="S202" s="321"/>
      <c r="T202" s="321"/>
    </row>
    <row r="203" spans="1:20">
      <c r="A203" s="377">
        <v>202</v>
      </c>
      <c r="B203" s="15" t="s">
        <v>43</v>
      </c>
      <c r="C203" s="405" t="s">
        <v>44</v>
      </c>
      <c r="D203" s="405" t="s">
        <v>45</v>
      </c>
      <c r="E203" s="405" t="s">
        <v>383</v>
      </c>
      <c r="F203" s="384" t="s">
        <v>384</v>
      </c>
      <c r="G203" s="384"/>
      <c r="H203" s="405"/>
      <c r="I203" s="384">
        <v>11</v>
      </c>
      <c r="J203" s="399" t="s">
        <v>48</v>
      </c>
      <c r="K203" s="384" t="s">
        <v>53</v>
      </c>
      <c r="L203" s="384"/>
      <c r="M203" s="375" t="s">
        <v>119</v>
      </c>
      <c r="N203" s="714" t="s">
        <v>360</v>
      </c>
      <c r="O203" s="405" t="s">
        <v>360</v>
      </c>
      <c r="P203" s="405" t="s">
        <v>343</v>
      </c>
      <c r="Q203" s="405" t="s">
        <v>51</v>
      </c>
      <c r="R203" s="365"/>
      <c r="S203" s="321"/>
      <c r="T203" s="321"/>
    </row>
    <row r="204" spans="1:20">
      <c r="A204" s="377">
        <v>203</v>
      </c>
      <c r="B204" s="15" t="s">
        <v>43</v>
      </c>
      <c r="C204" s="405" t="s">
        <v>44</v>
      </c>
      <c r="D204" s="405" t="s">
        <v>45</v>
      </c>
      <c r="E204" s="405" t="s">
        <v>385</v>
      </c>
      <c r="F204" s="384" t="s">
        <v>363</v>
      </c>
      <c r="G204" s="384"/>
      <c r="H204" s="405"/>
      <c r="I204" s="384">
        <v>31</v>
      </c>
      <c r="J204" s="399" t="s">
        <v>48</v>
      </c>
      <c r="K204" s="384" t="s">
        <v>53</v>
      </c>
      <c r="L204" s="384"/>
      <c r="M204" s="375" t="s">
        <v>119</v>
      </c>
      <c r="N204" s="714" t="s">
        <v>360</v>
      </c>
      <c r="O204" s="405" t="s">
        <v>360</v>
      </c>
      <c r="P204" s="405" t="s">
        <v>343</v>
      </c>
      <c r="Q204" s="405" t="s">
        <v>51</v>
      </c>
      <c r="R204" s="365"/>
      <c r="S204" s="321"/>
      <c r="T204" s="321"/>
    </row>
    <row r="205" spans="1:20">
      <c r="A205" s="377">
        <v>204</v>
      </c>
      <c r="B205" s="15" t="s">
        <v>43</v>
      </c>
      <c r="C205" s="405" t="s">
        <v>44</v>
      </c>
      <c r="D205" s="405" t="s">
        <v>45</v>
      </c>
      <c r="E205" s="405" t="s">
        <v>386</v>
      </c>
      <c r="F205" s="384" t="s">
        <v>168</v>
      </c>
      <c r="G205" s="384"/>
      <c r="H205" s="405"/>
      <c r="I205" s="384">
        <v>25</v>
      </c>
      <c r="J205" s="402" t="s">
        <v>90</v>
      </c>
      <c r="K205" s="384" t="s">
        <v>53</v>
      </c>
      <c r="L205" s="384"/>
      <c r="M205" s="375" t="s">
        <v>119</v>
      </c>
      <c r="N205" s="714" t="s">
        <v>360</v>
      </c>
      <c r="O205" s="405" t="s">
        <v>360</v>
      </c>
      <c r="P205" s="405" t="s">
        <v>343</v>
      </c>
      <c r="Q205" s="405" t="s">
        <v>51</v>
      </c>
      <c r="R205" s="365"/>
      <c r="S205" s="321"/>
      <c r="T205" s="321"/>
    </row>
    <row r="206" spans="1:20">
      <c r="A206" s="377">
        <v>205</v>
      </c>
      <c r="B206" s="15" t="s">
        <v>43</v>
      </c>
      <c r="C206" s="405" t="s">
        <v>44</v>
      </c>
      <c r="D206" s="405" t="s">
        <v>45</v>
      </c>
      <c r="E206" s="405" t="s">
        <v>387</v>
      </c>
      <c r="F206" s="384" t="s">
        <v>168</v>
      </c>
      <c r="G206" s="384"/>
      <c r="H206" s="405"/>
      <c r="I206" s="384">
        <v>22</v>
      </c>
      <c r="J206" s="399" t="s">
        <v>48</v>
      </c>
      <c r="K206" s="384" t="s">
        <v>53</v>
      </c>
      <c r="L206" s="384"/>
      <c r="M206" s="375" t="s">
        <v>54</v>
      </c>
      <c r="N206" s="714" t="s">
        <v>360</v>
      </c>
      <c r="O206" s="405" t="s">
        <v>367</v>
      </c>
      <c r="P206" s="405" t="s">
        <v>343</v>
      </c>
      <c r="Q206" s="405" t="s">
        <v>51</v>
      </c>
      <c r="R206" s="365"/>
      <c r="S206" s="321"/>
      <c r="T206" s="321"/>
    </row>
    <row r="207" spans="1:20">
      <c r="A207" s="377">
        <v>206</v>
      </c>
      <c r="B207" s="73" t="s">
        <v>43</v>
      </c>
      <c r="C207" s="73" t="s">
        <v>44</v>
      </c>
      <c r="D207" s="73" t="s">
        <v>45</v>
      </c>
      <c r="E207" s="73" t="s">
        <v>388</v>
      </c>
      <c r="F207" s="373" t="s">
        <v>168</v>
      </c>
      <c r="G207" s="373"/>
      <c r="H207" s="73"/>
      <c r="I207" s="373">
        <v>25</v>
      </c>
      <c r="J207" s="402" t="s">
        <v>48</v>
      </c>
      <c r="K207" s="373" t="s">
        <v>53</v>
      </c>
      <c r="L207" s="373"/>
      <c r="M207" s="373" t="s">
        <v>54</v>
      </c>
      <c r="N207" s="714" t="s">
        <v>360</v>
      </c>
      <c r="O207" s="73" t="s">
        <v>367</v>
      </c>
      <c r="P207" s="405" t="s">
        <v>343</v>
      </c>
      <c r="Q207" s="405" t="s">
        <v>51</v>
      </c>
      <c r="R207" s="368"/>
      <c r="S207" s="323"/>
      <c r="T207" s="323"/>
    </row>
    <row r="208" spans="1:20">
      <c r="A208" s="377">
        <v>207</v>
      </c>
      <c r="B208" s="15" t="s">
        <v>43</v>
      </c>
      <c r="C208" s="405" t="s">
        <v>44</v>
      </c>
      <c r="D208" s="405" t="s">
        <v>45</v>
      </c>
      <c r="E208" s="405" t="s">
        <v>389</v>
      </c>
      <c r="F208" s="384" t="s">
        <v>390</v>
      </c>
      <c r="G208" s="384"/>
      <c r="H208" s="405"/>
      <c r="I208" s="384">
        <v>27</v>
      </c>
      <c r="J208" s="399" t="s">
        <v>48</v>
      </c>
      <c r="K208" s="384" t="s">
        <v>53</v>
      </c>
      <c r="L208" s="384"/>
      <c r="M208" s="375" t="s">
        <v>119</v>
      </c>
      <c r="N208" s="714" t="s">
        <v>367</v>
      </c>
      <c r="O208" s="405" t="s">
        <v>367</v>
      </c>
      <c r="P208" s="405" t="s">
        <v>391</v>
      </c>
      <c r="Q208" s="405" t="s">
        <v>51</v>
      </c>
      <c r="R208" s="365"/>
      <c r="S208" s="321"/>
      <c r="T208" s="321"/>
    </row>
    <row r="209" spans="1:20">
      <c r="A209" s="377">
        <v>208</v>
      </c>
      <c r="B209" s="415" t="s">
        <v>43</v>
      </c>
      <c r="C209" s="416" t="s">
        <v>44</v>
      </c>
      <c r="D209" s="416" t="s">
        <v>45</v>
      </c>
      <c r="E209" s="416" t="s">
        <v>392</v>
      </c>
      <c r="F209" s="417" t="s">
        <v>390</v>
      </c>
      <c r="G209" s="417"/>
      <c r="H209" s="416"/>
      <c r="I209" s="417">
        <v>24</v>
      </c>
      <c r="J209" s="418" t="s">
        <v>90</v>
      </c>
      <c r="K209" s="417" t="s">
        <v>53</v>
      </c>
      <c r="L209" s="417"/>
      <c r="M209" s="419" t="s">
        <v>119</v>
      </c>
      <c r="N209" s="720" t="s">
        <v>367</v>
      </c>
      <c r="O209" s="416" t="s">
        <v>367</v>
      </c>
      <c r="P209" s="405" t="s">
        <v>393</v>
      </c>
      <c r="Q209" s="405" t="s">
        <v>51</v>
      </c>
      <c r="R209" s="367"/>
      <c r="S209" s="325"/>
      <c r="T209" s="325" t="s">
        <v>394</v>
      </c>
    </row>
    <row r="210" spans="1:20">
      <c r="A210" s="421">
        <v>209</v>
      </c>
      <c r="B210" s="73" t="s">
        <v>395</v>
      </c>
      <c r="C210" s="73" t="s">
        <v>44</v>
      </c>
      <c r="D210" s="73" t="s">
        <v>45</v>
      </c>
      <c r="E210" s="73" t="s">
        <v>396</v>
      </c>
      <c r="F210" s="373" t="s">
        <v>397</v>
      </c>
      <c r="G210" s="423">
        <v>9847833089</v>
      </c>
      <c r="H210" s="422"/>
      <c r="I210" s="373">
        <v>36</v>
      </c>
      <c r="J210" s="402" t="s">
        <v>90</v>
      </c>
      <c r="K210" s="373" t="s">
        <v>53</v>
      </c>
      <c r="L210" s="423"/>
      <c r="M210" s="373" t="s">
        <v>119</v>
      </c>
      <c r="N210" s="714" t="s">
        <v>398</v>
      </c>
      <c r="O210" s="73" t="s">
        <v>314</v>
      </c>
      <c r="P210" s="73" t="s">
        <v>399</v>
      </c>
      <c r="Q210" s="73" t="s">
        <v>51</v>
      </c>
      <c r="R210" s="326"/>
      <c r="S210" s="326"/>
      <c r="T210" s="326"/>
    </row>
    <row r="211" spans="1:20">
      <c r="A211" s="424">
        <v>210</v>
      </c>
      <c r="B211" s="425" t="s">
        <v>400</v>
      </c>
      <c r="C211" s="425" t="s">
        <v>44</v>
      </c>
      <c r="D211" s="425" t="s">
        <v>45</v>
      </c>
      <c r="E211" s="425" t="s">
        <v>401</v>
      </c>
      <c r="F211" s="426" t="s">
        <v>402</v>
      </c>
      <c r="G211" s="429" t="s">
        <v>403</v>
      </c>
      <c r="H211" s="427"/>
      <c r="I211" s="426">
        <v>28</v>
      </c>
      <c r="J211" s="428" t="s">
        <v>404</v>
      </c>
      <c r="K211" s="426" t="s">
        <v>53</v>
      </c>
      <c r="L211" s="429"/>
      <c r="M211" s="426" t="s">
        <v>405</v>
      </c>
      <c r="N211" s="721" t="s">
        <v>406</v>
      </c>
      <c r="O211" s="430">
        <v>64809</v>
      </c>
      <c r="P211" s="427" t="s">
        <v>407</v>
      </c>
      <c r="Q211" s="73" t="s">
        <v>51</v>
      </c>
      <c r="R211" s="328"/>
      <c r="S211" s="328"/>
      <c r="T211" s="328"/>
    </row>
    <row r="212" spans="1:20">
      <c r="A212" s="377">
        <v>211</v>
      </c>
      <c r="B212" s="15" t="s">
        <v>400</v>
      </c>
      <c r="C212" s="405" t="s">
        <v>44</v>
      </c>
      <c r="D212" s="405" t="s">
        <v>45</v>
      </c>
      <c r="E212" s="376" t="s">
        <v>408</v>
      </c>
      <c r="F212" s="431" t="s">
        <v>409</v>
      </c>
      <c r="G212" s="434" t="s">
        <v>403</v>
      </c>
      <c r="I212" s="431">
        <v>43</v>
      </c>
      <c r="J212" s="433" t="s">
        <v>48</v>
      </c>
      <c r="K212" s="384" t="s">
        <v>53</v>
      </c>
      <c r="M212" s="375" t="s">
        <v>405</v>
      </c>
      <c r="N212" s="714" t="s">
        <v>410</v>
      </c>
      <c r="O212" s="405" t="s">
        <v>410</v>
      </c>
      <c r="P212" s="376" t="s">
        <v>407</v>
      </c>
      <c r="Q212" s="73" t="s">
        <v>51</v>
      </c>
    </row>
    <row r="213" spans="1:20">
      <c r="A213" s="377">
        <v>212</v>
      </c>
      <c r="B213" s="415" t="s">
        <v>400</v>
      </c>
      <c r="C213" s="416" t="s">
        <v>44</v>
      </c>
      <c r="D213" s="416" t="s">
        <v>45</v>
      </c>
      <c r="E213" s="420" t="s">
        <v>411</v>
      </c>
      <c r="F213" s="435" t="s">
        <v>412</v>
      </c>
      <c r="G213" s="438" t="s">
        <v>403</v>
      </c>
      <c r="H213" s="436"/>
      <c r="I213" s="435">
        <v>42</v>
      </c>
      <c r="J213" s="437" t="s">
        <v>48</v>
      </c>
      <c r="K213" s="417" t="s">
        <v>53</v>
      </c>
      <c r="L213" s="438"/>
      <c r="M213" s="419" t="s">
        <v>405</v>
      </c>
      <c r="N213" s="720" t="s">
        <v>410</v>
      </c>
      <c r="O213" s="405" t="s">
        <v>410</v>
      </c>
      <c r="P213" s="436" t="s">
        <v>413</v>
      </c>
      <c r="Q213" s="73" t="s">
        <v>51</v>
      </c>
      <c r="R213" s="163"/>
      <c r="S213" s="163"/>
      <c r="T213" s="163"/>
    </row>
    <row r="214" spans="1:20">
      <c r="A214" s="377">
        <v>213</v>
      </c>
      <c r="B214" s="415" t="s">
        <v>400</v>
      </c>
      <c r="C214" s="416" t="s">
        <v>44</v>
      </c>
      <c r="D214" s="416" t="s">
        <v>45</v>
      </c>
      <c r="E214" s="420" t="s">
        <v>414</v>
      </c>
      <c r="F214" s="435" t="s">
        <v>415</v>
      </c>
      <c r="G214" s="438" t="s">
        <v>403</v>
      </c>
      <c r="H214" s="436"/>
      <c r="I214" s="435">
        <v>34</v>
      </c>
      <c r="J214" s="437" t="s">
        <v>48</v>
      </c>
      <c r="K214" s="417" t="s">
        <v>53</v>
      </c>
      <c r="L214" s="438"/>
      <c r="M214" s="419" t="s">
        <v>405</v>
      </c>
      <c r="N214" s="720" t="s">
        <v>410</v>
      </c>
      <c r="O214" s="405" t="s">
        <v>410</v>
      </c>
      <c r="P214" s="436" t="s">
        <v>416</v>
      </c>
      <c r="Q214" s="73" t="s">
        <v>51</v>
      </c>
      <c r="R214" s="163"/>
      <c r="S214" s="163"/>
      <c r="T214" s="163"/>
    </row>
    <row r="215" spans="1:20">
      <c r="A215" s="377">
        <v>214</v>
      </c>
      <c r="B215" s="415" t="s">
        <v>400</v>
      </c>
      <c r="C215" s="416" t="s">
        <v>44</v>
      </c>
      <c r="D215" s="416" t="s">
        <v>45</v>
      </c>
      <c r="E215" s="420" t="s">
        <v>417</v>
      </c>
      <c r="F215" s="435" t="s">
        <v>412</v>
      </c>
      <c r="G215" s="438" t="s">
        <v>403</v>
      </c>
      <c r="H215" s="436"/>
      <c r="I215" s="435">
        <v>25</v>
      </c>
      <c r="J215" s="437" t="s">
        <v>48</v>
      </c>
      <c r="K215" s="417" t="s">
        <v>53</v>
      </c>
      <c r="L215" s="438"/>
      <c r="M215" s="419" t="s">
        <v>405</v>
      </c>
      <c r="N215" s="720" t="s">
        <v>410</v>
      </c>
      <c r="O215" s="405" t="s">
        <v>410</v>
      </c>
      <c r="P215" s="436" t="s">
        <v>418</v>
      </c>
      <c r="Q215" s="73" t="s">
        <v>51</v>
      </c>
      <c r="R215" s="163"/>
      <c r="S215" s="163"/>
      <c r="T215" s="163"/>
    </row>
    <row r="216" spans="1:20">
      <c r="A216" s="439">
        <v>215</v>
      </c>
      <c r="B216" s="440" t="s">
        <v>400</v>
      </c>
      <c r="C216" s="440" t="s">
        <v>44</v>
      </c>
      <c r="D216" s="440" t="s">
        <v>45</v>
      </c>
      <c r="E216" s="440" t="s">
        <v>419</v>
      </c>
      <c r="F216" s="441" t="s">
        <v>420</v>
      </c>
      <c r="G216" s="444" t="s">
        <v>403</v>
      </c>
      <c r="H216" s="442"/>
      <c r="I216" s="441">
        <v>29</v>
      </c>
      <c r="J216" s="443" t="s">
        <v>48</v>
      </c>
      <c r="K216" s="441" t="s">
        <v>53</v>
      </c>
      <c r="L216" s="444"/>
      <c r="M216" s="441" t="s">
        <v>405</v>
      </c>
      <c r="N216" s="720" t="s">
        <v>410</v>
      </c>
      <c r="O216" s="440" t="s">
        <v>410</v>
      </c>
      <c r="P216" s="442" t="s">
        <v>407</v>
      </c>
      <c r="Q216" s="440" t="s">
        <v>51</v>
      </c>
      <c r="R216" s="329"/>
      <c r="S216" s="329"/>
      <c r="T216" s="329"/>
    </row>
    <row r="217" spans="1:20">
      <c r="A217" s="377">
        <v>216</v>
      </c>
      <c r="B217" s="415" t="s">
        <v>400</v>
      </c>
      <c r="C217" s="416" t="s">
        <v>44</v>
      </c>
      <c r="D217" s="416" t="s">
        <v>45</v>
      </c>
      <c r="E217" s="420" t="s">
        <v>421</v>
      </c>
      <c r="F217" s="435" t="s">
        <v>422</v>
      </c>
      <c r="G217" s="438" t="s">
        <v>403</v>
      </c>
      <c r="H217" s="436"/>
      <c r="I217" s="435">
        <v>43</v>
      </c>
      <c r="J217" s="437" t="s">
        <v>48</v>
      </c>
      <c r="K217" s="417" t="s">
        <v>53</v>
      </c>
      <c r="L217" s="438"/>
      <c r="M217" s="419" t="s">
        <v>405</v>
      </c>
      <c r="N217" s="720" t="s">
        <v>410</v>
      </c>
      <c r="O217" s="416" t="s">
        <v>410</v>
      </c>
      <c r="P217" s="436" t="s">
        <v>407</v>
      </c>
      <c r="Q217" s="445" t="s">
        <v>51</v>
      </c>
      <c r="R217" s="163" t="s">
        <v>423</v>
      </c>
      <c r="S217" s="163"/>
      <c r="T217" s="163"/>
    </row>
    <row r="218" spans="1:20">
      <c r="A218" s="377">
        <v>217</v>
      </c>
      <c r="B218" s="15" t="s">
        <v>400</v>
      </c>
      <c r="C218" s="405" t="s">
        <v>44</v>
      </c>
      <c r="D218" s="405" t="s">
        <v>45</v>
      </c>
      <c r="E218" s="376" t="s">
        <v>424</v>
      </c>
      <c r="F218" s="431" t="s">
        <v>425</v>
      </c>
      <c r="G218" s="434">
        <v>9812481317</v>
      </c>
      <c r="I218" s="431">
        <v>33</v>
      </c>
      <c r="J218" s="433" t="s">
        <v>48</v>
      </c>
      <c r="K218" s="384" t="s">
        <v>53</v>
      </c>
      <c r="M218" s="375" t="s">
        <v>119</v>
      </c>
      <c r="N218" s="714" t="s">
        <v>410</v>
      </c>
      <c r="O218" s="405" t="s">
        <v>410</v>
      </c>
      <c r="P218" s="432" t="s">
        <v>407</v>
      </c>
      <c r="Q218" s="73" t="s">
        <v>51</v>
      </c>
    </row>
    <row r="219" spans="1:20">
      <c r="A219" s="377">
        <v>218</v>
      </c>
      <c r="B219" s="15" t="s">
        <v>400</v>
      </c>
      <c r="C219" s="405" t="s">
        <v>44</v>
      </c>
      <c r="D219" s="405" t="s">
        <v>45</v>
      </c>
      <c r="E219" s="376" t="s">
        <v>426</v>
      </c>
      <c r="F219" s="431" t="s">
        <v>427</v>
      </c>
      <c r="G219" s="434">
        <v>9809527891</v>
      </c>
      <c r="I219" s="431">
        <v>22</v>
      </c>
      <c r="J219" s="433" t="s">
        <v>48</v>
      </c>
      <c r="K219" s="384" t="s">
        <v>53</v>
      </c>
      <c r="M219" s="375" t="s">
        <v>119</v>
      </c>
      <c r="N219" s="714" t="s">
        <v>410</v>
      </c>
      <c r="O219" s="405" t="s">
        <v>410</v>
      </c>
      <c r="P219" s="432" t="s">
        <v>407</v>
      </c>
      <c r="Q219" s="73" t="s">
        <v>51</v>
      </c>
    </row>
    <row r="220" spans="1:20">
      <c r="A220" s="377">
        <v>219</v>
      </c>
      <c r="B220" s="15" t="s">
        <v>400</v>
      </c>
      <c r="C220" s="405" t="s">
        <v>44</v>
      </c>
      <c r="D220" s="405" t="s">
        <v>45</v>
      </c>
      <c r="E220" s="376" t="s">
        <v>428</v>
      </c>
      <c r="F220" s="431" t="s">
        <v>412</v>
      </c>
      <c r="G220" s="434" t="s">
        <v>429</v>
      </c>
      <c r="I220" s="431">
        <v>28</v>
      </c>
      <c r="J220" s="433" t="s">
        <v>48</v>
      </c>
      <c r="K220" s="384" t="s">
        <v>53</v>
      </c>
      <c r="M220" s="375" t="s">
        <v>284</v>
      </c>
      <c r="N220" s="714" t="s">
        <v>410</v>
      </c>
      <c r="O220" s="405" t="s">
        <v>410</v>
      </c>
      <c r="P220" s="432" t="s">
        <v>407</v>
      </c>
      <c r="Q220" s="73" t="s">
        <v>51</v>
      </c>
    </row>
    <row r="221" spans="1:20">
      <c r="A221" s="377">
        <v>220</v>
      </c>
      <c r="B221" s="15" t="s">
        <v>400</v>
      </c>
      <c r="C221" s="405" t="s">
        <v>44</v>
      </c>
      <c r="D221" s="405" t="s">
        <v>45</v>
      </c>
      <c r="E221" s="376" t="s">
        <v>430</v>
      </c>
      <c r="F221" s="431" t="s">
        <v>422</v>
      </c>
      <c r="G221" s="434">
        <v>98124131797</v>
      </c>
      <c r="I221" s="431">
        <v>32</v>
      </c>
      <c r="J221" s="433" t="s">
        <v>48</v>
      </c>
      <c r="K221" s="384" t="s">
        <v>53</v>
      </c>
      <c r="M221" s="375" t="s">
        <v>431</v>
      </c>
      <c r="N221" s="714" t="s">
        <v>410</v>
      </c>
      <c r="O221" s="405" t="s">
        <v>410</v>
      </c>
      <c r="P221" s="432" t="s">
        <v>407</v>
      </c>
      <c r="Q221" s="73" t="s">
        <v>51</v>
      </c>
    </row>
    <row r="222" spans="1:20">
      <c r="A222" s="377">
        <v>221</v>
      </c>
      <c r="B222" s="15" t="s">
        <v>400</v>
      </c>
      <c r="C222" s="405" t="s">
        <v>44</v>
      </c>
      <c r="D222" s="405" t="s">
        <v>45</v>
      </c>
      <c r="E222" s="376" t="s">
        <v>432</v>
      </c>
      <c r="F222" s="431" t="s">
        <v>422</v>
      </c>
      <c r="G222" s="434">
        <v>9814128506</v>
      </c>
      <c r="I222" s="431">
        <v>30</v>
      </c>
      <c r="J222" s="402" t="s">
        <v>433</v>
      </c>
      <c r="K222" s="384" t="s">
        <v>53</v>
      </c>
      <c r="M222" s="375" t="s">
        <v>431</v>
      </c>
      <c r="N222" s="714" t="s">
        <v>410</v>
      </c>
      <c r="O222" s="405" t="s">
        <v>410</v>
      </c>
      <c r="P222" s="432" t="s">
        <v>407</v>
      </c>
      <c r="Q222" s="73" t="s">
        <v>51</v>
      </c>
    </row>
    <row r="223" spans="1:20">
      <c r="A223" s="377">
        <v>222</v>
      </c>
      <c r="B223" s="15" t="s">
        <v>400</v>
      </c>
      <c r="C223" s="405" t="s">
        <v>44</v>
      </c>
      <c r="D223" s="405" t="s">
        <v>45</v>
      </c>
      <c r="E223" s="376" t="s">
        <v>434</v>
      </c>
      <c r="F223" s="431" t="s">
        <v>359</v>
      </c>
      <c r="G223" s="434">
        <v>982413636</v>
      </c>
      <c r="I223" s="431">
        <v>38</v>
      </c>
      <c r="J223" s="433" t="s">
        <v>404</v>
      </c>
      <c r="K223" s="384" t="s">
        <v>53</v>
      </c>
      <c r="M223" s="375" t="s">
        <v>431</v>
      </c>
      <c r="N223" s="714" t="s">
        <v>410</v>
      </c>
      <c r="O223" s="405" t="s">
        <v>410</v>
      </c>
      <c r="P223" s="432" t="s">
        <v>407</v>
      </c>
      <c r="Q223" s="73" t="s">
        <v>51</v>
      </c>
    </row>
    <row r="224" spans="1:20">
      <c r="A224" s="424">
        <v>223</v>
      </c>
      <c r="B224" s="446" t="s">
        <v>395</v>
      </c>
      <c r="C224" s="446" t="s">
        <v>44</v>
      </c>
      <c r="D224" s="446" t="s">
        <v>45</v>
      </c>
      <c r="E224" s="446" t="s">
        <v>435</v>
      </c>
      <c r="F224" s="447" t="s">
        <v>436</v>
      </c>
      <c r="G224" s="450"/>
      <c r="H224" s="448"/>
      <c r="I224" s="447">
        <v>20</v>
      </c>
      <c r="J224" s="449" t="s">
        <v>404</v>
      </c>
      <c r="K224" s="447" t="s">
        <v>53</v>
      </c>
      <c r="L224" s="450"/>
      <c r="M224" s="447" t="s">
        <v>284</v>
      </c>
      <c r="N224" s="714" t="s">
        <v>410</v>
      </c>
      <c r="O224" s="446" t="s">
        <v>410</v>
      </c>
      <c r="P224" s="448" t="s">
        <v>407</v>
      </c>
      <c r="Q224" s="446" t="s">
        <v>51</v>
      </c>
      <c r="R224" s="330"/>
      <c r="S224" s="330"/>
      <c r="T224" s="330"/>
    </row>
    <row r="225" spans="1:20">
      <c r="A225" s="439">
        <v>224</v>
      </c>
      <c r="B225" s="451" t="s">
        <v>395</v>
      </c>
      <c r="C225" s="451" t="s">
        <v>44</v>
      </c>
      <c r="D225" s="451" t="s">
        <v>45</v>
      </c>
      <c r="E225" s="451" t="s">
        <v>437</v>
      </c>
      <c r="F225" s="452" t="s">
        <v>425</v>
      </c>
      <c r="G225" s="455">
        <v>9866854088</v>
      </c>
      <c r="H225" s="453"/>
      <c r="I225" s="452">
        <v>26</v>
      </c>
      <c r="J225" s="454" t="s">
        <v>404</v>
      </c>
      <c r="K225" s="452" t="s">
        <v>53</v>
      </c>
      <c r="L225" s="455"/>
      <c r="M225" s="452" t="s">
        <v>431</v>
      </c>
      <c r="N225" s="714" t="s">
        <v>438</v>
      </c>
      <c r="O225" s="456">
        <v>64811</v>
      </c>
      <c r="P225" s="453" t="s">
        <v>439</v>
      </c>
      <c r="Q225" s="446" t="s">
        <v>51</v>
      </c>
      <c r="R225" s="331"/>
      <c r="S225" s="331"/>
      <c r="T225" s="331"/>
    </row>
    <row r="226" spans="1:20">
      <c r="A226" s="439">
        <v>225</v>
      </c>
      <c r="B226" s="440" t="s">
        <v>395</v>
      </c>
      <c r="C226" s="440" t="s">
        <v>44</v>
      </c>
      <c r="D226" s="440" t="s">
        <v>45</v>
      </c>
      <c r="E226" s="440" t="s">
        <v>440</v>
      </c>
      <c r="F226" s="441" t="s">
        <v>441</v>
      </c>
      <c r="G226" s="441" t="s">
        <v>442</v>
      </c>
      <c r="H226" s="442"/>
      <c r="I226" s="441">
        <v>27</v>
      </c>
      <c r="J226" s="443" t="s">
        <v>404</v>
      </c>
      <c r="K226" s="441" t="s">
        <v>53</v>
      </c>
      <c r="L226" s="444"/>
      <c r="M226" s="441" t="s">
        <v>431</v>
      </c>
      <c r="N226" s="720" t="s">
        <v>443</v>
      </c>
      <c r="O226" s="457">
        <v>64811</v>
      </c>
      <c r="P226" s="442" t="s">
        <v>439</v>
      </c>
      <c r="Q226" s="458" t="s">
        <v>51</v>
      </c>
      <c r="R226" s="329" t="s">
        <v>378</v>
      </c>
      <c r="S226" s="329"/>
      <c r="T226" s="329"/>
    </row>
    <row r="227" spans="1:20">
      <c r="A227" s="377">
        <v>226</v>
      </c>
      <c r="B227" s="15" t="s">
        <v>395</v>
      </c>
      <c r="C227" s="405" t="s">
        <v>44</v>
      </c>
      <c r="D227" s="405" t="s">
        <v>45</v>
      </c>
      <c r="E227" s="376" t="s">
        <v>444</v>
      </c>
      <c r="F227" s="431" t="s">
        <v>445</v>
      </c>
      <c r="G227" s="434" t="s">
        <v>446</v>
      </c>
      <c r="I227" s="431">
        <v>34</v>
      </c>
      <c r="J227" s="433" t="s">
        <v>404</v>
      </c>
      <c r="K227" s="384" t="s">
        <v>53</v>
      </c>
      <c r="M227" s="375" t="s">
        <v>431</v>
      </c>
      <c r="N227" s="714" t="s">
        <v>447</v>
      </c>
      <c r="O227" s="459">
        <v>64812</v>
      </c>
      <c r="P227" s="453" t="s">
        <v>439</v>
      </c>
      <c r="Q227" s="446" t="s">
        <v>51</v>
      </c>
    </row>
    <row r="228" spans="1:20">
      <c r="A228" s="424">
        <v>227</v>
      </c>
      <c r="B228" s="458" t="s">
        <v>448</v>
      </c>
      <c r="C228" s="458" t="s">
        <v>44</v>
      </c>
      <c r="D228" s="458" t="s">
        <v>449</v>
      </c>
      <c r="E228" s="458" t="s">
        <v>450</v>
      </c>
      <c r="F228" s="460" t="s">
        <v>451</v>
      </c>
      <c r="G228" s="463" t="s">
        <v>452</v>
      </c>
      <c r="H228" s="461"/>
      <c r="I228" s="460">
        <v>32</v>
      </c>
      <c r="J228" s="462" t="s">
        <v>453</v>
      </c>
      <c r="K228" s="460" t="s">
        <v>454</v>
      </c>
      <c r="L228" s="463"/>
      <c r="M228" s="460" t="s">
        <v>431</v>
      </c>
      <c r="N228" s="720" t="s">
        <v>455</v>
      </c>
      <c r="O228" s="464">
        <v>64815</v>
      </c>
      <c r="P228" s="461" t="s">
        <v>439</v>
      </c>
      <c r="Q228" s="458" t="s">
        <v>51</v>
      </c>
      <c r="R228" s="333"/>
      <c r="S228" s="333"/>
      <c r="T228" s="333"/>
    </row>
    <row r="229" spans="1:20">
      <c r="A229" s="377">
        <v>228</v>
      </c>
      <c r="B229" s="15" t="s">
        <v>448</v>
      </c>
      <c r="C229" s="376" t="s">
        <v>44</v>
      </c>
      <c r="D229" s="376" t="s">
        <v>449</v>
      </c>
      <c r="E229" s="376" t="s">
        <v>456</v>
      </c>
      <c r="F229" s="431" t="s">
        <v>409</v>
      </c>
      <c r="G229" s="431" t="s">
        <v>457</v>
      </c>
      <c r="I229" s="431">
        <v>36</v>
      </c>
      <c r="J229" s="433" t="s">
        <v>453</v>
      </c>
      <c r="K229" s="384" t="s">
        <v>53</v>
      </c>
      <c r="M229" s="375" t="s">
        <v>431</v>
      </c>
      <c r="N229" s="722">
        <v>64815</v>
      </c>
      <c r="O229" s="459">
        <v>64816</v>
      </c>
      <c r="P229" s="459">
        <v>64688</v>
      </c>
      <c r="Q229" s="458" t="s">
        <v>51</v>
      </c>
    </row>
    <row r="230" spans="1:20">
      <c r="A230" s="377">
        <v>229</v>
      </c>
      <c r="B230" s="15" t="s">
        <v>448</v>
      </c>
      <c r="C230" s="376" t="s">
        <v>44</v>
      </c>
      <c r="D230" s="376" t="s">
        <v>449</v>
      </c>
      <c r="E230" s="376" t="s">
        <v>458</v>
      </c>
      <c r="F230" s="431" t="s">
        <v>441</v>
      </c>
      <c r="G230" s="434">
        <v>9864790852</v>
      </c>
      <c r="I230" s="431">
        <v>34</v>
      </c>
      <c r="J230" s="433" t="s">
        <v>453</v>
      </c>
      <c r="K230" s="384" t="s">
        <v>53</v>
      </c>
      <c r="M230" s="375" t="s">
        <v>431</v>
      </c>
      <c r="N230" s="722">
        <v>64815</v>
      </c>
      <c r="O230" s="464">
        <v>64817</v>
      </c>
      <c r="P230" s="459">
        <v>64688</v>
      </c>
      <c r="Q230" s="458" t="s">
        <v>51</v>
      </c>
    </row>
    <row r="231" spans="1:20">
      <c r="A231" s="377">
        <v>230</v>
      </c>
      <c r="B231" s="15" t="s">
        <v>448</v>
      </c>
      <c r="C231" s="376" t="s">
        <v>44</v>
      </c>
      <c r="D231" s="376" t="s">
        <v>449</v>
      </c>
      <c r="E231" s="376" t="s">
        <v>459</v>
      </c>
      <c r="F231" s="431" t="s">
        <v>441</v>
      </c>
      <c r="G231" s="431" t="s">
        <v>460</v>
      </c>
      <c r="I231" s="431">
        <v>35</v>
      </c>
      <c r="J231" s="402" t="s">
        <v>433</v>
      </c>
      <c r="K231" s="384" t="s">
        <v>53</v>
      </c>
      <c r="M231" s="375" t="s">
        <v>431</v>
      </c>
      <c r="N231" s="722">
        <v>64816</v>
      </c>
      <c r="O231" s="459">
        <v>64817</v>
      </c>
      <c r="P231" s="459">
        <v>64688</v>
      </c>
      <c r="Q231" s="458" t="s">
        <v>51</v>
      </c>
    </row>
    <row r="232" spans="1:20">
      <c r="A232" s="377">
        <v>231</v>
      </c>
      <c r="B232" s="415" t="s">
        <v>448</v>
      </c>
      <c r="C232" s="420" t="s">
        <v>44</v>
      </c>
      <c r="D232" s="420" t="s">
        <v>449</v>
      </c>
      <c r="E232" s="420" t="s">
        <v>461</v>
      </c>
      <c r="F232" s="435" t="s">
        <v>441</v>
      </c>
      <c r="G232" s="435" t="s">
        <v>462</v>
      </c>
      <c r="H232" s="436"/>
      <c r="I232" s="435">
        <v>39</v>
      </c>
      <c r="J232" s="437" t="s">
        <v>453</v>
      </c>
      <c r="K232" s="417" t="s">
        <v>53</v>
      </c>
      <c r="L232" s="438"/>
      <c r="M232" s="419" t="s">
        <v>431</v>
      </c>
      <c r="N232" s="723">
        <v>64816</v>
      </c>
      <c r="O232" s="459">
        <v>64817</v>
      </c>
      <c r="P232" s="465">
        <v>64657</v>
      </c>
      <c r="Q232" s="465">
        <v>64808</v>
      </c>
      <c r="R232" s="163"/>
      <c r="S232" s="163" t="s">
        <v>463</v>
      </c>
      <c r="T232" s="163"/>
    </row>
    <row r="233" spans="1:20">
      <c r="A233" s="377">
        <v>232</v>
      </c>
      <c r="B233" s="15" t="s">
        <v>448</v>
      </c>
      <c r="C233" s="376" t="s">
        <v>44</v>
      </c>
      <c r="D233" s="376" t="s">
        <v>449</v>
      </c>
      <c r="E233" s="376" t="s">
        <v>464</v>
      </c>
      <c r="F233" s="431" t="s">
        <v>441</v>
      </c>
      <c r="G233" s="434">
        <v>9857822926</v>
      </c>
      <c r="I233" s="431">
        <v>31</v>
      </c>
      <c r="J233" s="433" t="s">
        <v>453</v>
      </c>
      <c r="K233" s="384" t="s">
        <v>53</v>
      </c>
      <c r="M233" s="375" t="s">
        <v>431</v>
      </c>
      <c r="N233" s="722">
        <v>64816</v>
      </c>
      <c r="O233" s="459">
        <v>64817</v>
      </c>
      <c r="P233" s="459">
        <v>64688</v>
      </c>
      <c r="Q233" s="458" t="s">
        <v>51</v>
      </c>
    </row>
    <row r="234" spans="1:20">
      <c r="A234" s="377">
        <v>233</v>
      </c>
      <c r="B234" s="15" t="s">
        <v>448</v>
      </c>
      <c r="C234" s="376" t="s">
        <v>44</v>
      </c>
      <c r="D234" s="376" t="s">
        <v>449</v>
      </c>
      <c r="E234" s="376" t="s">
        <v>465</v>
      </c>
      <c r="F234" s="431" t="s">
        <v>466</v>
      </c>
      <c r="G234" s="434">
        <v>9806258012</v>
      </c>
      <c r="I234" s="431">
        <v>21</v>
      </c>
      <c r="J234" s="402" t="s">
        <v>433</v>
      </c>
      <c r="K234" s="384" t="s">
        <v>53</v>
      </c>
      <c r="M234" s="375" t="s">
        <v>431</v>
      </c>
      <c r="N234" s="722">
        <v>64817</v>
      </c>
      <c r="O234" s="459">
        <v>64818</v>
      </c>
      <c r="Q234" s="458" t="s">
        <v>51</v>
      </c>
    </row>
    <row r="235" spans="1:20">
      <c r="A235" s="377">
        <v>234</v>
      </c>
      <c r="B235" s="415" t="s">
        <v>467</v>
      </c>
      <c r="C235" s="420" t="s">
        <v>44</v>
      </c>
      <c r="D235" s="420" t="s">
        <v>449</v>
      </c>
      <c r="E235" s="420" t="s">
        <v>468</v>
      </c>
      <c r="F235" s="435" t="s">
        <v>469</v>
      </c>
      <c r="G235" s="438">
        <v>9822483681</v>
      </c>
      <c r="H235" s="436"/>
      <c r="I235" s="435">
        <v>59</v>
      </c>
      <c r="J235" s="437" t="s">
        <v>453</v>
      </c>
      <c r="K235" s="417" t="s">
        <v>53</v>
      </c>
      <c r="L235" s="438"/>
      <c r="M235" s="419" t="s">
        <v>431</v>
      </c>
      <c r="N235" s="723">
        <v>64817</v>
      </c>
      <c r="O235" s="459">
        <v>64818</v>
      </c>
      <c r="P235" s="436" t="s">
        <v>470</v>
      </c>
      <c r="Q235" s="465">
        <v>64808</v>
      </c>
      <c r="R235" s="163" t="s">
        <v>378</v>
      </c>
      <c r="S235" s="163" t="s">
        <v>463</v>
      </c>
      <c r="T235" s="163"/>
    </row>
    <row r="236" spans="1:20">
      <c r="A236" s="377">
        <v>235</v>
      </c>
      <c r="B236" s="415" t="s">
        <v>471</v>
      </c>
      <c r="C236" s="420" t="s">
        <v>44</v>
      </c>
      <c r="D236" s="420" t="s">
        <v>449</v>
      </c>
      <c r="E236" s="420" t="s">
        <v>472</v>
      </c>
      <c r="F236" s="435" t="s">
        <v>409</v>
      </c>
      <c r="G236" s="438">
        <v>9807521218</v>
      </c>
      <c r="H236" s="436"/>
      <c r="I236" s="435">
        <v>37</v>
      </c>
      <c r="J236" s="437" t="s">
        <v>453</v>
      </c>
      <c r="K236" s="417" t="s">
        <v>53</v>
      </c>
      <c r="L236" s="438"/>
      <c r="M236" s="419" t="s">
        <v>431</v>
      </c>
      <c r="N236" s="723">
        <v>64817</v>
      </c>
      <c r="O236" s="459">
        <v>64818</v>
      </c>
      <c r="P236" s="436" t="s">
        <v>470</v>
      </c>
      <c r="Q236" s="465">
        <v>64808</v>
      </c>
      <c r="R236" s="163" t="s">
        <v>378</v>
      </c>
      <c r="S236" s="163" t="s">
        <v>463</v>
      </c>
      <c r="T236" s="163"/>
    </row>
    <row r="237" spans="1:20">
      <c r="A237" s="377">
        <v>236</v>
      </c>
      <c r="B237" s="415" t="s">
        <v>467</v>
      </c>
      <c r="C237" s="420" t="s">
        <v>44</v>
      </c>
      <c r="D237" s="420" t="s">
        <v>449</v>
      </c>
      <c r="E237" s="420" t="s">
        <v>473</v>
      </c>
      <c r="F237" s="435" t="s">
        <v>409</v>
      </c>
      <c r="G237" s="438">
        <v>9807521218</v>
      </c>
      <c r="H237" s="436"/>
      <c r="I237" s="435">
        <v>15</v>
      </c>
      <c r="J237" s="437" t="s">
        <v>453</v>
      </c>
      <c r="K237" s="417" t="s">
        <v>53</v>
      </c>
      <c r="L237" s="438"/>
      <c r="M237" s="419" t="s">
        <v>431</v>
      </c>
      <c r="N237" s="723">
        <v>64817</v>
      </c>
      <c r="O237" s="459">
        <v>64818</v>
      </c>
      <c r="P237" s="465">
        <v>64688</v>
      </c>
      <c r="Q237" s="458" t="s">
        <v>51</v>
      </c>
      <c r="R237" s="163"/>
      <c r="S237" s="163"/>
      <c r="T237" s="163"/>
    </row>
    <row r="238" spans="1:20">
      <c r="A238" s="377">
        <v>237</v>
      </c>
      <c r="B238" s="409" t="s">
        <v>467</v>
      </c>
      <c r="C238" s="414" t="s">
        <v>44</v>
      </c>
      <c r="D238" s="414" t="s">
        <v>449</v>
      </c>
      <c r="E238" s="414" t="s">
        <v>474</v>
      </c>
      <c r="F238" s="466" t="s">
        <v>409</v>
      </c>
      <c r="G238" s="469">
        <v>9809741807</v>
      </c>
      <c r="H238" s="467"/>
      <c r="I238" s="466">
        <v>30</v>
      </c>
      <c r="J238" s="468" t="s">
        <v>453</v>
      </c>
      <c r="K238" s="411" t="s">
        <v>53</v>
      </c>
      <c r="L238" s="469"/>
      <c r="M238" s="413" t="s">
        <v>431</v>
      </c>
      <c r="N238" s="724">
        <v>64817</v>
      </c>
      <c r="O238" s="459">
        <v>64818</v>
      </c>
      <c r="P238" s="436" t="s">
        <v>470</v>
      </c>
      <c r="Q238" s="458" t="s">
        <v>51</v>
      </c>
      <c r="R238" s="334">
        <v>0</v>
      </c>
      <c r="S238" s="334"/>
      <c r="T238" s="334"/>
    </row>
    <row r="239" spans="1:20">
      <c r="A239" s="377">
        <v>238</v>
      </c>
      <c r="B239" s="415" t="s">
        <v>467</v>
      </c>
      <c r="C239" s="420" t="s">
        <v>44</v>
      </c>
      <c r="D239" s="420" t="s">
        <v>449</v>
      </c>
      <c r="E239" s="420" t="s">
        <v>475</v>
      </c>
      <c r="F239" s="435" t="s">
        <v>409</v>
      </c>
      <c r="G239" s="438">
        <v>9868115407</v>
      </c>
      <c r="H239" s="436"/>
      <c r="I239" s="435">
        <v>24</v>
      </c>
      <c r="J239" s="437" t="s">
        <v>453</v>
      </c>
      <c r="K239" s="417" t="s">
        <v>53</v>
      </c>
      <c r="L239" s="438"/>
      <c r="M239" s="419" t="s">
        <v>431</v>
      </c>
      <c r="N239" s="723">
        <v>64817</v>
      </c>
      <c r="O239" s="459">
        <v>64818</v>
      </c>
      <c r="P239" s="436" t="s">
        <v>470</v>
      </c>
      <c r="Q239" s="465">
        <v>64808</v>
      </c>
      <c r="R239" s="163" t="s">
        <v>378</v>
      </c>
      <c r="S239" s="163" t="s">
        <v>463</v>
      </c>
      <c r="T239" s="163"/>
    </row>
    <row r="240" spans="1:20">
      <c r="A240" s="377">
        <v>239</v>
      </c>
      <c r="B240" s="415" t="s">
        <v>476</v>
      </c>
      <c r="C240" s="420" t="s">
        <v>44</v>
      </c>
      <c r="D240" s="420" t="s">
        <v>449</v>
      </c>
      <c r="E240" s="420" t="s">
        <v>477</v>
      </c>
      <c r="F240" s="435" t="s">
        <v>409</v>
      </c>
      <c r="G240" s="438">
        <v>9805407854</v>
      </c>
      <c r="H240" s="436"/>
      <c r="I240" s="435">
        <v>37</v>
      </c>
      <c r="J240" s="437" t="s">
        <v>453</v>
      </c>
      <c r="K240" s="417" t="s">
        <v>53</v>
      </c>
      <c r="L240" s="438"/>
      <c r="M240" s="419" t="s">
        <v>431</v>
      </c>
      <c r="N240" s="723">
        <v>64817</v>
      </c>
      <c r="O240" s="459">
        <v>64818</v>
      </c>
      <c r="P240" s="436" t="s">
        <v>470</v>
      </c>
      <c r="Q240" s="465">
        <v>64808</v>
      </c>
      <c r="R240" s="163" t="s">
        <v>378</v>
      </c>
      <c r="S240" s="163" t="s">
        <v>463</v>
      </c>
      <c r="T240" s="163"/>
    </row>
    <row r="241" spans="1:20">
      <c r="A241" s="377">
        <v>240</v>
      </c>
      <c r="B241" s="415" t="s">
        <v>448</v>
      </c>
      <c r="C241" s="420" t="s">
        <v>44</v>
      </c>
      <c r="D241" s="420" t="s">
        <v>449</v>
      </c>
      <c r="E241" s="420" t="s">
        <v>478</v>
      </c>
      <c r="F241" s="435" t="s">
        <v>409</v>
      </c>
      <c r="G241" s="438">
        <v>9813920545</v>
      </c>
      <c r="H241" s="436"/>
      <c r="I241" s="435">
        <v>26</v>
      </c>
      <c r="J241" s="437" t="s">
        <v>453</v>
      </c>
      <c r="K241" s="417" t="s">
        <v>53</v>
      </c>
      <c r="L241" s="438"/>
      <c r="M241" s="419" t="s">
        <v>431</v>
      </c>
      <c r="N241" s="723">
        <v>64817</v>
      </c>
      <c r="O241" s="459">
        <v>64818</v>
      </c>
      <c r="P241" s="436" t="s">
        <v>470</v>
      </c>
      <c r="Q241" s="465">
        <v>64808</v>
      </c>
      <c r="R241" s="163" t="s">
        <v>378</v>
      </c>
      <c r="S241" s="163" t="s">
        <v>463</v>
      </c>
      <c r="T241" s="163"/>
    </row>
    <row r="242" spans="1:20">
      <c r="A242" s="377">
        <v>241</v>
      </c>
      <c r="B242" s="415" t="s">
        <v>448</v>
      </c>
      <c r="C242" s="420" t="s">
        <v>44</v>
      </c>
      <c r="D242" s="420" t="s">
        <v>449</v>
      </c>
      <c r="E242" s="420" t="s">
        <v>479</v>
      </c>
      <c r="F242" s="435" t="s">
        <v>409</v>
      </c>
      <c r="G242" s="438">
        <v>9821412150</v>
      </c>
      <c r="H242" s="436"/>
      <c r="I242" s="435">
        <v>23</v>
      </c>
      <c r="J242" s="437" t="s">
        <v>453</v>
      </c>
      <c r="K242" s="417" t="s">
        <v>53</v>
      </c>
      <c r="L242" s="438"/>
      <c r="M242" s="419" t="s">
        <v>431</v>
      </c>
      <c r="N242" s="723">
        <v>64817</v>
      </c>
      <c r="O242" s="459">
        <v>64818</v>
      </c>
      <c r="P242" s="436" t="s">
        <v>470</v>
      </c>
      <c r="Q242" s="465">
        <v>64808</v>
      </c>
      <c r="R242" s="163" t="s">
        <v>378</v>
      </c>
      <c r="S242" s="163" t="s">
        <v>480</v>
      </c>
      <c r="T242" s="163"/>
    </row>
    <row r="243" spans="1:20">
      <c r="A243" s="377">
        <v>242</v>
      </c>
      <c r="B243" s="415" t="s">
        <v>448</v>
      </c>
      <c r="C243" s="420" t="s">
        <v>44</v>
      </c>
      <c r="D243" s="420" t="s">
        <v>449</v>
      </c>
      <c r="E243" s="420" t="s">
        <v>481</v>
      </c>
      <c r="F243" s="435" t="s">
        <v>409</v>
      </c>
      <c r="G243" s="438">
        <v>9866917203</v>
      </c>
      <c r="H243" s="436"/>
      <c r="I243" s="435">
        <v>22</v>
      </c>
      <c r="J243" s="470" t="s">
        <v>433</v>
      </c>
      <c r="K243" s="417" t="s">
        <v>53</v>
      </c>
      <c r="L243" s="438"/>
      <c r="M243" s="419" t="s">
        <v>431</v>
      </c>
      <c r="N243" s="723">
        <v>64817</v>
      </c>
      <c r="O243" s="459">
        <v>64818</v>
      </c>
      <c r="P243" s="436" t="s">
        <v>470</v>
      </c>
      <c r="Q243" s="465">
        <v>64808</v>
      </c>
      <c r="R243" s="163" t="s">
        <v>378</v>
      </c>
      <c r="S243" s="163" t="s">
        <v>463</v>
      </c>
      <c r="T243" s="163"/>
    </row>
    <row r="244" spans="1:20">
      <c r="A244" s="424">
        <v>243</v>
      </c>
      <c r="B244" s="446" t="s">
        <v>471</v>
      </c>
      <c r="C244" s="446" t="s">
        <v>44</v>
      </c>
      <c r="D244" s="446" t="s">
        <v>449</v>
      </c>
      <c r="E244" s="446" t="s">
        <v>482</v>
      </c>
      <c r="F244" s="447" t="s">
        <v>445</v>
      </c>
      <c r="G244" s="450">
        <v>0</v>
      </c>
      <c r="H244" s="448"/>
      <c r="I244" s="447">
        <v>32</v>
      </c>
      <c r="J244" s="449" t="s">
        <v>453</v>
      </c>
      <c r="K244" s="447" t="s">
        <v>53</v>
      </c>
      <c r="L244" s="450"/>
      <c r="M244" s="447" t="s">
        <v>431</v>
      </c>
      <c r="N244" s="725">
        <v>64819</v>
      </c>
      <c r="O244" s="471">
        <v>64820</v>
      </c>
      <c r="P244" s="464">
        <v>64688</v>
      </c>
      <c r="Q244" s="458" t="s">
        <v>51</v>
      </c>
      <c r="R244" s="330"/>
      <c r="S244" s="330"/>
      <c r="T244" s="330"/>
    </row>
    <row r="245" spans="1:20">
      <c r="A245" s="377">
        <v>244</v>
      </c>
      <c r="B245" s="415" t="s">
        <v>448</v>
      </c>
      <c r="C245" s="420" t="s">
        <v>44</v>
      </c>
      <c r="D245" s="420" t="s">
        <v>449</v>
      </c>
      <c r="E245" s="420" t="s">
        <v>483</v>
      </c>
      <c r="F245" s="435" t="s">
        <v>409</v>
      </c>
      <c r="G245" s="438">
        <v>9847878627</v>
      </c>
      <c r="H245" s="436"/>
      <c r="I245" s="435">
        <v>35</v>
      </c>
      <c r="J245" s="437" t="s">
        <v>453</v>
      </c>
      <c r="K245" s="417" t="s">
        <v>53</v>
      </c>
      <c r="L245" s="438"/>
      <c r="M245" s="419" t="s">
        <v>431</v>
      </c>
      <c r="N245" s="723">
        <v>64820</v>
      </c>
      <c r="O245" s="465">
        <v>64821</v>
      </c>
      <c r="P245" s="465">
        <v>64808</v>
      </c>
      <c r="Q245" s="458" t="s">
        <v>51</v>
      </c>
      <c r="R245" s="163"/>
      <c r="S245" s="163"/>
      <c r="T245" s="163"/>
    </row>
    <row r="246" spans="1:20">
      <c r="A246" s="377">
        <v>245</v>
      </c>
      <c r="B246" s="432" t="s">
        <v>448</v>
      </c>
      <c r="C246" s="376" t="s">
        <v>44</v>
      </c>
      <c r="D246" s="376" t="s">
        <v>449</v>
      </c>
      <c r="E246" s="376" t="s">
        <v>484</v>
      </c>
      <c r="F246" s="431" t="s">
        <v>441</v>
      </c>
      <c r="G246" s="434">
        <v>9857825252</v>
      </c>
      <c r="I246" s="431">
        <v>29</v>
      </c>
      <c r="J246" s="433" t="s">
        <v>453</v>
      </c>
      <c r="K246" s="384" t="s">
        <v>53</v>
      </c>
      <c r="M246" s="375" t="s">
        <v>431</v>
      </c>
      <c r="N246" s="722">
        <v>64820</v>
      </c>
      <c r="O246" s="465">
        <v>64821</v>
      </c>
      <c r="P246" s="459">
        <v>64808</v>
      </c>
      <c r="Q246" s="458" t="s">
        <v>51</v>
      </c>
    </row>
    <row r="247" spans="1:20">
      <c r="A247" s="377">
        <v>246</v>
      </c>
      <c r="B247" s="436" t="s">
        <v>448</v>
      </c>
      <c r="C247" s="420" t="s">
        <v>44</v>
      </c>
      <c r="D247" s="420" t="s">
        <v>449</v>
      </c>
      <c r="E247" s="420" t="s">
        <v>485</v>
      </c>
      <c r="F247" s="435" t="s">
        <v>441</v>
      </c>
      <c r="G247" s="438" t="s">
        <v>486</v>
      </c>
      <c r="H247" s="436"/>
      <c r="I247" s="435">
        <v>45</v>
      </c>
      <c r="J247" s="437" t="s">
        <v>453</v>
      </c>
      <c r="K247" s="417" t="s">
        <v>53</v>
      </c>
      <c r="L247" s="438"/>
      <c r="M247" s="419" t="s">
        <v>431</v>
      </c>
      <c r="N247" s="723">
        <v>64820</v>
      </c>
      <c r="O247" s="465">
        <v>64821</v>
      </c>
      <c r="P247" s="465">
        <v>64808</v>
      </c>
      <c r="Q247" s="458" t="s">
        <v>51</v>
      </c>
      <c r="R247" s="163"/>
      <c r="S247" s="163"/>
      <c r="T247" s="163"/>
    </row>
    <row r="248" spans="1:20">
      <c r="A248" s="377">
        <v>247</v>
      </c>
      <c r="B248" s="436" t="s">
        <v>448</v>
      </c>
      <c r="C248" s="420" t="s">
        <v>44</v>
      </c>
      <c r="D248" s="420" t="s">
        <v>449</v>
      </c>
      <c r="E248" s="420" t="s">
        <v>487</v>
      </c>
      <c r="F248" s="435" t="s">
        <v>488</v>
      </c>
      <c r="G248" s="438">
        <v>9857823237</v>
      </c>
      <c r="H248" s="436"/>
      <c r="I248" s="435">
        <v>39</v>
      </c>
      <c r="J248" s="437" t="s">
        <v>453</v>
      </c>
      <c r="K248" s="417" t="s">
        <v>53</v>
      </c>
      <c r="L248" s="438"/>
      <c r="M248" s="419" t="s">
        <v>489</v>
      </c>
      <c r="N248" s="723">
        <v>64821</v>
      </c>
      <c r="O248" s="465">
        <v>64822</v>
      </c>
      <c r="P248" s="459">
        <v>64808</v>
      </c>
      <c r="Q248" s="458" t="s">
        <v>51</v>
      </c>
      <c r="R248" s="163"/>
      <c r="S248" s="163"/>
      <c r="T248" s="163"/>
    </row>
    <row r="249" spans="1:20">
      <c r="A249" s="377">
        <v>248</v>
      </c>
      <c r="B249" s="432" t="s">
        <v>448</v>
      </c>
      <c r="C249" s="376" t="s">
        <v>44</v>
      </c>
      <c r="D249" s="376" t="s">
        <v>449</v>
      </c>
      <c r="E249" s="376" t="s">
        <v>490</v>
      </c>
      <c r="F249" s="431" t="s">
        <v>491</v>
      </c>
      <c r="G249" s="434">
        <v>9948021462</v>
      </c>
      <c r="I249" s="431">
        <v>29</v>
      </c>
      <c r="J249" s="402" t="s">
        <v>433</v>
      </c>
      <c r="K249" s="384" t="s">
        <v>53</v>
      </c>
      <c r="M249" s="375" t="s">
        <v>431</v>
      </c>
      <c r="N249" s="722">
        <v>64821</v>
      </c>
      <c r="O249" s="465">
        <v>64822</v>
      </c>
      <c r="P249" s="465">
        <v>64808</v>
      </c>
      <c r="Q249" s="458" t="s">
        <v>51</v>
      </c>
    </row>
    <row r="250" spans="1:20">
      <c r="A250" s="377">
        <v>249</v>
      </c>
      <c r="B250" s="432" t="s">
        <v>492</v>
      </c>
      <c r="C250" s="376" t="s">
        <v>44</v>
      </c>
      <c r="D250" s="376" t="s">
        <v>449</v>
      </c>
      <c r="E250" s="376" t="s">
        <v>493</v>
      </c>
      <c r="F250" s="431" t="s">
        <v>494</v>
      </c>
      <c r="G250" s="434">
        <v>9848450772</v>
      </c>
      <c r="I250" s="431">
        <v>29</v>
      </c>
      <c r="J250" s="433" t="s">
        <v>453</v>
      </c>
      <c r="K250" s="384" t="s">
        <v>53</v>
      </c>
      <c r="M250" s="375" t="s">
        <v>431</v>
      </c>
      <c r="N250" s="722">
        <v>64821</v>
      </c>
      <c r="O250" s="465">
        <v>64822</v>
      </c>
      <c r="P250" s="459">
        <v>64808</v>
      </c>
      <c r="Q250" s="458" t="s">
        <v>51</v>
      </c>
    </row>
    <row r="251" spans="1:20">
      <c r="A251" s="377">
        <v>250</v>
      </c>
      <c r="B251" s="432" t="s">
        <v>492</v>
      </c>
      <c r="C251" s="376" t="s">
        <v>44</v>
      </c>
      <c r="D251" s="376" t="s">
        <v>449</v>
      </c>
      <c r="E251" s="376" t="s">
        <v>495</v>
      </c>
      <c r="F251" s="431" t="s">
        <v>491</v>
      </c>
      <c r="G251" s="434">
        <v>9847995622</v>
      </c>
      <c r="I251" s="431">
        <v>43</v>
      </c>
      <c r="J251" s="433" t="s">
        <v>453</v>
      </c>
      <c r="K251" s="384" t="s">
        <v>53</v>
      </c>
      <c r="M251" s="375" t="s">
        <v>431</v>
      </c>
      <c r="N251" s="722">
        <v>64821</v>
      </c>
      <c r="O251" s="465">
        <v>64822</v>
      </c>
      <c r="P251" s="465">
        <v>64808</v>
      </c>
      <c r="Q251" s="458" t="s">
        <v>51</v>
      </c>
    </row>
    <row r="252" spans="1:20">
      <c r="A252" s="377">
        <v>251</v>
      </c>
      <c r="B252" s="432" t="s">
        <v>492</v>
      </c>
      <c r="C252" s="376" t="s">
        <v>44</v>
      </c>
      <c r="D252" s="376" t="s">
        <v>449</v>
      </c>
      <c r="E252" s="376" t="s">
        <v>496</v>
      </c>
      <c r="F252" s="431" t="s">
        <v>497</v>
      </c>
      <c r="G252" s="434">
        <v>9822818852</v>
      </c>
      <c r="I252" s="431">
        <v>34</v>
      </c>
      <c r="J252" s="433" t="s">
        <v>404</v>
      </c>
      <c r="K252" s="384" t="s">
        <v>53</v>
      </c>
      <c r="M252" s="375" t="s">
        <v>431</v>
      </c>
      <c r="N252" s="722">
        <v>64821</v>
      </c>
      <c r="O252" s="465">
        <v>64822</v>
      </c>
      <c r="P252" s="459">
        <v>64808</v>
      </c>
      <c r="Q252" s="458" t="s">
        <v>51</v>
      </c>
    </row>
    <row r="253" spans="1:20">
      <c r="A253" s="377">
        <v>252</v>
      </c>
      <c r="B253" s="432" t="s">
        <v>492</v>
      </c>
      <c r="C253" s="376" t="s">
        <v>44</v>
      </c>
      <c r="D253" s="376" t="s">
        <v>449</v>
      </c>
      <c r="E253" s="376" t="s">
        <v>498</v>
      </c>
      <c r="F253" s="431" t="s">
        <v>497</v>
      </c>
      <c r="G253" s="434">
        <v>9822818852</v>
      </c>
      <c r="I253" s="431">
        <v>20</v>
      </c>
      <c r="J253" s="433" t="s">
        <v>404</v>
      </c>
      <c r="K253" s="384" t="s">
        <v>53</v>
      </c>
      <c r="M253" s="375" t="s">
        <v>431</v>
      </c>
      <c r="N253" s="722">
        <v>64821</v>
      </c>
      <c r="O253" s="465">
        <v>64822</v>
      </c>
      <c r="P253" s="465">
        <v>64808</v>
      </c>
      <c r="Q253" s="458" t="s">
        <v>51</v>
      </c>
    </row>
    <row r="254" spans="1:20">
      <c r="A254" s="377">
        <v>253</v>
      </c>
      <c r="B254" s="432" t="s">
        <v>492</v>
      </c>
      <c r="C254" s="376" t="s">
        <v>44</v>
      </c>
      <c r="D254" s="376" t="s">
        <v>449</v>
      </c>
      <c r="E254" s="376" t="s">
        <v>499</v>
      </c>
      <c r="F254" s="431" t="s">
        <v>500</v>
      </c>
      <c r="G254" s="434">
        <v>9822962141</v>
      </c>
      <c r="I254" s="431">
        <v>22</v>
      </c>
      <c r="J254" s="433" t="s">
        <v>404</v>
      </c>
      <c r="K254" s="384" t="s">
        <v>53</v>
      </c>
      <c r="M254" s="375" t="s">
        <v>431</v>
      </c>
      <c r="N254" s="722">
        <v>64821</v>
      </c>
      <c r="O254" s="465">
        <v>64822</v>
      </c>
      <c r="P254" s="459">
        <v>64808</v>
      </c>
      <c r="Q254" s="458" t="s">
        <v>51</v>
      </c>
    </row>
    <row r="255" spans="1:20">
      <c r="A255" s="377">
        <v>254</v>
      </c>
      <c r="B255" s="432" t="s">
        <v>492</v>
      </c>
      <c r="C255" s="376" t="s">
        <v>44</v>
      </c>
      <c r="D255" s="376" t="s">
        <v>449</v>
      </c>
      <c r="E255" s="376" t="s">
        <v>501</v>
      </c>
      <c r="F255" s="431" t="s">
        <v>502</v>
      </c>
      <c r="G255" s="434">
        <v>9857842363</v>
      </c>
      <c r="I255" s="431">
        <v>38</v>
      </c>
      <c r="J255" s="433" t="s">
        <v>404</v>
      </c>
      <c r="K255" s="384" t="s">
        <v>53</v>
      </c>
      <c r="M255" s="375" t="s">
        <v>431</v>
      </c>
      <c r="N255" s="722">
        <v>64821</v>
      </c>
      <c r="O255" s="465">
        <v>64822</v>
      </c>
      <c r="P255" s="465">
        <v>64808</v>
      </c>
      <c r="Q255" s="458" t="s">
        <v>51</v>
      </c>
    </row>
    <row r="256" spans="1:20">
      <c r="A256" s="377">
        <v>255</v>
      </c>
      <c r="B256" s="432" t="s">
        <v>492</v>
      </c>
      <c r="C256" s="376" t="s">
        <v>44</v>
      </c>
      <c r="D256" s="376" t="s">
        <v>449</v>
      </c>
      <c r="E256" s="376" t="s">
        <v>503</v>
      </c>
      <c r="F256" s="431" t="s">
        <v>502</v>
      </c>
      <c r="G256" s="434">
        <v>9857842363</v>
      </c>
      <c r="I256" s="431">
        <v>32</v>
      </c>
      <c r="J256" s="433" t="s">
        <v>404</v>
      </c>
      <c r="K256" s="384" t="s">
        <v>53</v>
      </c>
      <c r="M256" s="375" t="s">
        <v>431</v>
      </c>
      <c r="N256" s="722">
        <v>64821</v>
      </c>
      <c r="O256" s="465">
        <v>64822</v>
      </c>
      <c r="P256" s="459">
        <v>64808</v>
      </c>
      <c r="Q256" s="458" t="s">
        <v>51</v>
      </c>
    </row>
    <row r="257" spans="1:20">
      <c r="A257" s="377">
        <v>256</v>
      </c>
      <c r="B257" s="436" t="s">
        <v>492</v>
      </c>
      <c r="C257" s="420" t="s">
        <v>44</v>
      </c>
      <c r="D257" s="420" t="s">
        <v>449</v>
      </c>
      <c r="E257" s="420" t="s">
        <v>504</v>
      </c>
      <c r="F257" s="435" t="s">
        <v>502</v>
      </c>
      <c r="G257" s="438">
        <v>9857842363</v>
      </c>
      <c r="H257" s="436"/>
      <c r="I257" s="435">
        <v>33</v>
      </c>
      <c r="J257" s="437" t="s">
        <v>404</v>
      </c>
      <c r="K257" s="417" t="s">
        <v>53</v>
      </c>
      <c r="L257" s="438"/>
      <c r="M257" s="419" t="s">
        <v>431</v>
      </c>
      <c r="N257" s="723">
        <v>64821</v>
      </c>
      <c r="O257" s="465">
        <v>64822</v>
      </c>
      <c r="P257" s="465">
        <v>64808</v>
      </c>
      <c r="Q257" s="458" t="s">
        <v>51</v>
      </c>
      <c r="R257" s="163"/>
      <c r="S257" s="163"/>
      <c r="T257" s="163"/>
    </row>
    <row r="258" spans="1:20">
      <c r="A258" s="377">
        <v>257</v>
      </c>
      <c r="B258" s="432" t="s">
        <v>492</v>
      </c>
      <c r="C258" s="376" t="s">
        <v>44</v>
      </c>
      <c r="D258" s="376" t="s">
        <v>449</v>
      </c>
      <c r="E258" s="376" t="s">
        <v>505</v>
      </c>
      <c r="F258" s="431" t="s">
        <v>415</v>
      </c>
      <c r="G258" s="434">
        <v>9857842363</v>
      </c>
      <c r="I258" s="431">
        <v>31</v>
      </c>
      <c r="J258" s="433" t="s">
        <v>404</v>
      </c>
      <c r="K258" s="384" t="s">
        <v>53</v>
      </c>
      <c r="M258" s="375" t="s">
        <v>431</v>
      </c>
      <c r="N258" s="722">
        <v>64821</v>
      </c>
      <c r="O258" s="465">
        <v>64822</v>
      </c>
      <c r="P258" s="459">
        <v>64808</v>
      </c>
      <c r="Q258" s="458" t="s">
        <v>51</v>
      </c>
    </row>
    <row r="259" spans="1:20">
      <c r="A259" s="377">
        <v>258</v>
      </c>
      <c r="B259" s="436" t="s">
        <v>492</v>
      </c>
      <c r="C259" s="420" t="s">
        <v>44</v>
      </c>
      <c r="D259" s="420" t="s">
        <v>449</v>
      </c>
      <c r="E259" s="420" t="s">
        <v>506</v>
      </c>
      <c r="F259" s="435" t="s">
        <v>502</v>
      </c>
      <c r="G259" s="438">
        <v>9857842363</v>
      </c>
      <c r="H259" s="436"/>
      <c r="I259" s="435">
        <v>35</v>
      </c>
      <c r="J259" s="437" t="s">
        <v>404</v>
      </c>
      <c r="K259" s="417" t="s">
        <v>53</v>
      </c>
      <c r="L259" s="438"/>
      <c r="M259" s="419" t="s">
        <v>431</v>
      </c>
      <c r="N259" s="723">
        <v>64821</v>
      </c>
      <c r="O259" s="465">
        <v>64822</v>
      </c>
      <c r="P259" s="465">
        <v>64808</v>
      </c>
      <c r="Q259" s="458" t="s">
        <v>51</v>
      </c>
      <c r="R259" s="163"/>
      <c r="S259" s="163"/>
      <c r="T259" s="163"/>
    </row>
    <row r="260" spans="1:20">
      <c r="A260" s="421">
        <v>259</v>
      </c>
      <c r="B260" s="472" t="s">
        <v>492</v>
      </c>
      <c r="C260" s="445" t="s">
        <v>44</v>
      </c>
      <c r="D260" s="445" t="s">
        <v>449</v>
      </c>
      <c r="E260" s="445" t="s">
        <v>507</v>
      </c>
      <c r="F260" s="473" t="s">
        <v>491</v>
      </c>
      <c r="G260" s="474" t="s">
        <v>508</v>
      </c>
      <c r="H260" s="472"/>
      <c r="I260" s="473">
        <v>39</v>
      </c>
      <c r="J260" s="470" t="s">
        <v>404</v>
      </c>
      <c r="K260" s="473" t="s">
        <v>53</v>
      </c>
      <c r="L260" s="474"/>
      <c r="M260" s="473" t="s">
        <v>489</v>
      </c>
      <c r="N260" s="723">
        <v>64821</v>
      </c>
      <c r="O260" s="465">
        <v>64822</v>
      </c>
      <c r="P260" s="459">
        <v>64838</v>
      </c>
      <c r="Q260" s="432" t="s">
        <v>51</v>
      </c>
      <c r="R260" s="335"/>
      <c r="S260" s="335"/>
      <c r="T260" s="335"/>
    </row>
    <row r="261" spans="1:20">
      <c r="A261" s="377">
        <v>260</v>
      </c>
      <c r="B261" s="432" t="s">
        <v>492</v>
      </c>
      <c r="C261" s="376" t="s">
        <v>44</v>
      </c>
      <c r="D261" s="376" t="s">
        <v>449</v>
      </c>
      <c r="E261" s="376" t="s">
        <v>509</v>
      </c>
      <c r="F261" s="431" t="s">
        <v>510</v>
      </c>
      <c r="G261" s="434">
        <v>9847837151</v>
      </c>
      <c r="I261" s="431">
        <v>24</v>
      </c>
      <c r="J261" s="433" t="s">
        <v>404</v>
      </c>
      <c r="K261" s="384" t="s">
        <v>53</v>
      </c>
      <c r="M261" s="375" t="s">
        <v>431</v>
      </c>
      <c r="N261" s="722">
        <v>64821</v>
      </c>
      <c r="O261" s="465">
        <v>64822</v>
      </c>
      <c r="P261" s="465">
        <v>64808</v>
      </c>
      <c r="Q261" s="432" t="s">
        <v>51</v>
      </c>
    </row>
    <row r="262" spans="1:20">
      <c r="A262" s="377">
        <v>261</v>
      </c>
      <c r="B262" s="432" t="s">
        <v>492</v>
      </c>
      <c r="C262" s="376" t="s">
        <v>44</v>
      </c>
      <c r="D262" s="376" t="s">
        <v>449</v>
      </c>
      <c r="E262" s="376" t="s">
        <v>511</v>
      </c>
      <c r="F262" s="431" t="s">
        <v>512</v>
      </c>
      <c r="G262" s="434">
        <v>9866539661</v>
      </c>
      <c r="I262" s="431">
        <v>28</v>
      </c>
      <c r="J262" s="433" t="s">
        <v>404</v>
      </c>
      <c r="K262" s="384" t="s">
        <v>53</v>
      </c>
      <c r="M262" s="375" t="s">
        <v>431</v>
      </c>
      <c r="N262" s="722">
        <v>64821</v>
      </c>
      <c r="O262" s="465">
        <v>64822</v>
      </c>
      <c r="P262" s="459">
        <v>64808</v>
      </c>
      <c r="Q262" s="432" t="s">
        <v>51</v>
      </c>
    </row>
    <row r="263" spans="1:20">
      <c r="A263" s="377">
        <v>262</v>
      </c>
      <c r="B263" s="432" t="s">
        <v>492</v>
      </c>
      <c r="C263" s="376" t="s">
        <v>44</v>
      </c>
      <c r="D263" s="376" t="s">
        <v>449</v>
      </c>
      <c r="E263" s="376" t="s">
        <v>513</v>
      </c>
      <c r="F263" s="431" t="s">
        <v>502</v>
      </c>
      <c r="G263" s="434" t="s">
        <v>514</v>
      </c>
      <c r="I263" s="431">
        <v>23</v>
      </c>
      <c r="J263" s="433" t="s">
        <v>404</v>
      </c>
      <c r="K263" s="384" t="s">
        <v>53</v>
      </c>
      <c r="M263" s="375" t="s">
        <v>431</v>
      </c>
      <c r="N263" s="722">
        <v>64821</v>
      </c>
      <c r="O263" s="465">
        <v>64822</v>
      </c>
      <c r="P263" s="465">
        <v>64808</v>
      </c>
      <c r="Q263" s="432" t="s">
        <v>51</v>
      </c>
    </row>
    <row r="264" spans="1:20">
      <c r="A264" s="377">
        <v>263</v>
      </c>
      <c r="B264" s="432" t="s">
        <v>492</v>
      </c>
      <c r="C264" s="376" t="s">
        <v>44</v>
      </c>
      <c r="D264" s="376" t="s">
        <v>449</v>
      </c>
      <c r="E264" s="376" t="s">
        <v>515</v>
      </c>
      <c r="F264" s="431" t="s">
        <v>451</v>
      </c>
      <c r="G264" s="434">
        <v>9847897492</v>
      </c>
      <c r="I264" s="431">
        <v>23</v>
      </c>
      <c r="J264" s="433" t="s">
        <v>404</v>
      </c>
      <c r="K264" s="384" t="s">
        <v>53</v>
      </c>
      <c r="M264" s="375" t="s">
        <v>431</v>
      </c>
      <c r="N264" s="722">
        <v>64821</v>
      </c>
      <c r="O264" s="465">
        <v>64822</v>
      </c>
      <c r="P264" s="459">
        <v>64808</v>
      </c>
      <c r="Q264" s="432" t="s">
        <v>51</v>
      </c>
    </row>
    <row r="265" spans="1:20">
      <c r="A265" s="377">
        <v>264</v>
      </c>
      <c r="B265" s="432" t="s">
        <v>492</v>
      </c>
      <c r="C265" s="376" t="s">
        <v>44</v>
      </c>
      <c r="D265" s="376" t="s">
        <v>449</v>
      </c>
      <c r="E265" s="376" t="s">
        <v>516</v>
      </c>
      <c r="F265" s="431" t="s">
        <v>502</v>
      </c>
      <c r="G265" s="434">
        <v>9810995223</v>
      </c>
      <c r="I265" s="431">
        <v>21</v>
      </c>
      <c r="J265" s="433" t="s">
        <v>404</v>
      </c>
      <c r="K265" s="384" t="s">
        <v>53</v>
      </c>
      <c r="M265" s="375" t="s">
        <v>431</v>
      </c>
      <c r="N265" s="722">
        <v>64821</v>
      </c>
      <c r="O265" s="465">
        <v>64822</v>
      </c>
      <c r="P265" s="465">
        <v>64808</v>
      </c>
      <c r="Q265" s="432" t="s">
        <v>51</v>
      </c>
    </row>
    <row r="266" spans="1:20">
      <c r="A266" s="377">
        <v>265</v>
      </c>
      <c r="B266" s="432" t="s">
        <v>492</v>
      </c>
      <c r="C266" s="376" t="s">
        <v>44</v>
      </c>
      <c r="D266" s="376" t="s">
        <v>449</v>
      </c>
      <c r="E266" s="376" t="s">
        <v>517</v>
      </c>
      <c r="F266" s="431" t="s">
        <v>124</v>
      </c>
      <c r="G266" s="434">
        <v>9810861244</v>
      </c>
      <c r="I266" s="431">
        <v>20</v>
      </c>
      <c r="J266" s="433" t="s">
        <v>404</v>
      </c>
      <c r="K266" s="384" t="s">
        <v>53</v>
      </c>
      <c r="M266" s="375" t="s">
        <v>431</v>
      </c>
      <c r="N266" s="722">
        <v>64821</v>
      </c>
      <c r="O266" s="465">
        <v>64822</v>
      </c>
      <c r="P266" s="459">
        <v>64808</v>
      </c>
      <c r="Q266" s="432" t="s">
        <v>51</v>
      </c>
    </row>
    <row r="267" spans="1:20">
      <c r="A267" s="377">
        <v>266</v>
      </c>
      <c r="B267" s="432" t="s">
        <v>492</v>
      </c>
      <c r="C267" s="376" t="s">
        <v>44</v>
      </c>
      <c r="D267" s="376" t="s">
        <v>449</v>
      </c>
      <c r="E267" s="376" t="s">
        <v>518</v>
      </c>
      <c r="F267" s="431" t="s">
        <v>502</v>
      </c>
      <c r="G267" s="434">
        <v>9864731265</v>
      </c>
      <c r="I267" s="431">
        <v>33</v>
      </c>
      <c r="J267" s="433" t="s">
        <v>404</v>
      </c>
      <c r="K267" s="384" t="s">
        <v>53</v>
      </c>
      <c r="M267" s="375" t="s">
        <v>431</v>
      </c>
      <c r="N267" s="722">
        <v>64821</v>
      </c>
      <c r="O267" s="465">
        <v>64822</v>
      </c>
      <c r="P267" s="465">
        <v>64808</v>
      </c>
      <c r="Q267" s="432" t="s">
        <v>51</v>
      </c>
    </row>
    <row r="268" spans="1:20">
      <c r="A268" s="377">
        <v>267</v>
      </c>
      <c r="B268" s="432" t="s">
        <v>492</v>
      </c>
      <c r="C268" s="376" t="s">
        <v>44</v>
      </c>
      <c r="D268" s="376" t="s">
        <v>449</v>
      </c>
      <c r="E268" s="376" t="s">
        <v>519</v>
      </c>
      <c r="F268" s="431" t="s">
        <v>502</v>
      </c>
      <c r="G268" s="434">
        <v>9864731265</v>
      </c>
      <c r="I268" s="431">
        <v>24</v>
      </c>
      <c r="J268" s="423" t="s">
        <v>433</v>
      </c>
      <c r="K268" s="384" t="s">
        <v>53</v>
      </c>
      <c r="M268" s="375" t="s">
        <v>431</v>
      </c>
      <c r="N268" s="722">
        <v>64821</v>
      </c>
      <c r="O268" s="465">
        <v>64822</v>
      </c>
      <c r="P268" s="459">
        <v>64808</v>
      </c>
      <c r="Q268" s="432" t="s">
        <v>51</v>
      </c>
    </row>
    <row r="269" spans="1:20">
      <c r="A269" s="377">
        <v>268</v>
      </c>
      <c r="B269" s="432" t="s">
        <v>520</v>
      </c>
      <c r="C269" s="376" t="s">
        <v>44</v>
      </c>
      <c r="D269" s="376" t="s">
        <v>449</v>
      </c>
      <c r="E269" s="376" t="s">
        <v>521</v>
      </c>
      <c r="F269" s="431" t="s">
        <v>522</v>
      </c>
      <c r="G269" s="434" t="s">
        <v>523</v>
      </c>
      <c r="I269" s="431">
        <v>47</v>
      </c>
      <c r="J269" s="433" t="s">
        <v>404</v>
      </c>
      <c r="K269" s="384" t="s">
        <v>53</v>
      </c>
      <c r="M269" s="375" t="s">
        <v>431</v>
      </c>
      <c r="N269" s="722">
        <v>64823</v>
      </c>
      <c r="O269" s="475">
        <v>64824</v>
      </c>
      <c r="P269" s="465">
        <v>64808</v>
      </c>
      <c r="Q269" s="432" t="s">
        <v>51</v>
      </c>
    </row>
    <row r="270" spans="1:20">
      <c r="A270" s="421">
        <v>269</v>
      </c>
      <c r="B270" s="472" t="s">
        <v>524</v>
      </c>
      <c r="C270" s="445" t="s">
        <v>44</v>
      </c>
      <c r="D270" s="445" t="s">
        <v>449</v>
      </c>
      <c r="E270" s="445" t="s">
        <v>525</v>
      </c>
      <c r="F270" s="473" t="s">
        <v>522</v>
      </c>
      <c r="G270" s="474" t="s">
        <v>526</v>
      </c>
      <c r="H270" s="472"/>
      <c r="I270" s="473">
        <v>40</v>
      </c>
      <c r="J270" s="470" t="s">
        <v>404</v>
      </c>
      <c r="K270" s="473" t="s">
        <v>53</v>
      </c>
      <c r="L270" s="474"/>
      <c r="M270" s="473" t="s">
        <v>489</v>
      </c>
      <c r="N270" s="723">
        <v>64823</v>
      </c>
      <c r="O270" s="475">
        <v>64824</v>
      </c>
      <c r="P270" s="459">
        <v>64808</v>
      </c>
      <c r="Q270" s="432" t="s">
        <v>51</v>
      </c>
      <c r="R270" s="335"/>
      <c r="S270" s="335"/>
      <c r="T270" s="335"/>
    </row>
    <row r="271" spans="1:20" s="326" customFormat="1">
      <c r="A271" s="421">
        <v>270</v>
      </c>
      <c r="B271" s="422" t="s">
        <v>524</v>
      </c>
      <c r="C271" s="73" t="s">
        <v>44</v>
      </c>
      <c r="D271" s="73" t="s">
        <v>449</v>
      </c>
      <c r="E271" s="73" t="s">
        <v>527</v>
      </c>
      <c r="F271" s="373" t="s">
        <v>124</v>
      </c>
      <c r="G271" s="423">
        <v>9847840429</v>
      </c>
      <c r="H271" s="77" t="s">
        <v>865</v>
      </c>
      <c r="I271" s="373">
        <v>28</v>
      </c>
      <c r="J271" s="402" t="s">
        <v>404</v>
      </c>
      <c r="K271" s="373" t="s">
        <v>53</v>
      </c>
      <c r="L271" s="423"/>
      <c r="M271" s="373" t="s">
        <v>431</v>
      </c>
      <c r="N271" s="726">
        <v>64823</v>
      </c>
      <c r="O271" s="476">
        <v>64824</v>
      </c>
      <c r="P271" s="475">
        <v>64808</v>
      </c>
      <c r="Q271" s="422" t="s">
        <v>51</v>
      </c>
    </row>
    <row r="272" spans="1:20">
      <c r="A272" s="377">
        <v>271</v>
      </c>
      <c r="B272" s="432" t="s">
        <v>524</v>
      </c>
      <c r="C272" s="376" t="s">
        <v>44</v>
      </c>
      <c r="D272" s="376" t="s">
        <v>449</v>
      </c>
      <c r="E272" s="376" t="s">
        <v>528</v>
      </c>
      <c r="F272" s="431" t="s">
        <v>529</v>
      </c>
      <c r="G272" s="434">
        <v>9802518877</v>
      </c>
      <c r="I272" s="431">
        <v>32</v>
      </c>
      <c r="J272" s="433" t="s">
        <v>404</v>
      </c>
      <c r="K272" s="384" t="s">
        <v>53</v>
      </c>
      <c r="M272" s="375" t="s">
        <v>431</v>
      </c>
      <c r="N272" s="722">
        <v>64823</v>
      </c>
      <c r="O272" s="475">
        <v>64824</v>
      </c>
      <c r="P272" s="459">
        <v>64808</v>
      </c>
      <c r="Q272" s="432" t="s">
        <v>51</v>
      </c>
    </row>
    <row r="273" spans="1:20">
      <c r="A273" s="377">
        <v>272</v>
      </c>
      <c r="B273" s="432" t="s">
        <v>524</v>
      </c>
      <c r="C273" s="376" t="s">
        <v>44</v>
      </c>
      <c r="D273" s="376" t="s">
        <v>449</v>
      </c>
      <c r="E273" s="376" t="s">
        <v>530</v>
      </c>
      <c r="F273" s="431" t="s">
        <v>502</v>
      </c>
      <c r="G273" s="434">
        <v>9823745916</v>
      </c>
      <c r="I273" s="431">
        <v>24</v>
      </c>
      <c r="J273" s="433" t="s">
        <v>404</v>
      </c>
      <c r="K273" s="384" t="s">
        <v>53</v>
      </c>
      <c r="M273" s="375" t="s">
        <v>431</v>
      </c>
      <c r="N273" s="722">
        <v>64823</v>
      </c>
      <c r="O273" s="459">
        <v>64824</v>
      </c>
      <c r="P273" s="465">
        <v>64808</v>
      </c>
      <c r="Q273" s="432" t="s">
        <v>51</v>
      </c>
    </row>
    <row r="274" spans="1:20">
      <c r="A274" s="377">
        <v>273</v>
      </c>
      <c r="B274" s="432" t="s">
        <v>524</v>
      </c>
      <c r="C274" s="376" t="s">
        <v>44</v>
      </c>
      <c r="D274" s="376" t="s">
        <v>449</v>
      </c>
      <c r="E274" s="376" t="s">
        <v>531</v>
      </c>
      <c r="F274" s="431" t="s">
        <v>502</v>
      </c>
      <c r="G274" s="434">
        <v>9822804432</v>
      </c>
      <c r="I274" s="431">
        <v>45</v>
      </c>
      <c r="J274" s="433" t="s">
        <v>404</v>
      </c>
      <c r="K274" s="384" t="s">
        <v>53</v>
      </c>
      <c r="M274" s="375" t="s">
        <v>431</v>
      </c>
      <c r="N274" s="722">
        <v>64823</v>
      </c>
      <c r="O274" s="475">
        <v>64824</v>
      </c>
      <c r="P274" s="459">
        <v>64808</v>
      </c>
      <c r="Q274" s="432" t="s">
        <v>51</v>
      </c>
    </row>
    <row r="275" spans="1:20">
      <c r="A275" s="477">
        <v>274</v>
      </c>
      <c r="B275" s="478" t="s">
        <v>524</v>
      </c>
      <c r="C275" s="479" t="s">
        <v>44</v>
      </c>
      <c r="D275" s="479" t="s">
        <v>449</v>
      </c>
      <c r="E275" s="479" t="s">
        <v>532</v>
      </c>
      <c r="F275" s="480" t="s">
        <v>512</v>
      </c>
      <c r="G275" s="482">
        <v>9810917235</v>
      </c>
      <c r="H275" s="478"/>
      <c r="I275" s="480">
        <v>20</v>
      </c>
      <c r="J275" s="481" t="s">
        <v>404</v>
      </c>
      <c r="K275" s="480" t="s">
        <v>53</v>
      </c>
      <c r="L275" s="482"/>
      <c r="M275" s="480" t="s">
        <v>533</v>
      </c>
      <c r="N275" s="722">
        <v>64823</v>
      </c>
      <c r="O275" s="459">
        <v>64824</v>
      </c>
      <c r="P275" s="465">
        <v>64808</v>
      </c>
      <c r="Q275" s="432" t="s">
        <v>51</v>
      </c>
      <c r="R275" s="336"/>
      <c r="S275" s="336"/>
      <c r="T275" s="336"/>
    </row>
    <row r="276" spans="1:20">
      <c r="A276" s="477">
        <v>275</v>
      </c>
      <c r="B276" s="478" t="s">
        <v>524</v>
      </c>
      <c r="C276" s="479" t="s">
        <v>44</v>
      </c>
      <c r="D276" s="479" t="s">
        <v>449</v>
      </c>
      <c r="E276" s="479" t="s">
        <v>534</v>
      </c>
      <c r="F276" s="480" t="s">
        <v>441</v>
      </c>
      <c r="G276" s="482">
        <v>9868603851</v>
      </c>
      <c r="H276" s="478"/>
      <c r="I276" s="480">
        <v>25</v>
      </c>
      <c r="J276" s="481" t="s">
        <v>404</v>
      </c>
      <c r="K276" s="480" t="s">
        <v>53</v>
      </c>
      <c r="L276" s="482"/>
      <c r="M276" s="480" t="s">
        <v>535</v>
      </c>
      <c r="N276" s="722">
        <v>64823</v>
      </c>
      <c r="O276" s="475">
        <v>64824</v>
      </c>
      <c r="P276" s="459">
        <v>64808</v>
      </c>
      <c r="Q276" s="432" t="s">
        <v>51</v>
      </c>
      <c r="R276" s="336"/>
      <c r="S276" s="336"/>
      <c r="T276" s="336"/>
    </row>
    <row r="277" spans="1:20">
      <c r="A277" s="477">
        <v>276</v>
      </c>
      <c r="B277" s="478" t="s">
        <v>524</v>
      </c>
      <c r="C277" s="479" t="s">
        <v>44</v>
      </c>
      <c r="D277" s="479" t="s">
        <v>449</v>
      </c>
      <c r="E277" s="479" t="s">
        <v>536</v>
      </c>
      <c r="F277" s="480" t="s">
        <v>491</v>
      </c>
      <c r="G277" s="482">
        <v>9847833262</v>
      </c>
      <c r="H277" s="478"/>
      <c r="I277" s="480">
        <v>30</v>
      </c>
      <c r="J277" s="481" t="s">
        <v>404</v>
      </c>
      <c r="K277" s="480" t="s">
        <v>53</v>
      </c>
      <c r="L277" s="482"/>
      <c r="M277" s="480" t="s">
        <v>533</v>
      </c>
      <c r="N277" s="722">
        <v>64823</v>
      </c>
      <c r="O277" s="459">
        <v>64824</v>
      </c>
      <c r="P277" s="465">
        <v>64808</v>
      </c>
      <c r="Q277" s="432" t="s">
        <v>51</v>
      </c>
      <c r="R277" s="336"/>
      <c r="S277" s="336"/>
      <c r="T277" s="336"/>
    </row>
    <row r="278" spans="1:20">
      <c r="A278" s="377">
        <v>277</v>
      </c>
      <c r="B278" s="432" t="s">
        <v>524</v>
      </c>
      <c r="C278" s="376" t="s">
        <v>44</v>
      </c>
      <c r="D278" s="376" t="s">
        <v>449</v>
      </c>
      <c r="E278" s="376" t="s">
        <v>537</v>
      </c>
      <c r="F278" s="431" t="s">
        <v>441</v>
      </c>
      <c r="G278" s="434">
        <v>9841126148</v>
      </c>
      <c r="I278" s="431">
        <v>40</v>
      </c>
      <c r="J278" s="433" t="s">
        <v>404</v>
      </c>
      <c r="K278" s="384" t="s">
        <v>53</v>
      </c>
      <c r="M278" s="375" t="s">
        <v>431</v>
      </c>
      <c r="N278" s="722">
        <v>64823</v>
      </c>
      <c r="O278" s="475">
        <v>64824</v>
      </c>
      <c r="P278" s="459">
        <v>64808</v>
      </c>
      <c r="Q278" s="432" t="s">
        <v>51</v>
      </c>
    </row>
    <row r="279" spans="1:20">
      <c r="A279" s="477">
        <v>278</v>
      </c>
      <c r="B279" s="478" t="s">
        <v>524</v>
      </c>
      <c r="C279" s="479" t="s">
        <v>44</v>
      </c>
      <c r="D279" s="479" t="s">
        <v>449</v>
      </c>
      <c r="E279" s="479" t="s">
        <v>513</v>
      </c>
      <c r="F279" s="480" t="s">
        <v>512</v>
      </c>
      <c r="G279" s="482">
        <v>9860483533</v>
      </c>
      <c r="H279" s="478"/>
      <c r="I279" s="480">
        <v>26</v>
      </c>
      <c r="J279" s="481" t="s">
        <v>404</v>
      </c>
      <c r="K279" s="480" t="s">
        <v>53</v>
      </c>
      <c r="L279" s="482"/>
      <c r="M279" s="480" t="s">
        <v>533</v>
      </c>
      <c r="N279" s="722">
        <v>64823</v>
      </c>
      <c r="O279" s="459">
        <v>64824</v>
      </c>
      <c r="P279" s="465">
        <v>64808</v>
      </c>
      <c r="Q279" s="432" t="s">
        <v>51</v>
      </c>
      <c r="R279" s="336"/>
      <c r="S279" s="336"/>
      <c r="T279" s="336"/>
    </row>
    <row r="280" spans="1:20">
      <c r="A280" s="377">
        <v>279</v>
      </c>
      <c r="B280" s="432" t="s">
        <v>524</v>
      </c>
      <c r="C280" s="376" t="s">
        <v>44</v>
      </c>
      <c r="D280" s="376" t="s">
        <v>449</v>
      </c>
      <c r="E280" s="376" t="s">
        <v>538</v>
      </c>
      <c r="F280" s="431" t="s">
        <v>422</v>
      </c>
      <c r="G280" s="434">
        <v>9847891073</v>
      </c>
      <c r="I280" s="431">
        <v>3</v>
      </c>
      <c r="J280" s="423" t="s">
        <v>433</v>
      </c>
      <c r="K280" s="384" t="s">
        <v>53</v>
      </c>
      <c r="M280" s="375" t="s">
        <v>431</v>
      </c>
      <c r="N280" s="722">
        <v>64823</v>
      </c>
      <c r="O280" s="475">
        <v>64824</v>
      </c>
      <c r="P280" s="459">
        <v>64808</v>
      </c>
      <c r="Q280" s="432" t="s">
        <v>51</v>
      </c>
    </row>
    <row r="281" spans="1:20">
      <c r="A281" s="377">
        <v>280</v>
      </c>
      <c r="B281" s="432" t="s">
        <v>524</v>
      </c>
      <c r="C281" s="376" t="s">
        <v>44</v>
      </c>
      <c r="D281" s="376" t="s">
        <v>449</v>
      </c>
      <c r="E281" s="376" t="s">
        <v>539</v>
      </c>
      <c r="F281" s="431" t="s">
        <v>422</v>
      </c>
      <c r="G281" s="434">
        <v>9847891073</v>
      </c>
      <c r="I281" s="431">
        <v>74</v>
      </c>
      <c r="J281" s="433" t="s">
        <v>404</v>
      </c>
      <c r="K281" s="384" t="s">
        <v>53</v>
      </c>
      <c r="M281" s="375" t="s">
        <v>431</v>
      </c>
      <c r="N281" s="722">
        <v>64823</v>
      </c>
      <c r="O281" s="459">
        <v>64824</v>
      </c>
      <c r="P281" s="465">
        <v>64808</v>
      </c>
      <c r="Q281" s="432" t="s">
        <v>51</v>
      </c>
    </row>
    <row r="282" spans="1:20">
      <c r="A282" s="377">
        <v>281</v>
      </c>
      <c r="B282" s="436" t="s">
        <v>524</v>
      </c>
      <c r="C282" s="420" t="s">
        <v>44</v>
      </c>
      <c r="D282" s="420" t="s">
        <v>449</v>
      </c>
      <c r="E282" s="420" t="s">
        <v>540</v>
      </c>
      <c r="F282" s="435" t="s">
        <v>422</v>
      </c>
      <c r="G282" s="438">
        <v>9847891073</v>
      </c>
      <c r="H282" s="436"/>
      <c r="I282" s="435">
        <v>59</v>
      </c>
      <c r="J282" s="474" t="s">
        <v>433</v>
      </c>
      <c r="K282" s="417" t="s">
        <v>53</v>
      </c>
      <c r="L282" s="438"/>
      <c r="M282" s="419" t="s">
        <v>489</v>
      </c>
      <c r="N282" s="723">
        <v>64823</v>
      </c>
      <c r="O282" s="475">
        <v>64824</v>
      </c>
      <c r="P282" s="483" t="s">
        <v>866</v>
      </c>
      <c r="Q282" s="432" t="s">
        <v>51</v>
      </c>
      <c r="R282" s="163"/>
      <c r="S282" s="163"/>
      <c r="T282" s="163"/>
    </row>
    <row r="283" spans="1:20">
      <c r="A283" s="377">
        <v>282</v>
      </c>
      <c r="B283" s="432" t="s">
        <v>524</v>
      </c>
      <c r="C283" s="376" t="s">
        <v>44</v>
      </c>
      <c r="D283" s="376" t="s">
        <v>449</v>
      </c>
      <c r="E283" s="376" t="s">
        <v>541</v>
      </c>
      <c r="F283" s="431" t="s">
        <v>422</v>
      </c>
      <c r="G283" s="434">
        <v>9847891073</v>
      </c>
      <c r="I283" s="431">
        <v>28</v>
      </c>
      <c r="J283" s="423" t="s">
        <v>433</v>
      </c>
      <c r="K283" s="384" t="s">
        <v>53</v>
      </c>
      <c r="M283" s="375" t="s">
        <v>431</v>
      </c>
      <c r="N283" s="722">
        <v>64823</v>
      </c>
      <c r="O283" s="459">
        <v>64824</v>
      </c>
      <c r="P283" s="465">
        <v>64808</v>
      </c>
      <c r="Q283" s="432" t="s">
        <v>51</v>
      </c>
    </row>
    <row r="284" spans="1:20">
      <c r="A284" s="377">
        <v>283</v>
      </c>
      <c r="B284" s="432" t="s">
        <v>524</v>
      </c>
      <c r="C284" s="376" t="s">
        <v>44</v>
      </c>
      <c r="D284" s="376" t="s">
        <v>449</v>
      </c>
      <c r="E284" s="376" t="s">
        <v>542</v>
      </c>
      <c r="F284" s="431" t="s">
        <v>422</v>
      </c>
      <c r="G284" s="434">
        <v>9847891073</v>
      </c>
      <c r="I284" s="431">
        <v>31</v>
      </c>
      <c r="J284" s="433" t="s">
        <v>404</v>
      </c>
      <c r="K284" s="384" t="s">
        <v>53</v>
      </c>
      <c r="M284" s="375" t="s">
        <v>431</v>
      </c>
      <c r="N284" s="722">
        <v>64823</v>
      </c>
      <c r="O284" s="475">
        <v>64824</v>
      </c>
      <c r="P284" s="459">
        <v>64808</v>
      </c>
      <c r="Q284" s="432" t="s">
        <v>51</v>
      </c>
    </row>
    <row r="285" spans="1:20">
      <c r="A285" s="377">
        <v>284</v>
      </c>
      <c r="B285" s="432" t="s">
        <v>524</v>
      </c>
      <c r="C285" s="376" t="s">
        <v>44</v>
      </c>
      <c r="D285" s="376" t="s">
        <v>449</v>
      </c>
      <c r="E285" s="376" t="s">
        <v>543</v>
      </c>
      <c r="F285" s="431" t="s">
        <v>422</v>
      </c>
      <c r="G285" s="434">
        <v>9847891073</v>
      </c>
      <c r="I285" s="431">
        <v>42</v>
      </c>
      <c r="J285" s="433" t="s">
        <v>404</v>
      </c>
      <c r="K285" s="384" t="s">
        <v>53</v>
      </c>
      <c r="M285" s="375" t="s">
        <v>431</v>
      </c>
      <c r="N285" s="722">
        <v>64823</v>
      </c>
      <c r="O285" s="459">
        <v>64824</v>
      </c>
      <c r="P285" s="465">
        <v>64808</v>
      </c>
      <c r="Q285" s="432" t="s">
        <v>51</v>
      </c>
    </row>
    <row r="286" spans="1:20">
      <c r="A286" s="377">
        <v>285</v>
      </c>
      <c r="B286" s="432" t="s">
        <v>524</v>
      </c>
      <c r="C286" s="376" t="s">
        <v>44</v>
      </c>
      <c r="D286" s="376" t="s">
        <v>449</v>
      </c>
      <c r="E286" s="376" t="s">
        <v>544</v>
      </c>
      <c r="F286" s="434" t="s">
        <v>422</v>
      </c>
      <c r="G286" s="434">
        <v>9809875755</v>
      </c>
      <c r="I286" s="431">
        <v>22</v>
      </c>
      <c r="J286" s="433" t="s">
        <v>404</v>
      </c>
      <c r="K286" s="384" t="s">
        <v>53</v>
      </c>
      <c r="M286" s="375" t="s">
        <v>431</v>
      </c>
      <c r="N286" s="722">
        <v>64823</v>
      </c>
      <c r="O286" s="475">
        <v>64824</v>
      </c>
      <c r="P286" s="459">
        <v>64808</v>
      </c>
      <c r="Q286" s="432" t="s">
        <v>51</v>
      </c>
    </row>
    <row r="287" spans="1:20">
      <c r="A287" s="377">
        <v>286</v>
      </c>
      <c r="B287" s="432" t="s">
        <v>524</v>
      </c>
      <c r="C287" s="376" t="s">
        <v>44</v>
      </c>
      <c r="D287" s="376" t="s">
        <v>449</v>
      </c>
      <c r="E287" s="376" t="s">
        <v>545</v>
      </c>
      <c r="F287" s="434" t="s">
        <v>491</v>
      </c>
      <c r="G287" s="434">
        <v>9849285091</v>
      </c>
      <c r="I287" s="431">
        <v>39</v>
      </c>
      <c r="J287" s="433" t="s">
        <v>404</v>
      </c>
      <c r="K287" s="384" t="s">
        <v>53</v>
      </c>
      <c r="M287" s="375" t="s">
        <v>431</v>
      </c>
      <c r="N287" s="722">
        <v>64823</v>
      </c>
      <c r="O287" s="459">
        <v>64824</v>
      </c>
      <c r="P287" s="465">
        <v>64808</v>
      </c>
      <c r="Q287" s="432" t="s">
        <v>51</v>
      </c>
    </row>
    <row r="288" spans="1:20">
      <c r="A288" s="424">
        <v>287</v>
      </c>
      <c r="B288" s="448" t="s">
        <v>524</v>
      </c>
      <c r="C288" s="446" t="s">
        <v>44</v>
      </c>
      <c r="D288" s="446" t="s">
        <v>449</v>
      </c>
      <c r="E288" s="446" t="s">
        <v>546</v>
      </c>
      <c r="F288" s="450" t="s">
        <v>422</v>
      </c>
      <c r="G288" s="450">
        <v>9844968190</v>
      </c>
      <c r="H288" s="448"/>
      <c r="I288" s="447">
        <v>23</v>
      </c>
      <c r="J288" s="449" t="s">
        <v>404</v>
      </c>
      <c r="K288" s="447" t="s">
        <v>53</v>
      </c>
      <c r="L288" s="450"/>
      <c r="M288" s="447" t="s">
        <v>431</v>
      </c>
      <c r="N288" s="725">
        <v>64823</v>
      </c>
      <c r="O288" s="464">
        <v>64824</v>
      </c>
      <c r="P288" s="471">
        <v>64808</v>
      </c>
      <c r="Q288" s="432" t="s">
        <v>51</v>
      </c>
      <c r="R288" s="330"/>
      <c r="S288" s="330"/>
      <c r="T288" s="330"/>
    </row>
    <row r="289" spans="1:20">
      <c r="A289" s="377">
        <v>288</v>
      </c>
      <c r="B289" s="432" t="s">
        <v>524</v>
      </c>
      <c r="C289" s="376" t="s">
        <v>44</v>
      </c>
      <c r="D289" s="376" t="s">
        <v>449</v>
      </c>
      <c r="E289" s="376" t="s">
        <v>547</v>
      </c>
      <c r="F289" s="434" t="s">
        <v>548</v>
      </c>
      <c r="G289" s="434">
        <v>9866829891</v>
      </c>
      <c r="I289" s="431">
        <v>22</v>
      </c>
      <c r="J289" s="423" t="s">
        <v>433</v>
      </c>
      <c r="K289" s="384" t="s">
        <v>53</v>
      </c>
      <c r="M289" s="375" t="s">
        <v>431</v>
      </c>
      <c r="N289" s="722">
        <v>64824</v>
      </c>
      <c r="O289" s="459">
        <v>64825</v>
      </c>
      <c r="P289" s="459">
        <v>64844</v>
      </c>
      <c r="Q289" s="432" t="s">
        <v>51</v>
      </c>
    </row>
    <row r="290" spans="1:20">
      <c r="A290" s="377">
        <v>289</v>
      </c>
      <c r="B290" s="432" t="s">
        <v>524</v>
      </c>
      <c r="C290" s="376" t="s">
        <v>44</v>
      </c>
      <c r="D290" s="376" t="s">
        <v>449</v>
      </c>
      <c r="E290" s="376" t="s">
        <v>549</v>
      </c>
      <c r="F290" s="434" t="s">
        <v>548</v>
      </c>
      <c r="G290" s="434">
        <v>9847844414</v>
      </c>
      <c r="I290" s="431">
        <v>34</v>
      </c>
      <c r="J290" s="433" t="s">
        <v>404</v>
      </c>
      <c r="K290" s="384" t="s">
        <v>53</v>
      </c>
      <c r="M290" s="375" t="s">
        <v>431</v>
      </c>
      <c r="N290" s="722">
        <v>64824</v>
      </c>
      <c r="O290" s="459">
        <v>64825</v>
      </c>
      <c r="P290" s="459">
        <v>64844</v>
      </c>
      <c r="Q290" s="432" t="s">
        <v>51</v>
      </c>
    </row>
    <row r="291" spans="1:20">
      <c r="A291" s="377">
        <v>290</v>
      </c>
      <c r="B291" s="432" t="s">
        <v>524</v>
      </c>
      <c r="C291" s="376" t="s">
        <v>44</v>
      </c>
      <c r="D291" s="376" t="s">
        <v>449</v>
      </c>
      <c r="E291" s="376" t="s">
        <v>550</v>
      </c>
      <c r="F291" s="434" t="s">
        <v>548</v>
      </c>
      <c r="G291" s="434">
        <v>9857840902</v>
      </c>
      <c r="I291" s="431">
        <v>35</v>
      </c>
      <c r="J291" s="433" t="s">
        <v>404</v>
      </c>
      <c r="K291" s="384" t="s">
        <v>53</v>
      </c>
      <c r="M291" s="375" t="s">
        <v>431</v>
      </c>
      <c r="N291" s="722">
        <v>64824</v>
      </c>
      <c r="O291" s="459">
        <v>64825</v>
      </c>
      <c r="P291" s="459">
        <v>64844</v>
      </c>
      <c r="Q291" s="432" t="s">
        <v>51</v>
      </c>
    </row>
    <row r="292" spans="1:20">
      <c r="A292" s="377">
        <v>291</v>
      </c>
      <c r="B292" s="432" t="s">
        <v>524</v>
      </c>
      <c r="C292" s="376" t="s">
        <v>44</v>
      </c>
      <c r="D292" s="376" t="s">
        <v>449</v>
      </c>
      <c r="E292" s="376" t="s">
        <v>551</v>
      </c>
      <c r="F292" s="434" t="s">
        <v>552</v>
      </c>
      <c r="G292" s="434">
        <v>9822984035</v>
      </c>
      <c r="I292" s="431">
        <v>36</v>
      </c>
      <c r="J292" s="433" t="s">
        <v>404</v>
      </c>
      <c r="K292" s="384" t="s">
        <v>53</v>
      </c>
      <c r="M292" s="375" t="s">
        <v>431</v>
      </c>
      <c r="N292" s="722">
        <v>64824</v>
      </c>
      <c r="O292" s="459">
        <v>64825</v>
      </c>
      <c r="P292" s="459">
        <v>64844</v>
      </c>
      <c r="Q292" s="432" t="s">
        <v>51</v>
      </c>
    </row>
    <row r="293" spans="1:20">
      <c r="A293" s="377">
        <v>292</v>
      </c>
      <c r="B293" s="432" t="s">
        <v>524</v>
      </c>
      <c r="C293" s="376" t="s">
        <v>44</v>
      </c>
      <c r="D293" s="376" t="s">
        <v>449</v>
      </c>
      <c r="E293" s="376" t="s">
        <v>553</v>
      </c>
      <c r="F293" s="434" t="s">
        <v>409</v>
      </c>
      <c r="G293" s="434">
        <v>9848020900</v>
      </c>
      <c r="I293" s="431">
        <v>43</v>
      </c>
      <c r="J293" s="423" t="s">
        <v>433</v>
      </c>
      <c r="K293" s="384" t="s">
        <v>53</v>
      </c>
      <c r="M293" s="375" t="s">
        <v>431</v>
      </c>
      <c r="N293" s="722">
        <v>64824</v>
      </c>
      <c r="O293" s="459">
        <v>64825</v>
      </c>
      <c r="P293" s="459">
        <v>64844</v>
      </c>
      <c r="Q293" s="432" t="s">
        <v>51</v>
      </c>
    </row>
    <row r="294" spans="1:20">
      <c r="A294" s="377">
        <v>293</v>
      </c>
      <c r="B294" s="432" t="s">
        <v>524</v>
      </c>
      <c r="C294" s="376" t="s">
        <v>44</v>
      </c>
      <c r="D294" s="376" t="s">
        <v>449</v>
      </c>
      <c r="E294" s="376" t="s">
        <v>554</v>
      </c>
      <c r="F294" s="434" t="s">
        <v>491</v>
      </c>
      <c r="G294" s="434">
        <v>981247729</v>
      </c>
      <c r="I294" s="431">
        <v>35</v>
      </c>
      <c r="J294" s="433" t="s">
        <v>404</v>
      </c>
      <c r="K294" s="384" t="s">
        <v>53</v>
      </c>
      <c r="M294" s="375" t="s">
        <v>431</v>
      </c>
      <c r="N294" s="722">
        <v>64824</v>
      </c>
      <c r="O294" s="459">
        <v>64825</v>
      </c>
      <c r="P294" s="459">
        <v>64844</v>
      </c>
      <c r="Q294" s="432" t="s">
        <v>51</v>
      </c>
    </row>
    <row r="295" spans="1:20">
      <c r="A295" s="377">
        <v>294</v>
      </c>
      <c r="B295" s="432" t="s">
        <v>524</v>
      </c>
      <c r="C295" s="376" t="s">
        <v>44</v>
      </c>
      <c r="D295" s="376" t="s">
        <v>449</v>
      </c>
      <c r="E295" s="376" t="s">
        <v>555</v>
      </c>
      <c r="F295" s="434" t="s">
        <v>548</v>
      </c>
      <c r="G295" s="434">
        <v>9842693643</v>
      </c>
      <c r="I295" s="431">
        <v>21</v>
      </c>
      <c r="J295" s="433" t="s">
        <v>404</v>
      </c>
      <c r="K295" s="384" t="s">
        <v>53</v>
      </c>
      <c r="M295" s="375" t="s">
        <v>431</v>
      </c>
      <c r="N295" s="722">
        <v>64824</v>
      </c>
      <c r="O295" s="459">
        <v>64825</v>
      </c>
      <c r="P295" s="459">
        <v>64844</v>
      </c>
      <c r="Q295" s="432" t="s">
        <v>51</v>
      </c>
    </row>
    <row r="296" spans="1:20">
      <c r="A296" s="377">
        <v>295</v>
      </c>
      <c r="B296" s="432" t="s">
        <v>524</v>
      </c>
      <c r="C296" s="376" t="s">
        <v>44</v>
      </c>
      <c r="D296" s="376" t="s">
        <v>449</v>
      </c>
      <c r="E296" s="376" t="s">
        <v>556</v>
      </c>
      <c r="F296" s="434" t="s">
        <v>557</v>
      </c>
      <c r="G296" s="434">
        <v>9866220106</v>
      </c>
      <c r="I296" s="431">
        <v>27</v>
      </c>
      <c r="J296" s="433" t="s">
        <v>404</v>
      </c>
      <c r="K296" s="384" t="s">
        <v>53</v>
      </c>
      <c r="M296" s="375" t="s">
        <v>431</v>
      </c>
      <c r="N296" s="722">
        <v>64824</v>
      </c>
      <c r="O296" s="459">
        <v>64825</v>
      </c>
      <c r="P296" s="459">
        <v>64844</v>
      </c>
      <c r="Q296" s="432" t="s">
        <v>51</v>
      </c>
    </row>
    <row r="297" spans="1:20">
      <c r="A297" s="377">
        <v>296</v>
      </c>
      <c r="B297" s="432" t="s">
        <v>524</v>
      </c>
      <c r="C297" s="376" t="s">
        <v>44</v>
      </c>
      <c r="D297" s="376" t="s">
        <v>449</v>
      </c>
      <c r="E297" s="376" t="s">
        <v>558</v>
      </c>
      <c r="F297" s="434" t="s">
        <v>502</v>
      </c>
      <c r="G297" s="434">
        <v>9809851020</v>
      </c>
      <c r="I297" s="431">
        <v>21</v>
      </c>
      <c r="J297" s="433" t="s">
        <v>404</v>
      </c>
      <c r="K297" s="384" t="s">
        <v>53</v>
      </c>
      <c r="M297" s="375" t="s">
        <v>431</v>
      </c>
      <c r="N297" s="722">
        <v>64824</v>
      </c>
      <c r="O297" s="459">
        <v>64825</v>
      </c>
      <c r="P297" s="459">
        <v>64844</v>
      </c>
      <c r="Q297" s="432" t="s">
        <v>51</v>
      </c>
    </row>
    <row r="298" spans="1:20">
      <c r="A298" s="377">
        <v>297</v>
      </c>
      <c r="B298" s="432" t="s">
        <v>524</v>
      </c>
      <c r="C298" s="376" t="s">
        <v>44</v>
      </c>
      <c r="D298" s="376" t="s">
        <v>449</v>
      </c>
      <c r="E298" s="376" t="s">
        <v>559</v>
      </c>
      <c r="F298" s="434" t="s">
        <v>491</v>
      </c>
      <c r="G298" s="434">
        <v>9851179433</v>
      </c>
      <c r="I298" s="431">
        <v>23</v>
      </c>
      <c r="J298" s="433" t="s">
        <v>404</v>
      </c>
      <c r="K298" s="384" t="s">
        <v>53</v>
      </c>
      <c r="M298" s="375" t="s">
        <v>431</v>
      </c>
      <c r="N298" s="722">
        <v>64824</v>
      </c>
      <c r="O298" s="459">
        <v>64825</v>
      </c>
      <c r="P298" s="459">
        <v>64844</v>
      </c>
      <c r="Q298" s="432" t="s">
        <v>51</v>
      </c>
    </row>
    <row r="299" spans="1:20">
      <c r="A299" s="377">
        <v>298</v>
      </c>
      <c r="B299" s="436" t="s">
        <v>524</v>
      </c>
      <c r="C299" s="420" t="s">
        <v>44</v>
      </c>
      <c r="D299" s="420" t="s">
        <v>449</v>
      </c>
      <c r="E299" s="420" t="s">
        <v>560</v>
      </c>
      <c r="F299" s="438" t="s">
        <v>502</v>
      </c>
      <c r="G299" s="438" t="s">
        <v>561</v>
      </c>
      <c r="H299" s="436"/>
      <c r="I299" s="435">
        <v>26</v>
      </c>
      <c r="J299" s="437" t="s">
        <v>404</v>
      </c>
      <c r="K299" s="417" t="s">
        <v>53</v>
      </c>
      <c r="L299" s="438"/>
      <c r="M299" s="419" t="s">
        <v>562</v>
      </c>
      <c r="N299" s="723">
        <v>64824</v>
      </c>
      <c r="O299" s="459">
        <v>64825</v>
      </c>
      <c r="P299" s="459">
        <v>64844</v>
      </c>
      <c r="Q299" s="432" t="s">
        <v>51</v>
      </c>
      <c r="R299" s="163"/>
      <c r="S299" s="163"/>
      <c r="T299" s="163"/>
    </row>
    <row r="300" spans="1:20">
      <c r="A300" s="377">
        <v>299</v>
      </c>
      <c r="B300" s="432" t="s">
        <v>524</v>
      </c>
      <c r="C300" s="376" t="s">
        <v>44</v>
      </c>
      <c r="D300" s="376" t="s">
        <v>449</v>
      </c>
      <c r="E300" s="376" t="s">
        <v>563</v>
      </c>
      <c r="F300" s="434" t="s">
        <v>491</v>
      </c>
      <c r="G300" s="434">
        <v>9806208983</v>
      </c>
      <c r="I300" s="431">
        <v>21</v>
      </c>
      <c r="J300" s="433" t="s">
        <v>404</v>
      </c>
      <c r="K300" s="384" t="s">
        <v>53</v>
      </c>
      <c r="M300" s="375" t="s">
        <v>431</v>
      </c>
      <c r="N300" s="722">
        <v>64824</v>
      </c>
      <c r="O300" s="459">
        <v>64825</v>
      </c>
      <c r="P300" s="459">
        <v>64844</v>
      </c>
      <c r="Q300" s="432" t="s">
        <v>51</v>
      </c>
    </row>
    <row r="301" spans="1:20">
      <c r="A301" s="377">
        <v>300</v>
      </c>
      <c r="B301" s="432" t="s">
        <v>524</v>
      </c>
      <c r="C301" s="376" t="s">
        <v>44</v>
      </c>
      <c r="D301" s="376" t="s">
        <v>449</v>
      </c>
      <c r="E301" s="376" t="s">
        <v>564</v>
      </c>
      <c r="F301" s="434" t="s">
        <v>502</v>
      </c>
      <c r="G301" s="434">
        <v>9844913981</v>
      </c>
      <c r="I301" s="431">
        <v>28</v>
      </c>
      <c r="J301" s="433" t="s">
        <v>404</v>
      </c>
      <c r="K301" s="384" t="s">
        <v>53</v>
      </c>
      <c r="M301" s="375" t="s">
        <v>431</v>
      </c>
      <c r="N301" s="722">
        <v>64824</v>
      </c>
      <c r="O301" s="459">
        <v>64825</v>
      </c>
      <c r="P301" s="459">
        <v>64844</v>
      </c>
      <c r="Q301" s="432" t="s">
        <v>51</v>
      </c>
    </row>
    <row r="302" spans="1:20">
      <c r="A302" s="377">
        <v>301</v>
      </c>
      <c r="B302" s="432" t="s">
        <v>524</v>
      </c>
      <c r="C302" s="376" t="s">
        <v>44</v>
      </c>
      <c r="D302" s="376" t="s">
        <v>449</v>
      </c>
      <c r="E302" s="376" t="s">
        <v>565</v>
      </c>
      <c r="F302" s="434" t="s">
        <v>502</v>
      </c>
      <c r="G302" s="434">
        <v>9801020835</v>
      </c>
      <c r="I302" s="431">
        <v>18</v>
      </c>
      <c r="J302" s="423" t="s">
        <v>433</v>
      </c>
      <c r="K302" s="384" t="s">
        <v>53</v>
      </c>
      <c r="M302" s="375" t="s">
        <v>431</v>
      </c>
      <c r="N302" s="722">
        <v>64824</v>
      </c>
      <c r="O302" s="459">
        <v>64825</v>
      </c>
      <c r="P302" s="459">
        <v>64844</v>
      </c>
      <c r="Q302" s="432" t="s">
        <v>51</v>
      </c>
    </row>
    <row r="303" spans="1:20">
      <c r="A303" s="377">
        <v>302</v>
      </c>
      <c r="B303" s="432" t="s">
        <v>524</v>
      </c>
      <c r="C303" s="376" t="s">
        <v>44</v>
      </c>
      <c r="D303" s="376" t="s">
        <v>449</v>
      </c>
      <c r="E303" s="376" t="s">
        <v>566</v>
      </c>
      <c r="F303" s="434" t="s">
        <v>510</v>
      </c>
      <c r="G303" s="434">
        <v>9844942452</v>
      </c>
      <c r="I303" s="431">
        <v>25</v>
      </c>
      <c r="J303" s="433" t="s">
        <v>404</v>
      </c>
      <c r="K303" s="431" t="s">
        <v>567</v>
      </c>
      <c r="M303" s="375" t="s">
        <v>431</v>
      </c>
      <c r="N303" s="722">
        <v>64825</v>
      </c>
      <c r="O303" s="459">
        <v>64826</v>
      </c>
      <c r="P303" s="459">
        <v>64844</v>
      </c>
      <c r="Q303" s="432" t="s">
        <v>51</v>
      </c>
    </row>
    <row r="304" spans="1:20">
      <c r="A304" s="377">
        <v>303</v>
      </c>
      <c r="B304" s="432" t="s">
        <v>524</v>
      </c>
      <c r="C304" s="376" t="s">
        <v>44</v>
      </c>
      <c r="D304" s="376" t="s">
        <v>449</v>
      </c>
      <c r="E304" s="376" t="s">
        <v>568</v>
      </c>
      <c r="F304" s="434" t="s">
        <v>409</v>
      </c>
      <c r="G304" s="434">
        <v>9847831785</v>
      </c>
      <c r="I304" s="431">
        <v>50</v>
      </c>
      <c r="J304" s="423" t="s">
        <v>433</v>
      </c>
      <c r="K304" s="384" t="s">
        <v>53</v>
      </c>
      <c r="M304" s="375" t="s">
        <v>431</v>
      </c>
      <c r="N304" s="722">
        <v>64825</v>
      </c>
      <c r="O304" s="459">
        <v>64826</v>
      </c>
      <c r="P304" s="459">
        <v>64844</v>
      </c>
      <c r="Q304" s="432" t="s">
        <v>51</v>
      </c>
    </row>
    <row r="305" spans="1:20">
      <c r="A305" s="377">
        <v>304</v>
      </c>
      <c r="B305" s="432" t="s">
        <v>524</v>
      </c>
      <c r="C305" s="376" t="s">
        <v>44</v>
      </c>
      <c r="D305" s="376" t="s">
        <v>449</v>
      </c>
      <c r="E305" s="376" t="s">
        <v>569</v>
      </c>
      <c r="F305" s="434" t="s">
        <v>502</v>
      </c>
      <c r="G305" s="434" t="s">
        <v>570</v>
      </c>
      <c r="I305" s="431">
        <v>23</v>
      </c>
      <c r="J305" s="433" t="s">
        <v>404</v>
      </c>
      <c r="K305" s="384" t="s">
        <v>53</v>
      </c>
      <c r="M305" s="375" t="s">
        <v>431</v>
      </c>
      <c r="N305" s="722">
        <v>64825</v>
      </c>
      <c r="O305" s="459">
        <v>64826</v>
      </c>
      <c r="P305" s="459">
        <v>64844</v>
      </c>
      <c r="Q305" s="432" t="s">
        <v>51</v>
      </c>
    </row>
    <row r="306" spans="1:20">
      <c r="A306" s="377">
        <v>305</v>
      </c>
      <c r="B306" s="436" t="s">
        <v>524</v>
      </c>
      <c r="C306" s="420" t="s">
        <v>44</v>
      </c>
      <c r="D306" s="420" t="s">
        <v>449</v>
      </c>
      <c r="E306" s="420" t="s">
        <v>571</v>
      </c>
      <c r="F306" s="438" t="s">
        <v>548</v>
      </c>
      <c r="G306" s="438">
        <v>9809798261</v>
      </c>
      <c r="H306" s="436"/>
      <c r="I306" s="435">
        <v>18</v>
      </c>
      <c r="J306" s="437" t="s">
        <v>404</v>
      </c>
      <c r="K306" s="417" t="s">
        <v>53</v>
      </c>
      <c r="L306" s="438"/>
      <c r="M306" s="419" t="s">
        <v>572</v>
      </c>
      <c r="N306" s="723">
        <v>64825</v>
      </c>
      <c r="O306" s="459">
        <v>64826</v>
      </c>
      <c r="P306" s="465">
        <v>64839</v>
      </c>
      <c r="Q306" s="436" t="s">
        <v>51</v>
      </c>
      <c r="R306" s="163"/>
      <c r="S306" s="163"/>
      <c r="T306" s="163"/>
    </row>
    <row r="307" spans="1:20">
      <c r="A307" s="377">
        <v>306</v>
      </c>
      <c r="B307" s="432" t="s">
        <v>524</v>
      </c>
      <c r="C307" s="376" t="s">
        <v>44</v>
      </c>
      <c r="D307" s="376" t="s">
        <v>449</v>
      </c>
      <c r="E307" s="376" t="s">
        <v>573</v>
      </c>
      <c r="F307" s="434" t="s">
        <v>441</v>
      </c>
      <c r="G307" s="434">
        <v>9809743389</v>
      </c>
      <c r="I307" s="431">
        <v>7</v>
      </c>
      <c r="J307" s="433" t="s">
        <v>404</v>
      </c>
      <c r="K307" s="384" t="s">
        <v>53</v>
      </c>
      <c r="M307" s="375" t="s">
        <v>431</v>
      </c>
      <c r="N307" s="722">
        <v>64825</v>
      </c>
      <c r="O307" s="459">
        <v>64826</v>
      </c>
      <c r="P307" s="459">
        <v>64844</v>
      </c>
      <c r="Q307" s="432" t="s">
        <v>51</v>
      </c>
    </row>
    <row r="308" spans="1:20">
      <c r="A308" s="377">
        <v>307</v>
      </c>
      <c r="B308" s="432" t="s">
        <v>524</v>
      </c>
      <c r="C308" s="376" t="s">
        <v>44</v>
      </c>
      <c r="D308" s="376" t="s">
        <v>449</v>
      </c>
      <c r="E308" s="376" t="s">
        <v>574</v>
      </c>
      <c r="F308" s="434" t="s">
        <v>441</v>
      </c>
      <c r="G308" s="434">
        <v>9847932316</v>
      </c>
      <c r="I308" s="431">
        <v>17</v>
      </c>
      <c r="J308" s="423" t="s">
        <v>433</v>
      </c>
      <c r="K308" s="384" t="s">
        <v>53</v>
      </c>
      <c r="M308" s="375" t="s">
        <v>431</v>
      </c>
      <c r="N308" s="722">
        <v>64825</v>
      </c>
      <c r="O308" s="459">
        <v>64826</v>
      </c>
      <c r="P308" s="459">
        <v>64844</v>
      </c>
      <c r="Q308" s="432" t="s">
        <v>51</v>
      </c>
    </row>
    <row r="309" spans="1:20">
      <c r="A309" s="377">
        <v>308</v>
      </c>
      <c r="B309" s="432" t="s">
        <v>524</v>
      </c>
      <c r="C309" s="376" t="s">
        <v>44</v>
      </c>
      <c r="D309" s="376" t="s">
        <v>449</v>
      </c>
      <c r="E309" s="376" t="s">
        <v>575</v>
      </c>
      <c r="F309" s="434" t="s">
        <v>502</v>
      </c>
      <c r="G309" s="434">
        <v>9804172516</v>
      </c>
      <c r="I309" s="431">
        <v>5</v>
      </c>
      <c r="J309" s="433" t="s">
        <v>404</v>
      </c>
      <c r="K309" s="384" t="s">
        <v>53</v>
      </c>
      <c r="M309" s="375" t="s">
        <v>431</v>
      </c>
      <c r="N309" s="722">
        <v>64825</v>
      </c>
      <c r="O309" s="459">
        <v>64826</v>
      </c>
      <c r="P309" s="459">
        <v>64844</v>
      </c>
      <c r="Q309" s="432" t="s">
        <v>51</v>
      </c>
    </row>
    <row r="310" spans="1:20">
      <c r="A310" s="484">
        <v>309</v>
      </c>
      <c r="B310" s="432" t="s">
        <v>524</v>
      </c>
      <c r="C310" s="376" t="s">
        <v>44</v>
      </c>
      <c r="D310" s="376" t="s">
        <v>449</v>
      </c>
      <c r="E310" s="485" t="s">
        <v>576</v>
      </c>
      <c r="F310" s="486" t="s">
        <v>491</v>
      </c>
      <c r="G310" s="486">
        <v>9857845575</v>
      </c>
      <c r="H310" s="487"/>
      <c r="I310" s="1474">
        <v>29</v>
      </c>
      <c r="J310" s="433" t="s">
        <v>404</v>
      </c>
      <c r="K310" s="384" t="s">
        <v>53</v>
      </c>
      <c r="L310" s="486"/>
      <c r="M310" s="375" t="s">
        <v>431</v>
      </c>
      <c r="N310" s="722">
        <v>64826</v>
      </c>
      <c r="O310" s="488">
        <v>64827</v>
      </c>
      <c r="P310" s="459">
        <v>64844</v>
      </c>
      <c r="Q310" s="432" t="s">
        <v>51</v>
      </c>
      <c r="R310" s="337"/>
      <c r="S310" s="337"/>
      <c r="T310" s="337"/>
    </row>
    <row r="311" spans="1:20">
      <c r="A311" s="377">
        <v>310</v>
      </c>
      <c r="B311" s="432" t="s">
        <v>524</v>
      </c>
      <c r="C311" s="376" t="s">
        <v>44</v>
      </c>
      <c r="D311" s="376" t="s">
        <v>449</v>
      </c>
      <c r="E311" s="376" t="s">
        <v>577</v>
      </c>
      <c r="F311" s="434" t="s">
        <v>491</v>
      </c>
      <c r="G311" s="434">
        <v>9858321016</v>
      </c>
      <c r="I311" s="431">
        <v>28</v>
      </c>
      <c r="J311" s="433" t="s">
        <v>404</v>
      </c>
      <c r="K311" s="384" t="s">
        <v>53</v>
      </c>
      <c r="M311" s="375" t="s">
        <v>431</v>
      </c>
      <c r="N311" s="722">
        <v>64826</v>
      </c>
      <c r="O311" s="459">
        <v>64827</v>
      </c>
      <c r="P311" s="459">
        <v>64844</v>
      </c>
      <c r="Q311" s="432" t="s">
        <v>51</v>
      </c>
    </row>
    <row r="312" spans="1:20">
      <c r="A312" s="377">
        <v>311</v>
      </c>
      <c r="B312" s="432" t="s">
        <v>524</v>
      </c>
      <c r="C312" s="376" t="s">
        <v>44</v>
      </c>
      <c r="D312" s="376" t="s">
        <v>449</v>
      </c>
      <c r="E312" s="376" t="s">
        <v>578</v>
      </c>
      <c r="F312" s="434" t="s">
        <v>491</v>
      </c>
      <c r="G312" s="434">
        <v>9866857938</v>
      </c>
      <c r="I312" s="431">
        <v>25</v>
      </c>
      <c r="J312" s="433" t="s">
        <v>404</v>
      </c>
      <c r="K312" s="384" t="s">
        <v>53</v>
      </c>
      <c r="M312" s="375" t="s">
        <v>431</v>
      </c>
      <c r="N312" s="722">
        <v>64826</v>
      </c>
      <c r="O312" s="488">
        <v>64827</v>
      </c>
      <c r="P312" s="459">
        <v>64844</v>
      </c>
      <c r="Q312" s="432" t="s">
        <v>51</v>
      </c>
    </row>
    <row r="313" spans="1:20">
      <c r="A313" s="377">
        <v>312</v>
      </c>
      <c r="B313" s="432" t="s">
        <v>524</v>
      </c>
      <c r="C313" s="376" t="s">
        <v>44</v>
      </c>
      <c r="D313" s="376" t="s">
        <v>449</v>
      </c>
      <c r="E313" s="376" t="s">
        <v>579</v>
      </c>
      <c r="F313" s="434" t="s">
        <v>491</v>
      </c>
      <c r="G313" s="434">
        <v>9849502768</v>
      </c>
      <c r="I313" s="431">
        <v>27</v>
      </c>
      <c r="J313" s="423" t="s">
        <v>433</v>
      </c>
      <c r="K313" s="384" t="s">
        <v>53</v>
      </c>
      <c r="M313" s="375" t="s">
        <v>431</v>
      </c>
      <c r="N313" s="722">
        <v>64826</v>
      </c>
      <c r="O313" s="459">
        <v>64827</v>
      </c>
      <c r="P313" s="459">
        <v>64844</v>
      </c>
      <c r="Q313" s="432" t="s">
        <v>51</v>
      </c>
    </row>
    <row r="314" spans="1:20">
      <c r="A314" s="377">
        <v>313</v>
      </c>
      <c r="B314" s="432" t="s">
        <v>524</v>
      </c>
      <c r="C314" s="376" t="s">
        <v>44</v>
      </c>
      <c r="D314" s="376" t="s">
        <v>449</v>
      </c>
      <c r="E314" s="376" t="s">
        <v>580</v>
      </c>
      <c r="F314" s="434" t="s">
        <v>491</v>
      </c>
      <c r="G314" s="434">
        <v>9857820595</v>
      </c>
      <c r="I314" s="431">
        <v>49</v>
      </c>
      <c r="J314" s="433" t="s">
        <v>404</v>
      </c>
      <c r="K314" s="384" t="s">
        <v>53</v>
      </c>
      <c r="M314" s="375" t="s">
        <v>431</v>
      </c>
      <c r="N314" s="722">
        <v>64826</v>
      </c>
      <c r="O314" s="488">
        <v>64827</v>
      </c>
      <c r="P314" s="459">
        <v>64844</v>
      </c>
      <c r="Q314" s="432" t="s">
        <v>51</v>
      </c>
    </row>
    <row r="315" spans="1:20">
      <c r="A315" s="377">
        <v>314</v>
      </c>
      <c r="B315" s="432" t="s">
        <v>524</v>
      </c>
      <c r="C315" s="376" t="s">
        <v>44</v>
      </c>
      <c r="D315" s="376" t="s">
        <v>449</v>
      </c>
      <c r="E315" s="376" t="s">
        <v>581</v>
      </c>
      <c r="F315" s="434" t="s">
        <v>491</v>
      </c>
      <c r="G315" s="434">
        <v>9812969490</v>
      </c>
      <c r="I315" s="431">
        <v>32</v>
      </c>
      <c r="J315" s="433" t="s">
        <v>404</v>
      </c>
      <c r="K315" s="384" t="s">
        <v>53</v>
      </c>
      <c r="M315" s="375" t="s">
        <v>431</v>
      </c>
      <c r="N315" s="722">
        <v>64826</v>
      </c>
      <c r="O315" s="459">
        <v>64827</v>
      </c>
      <c r="P315" s="459">
        <v>64844</v>
      </c>
      <c r="Q315" s="432" t="s">
        <v>51</v>
      </c>
    </row>
    <row r="316" spans="1:20">
      <c r="A316" s="377">
        <v>315</v>
      </c>
      <c r="B316" s="432" t="s">
        <v>524</v>
      </c>
      <c r="C316" s="376" t="s">
        <v>44</v>
      </c>
      <c r="D316" s="376" t="s">
        <v>449</v>
      </c>
      <c r="E316" s="376" t="s">
        <v>582</v>
      </c>
      <c r="F316" s="434" t="s">
        <v>491</v>
      </c>
      <c r="I316" s="431">
        <v>37</v>
      </c>
      <c r="J316" s="433" t="s">
        <v>404</v>
      </c>
      <c r="K316" s="384" t="s">
        <v>53</v>
      </c>
      <c r="M316" s="375" t="s">
        <v>431</v>
      </c>
      <c r="N316" s="722">
        <v>64826</v>
      </c>
      <c r="O316" s="488">
        <v>64827</v>
      </c>
      <c r="P316" s="459">
        <v>64844</v>
      </c>
      <c r="Q316" s="432" t="s">
        <v>51</v>
      </c>
    </row>
    <row r="317" spans="1:20">
      <c r="A317" s="377">
        <v>316</v>
      </c>
      <c r="B317" s="432" t="s">
        <v>524</v>
      </c>
      <c r="C317" s="376" t="s">
        <v>44</v>
      </c>
      <c r="D317" s="376" t="s">
        <v>449</v>
      </c>
      <c r="E317" s="376" t="s">
        <v>583</v>
      </c>
      <c r="F317" s="434" t="s">
        <v>415</v>
      </c>
      <c r="G317" s="434">
        <v>9804621970</v>
      </c>
      <c r="I317" s="431">
        <v>28</v>
      </c>
      <c r="J317" s="423" t="s">
        <v>433</v>
      </c>
      <c r="K317" s="384" t="s">
        <v>53</v>
      </c>
      <c r="M317" s="375" t="s">
        <v>431</v>
      </c>
      <c r="N317" s="722">
        <v>64826</v>
      </c>
      <c r="O317" s="459">
        <v>64827</v>
      </c>
      <c r="P317" s="459">
        <v>64844</v>
      </c>
      <c r="Q317" s="432" t="s">
        <v>51</v>
      </c>
    </row>
    <row r="318" spans="1:20">
      <c r="A318" s="377">
        <v>317</v>
      </c>
      <c r="B318" s="432" t="s">
        <v>524</v>
      </c>
      <c r="C318" s="376" t="s">
        <v>44</v>
      </c>
      <c r="D318" s="376" t="s">
        <v>449</v>
      </c>
      <c r="E318" s="376" t="s">
        <v>584</v>
      </c>
      <c r="F318" s="434" t="s">
        <v>491</v>
      </c>
      <c r="G318" s="434">
        <v>9847899830</v>
      </c>
      <c r="I318" s="431">
        <v>28</v>
      </c>
      <c r="J318" s="423" t="s">
        <v>433</v>
      </c>
      <c r="K318" s="384" t="s">
        <v>53</v>
      </c>
      <c r="M318" s="375" t="s">
        <v>431</v>
      </c>
      <c r="N318" s="722">
        <v>64826</v>
      </c>
      <c r="O318" s="488">
        <v>64827</v>
      </c>
      <c r="P318" s="459">
        <v>64844</v>
      </c>
      <c r="Q318" s="432" t="s">
        <v>51</v>
      </c>
    </row>
    <row r="319" spans="1:20">
      <c r="A319" s="377">
        <v>318</v>
      </c>
      <c r="B319" s="432" t="s">
        <v>524</v>
      </c>
      <c r="C319" s="376" t="s">
        <v>44</v>
      </c>
      <c r="D319" s="376" t="s">
        <v>449</v>
      </c>
      <c r="E319" s="376" t="s">
        <v>585</v>
      </c>
      <c r="F319" s="434" t="s">
        <v>586</v>
      </c>
      <c r="G319" s="434">
        <v>9847899830</v>
      </c>
      <c r="I319" s="434" t="s">
        <v>587</v>
      </c>
      <c r="J319" s="423" t="s">
        <v>433</v>
      </c>
      <c r="K319" s="384" t="s">
        <v>53</v>
      </c>
      <c r="M319" s="375" t="s">
        <v>431</v>
      </c>
      <c r="N319" s="722">
        <v>64826</v>
      </c>
      <c r="O319" s="459">
        <v>64827</v>
      </c>
      <c r="P319" s="459">
        <v>64844</v>
      </c>
      <c r="Q319" s="432" t="s">
        <v>51</v>
      </c>
    </row>
    <row r="320" spans="1:20">
      <c r="A320" s="377">
        <v>319</v>
      </c>
      <c r="B320" s="432" t="s">
        <v>524</v>
      </c>
      <c r="C320" s="376" t="s">
        <v>44</v>
      </c>
      <c r="D320" s="376" t="s">
        <v>449</v>
      </c>
      <c r="E320" s="376" t="s">
        <v>588</v>
      </c>
      <c r="F320" s="434" t="s">
        <v>491</v>
      </c>
      <c r="G320" s="434">
        <v>9847899830</v>
      </c>
      <c r="I320" s="431">
        <v>15</v>
      </c>
      <c r="J320" s="423" t="s">
        <v>433</v>
      </c>
      <c r="K320" s="384" t="s">
        <v>53</v>
      </c>
      <c r="M320" s="375" t="s">
        <v>431</v>
      </c>
      <c r="N320" s="722">
        <v>64826</v>
      </c>
      <c r="O320" s="488">
        <v>64827</v>
      </c>
      <c r="P320" s="459">
        <v>64844</v>
      </c>
      <c r="Q320" s="432" t="s">
        <v>51</v>
      </c>
    </row>
    <row r="321" spans="1:20">
      <c r="A321" s="377">
        <v>320</v>
      </c>
      <c r="B321" s="432" t="s">
        <v>524</v>
      </c>
      <c r="C321" s="376" t="s">
        <v>44</v>
      </c>
      <c r="D321" s="376" t="s">
        <v>449</v>
      </c>
      <c r="E321" s="376" t="s">
        <v>589</v>
      </c>
      <c r="F321" s="434" t="s">
        <v>590</v>
      </c>
      <c r="G321" s="434">
        <v>9808294485</v>
      </c>
      <c r="I321" s="431">
        <v>33</v>
      </c>
      <c r="J321" s="433" t="s">
        <v>404</v>
      </c>
      <c r="K321" s="384" t="s">
        <v>53</v>
      </c>
      <c r="M321" s="375" t="s">
        <v>431</v>
      </c>
      <c r="N321" s="722">
        <v>64826</v>
      </c>
      <c r="O321" s="459">
        <v>64827</v>
      </c>
      <c r="P321" s="459">
        <v>64844</v>
      </c>
      <c r="Q321" s="432" t="s">
        <v>51</v>
      </c>
    </row>
    <row r="322" spans="1:20">
      <c r="A322" s="377">
        <v>321</v>
      </c>
      <c r="B322" s="432" t="s">
        <v>524</v>
      </c>
      <c r="C322" s="376" t="s">
        <v>44</v>
      </c>
      <c r="D322" s="376" t="s">
        <v>449</v>
      </c>
      <c r="E322" s="376" t="s">
        <v>591</v>
      </c>
      <c r="F322" s="434" t="s">
        <v>491</v>
      </c>
      <c r="G322" s="434" t="s">
        <v>592</v>
      </c>
      <c r="I322" s="431">
        <v>28</v>
      </c>
      <c r="J322" s="433" t="s">
        <v>404</v>
      </c>
      <c r="K322" s="384" t="s">
        <v>53</v>
      </c>
      <c r="M322" s="375" t="s">
        <v>431</v>
      </c>
      <c r="N322" s="722">
        <v>64826</v>
      </c>
      <c r="O322" s="488">
        <v>64827</v>
      </c>
      <c r="P322" s="459">
        <v>64844</v>
      </c>
      <c r="Q322" s="432" t="s">
        <v>51</v>
      </c>
    </row>
    <row r="323" spans="1:20">
      <c r="A323" s="377">
        <v>322</v>
      </c>
      <c r="B323" s="432" t="s">
        <v>524</v>
      </c>
      <c r="C323" s="376" t="s">
        <v>44</v>
      </c>
      <c r="D323" s="376" t="s">
        <v>449</v>
      </c>
      <c r="E323" s="376" t="s">
        <v>593</v>
      </c>
      <c r="F323" s="434" t="s">
        <v>502</v>
      </c>
      <c r="G323" s="434">
        <v>9829598228</v>
      </c>
      <c r="I323" s="431">
        <v>43</v>
      </c>
      <c r="J323" s="433" t="s">
        <v>404</v>
      </c>
      <c r="K323" s="384" t="s">
        <v>53</v>
      </c>
      <c r="M323" s="375" t="s">
        <v>431</v>
      </c>
      <c r="N323" s="722">
        <v>64826</v>
      </c>
      <c r="O323" s="459">
        <v>64827</v>
      </c>
      <c r="P323" s="459">
        <v>64844</v>
      </c>
      <c r="Q323" s="432" t="s">
        <v>51</v>
      </c>
    </row>
    <row r="324" spans="1:20">
      <c r="A324" s="377">
        <v>323</v>
      </c>
      <c r="B324" s="432" t="s">
        <v>524</v>
      </c>
      <c r="C324" s="376" t="s">
        <v>44</v>
      </c>
      <c r="D324" s="376" t="s">
        <v>449</v>
      </c>
      <c r="E324" s="376" t="s">
        <v>594</v>
      </c>
      <c r="F324" s="434" t="s">
        <v>502</v>
      </c>
      <c r="G324" s="434">
        <v>9829598228</v>
      </c>
      <c r="I324" s="431">
        <v>41</v>
      </c>
      <c r="J324" s="423" t="s">
        <v>433</v>
      </c>
      <c r="K324" s="384" t="s">
        <v>53</v>
      </c>
      <c r="M324" s="375" t="s">
        <v>431</v>
      </c>
      <c r="N324" s="722">
        <v>64826</v>
      </c>
      <c r="O324" s="488">
        <v>64827</v>
      </c>
      <c r="P324" s="459">
        <v>64844</v>
      </c>
      <c r="Q324" s="432" t="s">
        <v>51</v>
      </c>
    </row>
    <row r="325" spans="1:20">
      <c r="A325" s="377">
        <v>324</v>
      </c>
      <c r="B325" s="432" t="s">
        <v>524</v>
      </c>
      <c r="C325" s="376" t="s">
        <v>44</v>
      </c>
      <c r="D325" s="376" t="s">
        <v>449</v>
      </c>
      <c r="E325" s="376" t="s">
        <v>123</v>
      </c>
      <c r="F325" s="434" t="s">
        <v>441</v>
      </c>
      <c r="G325" s="434">
        <v>9806267631</v>
      </c>
      <c r="I325" s="431">
        <v>38</v>
      </c>
      <c r="J325" s="433" t="s">
        <v>404</v>
      </c>
      <c r="K325" s="384" t="s">
        <v>53</v>
      </c>
      <c r="M325" s="375" t="s">
        <v>431</v>
      </c>
      <c r="N325" s="722">
        <v>64826</v>
      </c>
      <c r="O325" s="459">
        <v>64827</v>
      </c>
      <c r="P325" s="459">
        <v>64844</v>
      </c>
      <c r="Q325" s="432" t="s">
        <v>51</v>
      </c>
    </row>
    <row r="326" spans="1:20">
      <c r="A326" s="377">
        <v>325</v>
      </c>
      <c r="B326" s="432" t="s">
        <v>524</v>
      </c>
      <c r="C326" s="376" t="s">
        <v>44</v>
      </c>
      <c r="D326" s="376" t="s">
        <v>449</v>
      </c>
      <c r="E326" s="376" t="s">
        <v>595</v>
      </c>
      <c r="F326" s="434" t="s">
        <v>494</v>
      </c>
      <c r="G326" s="434">
        <v>9866176080</v>
      </c>
      <c r="I326" s="431">
        <v>6</v>
      </c>
      <c r="J326" s="423" t="s">
        <v>433</v>
      </c>
      <c r="K326" s="384" t="s">
        <v>53</v>
      </c>
      <c r="M326" s="375" t="s">
        <v>431</v>
      </c>
      <c r="N326" s="722">
        <v>64826</v>
      </c>
      <c r="O326" s="488">
        <v>64827</v>
      </c>
      <c r="P326" s="459">
        <v>64844</v>
      </c>
      <c r="Q326" s="432" t="s">
        <v>51</v>
      </c>
    </row>
    <row r="327" spans="1:20">
      <c r="A327" s="377">
        <v>326</v>
      </c>
      <c r="B327" s="432" t="s">
        <v>524</v>
      </c>
      <c r="C327" s="376" t="s">
        <v>44</v>
      </c>
      <c r="D327" s="376" t="s">
        <v>449</v>
      </c>
      <c r="E327" s="376" t="s">
        <v>596</v>
      </c>
      <c r="F327" s="434" t="s">
        <v>494</v>
      </c>
      <c r="G327" s="434">
        <v>9866176080</v>
      </c>
      <c r="I327" s="431">
        <v>84</v>
      </c>
      <c r="J327" s="423" t="s">
        <v>433</v>
      </c>
      <c r="K327" s="384" t="s">
        <v>53</v>
      </c>
      <c r="M327" s="375" t="s">
        <v>431</v>
      </c>
      <c r="N327" s="722">
        <v>64826</v>
      </c>
      <c r="O327" s="459">
        <v>64827</v>
      </c>
      <c r="P327" s="459">
        <v>64844</v>
      </c>
      <c r="Q327" s="432" t="s">
        <v>51</v>
      </c>
    </row>
    <row r="328" spans="1:20">
      <c r="A328" s="439">
        <v>327</v>
      </c>
      <c r="B328" s="453" t="s">
        <v>524</v>
      </c>
      <c r="C328" s="451" t="s">
        <v>44</v>
      </c>
      <c r="D328" s="451" t="s">
        <v>449</v>
      </c>
      <c r="E328" s="451" t="s">
        <v>597</v>
      </c>
      <c r="F328" s="455" t="s">
        <v>598</v>
      </c>
      <c r="G328" s="455">
        <v>9847873421</v>
      </c>
      <c r="H328" s="453"/>
      <c r="I328" s="452">
        <v>32</v>
      </c>
      <c r="J328" s="433" t="s">
        <v>404</v>
      </c>
      <c r="K328" s="452" t="s">
        <v>53</v>
      </c>
      <c r="L328" s="455"/>
      <c r="M328" s="452" t="s">
        <v>431</v>
      </c>
      <c r="N328" s="722">
        <v>64827</v>
      </c>
      <c r="O328" s="456">
        <v>64828</v>
      </c>
      <c r="P328" s="459">
        <v>64844</v>
      </c>
      <c r="Q328" s="432" t="s">
        <v>51</v>
      </c>
      <c r="R328" s="331"/>
      <c r="S328" s="331"/>
      <c r="T328" s="331"/>
    </row>
    <row r="329" spans="1:20">
      <c r="A329" s="377">
        <v>328</v>
      </c>
      <c r="B329" s="432" t="s">
        <v>524</v>
      </c>
      <c r="C329" s="376" t="s">
        <v>44</v>
      </c>
      <c r="D329" s="376" t="s">
        <v>449</v>
      </c>
      <c r="E329" s="376" t="s">
        <v>599</v>
      </c>
      <c r="F329" s="434" t="s">
        <v>529</v>
      </c>
      <c r="G329" s="434">
        <v>9847864974</v>
      </c>
      <c r="I329" s="431">
        <v>35</v>
      </c>
      <c r="J329" s="433" t="s">
        <v>404</v>
      </c>
      <c r="K329" s="384" t="s">
        <v>53</v>
      </c>
      <c r="M329" s="375" t="s">
        <v>431</v>
      </c>
      <c r="N329" s="722">
        <v>64827</v>
      </c>
      <c r="O329" s="459">
        <v>64828</v>
      </c>
      <c r="P329" s="459">
        <v>64844</v>
      </c>
      <c r="Q329" s="432" t="s">
        <v>51</v>
      </c>
    </row>
    <row r="330" spans="1:20">
      <c r="A330" s="377">
        <v>329</v>
      </c>
      <c r="B330" s="432" t="s">
        <v>524</v>
      </c>
      <c r="C330" s="376" t="s">
        <v>44</v>
      </c>
      <c r="D330" s="376" t="s">
        <v>449</v>
      </c>
      <c r="E330" s="376" t="s">
        <v>600</v>
      </c>
      <c r="F330" s="434" t="s">
        <v>445</v>
      </c>
      <c r="G330" s="434">
        <v>9847949178</v>
      </c>
      <c r="I330" s="431">
        <v>27</v>
      </c>
      <c r="J330" s="423" t="s">
        <v>433</v>
      </c>
      <c r="K330" s="384" t="s">
        <v>53</v>
      </c>
      <c r="M330" s="375" t="s">
        <v>431</v>
      </c>
      <c r="N330" s="722">
        <v>64827</v>
      </c>
      <c r="O330" s="456">
        <v>64828</v>
      </c>
      <c r="P330" s="459">
        <v>64844</v>
      </c>
      <c r="Q330" s="432" t="s">
        <v>51</v>
      </c>
    </row>
    <row r="331" spans="1:20">
      <c r="A331" s="377">
        <v>330</v>
      </c>
      <c r="B331" s="432" t="s">
        <v>524</v>
      </c>
      <c r="C331" s="376" t="s">
        <v>44</v>
      </c>
      <c r="D331" s="376" t="s">
        <v>449</v>
      </c>
      <c r="E331" s="376" t="s">
        <v>601</v>
      </c>
      <c r="F331" s="434" t="s">
        <v>529</v>
      </c>
      <c r="G331" s="434">
        <v>9809782275</v>
      </c>
      <c r="I331" s="431">
        <v>42</v>
      </c>
      <c r="J331" s="433" t="s">
        <v>404</v>
      </c>
      <c r="K331" s="384" t="s">
        <v>53</v>
      </c>
      <c r="M331" s="375" t="s">
        <v>431</v>
      </c>
      <c r="N331" s="722">
        <v>64827</v>
      </c>
      <c r="O331" s="459">
        <v>64828</v>
      </c>
      <c r="P331" s="459">
        <v>64844</v>
      </c>
      <c r="Q331" s="432" t="s">
        <v>51</v>
      </c>
    </row>
    <row r="332" spans="1:20">
      <c r="A332" s="377">
        <v>331</v>
      </c>
      <c r="B332" s="432" t="s">
        <v>524</v>
      </c>
      <c r="C332" s="376" t="s">
        <v>44</v>
      </c>
      <c r="D332" s="376" t="s">
        <v>449</v>
      </c>
      <c r="E332" s="376" t="s">
        <v>602</v>
      </c>
      <c r="F332" s="434" t="s">
        <v>603</v>
      </c>
      <c r="G332" s="434">
        <v>9828731191</v>
      </c>
      <c r="I332" s="431">
        <v>19</v>
      </c>
      <c r="J332" s="433" t="s">
        <v>404</v>
      </c>
      <c r="K332" s="384" t="s">
        <v>53</v>
      </c>
      <c r="M332" s="375" t="s">
        <v>431</v>
      </c>
      <c r="N332" s="722">
        <v>64827</v>
      </c>
      <c r="O332" s="456">
        <v>64828</v>
      </c>
      <c r="P332" s="459">
        <v>64844</v>
      </c>
      <c r="Q332" s="432" t="s">
        <v>51</v>
      </c>
    </row>
    <row r="333" spans="1:20">
      <c r="A333" s="377">
        <v>332</v>
      </c>
      <c r="B333" s="432" t="s">
        <v>524</v>
      </c>
      <c r="C333" s="376" t="s">
        <v>44</v>
      </c>
      <c r="D333" s="376" t="s">
        <v>449</v>
      </c>
      <c r="E333" s="376" t="s">
        <v>604</v>
      </c>
      <c r="F333" s="434" t="s">
        <v>502</v>
      </c>
      <c r="G333" s="434">
        <v>9829507279</v>
      </c>
      <c r="I333" s="431">
        <v>30</v>
      </c>
      <c r="J333" s="433" t="s">
        <v>404</v>
      </c>
      <c r="K333" s="384" t="s">
        <v>53</v>
      </c>
      <c r="M333" s="375" t="s">
        <v>431</v>
      </c>
      <c r="N333" s="722">
        <v>64827</v>
      </c>
      <c r="O333" s="459">
        <v>64828</v>
      </c>
      <c r="P333" s="459">
        <v>64844</v>
      </c>
      <c r="Q333" s="432" t="s">
        <v>51</v>
      </c>
    </row>
    <row r="334" spans="1:20">
      <c r="A334" s="377">
        <v>333</v>
      </c>
      <c r="B334" s="432" t="s">
        <v>524</v>
      </c>
      <c r="C334" s="376" t="s">
        <v>44</v>
      </c>
      <c r="D334" s="376" t="s">
        <v>449</v>
      </c>
      <c r="E334" s="376" t="s">
        <v>605</v>
      </c>
      <c r="F334" s="434" t="s">
        <v>502</v>
      </c>
      <c r="G334" s="434">
        <v>9864731265</v>
      </c>
      <c r="I334" s="431">
        <v>33</v>
      </c>
      <c r="J334" s="433" t="s">
        <v>404</v>
      </c>
      <c r="K334" s="384" t="s">
        <v>53</v>
      </c>
      <c r="M334" s="375" t="s">
        <v>431</v>
      </c>
      <c r="N334" s="722">
        <v>64827</v>
      </c>
      <c r="O334" s="456">
        <v>64828</v>
      </c>
      <c r="P334" s="459">
        <v>64844</v>
      </c>
      <c r="Q334" s="432" t="s">
        <v>51</v>
      </c>
    </row>
    <row r="335" spans="1:20">
      <c r="A335" s="377">
        <v>334</v>
      </c>
      <c r="B335" s="432" t="s">
        <v>524</v>
      </c>
      <c r="C335" s="376" t="s">
        <v>44</v>
      </c>
      <c r="D335" s="376" t="s">
        <v>449</v>
      </c>
      <c r="E335" s="376" t="s">
        <v>606</v>
      </c>
      <c r="F335" s="434" t="s">
        <v>502</v>
      </c>
      <c r="I335" s="431">
        <v>37</v>
      </c>
      <c r="J335" s="433" t="s">
        <v>404</v>
      </c>
      <c r="K335" s="384" t="s">
        <v>53</v>
      </c>
      <c r="M335" s="375" t="s">
        <v>431</v>
      </c>
      <c r="N335" s="722">
        <v>64827</v>
      </c>
      <c r="O335" s="459">
        <v>64828</v>
      </c>
      <c r="P335" s="459">
        <v>64844</v>
      </c>
      <c r="Q335" s="432" t="s">
        <v>51</v>
      </c>
    </row>
    <row r="336" spans="1:20">
      <c r="A336" s="377">
        <v>335</v>
      </c>
      <c r="B336" s="432" t="s">
        <v>524</v>
      </c>
      <c r="C336" s="376" t="s">
        <v>44</v>
      </c>
      <c r="D336" s="376" t="s">
        <v>449</v>
      </c>
      <c r="E336" s="376" t="s">
        <v>607</v>
      </c>
      <c r="F336" s="434" t="s">
        <v>502</v>
      </c>
      <c r="G336" s="434">
        <v>9857822627</v>
      </c>
      <c r="I336" s="431">
        <v>62</v>
      </c>
      <c r="J336" s="433" t="s">
        <v>404</v>
      </c>
      <c r="K336" s="384" t="s">
        <v>53</v>
      </c>
      <c r="M336" s="375" t="s">
        <v>431</v>
      </c>
      <c r="N336" s="722">
        <v>64827</v>
      </c>
      <c r="O336" s="456">
        <v>64828</v>
      </c>
      <c r="P336" s="459">
        <v>64844</v>
      </c>
      <c r="Q336" s="432" t="s">
        <v>51</v>
      </c>
    </row>
    <row r="337" spans="1:20">
      <c r="A337" s="377">
        <v>336</v>
      </c>
      <c r="B337" s="432" t="s">
        <v>524</v>
      </c>
      <c r="C337" s="376" t="s">
        <v>44</v>
      </c>
      <c r="D337" s="376" t="s">
        <v>449</v>
      </c>
      <c r="E337" s="376" t="s">
        <v>608</v>
      </c>
      <c r="F337" s="434" t="s">
        <v>451</v>
      </c>
      <c r="G337" s="434">
        <v>9857822560</v>
      </c>
      <c r="I337" s="431">
        <v>32</v>
      </c>
      <c r="J337" s="433" t="s">
        <v>404</v>
      </c>
      <c r="K337" s="384" t="s">
        <v>53</v>
      </c>
      <c r="M337" s="375" t="s">
        <v>431</v>
      </c>
      <c r="N337" s="722">
        <v>64827</v>
      </c>
      <c r="O337" s="459">
        <v>64828</v>
      </c>
      <c r="P337" s="459">
        <v>64844</v>
      </c>
      <c r="Q337" s="432" t="s">
        <v>51</v>
      </c>
    </row>
    <row r="338" spans="1:20">
      <c r="A338" s="377">
        <v>337</v>
      </c>
      <c r="B338" s="432" t="s">
        <v>524</v>
      </c>
      <c r="C338" s="376" t="s">
        <v>44</v>
      </c>
      <c r="D338" s="376" t="s">
        <v>449</v>
      </c>
      <c r="E338" s="376" t="s">
        <v>609</v>
      </c>
      <c r="F338" s="434" t="s">
        <v>502</v>
      </c>
      <c r="G338" s="434">
        <v>9857820932</v>
      </c>
      <c r="I338" s="431">
        <v>51</v>
      </c>
      <c r="J338" s="433" t="s">
        <v>404</v>
      </c>
      <c r="K338" s="434" t="s">
        <v>610</v>
      </c>
      <c r="M338" s="375" t="s">
        <v>431</v>
      </c>
      <c r="N338" s="722">
        <v>64827</v>
      </c>
      <c r="O338" s="456">
        <v>64828</v>
      </c>
      <c r="P338" s="459">
        <v>64844</v>
      </c>
      <c r="Q338" s="432" t="s">
        <v>51</v>
      </c>
    </row>
    <row r="339" spans="1:20">
      <c r="A339" s="377">
        <v>338</v>
      </c>
      <c r="B339" s="432" t="s">
        <v>524</v>
      </c>
      <c r="C339" s="376" t="s">
        <v>44</v>
      </c>
      <c r="D339" s="376" t="s">
        <v>449</v>
      </c>
      <c r="E339" s="376" t="s">
        <v>611</v>
      </c>
      <c r="F339" s="434" t="s">
        <v>491</v>
      </c>
      <c r="G339" s="434" t="s">
        <v>612</v>
      </c>
      <c r="I339" s="431">
        <v>52</v>
      </c>
      <c r="J339" s="433" t="s">
        <v>404</v>
      </c>
      <c r="K339" s="434" t="s">
        <v>613</v>
      </c>
      <c r="M339" s="434" t="s">
        <v>614</v>
      </c>
      <c r="N339" s="722">
        <v>64827</v>
      </c>
      <c r="O339" s="459">
        <v>64828</v>
      </c>
      <c r="P339" s="459">
        <v>64844</v>
      </c>
      <c r="Q339" s="432" t="s">
        <v>51</v>
      </c>
    </row>
    <row r="340" spans="1:20">
      <c r="A340" s="377">
        <v>339</v>
      </c>
      <c r="B340" s="432" t="s">
        <v>524</v>
      </c>
      <c r="C340" s="376" t="s">
        <v>44</v>
      </c>
      <c r="D340" s="376" t="s">
        <v>449</v>
      </c>
      <c r="E340" s="420" t="s">
        <v>615</v>
      </c>
      <c r="F340" s="438" t="s">
        <v>491</v>
      </c>
      <c r="G340" s="438">
        <v>9806213509</v>
      </c>
      <c r="H340" s="436"/>
      <c r="I340" s="435">
        <v>17</v>
      </c>
      <c r="J340" s="433" t="s">
        <v>404</v>
      </c>
      <c r="K340" s="384" t="s">
        <v>53</v>
      </c>
      <c r="L340" s="438"/>
      <c r="M340" s="490" t="s">
        <v>431</v>
      </c>
      <c r="N340" s="723">
        <v>64828</v>
      </c>
      <c r="O340" s="465">
        <v>64829</v>
      </c>
      <c r="P340" s="459">
        <v>64844</v>
      </c>
      <c r="Q340" s="432" t="s">
        <v>51</v>
      </c>
      <c r="R340" s="163"/>
      <c r="S340" s="163"/>
      <c r="T340" s="163"/>
    </row>
    <row r="341" spans="1:20">
      <c r="A341" s="377">
        <v>340</v>
      </c>
      <c r="B341" s="432" t="s">
        <v>524</v>
      </c>
      <c r="C341" s="376" t="s">
        <v>44</v>
      </c>
      <c r="D341" s="376" t="s">
        <v>449</v>
      </c>
      <c r="E341" s="376" t="s">
        <v>616</v>
      </c>
      <c r="F341" s="434" t="s">
        <v>617</v>
      </c>
      <c r="G341" s="434" t="s">
        <v>618</v>
      </c>
      <c r="I341" s="431">
        <v>36</v>
      </c>
      <c r="J341" s="433" t="s">
        <v>404</v>
      </c>
      <c r="K341" s="384" t="s">
        <v>53</v>
      </c>
      <c r="M341" s="490" t="s">
        <v>431</v>
      </c>
      <c r="N341" s="722">
        <v>64828</v>
      </c>
      <c r="O341" s="465">
        <v>64829</v>
      </c>
      <c r="P341" s="459">
        <v>64844</v>
      </c>
      <c r="Q341" s="432" t="s">
        <v>51</v>
      </c>
    </row>
    <row r="342" spans="1:20">
      <c r="A342" s="377">
        <v>341</v>
      </c>
      <c r="B342" s="432" t="s">
        <v>524</v>
      </c>
      <c r="C342" s="376" t="s">
        <v>44</v>
      </c>
      <c r="D342" s="376" t="s">
        <v>449</v>
      </c>
      <c r="E342" s="376" t="s">
        <v>619</v>
      </c>
      <c r="F342" s="434" t="s">
        <v>491</v>
      </c>
      <c r="G342" s="434" t="s">
        <v>620</v>
      </c>
      <c r="I342" s="431">
        <v>32</v>
      </c>
      <c r="J342" s="433" t="s">
        <v>404</v>
      </c>
      <c r="K342" s="384" t="s">
        <v>53</v>
      </c>
      <c r="M342" s="490" t="s">
        <v>431</v>
      </c>
      <c r="N342" s="723">
        <v>64828</v>
      </c>
      <c r="O342" s="465">
        <v>64829</v>
      </c>
      <c r="P342" s="459">
        <v>64844</v>
      </c>
      <c r="Q342" s="432" t="s">
        <v>51</v>
      </c>
    </row>
    <row r="343" spans="1:20">
      <c r="A343" s="377">
        <v>342</v>
      </c>
      <c r="B343" s="432" t="s">
        <v>524</v>
      </c>
      <c r="C343" s="376" t="s">
        <v>44</v>
      </c>
      <c r="D343" s="376" t="s">
        <v>449</v>
      </c>
      <c r="E343" s="376" t="s">
        <v>621</v>
      </c>
      <c r="F343" s="434" t="s">
        <v>548</v>
      </c>
      <c r="G343" s="434" t="s">
        <v>622</v>
      </c>
      <c r="I343" s="431">
        <v>39</v>
      </c>
      <c r="J343" s="433" t="s">
        <v>404</v>
      </c>
      <c r="K343" s="384" t="s">
        <v>53</v>
      </c>
      <c r="M343" s="490" t="s">
        <v>431</v>
      </c>
      <c r="N343" s="722">
        <v>64828</v>
      </c>
      <c r="O343" s="465">
        <v>64829</v>
      </c>
      <c r="P343" s="459">
        <v>64844</v>
      </c>
      <c r="Q343" s="432" t="s">
        <v>51</v>
      </c>
    </row>
    <row r="344" spans="1:20">
      <c r="A344" s="377">
        <v>343</v>
      </c>
      <c r="B344" s="432" t="s">
        <v>524</v>
      </c>
      <c r="C344" s="376" t="s">
        <v>44</v>
      </c>
      <c r="D344" s="376" t="s">
        <v>449</v>
      </c>
      <c r="E344" s="376" t="s">
        <v>623</v>
      </c>
      <c r="F344" s="434" t="s">
        <v>491</v>
      </c>
      <c r="G344" s="434">
        <v>9848032615</v>
      </c>
      <c r="I344" s="431">
        <v>34</v>
      </c>
      <c r="J344" s="433" t="s">
        <v>404</v>
      </c>
      <c r="K344" s="384" t="s">
        <v>53</v>
      </c>
      <c r="M344" s="490" t="s">
        <v>431</v>
      </c>
      <c r="N344" s="723">
        <v>64828</v>
      </c>
      <c r="O344" s="465">
        <v>64829</v>
      </c>
      <c r="P344" s="459">
        <v>64844</v>
      </c>
      <c r="Q344" s="432" t="s">
        <v>51</v>
      </c>
    </row>
    <row r="345" spans="1:20">
      <c r="A345" s="377">
        <v>344</v>
      </c>
      <c r="B345" s="491" t="s">
        <v>524</v>
      </c>
      <c r="C345" s="492" t="s">
        <v>44</v>
      </c>
      <c r="D345" s="492" t="s">
        <v>449</v>
      </c>
      <c r="E345" s="492" t="s">
        <v>624</v>
      </c>
      <c r="F345" s="493" t="s">
        <v>502</v>
      </c>
      <c r="G345" s="493" t="s">
        <v>625</v>
      </c>
      <c r="H345" s="491"/>
      <c r="I345" s="1475">
        <v>28</v>
      </c>
      <c r="J345" s="494" t="s">
        <v>404</v>
      </c>
      <c r="K345" s="495" t="s">
        <v>53</v>
      </c>
      <c r="L345" s="493"/>
      <c r="M345" s="493" t="s">
        <v>626</v>
      </c>
      <c r="N345" s="727">
        <v>64828</v>
      </c>
      <c r="O345" s="496">
        <v>64829</v>
      </c>
      <c r="P345" s="459">
        <v>64844</v>
      </c>
      <c r="Q345" s="432" t="s">
        <v>51</v>
      </c>
      <c r="R345" s="338"/>
      <c r="S345" s="338"/>
      <c r="T345" s="338"/>
    </row>
    <row r="346" spans="1:20">
      <c r="A346" s="377">
        <v>345</v>
      </c>
      <c r="B346" s="432" t="s">
        <v>524</v>
      </c>
      <c r="C346" s="376" t="s">
        <v>44</v>
      </c>
      <c r="D346" s="376" t="s">
        <v>449</v>
      </c>
      <c r="E346" s="376" t="s">
        <v>627</v>
      </c>
      <c r="F346" s="434" t="s">
        <v>491</v>
      </c>
      <c r="G346" s="434">
        <v>9840061427</v>
      </c>
      <c r="I346" s="431">
        <v>26</v>
      </c>
      <c r="J346" s="433" t="s">
        <v>404</v>
      </c>
      <c r="K346" s="384" t="s">
        <v>53</v>
      </c>
      <c r="M346" s="490" t="s">
        <v>431</v>
      </c>
      <c r="N346" s="723">
        <v>64828</v>
      </c>
      <c r="O346" s="465">
        <v>64829</v>
      </c>
      <c r="P346" s="459">
        <v>64844</v>
      </c>
      <c r="Q346" s="432" t="s">
        <v>51</v>
      </c>
    </row>
    <row r="347" spans="1:20">
      <c r="A347" s="377">
        <v>346</v>
      </c>
      <c r="B347" s="432" t="s">
        <v>524</v>
      </c>
      <c r="C347" s="376" t="s">
        <v>44</v>
      </c>
      <c r="D347" s="376" t="s">
        <v>449</v>
      </c>
      <c r="E347" s="376" t="s">
        <v>628</v>
      </c>
      <c r="F347" s="434" t="s">
        <v>491</v>
      </c>
      <c r="G347" s="434" t="s">
        <v>629</v>
      </c>
      <c r="I347" s="431">
        <v>27</v>
      </c>
      <c r="J347" s="433" t="s">
        <v>404</v>
      </c>
      <c r="K347" s="384" t="s">
        <v>53</v>
      </c>
      <c r="M347" s="490" t="s">
        <v>431</v>
      </c>
      <c r="N347" s="722">
        <v>64828</v>
      </c>
      <c r="O347" s="465">
        <v>64829</v>
      </c>
      <c r="P347" s="459">
        <v>64844</v>
      </c>
      <c r="Q347" s="432" t="s">
        <v>51</v>
      </c>
    </row>
    <row r="348" spans="1:20">
      <c r="A348" s="377">
        <v>347</v>
      </c>
      <c r="B348" s="436" t="s">
        <v>524</v>
      </c>
      <c r="C348" s="420" t="s">
        <v>44</v>
      </c>
      <c r="D348" s="420" t="s">
        <v>449</v>
      </c>
      <c r="E348" s="420" t="s">
        <v>630</v>
      </c>
      <c r="F348" s="438" t="s">
        <v>497</v>
      </c>
      <c r="G348" s="438" t="s">
        <v>631</v>
      </c>
      <c r="H348" s="436"/>
      <c r="I348" s="435">
        <v>45</v>
      </c>
      <c r="J348" s="433" t="s">
        <v>404</v>
      </c>
      <c r="K348" s="384" t="s">
        <v>53</v>
      </c>
      <c r="L348" s="438"/>
      <c r="M348" s="490" t="s">
        <v>431</v>
      </c>
      <c r="N348" s="723">
        <v>64829</v>
      </c>
      <c r="O348" s="465">
        <v>64830</v>
      </c>
      <c r="P348" s="459">
        <v>64844</v>
      </c>
      <c r="Q348" s="432" t="s">
        <v>51</v>
      </c>
      <c r="R348" s="163"/>
      <c r="S348" s="163"/>
      <c r="T348" s="163"/>
    </row>
    <row r="349" spans="1:20">
      <c r="A349" s="377">
        <v>348</v>
      </c>
      <c r="B349" s="432" t="s">
        <v>524</v>
      </c>
      <c r="C349" s="376" t="s">
        <v>44</v>
      </c>
      <c r="D349" s="376" t="s">
        <v>449</v>
      </c>
      <c r="E349" s="376" t="s">
        <v>632</v>
      </c>
      <c r="F349" s="434" t="s">
        <v>529</v>
      </c>
      <c r="G349" s="434" t="s">
        <v>633</v>
      </c>
      <c r="I349" s="431">
        <v>77</v>
      </c>
      <c r="J349" s="433" t="s">
        <v>404</v>
      </c>
      <c r="K349" s="384" t="s">
        <v>53</v>
      </c>
      <c r="M349" s="438" t="s">
        <v>634</v>
      </c>
      <c r="N349" s="723">
        <v>64829</v>
      </c>
      <c r="O349" s="465">
        <v>64830</v>
      </c>
      <c r="P349" s="459">
        <v>64844</v>
      </c>
      <c r="Q349" s="432" t="s">
        <v>51</v>
      </c>
    </row>
    <row r="350" spans="1:20">
      <c r="A350" s="377">
        <v>349</v>
      </c>
      <c r="B350" s="432" t="s">
        <v>524</v>
      </c>
      <c r="C350" s="376" t="s">
        <v>44</v>
      </c>
      <c r="D350" s="376" t="s">
        <v>449</v>
      </c>
      <c r="E350" s="376" t="s">
        <v>635</v>
      </c>
      <c r="F350" s="434" t="s">
        <v>636</v>
      </c>
      <c r="G350" s="434">
        <v>9849882244</v>
      </c>
      <c r="I350" s="431">
        <v>44</v>
      </c>
      <c r="J350" s="433" t="s">
        <v>404</v>
      </c>
      <c r="K350" s="384" t="s">
        <v>53</v>
      </c>
      <c r="M350" s="490" t="s">
        <v>431</v>
      </c>
      <c r="N350" s="723">
        <v>64829</v>
      </c>
      <c r="O350" s="465">
        <v>64830</v>
      </c>
      <c r="P350" s="459">
        <v>64844</v>
      </c>
      <c r="Q350" s="432" t="s">
        <v>51</v>
      </c>
    </row>
    <row r="351" spans="1:20">
      <c r="A351" s="377">
        <v>350</v>
      </c>
      <c r="B351" s="432" t="s">
        <v>524</v>
      </c>
      <c r="C351" s="376" t="s">
        <v>44</v>
      </c>
      <c r="D351" s="376" t="s">
        <v>449</v>
      </c>
      <c r="E351" s="376" t="s">
        <v>637</v>
      </c>
      <c r="F351" s="434" t="s">
        <v>636</v>
      </c>
      <c r="G351" s="434">
        <v>9849882244</v>
      </c>
      <c r="I351" s="431">
        <v>18</v>
      </c>
      <c r="J351" s="433" t="s">
        <v>404</v>
      </c>
      <c r="K351" s="384" t="s">
        <v>53</v>
      </c>
      <c r="M351" s="490" t="s">
        <v>431</v>
      </c>
      <c r="N351" s="723">
        <v>64829</v>
      </c>
      <c r="O351" s="465">
        <v>64830</v>
      </c>
      <c r="P351" s="459">
        <v>64844</v>
      </c>
      <c r="Q351" s="432" t="s">
        <v>51</v>
      </c>
    </row>
    <row r="352" spans="1:20">
      <c r="A352" s="377">
        <v>351</v>
      </c>
      <c r="B352" s="432" t="s">
        <v>524</v>
      </c>
      <c r="C352" s="376" t="s">
        <v>44</v>
      </c>
      <c r="D352" s="376" t="s">
        <v>449</v>
      </c>
      <c r="E352" s="376" t="s">
        <v>638</v>
      </c>
      <c r="F352" s="434" t="s">
        <v>636</v>
      </c>
      <c r="G352" s="434">
        <v>9849882274</v>
      </c>
      <c r="I352" s="431">
        <v>20</v>
      </c>
      <c r="J352" s="423" t="s">
        <v>433</v>
      </c>
      <c r="K352" s="384" t="s">
        <v>53</v>
      </c>
      <c r="M352" s="490" t="s">
        <v>431</v>
      </c>
      <c r="N352" s="723">
        <v>64829</v>
      </c>
      <c r="O352" s="465">
        <v>64830</v>
      </c>
      <c r="P352" s="459">
        <v>64844</v>
      </c>
      <c r="Q352" s="432" t="s">
        <v>51</v>
      </c>
    </row>
    <row r="353" spans="1:20">
      <c r="A353" s="377">
        <v>352</v>
      </c>
      <c r="B353" s="432" t="s">
        <v>524</v>
      </c>
      <c r="C353" s="376" t="s">
        <v>44</v>
      </c>
      <c r="D353" s="376" t="s">
        <v>449</v>
      </c>
      <c r="E353" s="376" t="s">
        <v>639</v>
      </c>
      <c r="F353" s="434" t="s">
        <v>502</v>
      </c>
      <c r="G353" s="434">
        <v>9841099567</v>
      </c>
      <c r="I353" s="431">
        <v>63</v>
      </c>
      <c r="J353" s="433" t="s">
        <v>404</v>
      </c>
      <c r="K353" s="384" t="s">
        <v>53</v>
      </c>
      <c r="M353" s="490" t="s">
        <v>431</v>
      </c>
      <c r="N353" s="723">
        <v>64829</v>
      </c>
      <c r="O353" s="465">
        <v>64830</v>
      </c>
      <c r="P353" s="459">
        <v>64844</v>
      </c>
      <c r="Q353" s="432" t="s">
        <v>51</v>
      </c>
    </row>
    <row r="354" spans="1:20">
      <c r="A354" s="377">
        <v>353</v>
      </c>
      <c r="B354" s="432" t="s">
        <v>524</v>
      </c>
      <c r="C354" s="376" t="s">
        <v>44</v>
      </c>
      <c r="D354" s="376" t="s">
        <v>449</v>
      </c>
      <c r="E354" s="376" t="s">
        <v>640</v>
      </c>
      <c r="F354" s="434" t="s">
        <v>502</v>
      </c>
      <c r="G354" s="434">
        <v>9841099567</v>
      </c>
      <c r="I354" s="431">
        <v>27</v>
      </c>
      <c r="J354" s="423" t="s">
        <v>433</v>
      </c>
      <c r="K354" s="384" t="s">
        <v>53</v>
      </c>
      <c r="M354" s="490" t="s">
        <v>431</v>
      </c>
      <c r="N354" s="723">
        <v>64829</v>
      </c>
      <c r="O354" s="465">
        <v>64830</v>
      </c>
      <c r="P354" s="459">
        <v>64844</v>
      </c>
      <c r="Q354" s="432" t="s">
        <v>51</v>
      </c>
    </row>
    <row r="355" spans="1:20">
      <c r="A355" s="377">
        <v>354</v>
      </c>
      <c r="B355" s="432" t="s">
        <v>524</v>
      </c>
      <c r="C355" s="376" t="s">
        <v>44</v>
      </c>
      <c r="D355" s="376" t="s">
        <v>449</v>
      </c>
      <c r="E355" s="376" t="s">
        <v>641</v>
      </c>
      <c r="F355" s="434" t="s">
        <v>502</v>
      </c>
      <c r="G355" s="434">
        <v>9844975118</v>
      </c>
      <c r="I355" s="431">
        <v>28</v>
      </c>
      <c r="J355" s="433" t="s">
        <v>404</v>
      </c>
      <c r="K355" s="384" t="s">
        <v>53</v>
      </c>
      <c r="M355" s="490" t="s">
        <v>431</v>
      </c>
      <c r="N355" s="723">
        <v>64829</v>
      </c>
      <c r="O355" s="465">
        <v>64830</v>
      </c>
      <c r="P355" s="459">
        <v>64844</v>
      </c>
      <c r="Q355" s="432" t="s">
        <v>51</v>
      </c>
    </row>
    <row r="356" spans="1:20">
      <c r="A356" s="377">
        <v>355</v>
      </c>
      <c r="B356" s="432" t="s">
        <v>524</v>
      </c>
      <c r="C356" s="376" t="s">
        <v>44</v>
      </c>
      <c r="D356" s="376" t="s">
        <v>449</v>
      </c>
      <c r="E356" s="376" t="s">
        <v>642</v>
      </c>
      <c r="F356" s="434" t="s">
        <v>124</v>
      </c>
      <c r="G356" s="434">
        <v>9808038348</v>
      </c>
      <c r="I356" s="431">
        <v>7</v>
      </c>
      <c r="J356" s="433" t="s">
        <v>404</v>
      </c>
      <c r="K356" s="384" t="s">
        <v>53</v>
      </c>
      <c r="M356" s="490" t="s">
        <v>431</v>
      </c>
      <c r="N356" s="723">
        <v>64829</v>
      </c>
      <c r="O356" s="465">
        <v>64830</v>
      </c>
      <c r="P356" s="459">
        <v>64844</v>
      </c>
      <c r="Q356" s="432" t="s">
        <v>51</v>
      </c>
    </row>
    <row r="357" spans="1:20">
      <c r="A357" s="377">
        <v>356</v>
      </c>
      <c r="B357" s="432" t="s">
        <v>524</v>
      </c>
      <c r="C357" s="376" t="s">
        <v>44</v>
      </c>
      <c r="D357" s="376" t="s">
        <v>449</v>
      </c>
      <c r="E357" s="376" t="s">
        <v>643</v>
      </c>
      <c r="F357" s="434" t="s">
        <v>359</v>
      </c>
      <c r="G357" s="434">
        <v>9841629760</v>
      </c>
      <c r="I357" s="431">
        <v>8</v>
      </c>
      <c r="J357" s="433" t="s">
        <v>404</v>
      </c>
      <c r="K357" s="384" t="s">
        <v>53</v>
      </c>
      <c r="M357" s="490" t="s">
        <v>431</v>
      </c>
      <c r="N357" s="723">
        <v>64829</v>
      </c>
      <c r="O357" s="465">
        <v>64830</v>
      </c>
      <c r="P357" s="459">
        <v>64844</v>
      </c>
      <c r="Q357" s="432" t="s">
        <v>51</v>
      </c>
    </row>
    <row r="358" spans="1:20">
      <c r="A358" s="377">
        <v>357</v>
      </c>
      <c r="B358" s="432" t="s">
        <v>524</v>
      </c>
      <c r="C358" s="376" t="s">
        <v>44</v>
      </c>
      <c r="D358" s="376" t="s">
        <v>449</v>
      </c>
      <c r="E358" s="376" t="s">
        <v>644</v>
      </c>
      <c r="F358" s="434" t="s">
        <v>491</v>
      </c>
      <c r="G358" s="434">
        <v>9849094265</v>
      </c>
      <c r="I358" s="431">
        <v>58</v>
      </c>
      <c r="J358" s="423" t="s">
        <v>433</v>
      </c>
      <c r="K358" s="384" t="s">
        <v>53</v>
      </c>
      <c r="M358" s="490" t="s">
        <v>431</v>
      </c>
      <c r="N358" s="723">
        <v>64829</v>
      </c>
      <c r="O358" s="465">
        <v>64830</v>
      </c>
      <c r="P358" s="459">
        <v>64844</v>
      </c>
      <c r="Q358" s="432" t="s">
        <v>51</v>
      </c>
    </row>
    <row r="359" spans="1:20">
      <c r="A359" s="377">
        <v>358</v>
      </c>
      <c r="B359" s="432" t="s">
        <v>524</v>
      </c>
      <c r="C359" s="376" t="s">
        <v>44</v>
      </c>
      <c r="D359" s="376" t="s">
        <v>449</v>
      </c>
      <c r="E359" s="376" t="s">
        <v>645</v>
      </c>
      <c r="F359" s="434" t="s">
        <v>377</v>
      </c>
      <c r="G359" s="434">
        <v>9847830167</v>
      </c>
      <c r="I359" s="431">
        <v>59</v>
      </c>
      <c r="J359" s="433" t="s">
        <v>404</v>
      </c>
      <c r="K359" s="384" t="s">
        <v>53</v>
      </c>
      <c r="M359" s="490" t="s">
        <v>431</v>
      </c>
      <c r="N359" s="723">
        <v>64829</v>
      </c>
      <c r="O359" s="465">
        <v>64830</v>
      </c>
      <c r="P359" s="459">
        <v>64844</v>
      </c>
      <c r="Q359" s="432" t="s">
        <v>51</v>
      </c>
    </row>
    <row r="360" spans="1:20">
      <c r="A360" s="377">
        <v>359</v>
      </c>
      <c r="B360" s="432" t="s">
        <v>524</v>
      </c>
      <c r="C360" s="376" t="s">
        <v>44</v>
      </c>
      <c r="D360" s="376" t="s">
        <v>449</v>
      </c>
      <c r="E360" s="376" t="s">
        <v>646</v>
      </c>
      <c r="F360" s="434" t="s">
        <v>502</v>
      </c>
      <c r="G360" s="434">
        <v>9847829850</v>
      </c>
      <c r="I360" s="431">
        <v>50</v>
      </c>
      <c r="J360" s="433" t="s">
        <v>404</v>
      </c>
      <c r="K360" s="384" t="s">
        <v>53</v>
      </c>
      <c r="M360" s="490" t="s">
        <v>431</v>
      </c>
      <c r="N360" s="723">
        <v>64829</v>
      </c>
      <c r="O360" s="465">
        <v>64830</v>
      </c>
      <c r="P360" s="459">
        <v>64844</v>
      </c>
      <c r="Q360" s="432" t="s">
        <v>51</v>
      </c>
    </row>
    <row r="361" spans="1:20">
      <c r="A361" s="377">
        <v>360</v>
      </c>
      <c r="B361" s="432" t="s">
        <v>524</v>
      </c>
      <c r="C361" s="376" t="s">
        <v>44</v>
      </c>
      <c r="D361" s="376" t="s">
        <v>449</v>
      </c>
      <c r="E361" s="376" t="s">
        <v>647</v>
      </c>
      <c r="F361" s="434" t="s">
        <v>491</v>
      </c>
      <c r="G361" s="434">
        <v>9857823352</v>
      </c>
      <c r="I361" s="431">
        <v>32</v>
      </c>
      <c r="J361" s="433" t="s">
        <v>404</v>
      </c>
      <c r="K361" s="384" t="s">
        <v>53</v>
      </c>
      <c r="M361" s="490" t="s">
        <v>431</v>
      </c>
      <c r="N361" s="723">
        <v>64829</v>
      </c>
      <c r="O361" s="465">
        <v>64830</v>
      </c>
      <c r="P361" s="459">
        <v>64844</v>
      </c>
      <c r="Q361" s="432" t="s">
        <v>51</v>
      </c>
    </row>
    <row r="362" spans="1:20">
      <c r="A362" s="377">
        <v>361</v>
      </c>
      <c r="B362" s="432" t="s">
        <v>524</v>
      </c>
      <c r="C362" s="376" t="s">
        <v>44</v>
      </c>
      <c r="D362" s="376" t="s">
        <v>449</v>
      </c>
      <c r="E362" s="376" t="s">
        <v>648</v>
      </c>
      <c r="F362" s="434" t="s">
        <v>124</v>
      </c>
      <c r="G362" s="434">
        <v>9822903456</v>
      </c>
      <c r="I362" s="431">
        <v>19</v>
      </c>
      <c r="J362" s="433" t="s">
        <v>404</v>
      </c>
      <c r="K362" s="384" t="s">
        <v>53</v>
      </c>
      <c r="M362" s="490" t="s">
        <v>431</v>
      </c>
      <c r="N362" s="723">
        <v>64829</v>
      </c>
      <c r="O362" s="465">
        <v>64830</v>
      </c>
      <c r="P362" s="459">
        <v>64844</v>
      </c>
      <c r="Q362" s="432" t="s">
        <v>51</v>
      </c>
    </row>
    <row r="363" spans="1:20">
      <c r="A363" s="377">
        <v>362</v>
      </c>
      <c r="B363" s="432" t="s">
        <v>524</v>
      </c>
      <c r="C363" s="376" t="s">
        <v>44</v>
      </c>
      <c r="D363" s="376" t="s">
        <v>449</v>
      </c>
      <c r="E363" s="420" t="s">
        <v>649</v>
      </c>
      <c r="F363" s="438" t="s">
        <v>502</v>
      </c>
      <c r="G363" s="438">
        <v>9848337836</v>
      </c>
      <c r="H363" s="436"/>
      <c r="I363" s="435">
        <v>37</v>
      </c>
      <c r="J363" s="433" t="s">
        <v>404</v>
      </c>
      <c r="K363" s="384" t="s">
        <v>53</v>
      </c>
      <c r="L363" s="438"/>
      <c r="M363" s="490" t="s">
        <v>431</v>
      </c>
      <c r="N363" s="723">
        <v>64830</v>
      </c>
      <c r="O363" s="465">
        <v>64831</v>
      </c>
      <c r="P363" s="459">
        <v>64844</v>
      </c>
      <c r="Q363" s="432" t="s">
        <v>51</v>
      </c>
      <c r="R363" s="163"/>
      <c r="S363" s="163"/>
      <c r="T363" s="163"/>
    </row>
    <row r="364" spans="1:20">
      <c r="A364" s="377">
        <v>363</v>
      </c>
      <c r="B364" s="432" t="s">
        <v>524</v>
      </c>
      <c r="C364" s="376" t="s">
        <v>44</v>
      </c>
      <c r="D364" s="376" t="s">
        <v>449</v>
      </c>
      <c r="E364" s="376" t="s">
        <v>650</v>
      </c>
      <c r="F364" s="434" t="s">
        <v>548</v>
      </c>
      <c r="G364" s="434">
        <v>9847940669</v>
      </c>
      <c r="I364" s="431">
        <v>37</v>
      </c>
      <c r="J364" s="433" t="s">
        <v>404</v>
      </c>
      <c r="K364" s="384" t="s">
        <v>53</v>
      </c>
      <c r="M364" s="490" t="s">
        <v>431</v>
      </c>
      <c r="N364" s="723">
        <v>64830</v>
      </c>
      <c r="O364" s="465">
        <v>64831</v>
      </c>
      <c r="P364" s="459">
        <v>64844</v>
      </c>
      <c r="Q364" s="432" t="s">
        <v>51</v>
      </c>
    </row>
    <row r="365" spans="1:20">
      <c r="A365" s="377">
        <v>364</v>
      </c>
      <c r="B365" s="432" t="s">
        <v>524</v>
      </c>
      <c r="C365" s="376" t="s">
        <v>44</v>
      </c>
      <c r="D365" s="376" t="s">
        <v>449</v>
      </c>
      <c r="E365" s="376" t="s">
        <v>651</v>
      </c>
      <c r="F365" s="434" t="s">
        <v>397</v>
      </c>
      <c r="G365" s="434">
        <v>9866539394</v>
      </c>
      <c r="I365" s="431">
        <v>48</v>
      </c>
      <c r="J365" s="433" t="s">
        <v>404</v>
      </c>
      <c r="K365" s="384" t="s">
        <v>53</v>
      </c>
      <c r="M365" s="490" t="s">
        <v>431</v>
      </c>
      <c r="N365" s="723">
        <v>64830</v>
      </c>
      <c r="O365" s="465">
        <v>64831</v>
      </c>
      <c r="P365" s="459">
        <v>64844</v>
      </c>
      <c r="Q365" s="432" t="s">
        <v>51</v>
      </c>
    </row>
    <row r="366" spans="1:20">
      <c r="A366" s="377">
        <v>365</v>
      </c>
      <c r="B366" s="432" t="s">
        <v>524</v>
      </c>
      <c r="C366" s="376" t="s">
        <v>44</v>
      </c>
      <c r="D366" s="376" t="s">
        <v>449</v>
      </c>
      <c r="E366" s="376" t="s">
        <v>652</v>
      </c>
      <c r="F366" s="434" t="s">
        <v>441</v>
      </c>
      <c r="G366" s="434">
        <v>9847940811</v>
      </c>
      <c r="I366" s="431">
        <v>26</v>
      </c>
      <c r="J366" s="433" t="s">
        <v>404</v>
      </c>
      <c r="K366" s="384" t="s">
        <v>53</v>
      </c>
      <c r="M366" s="490" t="s">
        <v>431</v>
      </c>
      <c r="N366" s="723">
        <v>64830</v>
      </c>
      <c r="O366" s="465">
        <v>64831</v>
      </c>
      <c r="P366" s="459">
        <v>64844</v>
      </c>
      <c r="Q366" s="432" t="s">
        <v>51</v>
      </c>
    </row>
    <row r="367" spans="1:20">
      <c r="A367" s="377">
        <v>366</v>
      </c>
      <c r="B367" s="432" t="s">
        <v>524</v>
      </c>
      <c r="C367" s="376" t="s">
        <v>44</v>
      </c>
      <c r="D367" s="376" t="s">
        <v>449</v>
      </c>
      <c r="E367" s="376" t="s">
        <v>653</v>
      </c>
      <c r="F367" s="434" t="s">
        <v>491</v>
      </c>
      <c r="G367" s="434">
        <v>9849476159</v>
      </c>
      <c r="I367" s="431">
        <v>33</v>
      </c>
      <c r="J367" s="433" t="s">
        <v>404</v>
      </c>
      <c r="K367" s="384" t="s">
        <v>53</v>
      </c>
      <c r="M367" s="490" t="s">
        <v>431</v>
      </c>
      <c r="N367" s="723">
        <v>64830</v>
      </c>
      <c r="O367" s="465">
        <v>64831</v>
      </c>
      <c r="P367" s="459">
        <v>64844</v>
      </c>
      <c r="Q367" s="432" t="s">
        <v>51</v>
      </c>
    </row>
    <row r="368" spans="1:20">
      <c r="A368" s="377">
        <v>367</v>
      </c>
      <c r="B368" s="432" t="s">
        <v>524</v>
      </c>
      <c r="C368" s="376" t="s">
        <v>44</v>
      </c>
      <c r="D368" s="376" t="s">
        <v>449</v>
      </c>
      <c r="E368" s="376" t="s">
        <v>654</v>
      </c>
      <c r="F368" s="434" t="s">
        <v>502</v>
      </c>
      <c r="G368" s="434">
        <v>9868281020</v>
      </c>
      <c r="I368" s="431">
        <v>24</v>
      </c>
      <c r="J368" s="433" t="s">
        <v>404</v>
      </c>
      <c r="K368" s="384" t="s">
        <v>53</v>
      </c>
      <c r="M368" s="490" t="s">
        <v>431</v>
      </c>
      <c r="N368" s="723">
        <v>64830</v>
      </c>
      <c r="O368" s="465">
        <v>64831</v>
      </c>
      <c r="P368" s="459">
        <v>64844</v>
      </c>
      <c r="Q368" s="432" t="s">
        <v>51</v>
      </c>
    </row>
    <row r="369" spans="1:17">
      <c r="A369" s="377">
        <v>368</v>
      </c>
      <c r="B369" s="432" t="s">
        <v>524</v>
      </c>
      <c r="C369" s="376" t="s">
        <v>44</v>
      </c>
      <c r="D369" s="376" t="s">
        <v>449</v>
      </c>
      <c r="E369" s="376" t="s">
        <v>655</v>
      </c>
      <c r="F369" s="434" t="s">
        <v>441</v>
      </c>
      <c r="G369" s="434">
        <v>9866902671</v>
      </c>
      <c r="I369" s="431">
        <v>55</v>
      </c>
      <c r="J369" s="423" t="s">
        <v>433</v>
      </c>
      <c r="K369" s="384" t="s">
        <v>53</v>
      </c>
      <c r="M369" s="490" t="s">
        <v>431</v>
      </c>
      <c r="N369" s="723">
        <v>64830</v>
      </c>
      <c r="O369" s="465">
        <v>64831</v>
      </c>
      <c r="P369" s="459">
        <v>64844</v>
      </c>
      <c r="Q369" s="432" t="s">
        <v>51</v>
      </c>
    </row>
    <row r="370" spans="1:17">
      <c r="A370" s="377">
        <v>369</v>
      </c>
      <c r="B370" s="432" t="s">
        <v>524</v>
      </c>
      <c r="C370" s="376" t="s">
        <v>44</v>
      </c>
      <c r="D370" s="376" t="s">
        <v>449</v>
      </c>
      <c r="E370" s="376" t="s">
        <v>656</v>
      </c>
      <c r="F370" s="434" t="s">
        <v>598</v>
      </c>
      <c r="G370" s="434">
        <v>9847873448</v>
      </c>
      <c r="I370" s="431">
        <v>7</v>
      </c>
      <c r="J370" s="423" t="s">
        <v>433</v>
      </c>
      <c r="K370" s="384" t="s">
        <v>53</v>
      </c>
      <c r="M370" s="490" t="s">
        <v>431</v>
      </c>
      <c r="N370" s="723">
        <v>64830</v>
      </c>
      <c r="O370" s="465">
        <v>64831</v>
      </c>
      <c r="P370" s="459">
        <v>64844</v>
      </c>
      <c r="Q370" s="432" t="s">
        <v>51</v>
      </c>
    </row>
    <row r="371" spans="1:17">
      <c r="A371" s="377">
        <v>370</v>
      </c>
      <c r="B371" s="432" t="s">
        <v>524</v>
      </c>
      <c r="C371" s="376" t="s">
        <v>44</v>
      </c>
      <c r="D371" s="376" t="s">
        <v>449</v>
      </c>
      <c r="E371" s="376" t="s">
        <v>657</v>
      </c>
      <c r="F371" s="434" t="s">
        <v>557</v>
      </c>
      <c r="G371" s="434">
        <v>9810883384</v>
      </c>
      <c r="I371" s="431">
        <v>31</v>
      </c>
      <c r="J371" s="433" t="s">
        <v>404</v>
      </c>
      <c r="K371" s="384" t="s">
        <v>53</v>
      </c>
      <c r="M371" s="490" t="s">
        <v>431</v>
      </c>
      <c r="N371" s="723">
        <v>64830</v>
      </c>
      <c r="O371" s="465">
        <v>64831</v>
      </c>
      <c r="P371" s="459">
        <v>64844</v>
      </c>
      <c r="Q371" s="432" t="s">
        <v>51</v>
      </c>
    </row>
    <row r="372" spans="1:17">
      <c r="A372" s="377">
        <v>371</v>
      </c>
      <c r="B372" s="432" t="s">
        <v>524</v>
      </c>
      <c r="C372" s="376" t="s">
        <v>44</v>
      </c>
      <c r="D372" s="376" t="s">
        <v>449</v>
      </c>
      <c r="E372" s="376" t="s">
        <v>658</v>
      </c>
      <c r="F372" s="434" t="s">
        <v>422</v>
      </c>
      <c r="G372" s="434" t="s">
        <v>659</v>
      </c>
      <c r="I372" s="431">
        <v>51</v>
      </c>
      <c r="J372" s="433" t="s">
        <v>404</v>
      </c>
      <c r="K372" s="384" t="s">
        <v>53</v>
      </c>
      <c r="M372" s="490" t="s">
        <v>431</v>
      </c>
      <c r="N372" s="723">
        <v>64830</v>
      </c>
      <c r="O372" s="465">
        <v>64831</v>
      </c>
      <c r="P372" s="459">
        <v>64844</v>
      </c>
      <c r="Q372" s="432" t="s">
        <v>51</v>
      </c>
    </row>
    <row r="373" spans="1:17">
      <c r="A373" s="377">
        <v>372</v>
      </c>
      <c r="B373" s="432" t="s">
        <v>524</v>
      </c>
      <c r="C373" s="376" t="s">
        <v>44</v>
      </c>
      <c r="D373" s="376" t="s">
        <v>449</v>
      </c>
      <c r="E373" s="376" t="s">
        <v>660</v>
      </c>
      <c r="F373" s="434" t="s">
        <v>491</v>
      </c>
      <c r="G373" s="434">
        <v>9849476159</v>
      </c>
      <c r="I373" s="431">
        <v>8</v>
      </c>
      <c r="J373" s="423" t="s">
        <v>433</v>
      </c>
      <c r="K373" s="384" t="s">
        <v>53</v>
      </c>
      <c r="M373" s="490" t="s">
        <v>431</v>
      </c>
      <c r="N373" s="723">
        <v>64830</v>
      </c>
      <c r="O373" s="465">
        <v>64831</v>
      </c>
      <c r="P373" s="459">
        <v>64844</v>
      </c>
      <c r="Q373" s="432" t="s">
        <v>51</v>
      </c>
    </row>
    <row r="374" spans="1:17">
      <c r="A374" s="377">
        <v>373</v>
      </c>
      <c r="B374" s="432" t="s">
        <v>524</v>
      </c>
      <c r="C374" s="376" t="s">
        <v>44</v>
      </c>
      <c r="D374" s="376" t="s">
        <v>449</v>
      </c>
      <c r="E374" s="376" t="s">
        <v>661</v>
      </c>
      <c r="F374" s="434" t="s">
        <v>491</v>
      </c>
      <c r="G374" s="434">
        <v>9849322795</v>
      </c>
      <c r="I374" s="431">
        <v>30</v>
      </c>
      <c r="J374" s="433" t="s">
        <v>404</v>
      </c>
      <c r="K374" s="384" t="s">
        <v>53</v>
      </c>
      <c r="M374" s="490" t="s">
        <v>431</v>
      </c>
      <c r="N374" s="722">
        <v>64831</v>
      </c>
      <c r="O374" s="459">
        <v>64832</v>
      </c>
      <c r="P374" s="483">
        <v>64849</v>
      </c>
      <c r="Q374" s="432" t="s">
        <v>51</v>
      </c>
    </row>
    <row r="375" spans="1:17">
      <c r="A375" s="377">
        <v>374</v>
      </c>
      <c r="B375" s="432" t="s">
        <v>524</v>
      </c>
      <c r="C375" s="376" t="s">
        <v>44</v>
      </c>
      <c r="D375" s="376" t="s">
        <v>449</v>
      </c>
      <c r="E375" s="376" t="s">
        <v>662</v>
      </c>
      <c r="F375" s="434" t="s">
        <v>469</v>
      </c>
      <c r="G375" s="434">
        <v>9847832064</v>
      </c>
      <c r="I375" s="431">
        <v>50</v>
      </c>
      <c r="J375" s="433" t="s">
        <v>404</v>
      </c>
      <c r="K375" s="384" t="s">
        <v>53</v>
      </c>
      <c r="M375" s="490" t="s">
        <v>431</v>
      </c>
      <c r="N375" s="722">
        <v>64831</v>
      </c>
      <c r="O375" s="459">
        <v>64832</v>
      </c>
      <c r="P375" s="483">
        <v>64849</v>
      </c>
      <c r="Q375" s="432" t="s">
        <v>51</v>
      </c>
    </row>
    <row r="376" spans="1:17">
      <c r="A376" s="377">
        <v>375</v>
      </c>
      <c r="B376" s="432" t="s">
        <v>524</v>
      </c>
      <c r="C376" s="376" t="s">
        <v>44</v>
      </c>
      <c r="D376" s="376" t="s">
        <v>449</v>
      </c>
      <c r="E376" s="376" t="s">
        <v>663</v>
      </c>
      <c r="F376" s="434" t="s">
        <v>502</v>
      </c>
      <c r="G376" s="434">
        <v>9809529447</v>
      </c>
      <c r="I376" s="431">
        <v>22</v>
      </c>
      <c r="J376" s="433" t="s">
        <v>404</v>
      </c>
      <c r="K376" s="384" t="s">
        <v>53</v>
      </c>
      <c r="M376" s="490" t="s">
        <v>431</v>
      </c>
      <c r="N376" s="722">
        <v>64831</v>
      </c>
      <c r="O376" s="459">
        <v>64832</v>
      </c>
      <c r="P376" s="483">
        <v>64849</v>
      </c>
      <c r="Q376" s="432" t="s">
        <v>51</v>
      </c>
    </row>
    <row r="377" spans="1:17">
      <c r="A377" s="377">
        <v>376</v>
      </c>
      <c r="B377" s="432" t="s">
        <v>524</v>
      </c>
      <c r="C377" s="376" t="s">
        <v>44</v>
      </c>
      <c r="D377" s="376" t="s">
        <v>449</v>
      </c>
      <c r="E377" s="376" t="s">
        <v>664</v>
      </c>
      <c r="F377" s="434" t="s">
        <v>491</v>
      </c>
      <c r="G377" s="434">
        <v>9866054432</v>
      </c>
      <c r="I377" s="431">
        <v>25</v>
      </c>
      <c r="J377" s="423" t="s">
        <v>433</v>
      </c>
      <c r="K377" s="384" t="s">
        <v>53</v>
      </c>
      <c r="M377" s="490" t="s">
        <v>431</v>
      </c>
      <c r="N377" s="722">
        <v>64831</v>
      </c>
      <c r="O377" s="459">
        <v>64832</v>
      </c>
      <c r="P377" s="483">
        <v>64849</v>
      </c>
      <c r="Q377" s="432" t="s">
        <v>51</v>
      </c>
    </row>
    <row r="378" spans="1:17">
      <c r="A378" s="377">
        <v>377</v>
      </c>
      <c r="B378" s="432" t="s">
        <v>524</v>
      </c>
      <c r="C378" s="376" t="s">
        <v>44</v>
      </c>
      <c r="D378" s="376" t="s">
        <v>449</v>
      </c>
      <c r="E378" s="376" t="s">
        <v>665</v>
      </c>
      <c r="F378" s="434" t="s">
        <v>502</v>
      </c>
      <c r="G378" s="434">
        <v>984782273</v>
      </c>
      <c r="I378" s="431">
        <v>70</v>
      </c>
      <c r="J378" s="433" t="s">
        <v>404</v>
      </c>
      <c r="K378" s="384" t="s">
        <v>53</v>
      </c>
      <c r="M378" s="490" t="s">
        <v>431</v>
      </c>
      <c r="N378" s="722">
        <v>64831</v>
      </c>
      <c r="O378" s="459">
        <v>64832</v>
      </c>
      <c r="P378" s="483">
        <v>64849</v>
      </c>
      <c r="Q378" s="432" t="s">
        <v>51</v>
      </c>
    </row>
    <row r="379" spans="1:17">
      <c r="A379" s="377">
        <v>378</v>
      </c>
      <c r="B379" s="432" t="s">
        <v>524</v>
      </c>
      <c r="C379" s="376" t="s">
        <v>44</v>
      </c>
      <c r="D379" s="376" t="s">
        <v>449</v>
      </c>
      <c r="E379" s="376" t="s">
        <v>666</v>
      </c>
      <c r="F379" s="434" t="s">
        <v>548</v>
      </c>
      <c r="G379" s="434">
        <v>9809525887</v>
      </c>
      <c r="I379" s="431">
        <v>21</v>
      </c>
      <c r="J379" s="433" t="s">
        <v>404</v>
      </c>
      <c r="K379" s="384" t="s">
        <v>53</v>
      </c>
      <c r="M379" s="490" t="s">
        <v>431</v>
      </c>
      <c r="N379" s="722">
        <v>64831</v>
      </c>
      <c r="O379" s="459">
        <v>64832</v>
      </c>
      <c r="P379" s="483">
        <v>64849</v>
      </c>
      <c r="Q379" s="432" t="s">
        <v>51</v>
      </c>
    </row>
    <row r="380" spans="1:17">
      <c r="A380" s="377">
        <v>379</v>
      </c>
      <c r="B380" s="432" t="s">
        <v>524</v>
      </c>
      <c r="C380" s="376" t="s">
        <v>44</v>
      </c>
      <c r="D380" s="376" t="s">
        <v>449</v>
      </c>
      <c r="E380" s="376" t="s">
        <v>667</v>
      </c>
      <c r="F380" s="434" t="s">
        <v>548</v>
      </c>
      <c r="G380" s="434">
        <v>9847813200</v>
      </c>
      <c r="I380" s="431">
        <v>43</v>
      </c>
      <c r="J380" s="423" t="s">
        <v>433</v>
      </c>
      <c r="K380" s="384" t="s">
        <v>53</v>
      </c>
      <c r="M380" s="490" t="s">
        <v>431</v>
      </c>
      <c r="N380" s="722">
        <v>64833</v>
      </c>
      <c r="O380" s="459">
        <v>64834</v>
      </c>
      <c r="P380" s="483">
        <v>64849</v>
      </c>
      <c r="Q380" s="432" t="s">
        <v>51</v>
      </c>
    </row>
    <row r="381" spans="1:17">
      <c r="A381" s="377">
        <v>380</v>
      </c>
      <c r="B381" s="432" t="s">
        <v>524</v>
      </c>
      <c r="C381" s="376" t="s">
        <v>44</v>
      </c>
      <c r="D381" s="376" t="s">
        <v>449</v>
      </c>
      <c r="E381" s="376" t="s">
        <v>668</v>
      </c>
      <c r="F381" s="434" t="s">
        <v>363</v>
      </c>
      <c r="G381" s="434">
        <v>9813265658</v>
      </c>
      <c r="I381" s="431">
        <v>31</v>
      </c>
      <c r="J381" s="433" t="s">
        <v>404</v>
      </c>
      <c r="K381" s="384" t="s">
        <v>53</v>
      </c>
      <c r="M381" s="490" t="s">
        <v>431</v>
      </c>
      <c r="N381" s="722">
        <v>64833</v>
      </c>
      <c r="O381" s="459">
        <v>64834</v>
      </c>
      <c r="P381" s="483">
        <v>64849</v>
      </c>
      <c r="Q381" s="432" t="s">
        <v>51</v>
      </c>
    </row>
    <row r="382" spans="1:17">
      <c r="A382" s="377">
        <v>381</v>
      </c>
      <c r="B382" s="432" t="s">
        <v>524</v>
      </c>
      <c r="C382" s="376" t="s">
        <v>44</v>
      </c>
      <c r="D382" s="376" t="s">
        <v>449</v>
      </c>
      <c r="E382" s="376" t="s">
        <v>1022</v>
      </c>
      <c r="F382" s="434" t="s">
        <v>491</v>
      </c>
      <c r="G382" s="434">
        <v>9857821560</v>
      </c>
      <c r="I382" s="431">
        <v>50</v>
      </c>
      <c r="J382" s="433" t="s">
        <v>404</v>
      </c>
      <c r="K382" s="384" t="s">
        <v>53</v>
      </c>
      <c r="M382" s="490" t="s">
        <v>431</v>
      </c>
      <c r="N382" s="722">
        <v>64833</v>
      </c>
      <c r="O382" s="459">
        <v>64834</v>
      </c>
      <c r="P382" s="483">
        <v>64849</v>
      </c>
      <c r="Q382" s="432" t="s">
        <v>51</v>
      </c>
    </row>
    <row r="383" spans="1:17">
      <c r="A383" s="377">
        <v>382</v>
      </c>
      <c r="B383" s="432" t="s">
        <v>524</v>
      </c>
      <c r="C383" s="376" t="s">
        <v>44</v>
      </c>
      <c r="D383" s="376" t="s">
        <v>449</v>
      </c>
      <c r="E383" s="376" t="s">
        <v>669</v>
      </c>
      <c r="F383" s="434" t="s">
        <v>441</v>
      </c>
      <c r="G383" s="434">
        <v>9866838362</v>
      </c>
      <c r="I383" s="431">
        <v>57</v>
      </c>
      <c r="J383" s="433" t="s">
        <v>404</v>
      </c>
      <c r="K383" s="384" t="s">
        <v>53</v>
      </c>
      <c r="M383" s="490" t="s">
        <v>431</v>
      </c>
      <c r="N383" s="722">
        <v>64833</v>
      </c>
      <c r="O383" s="459">
        <v>64834</v>
      </c>
      <c r="P383" s="483">
        <v>64849</v>
      </c>
      <c r="Q383" s="432" t="s">
        <v>51</v>
      </c>
    </row>
    <row r="384" spans="1:17">
      <c r="A384" s="377">
        <v>383</v>
      </c>
      <c r="B384" s="432" t="s">
        <v>524</v>
      </c>
      <c r="C384" s="376" t="s">
        <v>44</v>
      </c>
      <c r="D384" s="376" t="s">
        <v>449</v>
      </c>
      <c r="E384" s="376" t="s">
        <v>670</v>
      </c>
      <c r="F384" s="434" t="s">
        <v>441</v>
      </c>
      <c r="G384" s="434">
        <v>9869249707</v>
      </c>
      <c r="I384" s="431">
        <v>24</v>
      </c>
      <c r="J384" s="433" t="s">
        <v>404</v>
      </c>
      <c r="K384" s="384" t="s">
        <v>53</v>
      </c>
      <c r="M384" s="490" t="s">
        <v>431</v>
      </c>
      <c r="N384" s="722">
        <v>64833</v>
      </c>
      <c r="O384" s="459">
        <v>64834</v>
      </c>
      <c r="P384" s="483">
        <v>64849</v>
      </c>
      <c r="Q384" s="432" t="s">
        <v>51</v>
      </c>
    </row>
    <row r="385" spans="1:18">
      <c r="A385" s="377">
        <v>384</v>
      </c>
      <c r="B385" s="432" t="s">
        <v>524</v>
      </c>
      <c r="C385" s="376" t="s">
        <v>44</v>
      </c>
      <c r="D385" s="376" t="s">
        <v>449</v>
      </c>
      <c r="E385" s="376" t="s">
        <v>671</v>
      </c>
      <c r="F385" s="434" t="s">
        <v>491</v>
      </c>
      <c r="G385" s="434">
        <v>9880773683</v>
      </c>
      <c r="I385" s="431">
        <v>27</v>
      </c>
      <c r="J385" s="433" t="s">
        <v>404</v>
      </c>
      <c r="K385" s="384" t="s">
        <v>53</v>
      </c>
      <c r="M385" s="490" t="s">
        <v>431</v>
      </c>
      <c r="N385" s="722">
        <v>64833</v>
      </c>
      <c r="O385" s="459">
        <v>64834</v>
      </c>
      <c r="P385" s="483">
        <v>64849</v>
      </c>
      <c r="Q385" s="432" t="s">
        <v>51</v>
      </c>
    </row>
    <row r="386" spans="1:18">
      <c r="A386" s="377">
        <v>385</v>
      </c>
      <c r="B386" s="497" t="s">
        <v>524</v>
      </c>
      <c r="C386" s="498" t="s">
        <v>44</v>
      </c>
      <c r="D386" s="498" t="s">
        <v>449</v>
      </c>
      <c r="E386" s="498" t="s">
        <v>672</v>
      </c>
      <c r="F386" s="499" t="s">
        <v>548</v>
      </c>
      <c r="G386" s="499">
        <v>9857844585</v>
      </c>
      <c r="H386" s="497"/>
      <c r="I386" s="501">
        <v>31</v>
      </c>
      <c r="J386" s="500" t="s">
        <v>404</v>
      </c>
      <c r="K386" s="501" t="s">
        <v>53</v>
      </c>
      <c r="L386" s="499"/>
      <c r="M386" s="502" t="s">
        <v>431</v>
      </c>
      <c r="N386" s="728">
        <v>64833</v>
      </c>
      <c r="O386" s="503">
        <v>64834</v>
      </c>
      <c r="P386" s="504">
        <v>64849</v>
      </c>
      <c r="Q386" s="497" t="s">
        <v>51</v>
      </c>
      <c r="R386" s="340" t="s">
        <v>378</v>
      </c>
    </row>
    <row r="387" spans="1:18">
      <c r="A387" s="377">
        <v>386</v>
      </c>
      <c r="B387" s="432" t="s">
        <v>524</v>
      </c>
      <c r="C387" s="376" t="s">
        <v>44</v>
      </c>
      <c r="D387" s="376" t="s">
        <v>449</v>
      </c>
      <c r="E387" s="376" t="s">
        <v>673</v>
      </c>
      <c r="F387" s="434" t="s">
        <v>502</v>
      </c>
      <c r="G387" s="434">
        <v>9847942999</v>
      </c>
      <c r="I387" s="431">
        <v>30</v>
      </c>
      <c r="J387" s="433" t="s">
        <v>404</v>
      </c>
      <c r="K387" s="384" t="s">
        <v>53</v>
      </c>
      <c r="M387" s="490" t="s">
        <v>431</v>
      </c>
      <c r="N387" s="722">
        <v>64833</v>
      </c>
      <c r="O387" s="459">
        <v>64834</v>
      </c>
      <c r="P387" s="483">
        <v>64849</v>
      </c>
      <c r="Q387" s="432" t="s">
        <v>51</v>
      </c>
    </row>
    <row r="388" spans="1:18">
      <c r="A388" s="377">
        <v>387</v>
      </c>
      <c r="B388" s="432" t="s">
        <v>524</v>
      </c>
      <c r="C388" s="376" t="s">
        <v>44</v>
      </c>
      <c r="D388" s="376" t="s">
        <v>449</v>
      </c>
      <c r="E388" s="376" t="s">
        <v>674</v>
      </c>
      <c r="F388" s="434" t="s">
        <v>675</v>
      </c>
      <c r="G388" s="434">
        <v>9822984035</v>
      </c>
      <c r="I388" s="431">
        <v>47</v>
      </c>
      <c r="J388" s="433" t="s">
        <v>404</v>
      </c>
      <c r="K388" s="384" t="s">
        <v>53</v>
      </c>
      <c r="M388" s="490" t="s">
        <v>431</v>
      </c>
      <c r="N388" s="722">
        <v>64833</v>
      </c>
      <c r="O388" s="459">
        <v>64834</v>
      </c>
      <c r="P388" s="483">
        <v>64849</v>
      </c>
      <c r="Q388" s="432" t="s">
        <v>51</v>
      </c>
    </row>
    <row r="389" spans="1:18">
      <c r="A389" s="377">
        <v>388</v>
      </c>
      <c r="B389" s="432" t="s">
        <v>524</v>
      </c>
      <c r="C389" s="376" t="s">
        <v>44</v>
      </c>
      <c r="D389" s="376" t="s">
        <v>449</v>
      </c>
      <c r="E389" s="376" t="s">
        <v>676</v>
      </c>
      <c r="F389" s="434" t="s">
        <v>491</v>
      </c>
      <c r="I389" s="431">
        <v>35</v>
      </c>
      <c r="J389" s="423" t="s">
        <v>433</v>
      </c>
      <c r="K389" s="384" t="s">
        <v>53</v>
      </c>
      <c r="M389" s="490" t="s">
        <v>431</v>
      </c>
      <c r="N389" s="722">
        <v>64833</v>
      </c>
      <c r="O389" s="459">
        <v>64834</v>
      </c>
      <c r="P389" s="483">
        <v>64849</v>
      </c>
      <c r="Q389" s="432" t="s">
        <v>51</v>
      </c>
    </row>
    <row r="390" spans="1:18">
      <c r="A390" s="377">
        <v>389</v>
      </c>
      <c r="B390" s="432" t="s">
        <v>524</v>
      </c>
      <c r="C390" s="376" t="s">
        <v>44</v>
      </c>
      <c r="D390" s="376" t="s">
        <v>449</v>
      </c>
      <c r="E390" s="376" t="s">
        <v>677</v>
      </c>
      <c r="F390" s="434" t="s">
        <v>491</v>
      </c>
      <c r="G390" s="434">
        <v>9847823326</v>
      </c>
      <c r="I390" s="431">
        <v>59</v>
      </c>
      <c r="J390" s="433" t="s">
        <v>404</v>
      </c>
      <c r="K390" s="384" t="s">
        <v>53</v>
      </c>
      <c r="M390" s="490" t="s">
        <v>431</v>
      </c>
      <c r="N390" s="722">
        <v>64834</v>
      </c>
      <c r="O390" s="459">
        <v>64835</v>
      </c>
      <c r="P390" s="459">
        <v>64856</v>
      </c>
      <c r="Q390" s="432" t="s">
        <v>51</v>
      </c>
    </row>
    <row r="391" spans="1:18">
      <c r="A391" s="377">
        <v>390</v>
      </c>
      <c r="B391" s="432" t="s">
        <v>524</v>
      </c>
      <c r="C391" s="376" t="s">
        <v>44</v>
      </c>
      <c r="D391" s="376" t="s">
        <v>449</v>
      </c>
      <c r="E391" s="376" t="s">
        <v>678</v>
      </c>
      <c r="F391" s="434" t="s">
        <v>497</v>
      </c>
      <c r="G391" s="434">
        <v>9848962047</v>
      </c>
      <c r="I391" s="431">
        <v>28</v>
      </c>
      <c r="J391" s="433" t="s">
        <v>404</v>
      </c>
      <c r="K391" s="384" t="s">
        <v>53</v>
      </c>
      <c r="M391" s="490" t="s">
        <v>431</v>
      </c>
      <c r="N391" s="722">
        <v>64834</v>
      </c>
      <c r="O391" s="459">
        <v>64835</v>
      </c>
      <c r="P391" s="459">
        <v>64856</v>
      </c>
      <c r="Q391" s="432" t="s">
        <v>51</v>
      </c>
    </row>
    <row r="392" spans="1:18">
      <c r="A392" s="377">
        <v>391</v>
      </c>
      <c r="B392" s="432" t="s">
        <v>524</v>
      </c>
      <c r="C392" s="376" t="s">
        <v>44</v>
      </c>
      <c r="D392" s="376" t="s">
        <v>449</v>
      </c>
      <c r="E392" s="376" t="s">
        <v>679</v>
      </c>
      <c r="F392" s="434" t="s">
        <v>491</v>
      </c>
      <c r="G392" s="434">
        <v>9847823876</v>
      </c>
      <c r="I392" s="431">
        <v>44</v>
      </c>
      <c r="J392" s="433" t="s">
        <v>404</v>
      </c>
      <c r="K392" s="384" t="s">
        <v>53</v>
      </c>
      <c r="M392" s="490" t="s">
        <v>431</v>
      </c>
      <c r="N392" s="722">
        <v>64834</v>
      </c>
      <c r="O392" s="459">
        <v>64835</v>
      </c>
      <c r="P392" s="459">
        <v>64856</v>
      </c>
      <c r="Q392" s="432" t="s">
        <v>51</v>
      </c>
    </row>
    <row r="393" spans="1:18">
      <c r="A393" s="377">
        <v>392</v>
      </c>
      <c r="B393" s="432" t="s">
        <v>524</v>
      </c>
      <c r="C393" s="376" t="s">
        <v>44</v>
      </c>
      <c r="D393" s="376" t="s">
        <v>449</v>
      </c>
      <c r="E393" s="376" t="s">
        <v>680</v>
      </c>
      <c r="F393" s="434" t="s">
        <v>502</v>
      </c>
      <c r="G393" s="434">
        <v>9851213846</v>
      </c>
      <c r="I393" s="431">
        <v>31</v>
      </c>
      <c r="J393" s="433" t="s">
        <v>404</v>
      </c>
      <c r="K393" s="384" t="s">
        <v>53</v>
      </c>
      <c r="M393" s="490" t="s">
        <v>431</v>
      </c>
      <c r="N393" s="722">
        <v>64834</v>
      </c>
      <c r="O393" s="459">
        <v>64835</v>
      </c>
      <c r="P393" s="459">
        <v>64856</v>
      </c>
      <c r="Q393" s="432" t="s">
        <v>51</v>
      </c>
    </row>
    <row r="394" spans="1:18">
      <c r="A394" s="377">
        <v>393</v>
      </c>
      <c r="B394" s="432" t="s">
        <v>524</v>
      </c>
      <c r="C394" s="376" t="s">
        <v>44</v>
      </c>
      <c r="D394" s="376" t="s">
        <v>449</v>
      </c>
      <c r="E394" s="376" t="s">
        <v>681</v>
      </c>
      <c r="F394" s="434" t="s">
        <v>502</v>
      </c>
      <c r="G394" s="434">
        <v>9847993350</v>
      </c>
      <c r="I394" s="431">
        <v>28</v>
      </c>
      <c r="J394" s="433" t="s">
        <v>404</v>
      </c>
      <c r="K394" s="384" t="s">
        <v>53</v>
      </c>
      <c r="M394" s="490" t="s">
        <v>431</v>
      </c>
      <c r="N394" s="722">
        <v>64834</v>
      </c>
      <c r="O394" s="459">
        <v>64835</v>
      </c>
      <c r="P394" s="459">
        <v>64856</v>
      </c>
      <c r="Q394" s="432" t="s">
        <v>51</v>
      </c>
    </row>
    <row r="395" spans="1:18">
      <c r="A395" s="377">
        <v>394</v>
      </c>
      <c r="B395" s="432" t="s">
        <v>524</v>
      </c>
      <c r="C395" s="376" t="s">
        <v>44</v>
      </c>
      <c r="D395" s="376" t="s">
        <v>449</v>
      </c>
      <c r="E395" s="376" t="s">
        <v>682</v>
      </c>
      <c r="F395" s="434" t="s">
        <v>617</v>
      </c>
      <c r="G395" s="434">
        <v>9847994429</v>
      </c>
      <c r="I395" s="431">
        <v>32</v>
      </c>
      <c r="J395" s="433" t="s">
        <v>404</v>
      </c>
      <c r="K395" s="384" t="s">
        <v>53</v>
      </c>
      <c r="M395" s="438" t="s">
        <v>489</v>
      </c>
      <c r="N395" s="722">
        <v>64834</v>
      </c>
      <c r="O395" s="459">
        <v>64835</v>
      </c>
      <c r="P395" s="459">
        <v>64851</v>
      </c>
      <c r="Q395" s="432" t="s">
        <v>51</v>
      </c>
    </row>
    <row r="396" spans="1:18">
      <c r="A396" s="377">
        <v>395</v>
      </c>
      <c r="B396" s="432" t="s">
        <v>524</v>
      </c>
      <c r="C396" s="376" t="s">
        <v>44</v>
      </c>
      <c r="D396" s="376" t="s">
        <v>449</v>
      </c>
      <c r="E396" s="376" t="s">
        <v>683</v>
      </c>
      <c r="F396" s="434" t="s">
        <v>441</v>
      </c>
      <c r="G396" s="434">
        <v>9828894321</v>
      </c>
      <c r="I396" s="431">
        <v>44</v>
      </c>
      <c r="J396" s="433" t="s">
        <v>404</v>
      </c>
      <c r="K396" s="384" t="s">
        <v>53</v>
      </c>
      <c r="M396" s="490" t="s">
        <v>431</v>
      </c>
      <c r="N396" s="722">
        <v>64834</v>
      </c>
      <c r="O396" s="459">
        <v>64835</v>
      </c>
      <c r="P396" s="459">
        <v>64856</v>
      </c>
      <c r="Q396" s="432" t="s">
        <v>51</v>
      </c>
    </row>
    <row r="397" spans="1:18">
      <c r="A397" s="377">
        <v>396</v>
      </c>
      <c r="B397" s="432" t="s">
        <v>524</v>
      </c>
      <c r="C397" s="376" t="s">
        <v>44</v>
      </c>
      <c r="D397" s="376" t="s">
        <v>449</v>
      </c>
      <c r="E397" s="376" t="s">
        <v>684</v>
      </c>
      <c r="F397" s="434" t="s">
        <v>502</v>
      </c>
      <c r="G397" s="434">
        <v>9869919368</v>
      </c>
      <c r="I397" s="431">
        <v>43</v>
      </c>
      <c r="J397" s="433" t="s">
        <v>404</v>
      </c>
      <c r="K397" s="384" t="s">
        <v>53</v>
      </c>
      <c r="M397" s="490" t="s">
        <v>431</v>
      </c>
      <c r="N397" s="722">
        <v>64834</v>
      </c>
      <c r="O397" s="459">
        <v>64835</v>
      </c>
      <c r="P397" s="459">
        <v>64856</v>
      </c>
      <c r="Q397" s="432" t="s">
        <v>51</v>
      </c>
    </row>
    <row r="398" spans="1:18">
      <c r="A398" s="377">
        <v>397</v>
      </c>
      <c r="B398" s="432" t="s">
        <v>524</v>
      </c>
      <c r="C398" s="376" t="s">
        <v>44</v>
      </c>
      <c r="D398" s="376" t="s">
        <v>449</v>
      </c>
      <c r="E398" s="376" t="s">
        <v>685</v>
      </c>
      <c r="F398" s="434" t="s">
        <v>502</v>
      </c>
      <c r="G398" s="434">
        <v>9841469527</v>
      </c>
      <c r="I398" s="431">
        <v>32</v>
      </c>
      <c r="J398" s="433" t="s">
        <v>404</v>
      </c>
      <c r="K398" s="384" t="s">
        <v>53</v>
      </c>
      <c r="M398" s="490" t="s">
        <v>431</v>
      </c>
      <c r="N398" s="722">
        <v>64834</v>
      </c>
      <c r="O398" s="459">
        <v>64835</v>
      </c>
      <c r="P398" s="459">
        <v>64856</v>
      </c>
      <c r="Q398" s="432" t="s">
        <v>51</v>
      </c>
    </row>
    <row r="399" spans="1:18">
      <c r="A399" s="377">
        <v>398</v>
      </c>
      <c r="B399" s="432" t="s">
        <v>524</v>
      </c>
      <c r="C399" s="376" t="s">
        <v>44</v>
      </c>
      <c r="D399" s="376" t="s">
        <v>449</v>
      </c>
      <c r="E399" s="376" t="s">
        <v>686</v>
      </c>
      <c r="F399" s="434" t="s">
        <v>598</v>
      </c>
      <c r="G399" s="434">
        <v>9866902671</v>
      </c>
      <c r="I399" s="431">
        <v>26</v>
      </c>
      <c r="J399" s="505" t="s">
        <v>433</v>
      </c>
      <c r="K399" s="384" t="s">
        <v>53</v>
      </c>
      <c r="M399" s="490" t="s">
        <v>431</v>
      </c>
      <c r="N399" s="722">
        <v>64835</v>
      </c>
      <c r="O399" s="459">
        <v>64836</v>
      </c>
      <c r="P399" s="459">
        <v>64864</v>
      </c>
      <c r="Q399" s="432" t="s">
        <v>51</v>
      </c>
    </row>
    <row r="400" spans="1:18">
      <c r="A400" s="377">
        <v>399</v>
      </c>
      <c r="B400" s="432" t="s">
        <v>524</v>
      </c>
      <c r="C400" s="376" t="s">
        <v>44</v>
      </c>
      <c r="D400" s="376" t="s">
        <v>449</v>
      </c>
      <c r="E400" s="376" t="s">
        <v>687</v>
      </c>
      <c r="F400" s="434" t="s">
        <v>502</v>
      </c>
      <c r="G400" s="434">
        <v>9857820641</v>
      </c>
      <c r="I400" s="431">
        <v>40</v>
      </c>
      <c r="J400" s="433" t="s">
        <v>404</v>
      </c>
      <c r="K400" s="384" t="s">
        <v>53</v>
      </c>
      <c r="M400" s="490" t="s">
        <v>431</v>
      </c>
      <c r="N400" s="722">
        <v>64835</v>
      </c>
      <c r="O400" s="459">
        <v>64836</v>
      </c>
      <c r="P400" s="459">
        <v>64856</v>
      </c>
      <c r="Q400" s="432" t="s">
        <v>51</v>
      </c>
    </row>
    <row r="401" spans="1:17">
      <c r="A401" s="377">
        <v>400</v>
      </c>
      <c r="B401" s="432" t="s">
        <v>524</v>
      </c>
      <c r="C401" s="376" t="s">
        <v>44</v>
      </c>
      <c r="D401" s="376" t="s">
        <v>449</v>
      </c>
      <c r="E401" s="376" t="s">
        <v>688</v>
      </c>
      <c r="F401" s="434" t="s">
        <v>491</v>
      </c>
      <c r="G401" s="434">
        <v>9844937775</v>
      </c>
      <c r="I401" s="431">
        <v>26</v>
      </c>
      <c r="J401" s="433" t="s">
        <v>404</v>
      </c>
      <c r="K401" s="384" t="s">
        <v>53</v>
      </c>
      <c r="M401" s="490" t="s">
        <v>431</v>
      </c>
      <c r="N401" s="722">
        <v>64835</v>
      </c>
      <c r="O401" s="459">
        <v>64836</v>
      </c>
      <c r="P401" s="459">
        <v>64864</v>
      </c>
      <c r="Q401" s="432" t="s">
        <v>51</v>
      </c>
    </row>
    <row r="402" spans="1:17">
      <c r="A402" s="377">
        <v>401</v>
      </c>
      <c r="B402" s="432" t="s">
        <v>524</v>
      </c>
      <c r="C402" s="376" t="s">
        <v>44</v>
      </c>
      <c r="D402" s="376" t="s">
        <v>449</v>
      </c>
      <c r="E402" s="376" t="s">
        <v>689</v>
      </c>
      <c r="F402" s="434" t="s">
        <v>397</v>
      </c>
      <c r="G402" s="434">
        <v>9847835920</v>
      </c>
      <c r="I402" s="431">
        <v>55</v>
      </c>
      <c r="J402" s="433" t="s">
        <v>404</v>
      </c>
      <c r="K402" s="384" t="s">
        <v>53</v>
      </c>
      <c r="M402" s="490" t="s">
        <v>431</v>
      </c>
      <c r="N402" s="722">
        <v>64835</v>
      </c>
      <c r="O402" s="459">
        <v>64836</v>
      </c>
      <c r="P402" s="459">
        <v>64864</v>
      </c>
      <c r="Q402" s="432" t="s">
        <v>51</v>
      </c>
    </row>
    <row r="403" spans="1:17">
      <c r="A403" s="377">
        <v>402</v>
      </c>
      <c r="B403" s="432" t="s">
        <v>524</v>
      </c>
      <c r="C403" s="376" t="s">
        <v>44</v>
      </c>
      <c r="D403" s="376" t="s">
        <v>449</v>
      </c>
      <c r="E403" s="376" t="s">
        <v>690</v>
      </c>
      <c r="F403" s="434" t="s">
        <v>491</v>
      </c>
      <c r="G403" s="434">
        <v>9843753039</v>
      </c>
      <c r="I403" s="431">
        <v>30</v>
      </c>
      <c r="J403" s="433" t="s">
        <v>404</v>
      </c>
      <c r="K403" s="384" t="s">
        <v>53</v>
      </c>
      <c r="M403" s="490" t="s">
        <v>431</v>
      </c>
      <c r="N403" s="722">
        <v>64835</v>
      </c>
      <c r="O403" s="459">
        <v>64836</v>
      </c>
      <c r="P403" s="459">
        <v>64864</v>
      </c>
      <c r="Q403" s="432" t="s">
        <v>51</v>
      </c>
    </row>
    <row r="404" spans="1:17">
      <c r="A404" s="377">
        <v>403</v>
      </c>
      <c r="B404" s="432" t="s">
        <v>524</v>
      </c>
      <c r="C404" s="376" t="s">
        <v>44</v>
      </c>
      <c r="D404" s="376" t="s">
        <v>449</v>
      </c>
      <c r="E404" s="376" t="s">
        <v>691</v>
      </c>
      <c r="F404" s="434" t="s">
        <v>441</v>
      </c>
      <c r="G404" s="434">
        <v>9847824645</v>
      </c>
      <c r="I404" s="431">
        <v>43</v>
      </c>
      <c r="J404" s="433" t="s">
        <v>404</v>
      </c>
      <c r="K404" s="384" t="s">
        <v>53</v>
      </c>
      <c r="M404" s="490" t="s">
        <v>431</v>
      </c>
      <c r="N404" s="722">
        <v>64835</v>
      </c>
      <c r="O404" s="459">
        <v>64836</v>
      </c>
      <c r="P404" s="459">
        <v>64864</v>
      </c>
      <c r="Q404" s="432" t="s">
        <v>51</v>
      </c>
    </row>
    <row r="405" spans="1:17">
      <c r="A405" s="377">
        <v>404</v>
      </c>
      <c r="B405" s="432" t="s">
        <v>524</v>
      </c>
      <c r="C405" s="376" t="s">
        <v>44</v>
      </c>
      <c r="D405" s="376" t="s">
        <v>449</v>
      </c>
      <c r="E405" s="376" t="s">
        <v>692</v>
      </c>
      <c r="F405" s="434" t="s">
        <v>693</v>
      </c>
      <c r="G405" s="434">
        <v>9861854262</v>
      </c>
      <c r="I405" s="431">
        <v>25</v>
      </c>
      <c r="J405" s="433" t="s">
        <v>404</v>
      </c>
      <c r="K405" s="384" t="s">
        <v>53</v>
      </c>
      <c r="M405" s="490" t="s">
        <v>431</v>
      </c>
      <c r="N405" s="722">
        <v>64835</v>
      </c>
      <c r="O405" s="459">
        <v>64836</v>
      </c>
      <c r="P405" s="459">
        <v>64864</v>
      </c>
      <c r="Q405" s="432" t="s">
        <v>51</v>
      </c>
    </row>
    <row r="406" spans="1:17">
      <c r="A406" s="377">
        <v>405</v>
      </c>
      <c r="B406" s="432" t="s">
        <v>524</v>
      </c>
      <c r="C406" s="376" t="s">
        <v>44</v>
      </c>
      <c r="D406" s="376" t="s">
        <v>449</v>
      </c>
      <c r="E406" s="376" t="s">
        <v>694</v>
      </c>
      <c r="F406" s="434" t="s">
        <v>695</v>
      </c>
      <c r="G406" s="434">
        <v>9847953651</v>
      </c>
      <c r="I406" s="431">
        <v>24</v>
      </c>
      <c r="J406" s="433" t="s">
        <v>433</v>
      </c>
      <c r="K406" s="384" t="s">
        <v>53</v>
      </c>
      <c r="M406" s="490" t="s">
        <v>431</v>
      </c>
      <c r="N406" s="722">
        <v>64835</v>
      </c>
      <c r="O406" s="459">
        <v>64836</v>
      </c>
      <c r="P406" s="459">
        <v>64864</v>
      </c>
      <c r="Q406" s="432" t="s">
        <v>51</v>
      </c>
    </row>
    <row r="407" spans="1:17">
      <c r="A407" s="377">
        <v>406</v>
      </c>
      <c r="B407" s="432" t="s">
        <v>524</v>
      </c>
      <c r="C407" s="376" t="s">
        <v>44</v>
      </c>
      <c r="D407" s="376" t="s">
        <v>449</v>
      </c>
      <c r="E407" s="376" t="s">
        <v>696</v>
      </c>
      <c r="F407" s="434" t="s">
        <v>502</v>
      </c>
      <c r="G407" s="434">
        <v>9847984368</v>
      </c>
      <c r="I407" s="431">
        <v>34</v>
      </c>
      <c r="J407" s="433" t="s">
        <v>404</v>
      </c>
      <c r="K407" s="384" t="s">
        <v>53</v>
      </c>
      <c r="M407" s="490" t="s">
        <v>431</v>
      </c>
      <c r="N407" s="722">
        <v>64835</v>
      </c>
      <c r="O407" s="459">
        <v>64836</v>
      </c>
      <c r="P407" s="459">
        <v>64864</v>
      </c>
      <c r="Q407" s="432" t="s">
        <v>51</v>
      </c>
    </row>
    <row r="408" spans="1:17">
      <c r="A408" s="377">
        <v>407</v>
      </c>
      <c r="B408" s="432" t="s">
        <v>524</v>
      </c>
      <c r="C408" s="376" t="s">
        <v>44</v>
      </c>
      <c r="D408" s="376" t="s">
        <v>449</v>
      </c>
      <c r="E408" s="376" t="s">
        <v>697</v>
      </c>
      <c r="F408" s="434" t="s">
        <v>548</v>
      </c>
      <c r="G408" s="434">
        <v>9808514385</v>
      </c>
      <c r="I408" s="431">
        <v>28</v>
      </c>
      <c r="J408" s="433" t="s">
        <v>433</v>
      </c>
      <c r="K408" s="384" t="s">
        <v>53</v>
      </c>
      <c r="M408" s="490" t="s">
        <v>431</v>
      </c>
      <c r="N408" s="722">
        <v>64835</v>
      </c>
      <c r="O408" s="459">
        <v>64836</v>
      </c>
      <c r="P408" s="459">
        <v>64864</v>
      </c>
      <c r="Q408" s="432" t="s">
        <v>51</v>
      </c>
    </row>
    <row r="409" spans="1:17">
      <c r="A409" s="377">
        <v>408</v>
      </c>
      <c r="B409" s="432" t="s">
        <v>524</v>
      </c>
      <c r="C409" s="376" t="s">
        <v>44</v>
      </c>
      <c r="D409" s="376" t="s">
        <v>449</v>
      </c>
      <c r="E409" s="376" t="s">
        <v>698</v>
      </c>
      <c r="F409" s="434" t="s">
        <v>397</v>
      </c>
      <c r="G409" s="434">
        <v>9809584581</v>
      </c>
      <c r="I409" s="431">
        <v>25</v>
      </c>
      <c r="J409" s="433" t="s">
        <v>404</v>
      </c>
      <c r="K409" s="384" t="s">
        <v>53</v>
      </c>
      <c r="M409" s="490" t="s">
        <v>431</v>
      </c>
      <c r="N409" s="722">
        <v>64835</v>
      </c>
      <c r="O409" s="459">
        <v>64836</v>
      </c>
      <c r="P409" s="459">
        <v>64864</v>
      </c>
      <c r="Q409" s="432" t="s">
        <v>51</v>
      </c>
    </row>
    <row r="410" spans="1:17">
      <c r="A410" s="377">
        <v>409</v>
      </c>
      <c r="B410" s="432" t="s">
        <v>524</v>
      </c>
      <c r="C410" s="376" t="s">
        <v>44</v>
      </c>
      <c r="D410" s="376" t="s">
        <v>449</v>
      </c>
      <c r="E410" s="376" t="s">
        <v>699</v>
      </c>
      <c r="F410" s="434" t="s">
        <v>502</v>
      </c>
      <c r="G410" s="434">
        <v>9847814565</v>
      </c>
      <c r="I410" s="431">
        <v>25</v>
      </c>
      <c r="J410" s="433" t="s">
        <v>433</v>
      </c>
      <c r="K410" s="384" t="s">
        <v>53</v>
      </c>
      <c r="M410" s="490" t="s">
        <v>431</v>
      </c>
      <c r="N410" s="722">
        <v>64835</v>
      </c>
      <c r="O410" s="459">
        <v>64836</v>
      </c>
      <c r="P410" s="459">
        <v>64864</v>
      </c>
      <c r="Q410" s="432" t="s">
        <v>51</v>
      </c>
    </row>
    <row r="411" spans="1:17">
      <c r="A411" s="377">
        <v>410</v>
      </c>
      <c r="B411" s="432" t="s">
        <v>524</v>
      </c>
      <c r="C411" s="376" t="s">
        <v>44</v>
      </c>
      <c r="D411" s="376" t="s">
        <v>449</v>
      </c>
      <c r="E411" s="376" t="s">
        <v>700</v>
      </c>
      <c r="F411" s="434" t="s">
        <v>636</v>
      </c>
      <c r="G411" s="434">
        <v>9857833465</v>
      </c>
      <c r="I411" s="434">
        <v>35</v>
      </c>
      <c r="J411" s="433" t="s">
        <v>404</v>
      </c>
      <c r="K411" s="384" t="s">
        <v>53</v>
      </c>
      <c r="M411" s="490" t="s">
        <v>431</v>
      </c>
      <c r="N411" s="722">
        <v>64835</v>
      </c>
      <c r="O411" s="459">
        <v>64836</v>
      </c>
      <c r="P411" s="459">
        <v>64864</v>
      </c>
      <c r="Q411" s="432" t="s">
        <v>51</v>
      </c>
    </row>
    <row r="412" spans="1:17" s="335" customFormat="1">
      <c r="A412" s="421">
        <v>411</v>
      </c>
      <c r="B412" s="472" t="s">
        <v>524</v>
      </c>
      <c r="C412" s="445" t="s">
        <v>44</v>
      </c>
      <c r="D412" s="445" t="s">
        <v>449</v>
      </c>
      <c r="E412" s="445" t="s">
        <v>701</v>
      </c>
      <c r="F412" s="474" t="s">
        <v>441</v>
      </c>
      <c r="G412" s="474"/>
      <c r="H412" s="472"/>
      <c r="I412" s="473">
        <v>57</v>
      </c>
      <c r="J412" s="470" t="s">
        <v>404</v>
      </c>
      <c r="K412" s="473" t="s">
        <v>345</v>
      </c>
      <c r="L412" s="474"/>
      <c r="M412" s="474"/>
      <c r="N412" s="729">
        <v>64835</v>
      </c>
      <c r="O412" s="475">
        <v>64836</v>
      </c>
      <c r="P412" s="472"/>
      <c r="Q412" s="472" t="s">
        <v>940</v>
      </c>
    </row>
    <row r="413" spans="1:17">
      <c r="A413" s="377">
        <v>412</v>
      </c>
      <c r="B413" s="432" t="s">
        <v>524</v>
      </c>
      <c r="C413" s="376" t="s">
        <v>44</v>
      </c>
      <c r="D413" s="376" t="s">
        <v>449</v>
      </c>
      <c r="E413" s="376" t="s">
        <v>702</v>
      </c>
      <c r="F413" s="434" t="s">
        <v>441</v>
      </c>
      <c r="I413" s="431">
        <v>30</v>
      </c>
      <c r="J413" s="433" t="s">
        <v>404</v>
      </c>
      <c r="K413" s="431" t="s">
        <v>345</v>
      </c>
      <c r="N413" s="722">
        <v>64835</v>
      </c>
      <c r="O413" s="459">
        <v>64836</v>
      </c>
      <c r="P413" s="459">
        <v>64864</v>
      </c>
      <c r="Q413" s="432" t="s">
        <v>51</v>
      </c>
    </row>
    <row r="414" spans="1:17">
      <c r="A414" s="377">
        <v>413</v>
      </c>
      <c r="B414" s="432" t="s">
        <v>524</v>
      </c>
      <c r="C414" s="376" t="s">
        <v>44</v>
      </c>
      <c r="D414" s="376" t="s">
        <v>449</v>
      </c>
      <c r="E414" s="376" t="s">
        <v>703</v>
      </c>
      <c r="F414" s="431" t="s">
        <v>491</v>
      </c>
      <c r="G414" s="434" t="s">
        <v>704</v>
      </c>
      <c r="I414" s="431">
        <v>31</v>
      </c>
      <c r="J414" s="433" t="s">
        <v>404</v>
      </c>
      <c r="K414" s="431" t="s">
        <v>345</v>
      </c>
      <c r="M414" s="438" t="s">
        <v>705</v>
      </c>
      <c r="N414" s="722">
        <v>64835</v>
      </c>
      <c r="O414" s="459">
        <v>64837</v>
      </c>
      <c r="P414" s="459">
        <v>64847</v>
      </c>
      <c r="Q414" s="432" t="s">
        <v>51</v>
      </c>
    </row>
    <row r="415" spans="1:17">
      <c r="A415" s="377">
        <v>414</v>
      </c>
      <c r="B415" s="432" t="s">
        <v>524</v>
      </c>
      <c r="C415" s="376" t="s">
        <v>44</v>
      </c>
      <c r="D415" s="376" t="s">
        <v>449</v>
      </c>
      <c r="E415" s="376" t="s">
        <v>706</v>
      </c>
      <c r="F415" s="431" t="s">
        <v>502</v>
      </c>
      <c r="I415" s="431">
        <v>38</v>
      </c>
      <c r="J415" s="433" t="s">
        <v>433</v>
      </c>
      <c r="K415" s="431" t="s">
        <v>345</v>
      </c>
      <c r="M415" s="490" t="s">
        <v>431</v>
      </c>
      <c r="N415" s="722">
        <v>64835</v>
      </c>
      <c r="O415" s="459">
        <v>64837</v>
      </c>
      <c r="P415" s="459">
        <v>64864</v>
      </c>
      <c r="Q415" s="432" t="s">
        <v>51</v>
      </c>
    </row>
    <row r="416" spans="1:17">
      <c r="A416" s="377">
        <v>415</v>
      </c>
      <c r="B416" s="432" t="s">
        <v>524</v>
      </c>
      <c r="C416" s="376" t="s">
        <v>44</v>
      </c>
      <c r="D416" s="376" t="s">
        <v>449</v>
      </c>
      <c r="E416" s="376" t="s">
        <v>707</v>
      </c>
      <c r="F416" s="431" t="s">
        <v>415</v>
      </c>
      <c r="I416" s="431">
        <v>8</v>
      </c>
      <c r="J416" s="433" t="s">
        <v>404</v>
      </c>
      <c r="K416" s="431" t="s">
        <v>345</v>
      </c>
      <c r="M416" s="490" t="s">
        <v>431</v>
      </c>
      <c r="N416" s="722">
        <v>64835</v>
      </c>
      <c r="O416" s="459">
        <v>64837</v>
      </c>
      <c r="P416" s="459">
        <v>64864</v>
      </c>
      <c r="Q416" s="432" t="s">
        <v>51</v>
      </c>
    </row>
    <row r="417" spans="1:17">
      <c r="A417" s="377">
        <v>416</v>
      </c>
      <c r="B417" s="432" t="s">
        <v>524</v>
      </c>
      <c r="C417" s="376" t="s">
        <v>44</v>
      </c>
      <c r="D417" s="376" t="s">
        <v>449</v>
      </c>
      <c r="E417" s="376" t="s">
        <v>708</v>
      </c>
      <c r="F417" s="431" t="s">
        <v>502</v>
      </c>
      <c r="G417" s="434">
        <v>9847813495</v>
      </c>
      <c r="I417" s="431">
        <v>38</v>
      </c>
      <c r="J417" s="433" t="s">
        <v>404</v>
      </c>
      <c r="K417" s="431" t="s">
        <v>709</v>
      </c>
      <c r="M417" s="490" t="s">
        <v>431</v>
      </c>
      <c r="N417" s="722">
        <v>64836</v>
      </c>
      <c r="O417" s="459">
        <v>64837</v>
      </c>
      <c r="P417" s="459">
        <v>64864</v>
      </c>
      <c r="Q417" s="432" t="s">
        <v>51</v>
      </c>
    </row>
    <row r="418" spans="1:17">
      <c r="A418" s="377">
        <v>417</v>
      </c>
      <c r="B418" s="432" t="s">
        <v>524</v>
      </c>
      <c r="C418" s="376" t="s">
        <v>44</v>
      </c>
      <c r="D418" s="376" t="s">
        <v>449</v>
      </c>
      <c r="E418" s="376" t="s">
        <v>710</v>
      </c>
      <c r="F418" s="431" t="s">
        <v>510</v>
      </c>
      <c r="G418" s="434">
        <v>9857055345</v>
      </c>
      <c r="I418" s="431">
        <v>40</v>
      </c>
      <c r="J418" s="433" t="s">
        <v>404</v>
      </c>
      <c r="K418" s="431" t="s">
        <v>709</v>
      </c>
      <c r="M418" s="490" t="s">
        <v>431</v>
      </c>
      <c r="N418" s="722">
        <v>64836</v>
      </c>
      <c r="O418" s="459">
        <v>64837</v>
      </c>
      <c r="P418" s="459">
        <v>64864</v>
      </c>
      <c r="Q418" s="432" t="s">
        <v>51</v>
      </c>
    </row>
    <row r="419" spans="1:17">
      <c r="A419" s="377">
        <v>418</v>
      </c>
      <c r="B419" s="432" t="s">
        <v>524</v>
      </c>
      <c r="C419" s="376" t="s">
        <v>44</v>
      </c>
      <c r="D419" s="376" t="s">
        <v>449</v>
      </c>
      <c r="E419" s="376" t="s">
        <v>711</v>
      </c>
      <c r="F419" s="431" t="s">
        <v>510</v>
      </c>
      <c r="G419" s="434">
        <v>9847833449</v>
      </c>
      <c r="I419" s="431">
        <v>35</v>
      </c>
      <c r="J419" s="433" t="s">
        <v>433</v>
      </c>
      <c r="K419" s="431" t="s">
        <v>709</v>
      </c>
      <c r="M419" s="490" t="s">
        <v>431</v>
      </c>
      <c r="N419" s="722">
        <v>64836</v>
      </c>
      <c r="O419" s="459">
        <v>64837</v>
      </c>
      <c r="P419" s="459">
        <v>64864</v>
      </c>
      <c r="Q419" s="432" t="s">
        <v>51</v>
      </c>
    </row>
    <row r="420" spans="1:17">
      <c r="A420" s="377">
        <v>419</v>
      </c>
      <c r="B420" s="432" t="s">
        <v>524</v>
      </c>
      <c r="C420" s="376" t="s">
        <v>44</v>
      </c>
      <c r="D420" s="376" t="s">
        <v>449</v>
      </c>
      <c r="E420" s="376" t="s">
        <v>712</v>
      </c>
      <c r="F420" s="431" t="s">
        <v>124</v>
      </c>
      <c r="G420" s="434">
        <v>9847887288</v>
      </c>
      <c r="I420" s="431">
        <v>29</v>
      </c>
      <c r="J420" s="433" t="s">
        <v>433</v>
      </c>
      <c r="K420" s="431" t="s">
        <v>709</v>
      </c>
      <c r="M420" s="490" t="s">
        <v>431</v>
      </c>
      <c r="N420" s="722">
        <v>64836</v>
      </c>
      <c r="O420" s="459">
        <v>64837</v>
      </c>
      <c r="P420" s="459">
        <v>64864</v>
      </c>
      <c r="Q420" s="432" t="s">
        <v>51</v>
      </c>
    </row>
    <row r="421" spans="1:17">
      <c r="A421" s="377">
        <v>420</v>
      </c>
      <c r="B421" s="432" t="s">
        <v>524</v>
      </c>
      <c r="C421" s="376" t="s">
        <v>44</v>
      </c>
      <c r="D421" s="376" t="s">
        <v>449</v>
      </c>
      <c r="E421" s="376" t="s">
        <v>713</v>
      </c>
      <c r="F421" s="431" t="s">
        <v>502</v>
      </c>
      <c r="G421" s="434">
        <v>9818342672</v>
      </c>
      <c r="I421" s="431">
        <v>29</v>
      </c>
      <c r="J421" s="433" t="s">
        <v>433</v>
      </c>
      <c r="K421" s="431" t="s">
        <v>709</v>
      </c>
      <c r="M421" s="490" t="s">
        <v>431</v>
      </c>
      <c r="N421" s="722">
        <v>64836</v>
      </c>
      <c r="O421" s="459">
        <v>64837</v>
      </c>
      <c r="P421" s="459">
        <v>64864</v>
      </c>
      <c r="Q421" s="432" t="s">
        <v>51</v>
      </c>
    </row>
    <row r="422" spans="1:17">
      <c r="A422" s="377">
        <v>421</v>
      </c>
      <c r="B422" s="432" t="s">
        <v>524</v>
      </c>
      <c r="C422" s="376" t="s">
        <v>44</v>
      </c>
      <c r="D422" s="376" t="s">
        <v>449</v>
      </c>
      <c r="E422" s="376" t="s">
        <v>714</v>
      </c>
      <c r="F422" s="431" t="s">
        <v>502</v>
      </c>
      <c r="G422" s="434">
        <v>9847833936</v>
      </c>
      <c r="I422" s="431">
        <v>38</v>
      </c>
      <c r="J422" s="433" t="s">
        <v>433</v>
      </c>
      <c r="K422" s="431" t="s">
        <v>709</v>
      </c>
      <c r="M422" s="438" t="s">
        <v>705</v>
      </c>
      <c r="N422" s="722">
        <v>64836</v>
      </c>
      <c r="O422" s="459">
        <v>64837</v>
      </c>
      <c r="P422" s="459">
        <v>64864</v>
      </c>
      <c r="Q422" s="432" t="s">
        <v>51</v>
      </c>
    </row>
    <row r="423" spans="1:17">
      <c r="A423" s="377">
        <v>422</v>
      </c>
      <c r="B423" s="432" t="s">
        <v>524</v>
      </c>
      <c r="C423" s="376" t="s">
        <v>44</v>
      </c>
      <c r="D423" s="376" t="s">
        <v>449</v>
      </c>
      <c r="E423" s="376" t="s">
        <v>715</v>
      </c>
      <c r="F423" s="431" t="s">
        <v>451</v>
      </c>
      <c r="G423" s="434">
        <v>9810824351</v>
      </c>
      <c r="I423" s="431">
        <v>27</v>
      </c>
      <c r="J423" s="433" t="s">
        <v>404</v>
      </c>
      <c r="K423" s="431" t="s">
        <v>709</v>
      </c>
      <c r="M423" s="490" t="s">
        <v>431</v>
      </c>
      <c r="N423" s="722">
        <v>64836</v>
      </c>
      <c r="O423" s="459">
        <v>64837</v>
      </c>
      <c r="P423" s="459">
        <v>64864</v>
      </c>
      <c r="Q423" s="432" t="s">
        <v>51</v>
      </c>
    </row>
    <row r="424" spans="1:17">
      <c r="A424" s="377">
        <v>423</v>
      </c>
      <c r="B424" s="432" t="s">
        <v>524</v>
      </c>
      <c r="C424" s="376" t="s">
        <v>44</v>
      </c>
      <c r="D424" s="376" t="s">
        <v>449</v>
      </c>
      <c r="E424" s="376" t="s">
        <v>716</v>
      </c>
      <c r="F424" s="431" t="s">
        <v>695</v>
      </c>
      <c r="I424" s="431">
        <v>22</v>
      </c>
      <c r="J424" s="433" t="s">
        <v>433</v>
      </c>
      <c r="K424" s="431" t="s">
        <v>709</v>
      </c>
      <c r="M424" s="490" t="s">
        <v>431</v>
      </c>
      <c r="N424" s="722">
        <v>64836</v>
      </c>
      <c r="O424" s="459">
        <v>64837</v>
      </c>
      <c r="P424" s="459">
        <v>64864</v>
      </c>
      <c r="Q424" s="432" t="s">
        <v>51</v>
      </c>
    </row>
    <row r="425" spans="1:17">
      <c r="A425" s="377">
        <v>424</v>
      </c>
      <c r="B425" s="432" t="s">
        <v>524</v>
      </c>
      <c r="C425" s="376" t="s">
        <v>44</v>
      </c>
      <c r="D425" s="376" t="s">
        <v>449</v>
      </c>
      <c r="E425" s="376" t="s">
        <v>717</v>
      </c>
      <c r="F425" s="431" t="s">
        <v>491</v>
      </c>
      <c r="G425" s="434">
        <v>9857820036</v>
      </c>
      <c r="I425" s="431">
        <v>41</v>
      </c>
      <c r="J425" s="433" t="s">
        <v>404</v>
      </c>
      <c r="K425" s="431" t="s">
        <v>709</v>
      </c>
      <c r="M425" s="490" t="s">
        <v>431</v>
      </c>
      <c r="N425" s="722">
        <v>64836</v>
      </c>
      <c r="O425" s="459">
        <v>64837</v>
      </c>
      <c r="P425" s="459">
        <v>64864</v>
      </c>
      <c r="Q425" s="432" t="s">
        <v>51</v>
      </c>
    </row>
    <row r="426" spans="1:17">
      <c r="A426" s="377">
        <v>425</v>
      </c>
      <c r="B426" s="432" t="s">
        <v>524</v>
      </c>
      <c r="C426" s="376" t="s">
        <v>44</v>
      </c>
      <c r="D426" s="376" t="s">
        <v>449</v>
      </c>
      <c r="E426" s="376" t="s">
        <v>718</v>
      </c>
      <c r="F426" s="431" t="s">
        <v>491</v>
      </c>
      <c r="G426" s="434">
        <v>9847829132</v>
      </c>
      <c r="I426" s="431">
        <v>33</v>
      </c>
      <c r="J426" s="433" t="s">
        <v>433</v>
      </c>
      <c r="K426" s="431" t="s">
        <v>709</v>
      </c>
      <c r="M426" s="490" t="s">
        <v>431</v>
      </c>
      <c r="N426" s="722">
        <v>64836</v>
      </c>
      <c r="O426" s="459">
        <v>64837</v>
      </c>
      <c r="P426" s="459">
        <v>64864</v>
      </c>
      <c r="Q426" s="432" t="s">
        <v>51</v>
      </c>
    </row>
    <row r="427" spans="1:17">
      <c r="A427" s="377">
        <v>426</v>
      </c>
      <c r="B427" s="432" t="s">
        <v>524</v>
      </c>
      <c r="C427" s="376" t="s">
        <v>44</v>
      </c>
      <c r="D427" s="376" t="s">
        <v>449</v>
      </c>
      <c r="E427" s="376" t="s">
        <v>719</v>
      </c>
      <c r="F427" s="431" t="s">
        <v>548</v>
      </c>
      <c r="G427" s="434">
        <v>9810833664</v>
      </c>
      <c r="I427" s="431">
        <v>35</v>
      </c>
      <c r="J427" s="433" t="s">
        <v>433</v>
      </c>
      <c r="K427" s="431" t="s">
        <v>709</v>
      </c>
      <c r="M427" s="490" t="s">
        <v>431</v>
      </c>
      <c r="N427" s="722">
        <v>64836</v>
      </c>
      <c r="O427" s="459">
        <v>64837</v>
      </c>
      <c r="P427" s="459">
        <v>64864</v>
      </c>
      <c r="Q427" s="432" t="s">
        <v>51</v>
      </c>
    </row>
    <row r="428" spans="1:17">
      <c r="A428" s="377">
        <v>427</v>
      </c>
      <c r="B428" s="432" t="s">
        <v>524</v>
      </c>
      <c r="C428" s="376" t="s">
        <v>44</v>
      </c>
      <c r="D428" s="376" t="s">
        <v>449</v>
      </c>
      <c r="E428" s="376" t="s">
        <v>720</v>
      </c>
      <c r="F428" s="431" t="s">
        <v>491</v>
      </c>
      <c r="G428" s="434" t="s">
        <v>721</v>
      </c>
      <c r="I428" s="431">
        <v>36</v>
      </c>
      <c r="J428" s="433" t="s">
        <v>404</v>
      </c>
      <c r="K428" s="431" t="s">
        <v>709</v>
      </c>
      <c r="M428" s="490" t="s">
        <v>431</v>
      </c>
      <c r="N428" s="722">
        <v>64837</v>
      </c>
      <c r="O428" s="459">
        <v>64838</v>
      </c>
      <c r="P428" s="459">
        <v>64857</v>
      </c>
      <c r="Q428" s="432" t="s">
        <v>51</v>
      </c>
    </row>
    <row r="429" spans="1:17">
      <c r="A429" s="377">
        <v>428</v>
      </c>
      <c r="B429" s="432" t="s">
        <v>524</v>
      </c>
      <c r="C429" s="376" t="s">
        <v>44</v>
      </c>
      <c r="D429" s="376" t="s">
        <v>449</v>
      </c>
      <c r="E429" s="376" t="s">
        <v>722</v>
      </c>
      <c r="F429" s="431" t="s">
        <v>491</v>
      </c>
      <c r="I429" s="431">
        <v>30</v>
      </c>
      <c r="J429" s="433" t="s">
        <v>404</v>
      </c>
      <c r="K429" s="431" t="s">
        <v>709</v>
      </c>
      <c r="M429" s="490" t="s">
        <v>431</v>
      </c>
      <c r="N429" s="722">
        <v>64837</v>
      </c>
      <c r="O429" s="459">
        <v>64838</v>
      </c>
      <c r="P429" s="459">
        <v>64864</v>
      </c>
      <c r="Q429" s="432" t="s">
        <v>51</v>
      </c>
    </row>
    <row r="430" spans="1:17">
      <c r="A430" s="377">
        <v>429</v>
      </c>
      <c r="B430" s="432" t="s">
        <v>524</v>
      </c>
      <c r="C430" s="376" t="s">
        <v>44</v>
      </c>
      <c r="D430" s="376" t="s">
        <v>449</v>
      </c>
      <c r="E430" s="376" t="s">
        <v>723</v>
      </c>
      <c r="F430" s="431" t="s">
        <v>529</v>
      </c>
      <c r="I430" s="431">
        <v>38</v>
      </c>
      <c r="J430" s="433" t="s">
        <v>433</v>
      </c>
      <c r="K430" s="431" t="s">
        <v>709</v>
      </c>
      <c r="M430" s="490" t="s">
        <v>431</v>
      </c>
      <c r="N430" s="722">
        <v>64837</v>
      </c>
      <c r="O430" s="459">
        <v>64838</v>
      </c>
      <c r="P430" s="459">
        <v>64864</v>
      </c>
      <c r="Q430" s="432" t="s">
        <v>51</v>
      </c>
    </row>
    <row r="431" spans="1:17">
      <c r="A431" s="377">
        <v>430</v>
      </c>
      <c r="B431" s="432" t="s">
        <v>524</v>
      </c>
      <c r="C431" s="376" t="s">
        <v>44</v>
      </c>
      <c r="D431" s="376" t="s">
        <v>449</v>
      </c>
      <c r="E431" s="376" t="s">
        <v>724</v>
      </c>
      <c r="F431" s="431" t="s">
        <v>502</v>
      </c>
      <c r="I431" s="431">
        <v>28</v>
      </c>
      <c r="J431" s="433" t="s">
        <v>433</v>
      </c>
      <c r="K431" s="431" t="s">
        <v>709</v>
      </c>
      <c r="M431" s="490" t="s">
        <v>431</v>
      </c>
      <c r="N431" s="722">
        <v>64837</v>
      </c>
      <c r="O431" s="459">
        <v>64838</v>
      </c>
      <c r="P431" s="459">
        <v>64864</v>
      </c>
      <c r="Q431" s="432" t="s">
        <v>51</v>
      </c>
    </row>
    <row r="432" spans="1:17">
      <c r="A432" s="377">
        <v>431</v>
      </c>
      <c r="B432" s="432" t="s">
        <v>524</v>
      </c>
      <c r="C432" s="376" t="s">
        <v>44</v>
      </c>
      <c r="D432" s="376" t="s">
        <v>449</v>
      </c>
      <c r="E432" s="376" t="s">
        <v>725</v>
      </c>
      <c r="F432" s="431" t="s">
        <v>491</v>
      </c>
      <c r="I432" s="431">
        <v>65</v>
      </c>
      <c r="J432" s="433" t="s">
        <v>404</v>
      </c>
      <c r="K432" s="431" t="s">
        <v>709</v>
      </c>
      <c r="M432" s="490" t="s">
        <v>431</v>
      </c>
      <c r="N432" s="722">
        <v>64837</v>
      </c>
      <c r="O432" s="459">
        <v>64838</v>
      </c>
      <c r="P432" s="459">
        <v>64864</v>
      </c>
      <c r="Q432" s="432" t="s">
        <v>51</v>
      </c>
    </row>
    <row r="433" spans="1:17">
      <c r="A433" s="377">
        <v>432</v>
      </c>
      <c r="B433" s="432" t="s">
        <v>524</v>
      </c>
      <c r="C433" s="376" t="s">
        <v>44</v>
      </c>
      <c r="D433" s="376" t="s">
        <v>449</v>
      </c>
      <c r="E433" s="376" t="s">
        <v>726</v>
      </c>
      <c r="F433" s="431" t="s">
        <v>124</v>
      </c>
      <c r="I433" s="431">
        <v>36</v>
      </c>
      <c r="J433" s="433" t="s">
        <v>404</v>
      </c>
      <c r="K433" s="431" t="s">
        <v>709</v>
      </c>
      <c r="M433" s="490" t="s">
        <v>431</v>
      </c>
      <c r="N433" s="722">
        <v>64837</v>
      </c>
      <c r="O433" s="459">
        <v>64838</v>
      </c>
      <c r="P433" s="459">
        <v>64864</v>
      </c>
      <c r="Q433" s="432" t="s">
        <v>51</v>
      </c>
    </row>
    <row r="434" spans="1:17">
      <c r="A434" s="377">
        <v>433</v>
      </c>
      <c r="B434" s="432" t="s">
        <v>524</v>
      </c>
      <c r="C434" s="376" t="s">
        <v>44</v>
      </c>
      <c r="D434" s="376" t="s">
        <v>449</v>
      </c>
      <c r="E434" s="376" t="s">
        <v>727</v>
      </c>
      <c r="F434" s="431" t="s">
        <v>491</v>
      </c>
      <c r="I434" s="431">
        <v>42</v>
      </c>
      <c r="J434" s="433" t="s">
        <v>404</v>
      </c>
      <c r="K434" s="431" t="s">
        <v>709</v>
      </c>
      <c r="M434" s="490" t="s">
        <v>431</v>
      </c>
      <c r="N434" s="722">
        <v>64837</v>
      </c>
      <c r="O434" s="459">
        <v>64838</v>
      </c>
      <c r="P434" s="459">
        <v>64864</v>
      </c>
      <c r="Q434" s="432" t="s">
        <v>51</v>
      </c>
    </row>
    <row r="435" spans="1:17">
      <c r="A435" s="377">
        <v>434</v>
      </c>
      <c r="B435" s="432" t="s">
        <v>524</v>
      </c>
      <c r="C435" s="376" t="s">
        <v>44</v>
      </c>
      <c r="D435" s="376" t="s">
        <v>449</v>
      </c>
      <c r="E435" s="376" t="s">
        <v>728</v>
      </c>
      <c r="F435" s="431" t="s">
        <v>502</v>
      </c>
      <c r="I435" s="431">
        <v>55</v>
      </c>
      <c r="J435" s="433" t="s">
        <v>404</v>
      </c>
      <c r="K435" s="431" t="s">
        <v>709</v>
      </c>
      <c r="M435" s="490" t="s">
        <v>431</v>
      </c>
      <c r="N435" s="722">
        <v>64837</v>
      </c>
      <c r="O435" s="459">
        <v>64838</v>
      </c>
      <c r="P435" s="459">
        <v>64864</v>
      </c>
      <c r="Q435" s="432" t="s">
        <v>51</v>
      </c>
    </row>
    <row r="436" spans="1:17">
      <c r="A436" s="377">
        <v>435</v>
      </c>
      <c r="B436" s="432" t="s">
        <v>524</v>
      </c>
      <c r="C436" s="376" t="s">
        <v>44</v>
      </c>
      <c r="D436" s="376" t="s">
        <v>449</v>
      </c>
      <c r="E436" s="376" t="s">
        <v>729</v>
      </c>
      <c r="F436" s="431" t="s">
        <v>730</v>
      </c>
      <c r="I436" s="431">
        <v>23</v>
      </c>
      <c r="J436" s="433" t="s">
        <v>433</v>
      </c>
      <c r="K436" s="431" t="s">
        <v>709</v>
      </c>
      <c r="M436" s="490" t="s">
        <v>431</v>
      </c>
      <c r="N436" s="722">
        <v>64837</v>
      </c>
      <c r="O436" s="459">
        <v>64838</v>
      </c>
      <c r="P436" s="459">
        <v>64864</v>
      </c>
      <c r="Q436" s="432" t="s">
        <v>51</v>
      </c>
    </row>
    <row r="437" spans="1:17">
      <c r="A437" s="377">
        <v>436</v>
      </c>
      <c r="B437" s="432" t="s">
        <v>524</v>
      </c>
      <c r="C437" s="376" t="s">
        <v>44</v>
      </c>
      <c r="D437" s="376" t="s">
        <v>449</v>
      </c>
      <c r="E437" s="376" t="s">
        <v>731</v>
      </c>
      <c r="F437" s="431" t="s">
        <v>529</v>
      </c>
      <c r="I437" s="431">
        <v>35</v>
      </c>
      <c r="J437" s="433" t="s">
        <v>404</v>
      </c>
      <c r="K437" s="431" t="s">
        <v>709</v>
      </c>
      <c r="M437" s="490" t="s">
        <v>431</v>
      </c>
      <c r="N437" s="722">
        <v>64837</v>
      </c>
      <c r="O437" s="459">
        <v>64838</v>
      </c>
      <c r="P437" s="459">
        <v>64864</v>
      </c>
      <c r="Q437" s="432" t="s">
        <v>51</v>
      </c>
    </row>
    <row r="438" spans="1:17">
      <c r="A438" s="377">
        <v>437</v>
      </c>
      <c r="B438" s="432" t="s">
        <v>524</v>
      </c>
      <c r="C438" s="376" t="s">
        <v>44</v>
      </c>
      <c r="D438" s="376" t="s">
        <v>449</v>
      </c>
      <c r="E438" s="376" t="s">
        <v>732</v>
      </c>
      <c r="F438" s="431" t="s">
        <v>502</v>
      </c>
      <c r="I438" s="431">
        <v>40</v>
      </c>
      <c r="J438" s="433" t="s">
        <v>433</v>
      </c>
      <c r="K438" s="431" t="s">
        <v>709</v>
      </c>
      <c r="M438" s="490" t="s">
        <v>431</v>
      </c>
      <c r="N438" s="722">
        <v>64837</v>
      </c>
      <c r="O438" s="459">
        <v>64838</v>
      </c>
      <c r="P438" s="459">
        <v>64864</v>
      </c>
      <c r="Q438" s="432" t="s">
        <v>51</v>
      </c>
    </row>
    <row r="439" spans="1:17">
      <c r="A439" s="377">
        <v>438</v>
      </c>
      <c r="B439" s="432" t="s">
        <v>524</v>
      </c>
      <c r="C439" s="376" t="s">
        <v>44</v>
      </c>
      <c r="D439" s="376" t="s">
        <v>449</v>
      </c>
      <c r="E439" s="376" t="s">
        <v>733</v>
      </c>
      <c r="F439" s="431" t="s">
        <v>124</v>
      </c>
      <c r="I439" s="431">
        <v>39</v>
      </c>
      <c r="J439" s="433" t="s">
        <v>404</v>
      </c>
      <c r="K439" s="431" t="s">
        <v>709</v>
      </c>
      <c r="M439" s="490" t="s">
        <v>431</v>
      </c>
      <c r="N439" s="722">
        <v>64837</v>
      </c>
      <c r="O439" s="459">
        <v>64838</v>
      </c>
      <c r="P439" s="459">
        <v>64864</v>
      </c>
      <c r="Q439" s="432" t="s">
        <v>51</v>
      </c>
    </row>
    <row r="440" spans="1:17">
      <c r="A440" s="377">
        <v>439</v>
      </c>
      <c r="B440" s="432" t="s">
        <v>524</v>
      </c>
      <c r="C440" s="376" t="s">
        <v>44</v>
      </c>
      <c r="D440" s="376" t="s">
        <v>449</v>
      </c>
      <c r="E440" s="376" t="s">
        <v>734</v>
      </c>
      <c r="F440" s="431" t="s">
        <v>491</v>
      </c>
      <c r="I440" s="431">
        <v>39</v>
      </c>
      <c r="J440" s="433" t="s">
        <v>404</v>
      </c>
      <c r="K440" s="431" t="s">
        <v>709</v>
      </c>
      <c r="M440" s="490" t="s">
        <v>431</v>
      </c>
      <c r="N440" s="722">
        <v>64838</v>
      </c>
      <c r="O440" s="459">
        <v>64839</v>
      </c>
      <c r="P440" s="459">
        <v>64864</v>
      </c>
      <c r="Q440" s="432" t="s">
        <v>51</v>
      </c>
    </row>
    <row r="441" spans="1:17">
      <c r="A441" s="377">
        <v>440</v>
      </c>
      <c r="B441" s="432" t="s">
        <v>524</v>
      </c>
      <c r="C441" s="376" t="s">
        <v>44</v>
      </c>
      <c r="D441" s="376" t="s">
        <v>449</v>
      </c>
      <c r="E441" s="376" t="s">
        <v>735</v>
      </c>
      <c r="F441" s="431" t="s">
        <v>502</v>
      </c>
      <c r="I441" s="431">
        <v>30</v>
      </c>
      <c r="J441" s="433" t="s">
        <v>433</v>
      </c>
      <c r="K441" s="431" t="s">
        <v>709</v>
      </c>
      <c r="M441" s="490" t="s">
        <v>431</v>
      </c>
      <c r="N441" s="722">
        <v>64838</v>
      </c>
      <c r="O441" s="459">
        <v>64839</v>
      </c>
      <c r="P441" s="459">
        <v>64864</v>
      </c>
      <c r="Q441" s="432" t="s">
        <v>51</v>
      </c>
    </row>
    <row r="442" spans="1:17">
      <c r="A442" s="377">
        <v>441</v>
      </c>
      <c r="B442" s="432" t="s">
        <v>524</v>
      </c>
      <c r="C442" s="376" t="s">
        <v>44</v>
      </c>
      <c r="D442" s="376" t="s">
        <v>449</v>
      </c>
      <c r="E442" s="376" t="s">
        <v>700</v>
      </c>
      <c r="F442" s="431" t="s">
        <v>502</v>
      </c>
      <c r="I442" s="431">
        <v>45</v>
      </c>
      <c r="J442" s="433" t="s">
        <v>404</v>
      </c>
      <c r="K442" s="431" t="s">
        <v>709</v>
      </c>
      <c r="M442" s="490" t="s">
        <v>431</v>
      </c>
      <c r="N442" s="722">
        <v>64838</v>
      </c>
      <c r="O442" s="459">
        <v>64839</v>
      </c>
      <c r="P442" s="459">
        <v>64864</v>
      </c>
      <c r="Q442" s="432" t="s">
        <v>51</v>
      </c>
    </row>
    <row r="443" spans="1:17">
      <c r="A443" s="377">
        <v>442</v>
      </c>
      <c r="B443" s="432" t="s">
        <v>524</v>
      </c>
      <c r="C443" s="376" t="s">
        <v>44</v>
      </c>
      <c r="D443" s="376" t="s">
        <v>449</v>
      </c>
      <c r="E443" s="376" t="s">
        <v>736</v>
      </c>
      <c r="F443" s="431" t="s">
        <v>548</v>
      </c>
      <c r="I443" s="431">
        <v>26</v>
      </c>
      <c r="J443" s="433" t="s">
        <v>404</v>
      </c>
      <c r="K443" s="431" t="s">
        <v>709</v>
      </c>
      <c r="M443" s="438" t="s">
        <v>705</v>
      </c>
      <c r="N443" s="722">
        <v>64838</v>
      </c>
      <c r="O443" s="459">
        <v>64839</v>
      </c>
      <c r="P443" s="459">
        <v>64851</v>
      </c>
      <c r="Q443" s="432" t="s">
        <v>51</v>
      </c>
    </row>
    <row r="444" spans="1:17">
      <c r="A444" s="377">
        <v>443</v>
      </c>
      <c r="B444" s="432" t="s">
        <v>524</v>
      </c>
      <c r="C444" s="376" t="s">
        <v>44</v>
      </c>
      <c r="D444" s="376" t="s">
        <v>449</v>
      </c>
      <c r="E444" s="376" t="s">
        <v>737</v>
      </c>
      <c r="F444" s="431" t="s">
        <v>548</v>
      </c>
      <c r="I444" s="431">
        <v>53</v>
      </c>
      <c r="J444" s="433" t="s">
        <v>433</v>
      </c>
      <c r="K444" s="431" t="s">
        <v>709</v>
      </c>
      <c r="M444" s="438" t="s">
        <v>705</v>
      </c>
      <c r="N444" s="722">
        <v>64838</v>
      </c>
      <c r="O444" s="459">
        <v>64839</v>
      </c>
      <c r="P444" s="459">
        <v>64851</v>
      </c>
      <c r="Q444" s="432" t="s">
        <v>51</v>
      </c>
    </row>
    <row r="445" spans="1:17">
      <c r="A445" s="377">
        <v>444</v>
      </c>
      <c r="B445" s="432" t="s">
        <v>524</v>
      </c>
      <c r="C445" s="376" t="s">
        <v>44</v>
      </c>
      <c r="D445" s="376" t="s">
        <v>449</v>
      </c>
      <c r="E445" s="376" t="s">
        <v>738</v>
      </c>
      <c r="F445" s="431" t="s">
        <v>491</v>
      </c>
      <c r="I445" s="431">
        <v>61</v>
      </c>
      <c r="J445" s="433" t="s">
        <v>433</v>
      </c>
      <c r="K445" s="431" t="s">
        <v>709</v>
      </c>
      <c r="M445" s="490" t="s">
        <v>431</v>
      </c>
      <c r="N445" s="722">
        <v>64838</v>
      </c>
      <c r="O445" s="459">
        <v>64839</v>
      </c>
      <c r="P445" s="459">
        <v>64864</v>
      </c>
      <c r="Q445" s="432" t="s">
        <v>51</v>
      </c>
    </row>
    <row r="446" spans="1:17">
      <c r="A446" s="377">
        <v>445</v>
      </c>
      <c r="B446" s="432" t="s">
        <v>524</v>
      </c>
      <c r="C446" s="376" t="s">
        <v>44</v>
      </c>
      <c r="D446" s="376" t="s">
        <v>449</v>
      </c>
      <c r="E446" s="376" t="s">
        <v>1026</v>
      </c>
      <c r="F446" s="431" t="s">
        <v>502</v>
      </c>
      <c r="I446" s="431">
        <v>60</v>
      </c>
      <c r="J446" s="433" t="s">
        <v>404</v>
      </c>
      <c r="K446" s="431" t="s">
        <v>709</v>
      </c>
      <c r="M446" s="490" t="s">
        <v>431</v>
      </c>
      <c r="N446" s="722">
        <v>64838</v>
      </c>
      <c r="O446" s="459">
        <v>64839</v>
      </c>
      <c r="P446" s="459">
        <v>64864</v>
      </c>
      <c r="Q446" s="432" t="s">
        <v>51</v>
      </c>
    </row>
    <row r="447" spans="1:17">
      <c r="A447" s="377">
        <v>446</v>
      </c>
      <c r="B447" s="432" t="s">
        <v>524</v>
      </c>
      <c r="C447" s="376" t="s">
        <v>44</v>
      </c>
      <c r="D447" s="376" t="s">
        <v>449</v>
      </c>
      <c r="E447" s="376" t="s">
        <v>739</v>
      </c>
      <c r="F447" s="431" t="s">
        <v>441</v>
      </c>
      <c r="I447" s="431">
        <v>32</v>
      </c>
      <c r="J447" s="433" t="s">
        <v>404</v>
      </c>
      <c r="K447" s="431" t="s">
        <v>709</v>
      </c>
      <c r="M447" s="490" t="s">
        <v>431</v>
      </c>
      <c r="N447" s="722">
        <v>64838</v>
      </c>
      <c r="O447" s="459">
        <v>64839</v>
      </c>
      <c r="P447" s="459">
        <v>64864</v>
      </c>
      <c r="Q447" s="432" t="s">
        <v>51</v>
      </c>
    </row>
    <row r="448" spans="1:17">
      <c r="A448" s="377">
        <v>447</v>
      </c>
      <c r="B448" s="432" t="s">
        <v>524</v>
      </c>
      <c r="C448" s="376" t="s">
        <v>44</v>
      </c>
      <c r="D448" s="376" t="s">
        <v>449</v>
      </c>
      <c r="E448" s="376" t="s">
        <v>740</v>
      </c>
      <c r="F448" s="431" t="s">
        <v>422</v>
      </c>
      <c r="I448" s="431">
        <v>83</v>
      </c>
      <c r="J448" s="433" t="s">
        <v>433</v>
      </c>
      <c r="K448" s="431" t="s">
        <v>709</v>
      </c>
      <c r="M448" s="438" t="s">
        <v>562</v>
      </c>
      <c r="N448" s="722">
        <v>64838</v>
      </c>
      <c r="O448" s="459">
        <v>64839</v>
      </c>
      <c r="P448" s="459">
        <v>64864</v>
      </c>
      <c r="Q448" s="432" t="s">
        <v>51</v>
      </c>
    </row>
    <row r="449" spans="1:17">
      <c r="A449" s="377">
        <v>448</v>
      </c>
      <c r="B449" s="432" t="s">
        <v>524</v>
      </c>
      <c r="C449" s="376" t="s">
        <v>44</v>
      </c>
      <c r="D449" s="376" t="s">
        <v>449</v>
      </c>
      <c r="E449" s="376" t="s">
        <v>741</v>
      </c>
      <c r="F449" s="431" t="s">
        <v>422</v>
      </c>
      <c r="I449" s="431">
        <v>74</v>
      </c>
      <c r="J449" s="433" t="s">
        <v>404</v>
      </c>
      <c r="K449" s="431" t="s">
        <v>709</v>
      </c>
      <c r="M449" s="438" t="s">
        <v>705</v>
      </c>
      <c r="N449" s="722">
        <v>64838</v>
      </c>
      <c r="O449" s="459">
        <v>64839</v>
      </c>
      <c r="P449" s="459">
        <v>64864</v>
      </c>
      <c r="Q449" s="432" t="s">
        <v>51</v>
      </c>
    </row>
    <row r="450" spans="1:17">
      <c r="A450" s="377">
        <v>449</v>
      </c>
      <c r="B450" s="432" t="s">
        <v>524</v>
      </c>
      <c r="C450" s="376" t="s">
        <v>44</v>
      </c>
      <c r="D450" s="376" t="s">
        <v>449</v>
      </c>
      <c r="E450" s="376" t="s">
        <v>742</v>
      </c>
      <c r="F450" s="431" t="s">
        <v>422</v>
      </c>
      <c r="I450" s="431">
        <v>30</v>
      </c>
      <c r="J450" s="433" t="s">
        <v>404</v>
      </c>
      <c r="K450" s="431" t="s">
        <v>709</v>
      </c>
      <c r="M450" s="490" t="s">
        <v>431</v>
      </c>
      <c r="N450" s="722">
        <v>64838</v>
      </c>
      <c r="O450" s="459">
        <v>64839</v>
      </c>
      <c r="P450" s="459">
        <v>64864</v>
      </c>
      <c r="Q450" s="432" t="s">
        <v>51</v>
      </c>
    </row>
    <row r="451" spans="1:17">
      <c r="A451" s="377">
        <v>450</v>
      </c>
      <c r="B451" s="432" t="s">
        <v>524</v>
      </c>
      <c r="C451" s="376" t="s">
        <v>44</v>
      </c>
      <c r="D451" s="376" t="s">
        <v>449</v>
      </c>
      <c r="E451" s="376" t="s">
        <v>743</v>
      </c>
      <c r="F451" s="431" t="s">
        <v>548</v>
      </c>
      <c r="I451" s="431">
        <v>30</v>
      </c>
      <c r="J451" s="433" t="s">
        <v>404</v>
      </c>
      <c r="K451" s="431" t="s">
        <v>709</v>
      </c>
      <c r="M451" s="490" t="s">
        <v>431</v>
      </c>
      <c r="N451" s="722">
        <v>64838</v>
      </c>
      <c r="O451" s="459">
        <v>64839</v>
      </c>
      <c r="P451" s="459">
        <v>64864</v>
      </c>
      <c r="Q451" s="432" t="s">
        <v>51</v>
      </c>
    </row>
    <row r="452" spans="1:17">
      <c r="A452" s="377">
        <v>451</v>
      </c>
      <c r="B452" s="432" t="s">
        <v>524</v>
      </c>
      <c r="C452" s="376" t="s">
        <v>44</v>
      </c>
      <c r="D452" s="376" t="s">
        <v>449</v>
      </c>
      <c r="E452" s="376" t="s">
        <v>744</v>
      </c>
      <c r="F452" s="431" t="s">
        <v>548</v>
      </c>
      <c r="I452" s="431">
        <v>18</v>
      </c>
      <c r="J452" s="433" t="s">
        <v>404</v>
      </c>
      <c r="K452" s="431" t="s">
        <v>709</v>
      </c>
      <c r="M452" s="490" t="s">
        <v>431</v>
      </c>
      <c r="N452" s="722">
        <v>64838</v>
      </c>
      <c r="O452" s="459">
        <v>64839</v>
      </c>
      <c r="P452" s="459">
        <v>64864</v>
      </c>
      <c r="Q452" s="432" t="s">
        <v>51</v>
      </c>
    </row>
    <row r="453" spans="1:17">
      <c r="A453" s="377">
        <v>452</v>
      </c>
      <c r="B453" s="432" t="s">
        <v>524</v>
      </c>
      <c r="C453" s="376" t="s">
        <v>44</v>
      </c>
      <c r="D453" s="376" t="s">
        <v>449</v>
      </c>
      <c r="E453" s="376" t="s">
        <v>745</v>
      </c>
      <c r="F453" s="431" t="s">
        <v>409</v>
      </c>
      <c r="I453" s="431">
        <v>30</v>
      </c>
      <c r="J453" s="433" t="s">
        <v>433</v>
      </c>
      <c r="K453" s="431" t="s">
        <v>345</v>
      </c>
      <c r="M453" s="490" t="s">
        <v>431</v>
      </c>
      <c r="N453" s="722">
        <v>64837</v>
      </c>
      <c r="O453" s="459">
        <v>64838</v>
      </c>
      <c r="P453" s="459">
        <v>64864</v>
      </c>
      <c r="Q453" s="432" t="s">
        <v>51</v>
      </c>
    </row>
    <row r="454" spans="1:17">
      <c r="A454" s="377">
        <v>453</v>
      </c>
      <c r="B454" s="432" t="s">
        <v>524</v>
      </c>
      <c r="C454" s="376" t="s">
        <v>44</v>
      </c>
      <c r="D454" s="376" t="s">
        <v>449</v>
      </c>
      <c r="E454" s="376" t="s">
        <v>746</v>
      </c>
      <c r="F454" s="431" t="s">
        <v>502</v>
      </c>
      <c r="I454" s="431">
        <v>20</v>
      </c>
      <c r="J454" s="433" t="s">
        <v>404</v>
      </c>
      <c r="K454" s="431" t="s">
        <v>709</v>
      </c>
      <c r="M454" s="490" t="s">
        <v>431</v>
      </c>
      <c r="N454" s="722">
        <v>64840</v>
      </c>
      <c r="O454" s="459">
        <v>64841</v>
      </c>
      <c r="P454" s="459">
        <v>64864</v>
      </c>
      <c r="Q454" s="432" t="s">
        <v>51</v>
      </c>
    </row>
    <row r="455" spans="1:17">
      <c r="A455" s="377">
        <v>454</v>
      </c>
      <c r="B455" s="432" t="s">
        <v>524</v>
      </c>
      <c r="C455" s="376" t="s">
        <v>44</v>
      </c>
      <c r="D455" s="376" t="s">
        <v>449</v>
      </c>
      <c r="E455" s="376" t="s">
        <v>747</v>
      </c>
      <c r="F455" s="431" t="s">
        <v>502</v>
      </c>
      <c r="I455" s="431">
        <v>59</v>
      </c>
      <c r="J455" s="433" t="s">
        <v>404</v>
      </c>
      <c r="K455" s="431" t="s">
        <v>709</v>
      </c>
      <c r="M455" s="490" t="s">
        <v>431</v>
      </c>
      <c r="N455" s="722">
        <v>64840</v>
      </c>
      <c r="O455" s="459">
        <v>64841</v>
      </c>
      <c r="P455" s="459">
        <v>64864</v>
      </c>
      <c r="Q455" s="432" t="s">
        <v>51</v>
      </c>
    </row>
    <row r="456" spans="1:17">
      <c r="A456" s="377">
        <v>455</v>
      </c>
      <c r="B456" s="432" t="s">
        <v>524</v>
      </c>
      <c r="C456" s="376" t="s">
        <v>44</v>
      </c>
      <c r="D456" s="376" t="s">
        <v>449</v>
      </c>
      <c r="E456" s="376" t="s">
        <v>748</v>
      </c>
      <c r="F456" s="431" t="s">
        <v>502</v>
      </c>
      <c r="I456" s="431">
        <v>28</v>
      </c>
      <c r="J456" s="433" t="s">
        <v>433</v>
      </c>
      <c r="K456" s="431" t="s">
        <v>709</v>
      </c>
      <c r="M456" s="490" t="s">
        <v>431</v>
      </c>
      <c r="N456" s="722">
        <v>64840</v>
      </c>
      <c r="O456" s="459">
        <v>64841</v>
      </c>
      <c r="P456" s="459">
        <v>64864</v>
      </c>
      <c r="Q456" s="432" t="s">
        <v>51</v>
      </c>
    </row>
    <row r="457" spans="1:17">
      <c r="A457" s="377">
        <v>456</v>
      </c>
      <c r="B457" s="432" t="s">
        <v>524</v>
      </c>
      <c r="C457" s="376" t="s">
        <v>44</v>
      </c>
      <c r="D457" s="376" t="s">
        <v>449</v>
      </c>
      <c r="E457" s="376" t="s">
        <v>749</v>
      </c>
      <c r="F457" s="431" t="s">
        <v>502</v>
      </c>
      <c r="I457" s="431">
        <v>54</v>
      </c>
      <c r="J457" s="433" t="s">
        <v>433</v>
      </c>
      <c r="K457" s="431" t="s">
        <v>709</v>
      </c>
      <c r="M457" s="490" t="s">
        <v>431</v>
      </c>
      <c r="N457" s="722">
        <v>64840</v>
      </c>
      <c r="O457" s="459">
        <v>64841</v>
      </c>
      <c r="P457" s="459">
        <v>64864</v>
      </c>
      <c r="Q457" s="432" t="s">
        <v>51</v>
      </c>
    </row>
    <row r="458" spans="1:17">
      <c r="A458" s="377">
        <v>457</v>
      </c>
      <c r="B458" s="432" t="s">
        <v>524</v>
      </c>
      <c r="C458" s="376" t="s">
        <v>44</v>
      </c>
      <c r="D458" s="376" t="s">
        <v>449</v>
      </c>
      <c r="E458" s="376" t="s">
        <v>750</v>
      </c>
      <c r="F458" s="431" t="s">
        <v>502</v>
      </c>
      <c r="I458" s="431">
        <v>63</v>
      </c>
      <c r="J458" s="433" t="s">
        <v>433</v>
      </c>
      <c r="K458" s="431" t="s">
        <v>709</v>
      </c>
      <c r="M458" s="490" t="s">
        <v>431</v>
      </c>
      <c r="N458" s="722">
        <v>64840</v>
      </c>
      <c r="O458" s="459">
        <v>64841</v>
      </c>
      <c r="P458" s="459">
        <v>64864</v>
      </c>
      <c r="Q458" s="432" t="s">
        <v>51</v>
      </c>
    </row>
    <row r="459" spans="1:17">
      <c r="A459" s="377">
        <v>458</v>
      </c>
      <c r="B459" s="432" t="s">
        <v>524</v>
      </c>
      <c r="C459" s="376" t="s">
        <v>44</v>
      </c>
      <c r="D459" s="376" t="s">
        <v>449</v>
      </c>
      <c r="E459" s="376" t="s">
        <v>751</v>
      </c>
      <c r="F459" s="431" t="s">
        <v>502</v>
      </c>
      <c r="I459" s="431">
        <v>37</v>
      </c>
      <c r="J459" s="433" t="s">
        <v>404</v>
      </c>
      <c r="K459" s="431" t="s">
        <v>709</v>
      </c>
      <c r="M459" s="490" t="s">
        <v>431</v>
      </c>
      <c r="N459" s="722">
        <v>64840</v>
      </c>
      <c r="O459" s="459">
        <v>64841</v>
      </c>
      <c r="P459" s="459">
        <v>64864</v>
      </c>
      <c r="Q459" s="432" t="s">
        <v>51</v>
      </c>
    </row>
    <row r="460" spans="1:17">
      <c r="A460" s="377">
        <v>459</v>
      </c>
      <c r="B460" s="432" t="s">
        <v>524</v>
      </c>
      <c r="C460" s="376" t="s">
        <v>44</v>
      </c>
      <c r="D460" s="376" t="s">
        <v>449</v>
      </c>
      <c r="E460" s="376" t="s">
        <v>566</v>
      </c>
      <c r="F460" s="431" t="s">
        <v>502</v>
      </c>
      <c r="I460" s="431">
        <v>69</v>
      </c>
      <c r="J460" s="433" t="s">
        <v>404</v>
      </c>
      <c r="K460" s="431" t="s">
        <v>709</v>
      </c>
      <c r="M460" s="438" t="s">
        <v>489</v>
      </c>
      <c r="N460" s="722">
        <v>64840</v>
      </c>
      <c r="O460" s="459">
        <v>64841</v>
      </c>
      <c r="P460" s="459">
        <v>64864</v>
      </c>
      <c r="Q460" s="432" t="s">
        <v>51</v>
      </c>
    </row>
    <row r="461" spans="1:17">
      <c r="A461" s="377">
        <v>460</v>
      </c>
      <c r="B461" s="432" t="s">
        <v>524</v>
      </c>
      <c r="C461" s="376" t="s">
        <v>44</v>
      </c>
      <c r="D461" s="376" t="s">
        <v>449</v>
      </c>
      <c r="E461" s="376" t="s">
        <v>752</v>
      </c>
      <c r="F461" s="431" t="s">
        <v>548</v>
      </c>
      <c r="I461" s="431">
        <v>26</v>
      </c>
      <c r="J461" s="433" t="s">
        <v>404</v>
      </c>
      <c r="K461" s="431" t="s">
        <v>709</v>
      </c>
      <c r="M461" s="490" t="s">
        <v>431</v>
      </c>
      <c r="N461" s="722">
        <v>64840</v>
      </c>
      <c r="O461" s="459">
        <v>64841</v>
      </c>
      <c r="P461" s="459">
        <v>64864</v>
      </c>
      <c r="Q461" s="432" t="s">
        <v>51</v>
      </c>
    </row>
    <row r="462" spans="1:17">
      <c r="A462" s="377">
        <v>461</v>
      </c>
      <c r="B462" s="432" t="s">
        <v>524</v>
      </c>
      <c r="C462" s="376" t="s">
        <v>44</v>
      </c>
      <c r="D462" s="376" t="s">
        <v>449</v>
      </c>
      <c r="E462" s="376" t="s">
        <v>753</v>
      </c>
      <c r="F462" s="431" t="s">
        <v>548</v>
      </c>
      <c r="I462" s="431">
        <v>24</v>
      </c>
      <c r="J462" s="433" t="s">
        <v>404</v>
      </c>
      <c r="K462" s="431" t="s">
        <v>709</v>
      </c>
      <c r="M462" s="490" t="s">
        <v>431</v>
      </c>
      <c r="N462" s="722">
        <v>64840</v>
      </c>
      <c r="O462" s="459">
        <v>64841</v>
      </c>
      <c r="P462" s="459">
        <v>64864</v>
      </c>
      <c r="Q462" s="432" t="s">
        <v>51</v>
      </c>
    </row>
    <row r="463" spans="1:17">
      <c r="A463" s="377">
        <v>462</v>
      </c>
      <c r="B463" s="432" t="s">
        <v>524</v>
      </c>
      <c r="C463" s="376" t="s">
        <v>44</v>
      </c>
      <c r="D463" s="376" t="s">
        <v>449</v>
      </c>
      <c r="E463" s="376" t="s">
        <v>754</v>
      </c>
      <c r="F463" s="431" t="s">
        <v>497</v>
      </c>
      <c r="I463" s="431">
        <v>36</v>
      </c>
      <c r="J463" s="433" t="s">
        <v>433</v>
      </c>
      <c r="K463" s="431" t="s">
        <v>709</v>
      </c>
      <c r="M463" s="490" t="s">
        <v>431</v>
      </c>
      <c r="N463" s="722">
        <v>64840</v>
      </c>
      <c r="O463" s="459">
        <v>64841</v>
      </c>
      <c r="P463" s="459">
        <v>64864</v>
      </c>
      <c r="Q463" s="432" t="s">
        <v>51</v>
      </c>
    </row>
    <row r="464" spans="1:17">
      <c r="A464" s="377">
        <v>463</v>
      </c>
      <c r="B464" s="432" t="s">
        <v>524</v>
      </c>
      <c r="C464" s="376" t="s">
        <v>44</v>
      </c>
      <c r="D464" s="376" t="s">
        <v>449</v>
      </c>
      <c r="E464" s="376" t="s">
        <v>755</v>
      </c>
      <c r="F464" s="431" t="s">
        <v>441</v>
      </c>
      <c r="I464" s="431">
        <v>30</v>
      </c>
      <c r="J464" s="433" t="s">
        <v>404</v>
      </c>
      <c r="K464" s="431" t="s">
        <v>345</v>
      </c>
      <c r="M464" s="438" t="s">
        <v>756</v>
      </c>
      <c r="N464" s="722">
        <v>64840</v>
      </c>
      <c r="O464" s="459">
        <v>64841</v>
      </c>
      <c r="P464" s="459">
        <v>64864</v>
      </c>
      <c r="Q464" s="432" t="s">
        <v>51</v>
      </c>
    </row>
    <row r="465" spans="1:23">
      <c r="A465" s="377">
        <v>464</v>
      </c>
      <c r="B465" s="432" t="s">
        <v>524</v>
      </c>
      <c r="C465" s="376" t="s">
        <v>44</v>
      </c>
      <c r="D465" s="376" t="s">
        <v>449</v>
      </c>
      <c r="E465" s="376" t="s">
        <v>757</v>
      </c>
      <c r="F465" s="431" t="s">
        <v>502</v>
      </c>
      <c r="I465" s="431">
        <v>32</v>
      </c>
      <c r="J465" s="433" t="s">
        <v>404</v>
      </c>
      <c r="K465" s="431" t="s">
        <v>709</v>
      </c>
      <c r="M465" s="490" t="s">
        <v>431</v>
      </c>
      <c r="N465" s="722">
        <v>64841</v>
      </c>
      <c r="O465" s="459">
        <v>64843</v>
      </c>
      <c r="P465" s="459">
        <v>64869</v>
      </c>
      <c r="Q465" s="432" t="s">
        <v>51</v>
      </c>
    </row>
    <row r="466" spans="1:23">
      <c r="A466" s="377">
        <v>465</v>
      </c>
      <c r="B466" s="432" t="s">
        <v>524</v>
      </c>
      <c r="C466" s="376" t="s">
        <v>44</v>
      </c>
      <c r="D466" s="376" t="s">
        <v>449</v>
      </c>
      <c r="E466" s="376" t="s">
        <v>758</v>
      </c>
      <c r="F466" s="431" t="s">
        <v>502</v>
      </c>
      <c r="I466" s="431">
        <v>70</v>
      </c>
      <c r="J466" s="433" t="s">
        <v>404</v>
      </c>
      <c r="K466" s="431" t="s">
        <v>709</v>
      </c>
      <c r="M466" s="490" t="s">
        <v>431</v>
      </c>
      <c r="N466" s="722">
        <v>64841</v>
      </c>
      <c r="O466" s="459">
        <v>64843</v>
      </c>
      <c r="P466" s="459">
        <v>64869</v>
      </c>
      <c r="Q466" s="432" t="s">
        <v>51</v>
      </c>
    </row>
    <row r="467" spans="1:23">
      <c r="A467" s="377">
        <v>466</v>
      </c>
      <c r="B467" s="432" t="s">
        <v>524</v>
      </c>
      <c r="C467" s="376" t="s">
        <v>44</v>
      </c>
      <c r="D467" s="376" t="s">
        <v>449</v>
      </c>
      <c r="E467" s="376" t="s">
        <v>759</v>
      </c>
      <c r="F467" s="431" t="s">
        <v>469</v>
      </c>
      <c r="I467" s="431">
        <v>44</v>
      </c>
      <c r="J467" s="433" t="s">
        <v>404</v>
      </c>
      <c r="K467" s="431" t="s">
        <v>709</v>
      </c>
      <c r="M467" s="490" t="s">
        <v>431</v>
      </c>
      <c r="N467" s="722">
        <v>64841</v>
      </c>
      <c r="O467" s="459">
        <v>64843</v>
      </c>
      <c r="P467" s="459">
        <v>64869</v>
      </c>
      <c r="Q467" s="432" t="s">
        <v>51</v>
      </c>
    </row>
    <row r="468" spans="1:23">
      <c r="A468" s="377">
        <v>467</v>
      </c>
      <c r="B468" s="432" t="s">
        <v>524</v>
      </c>
      <c r="C468" s="376" t="s">
        <v>44</v>
      </c>
      <c r="D468" s="376" t="s">
        <v>449</v>
      </c>
      <c r="E468" s="376" t="s">
        <v>760</v>
      </c>
      <c r="F468" s="431" t="s">
        <v>491</v>
      </c>
      <c r="I468" s="431">
        <v>34</v>
      </c>
      <c r="J468" s="433" t="s">
        <v>404</v>
      </c>
      <c r="K468" s="431" t="s">
        <v>709</v>
      </c>
      <c r="M468" s="490" t="s">
        <v>431</v>
      </c>
      <c r="N468" s="722">
        <v>64841</v>
      </c>
      <c r="O468" s="459">
        <v>64843</v>
      </c>
      <c r="P468" s="459">
        <v>64869</v>
      </c>
      <c r="Q468" s="432" t="s">
        <v>51</v>
      </c>
      <c r="W468" s="332">
        <f ca="1">TODAY()</f>
        <v>44612</v>
      </c>
    </row>
    <row r="469" spans="1:23">
      <c r="A469" s="377">
        <v>468</v>
      </c>
      <c r="B469" s="432" t="s">
        <v>524</v>
      </c>
      <c r="C469" s="376" t="s">
        <v>44</v>
      </c>
      <c r="D469" s="376" t="s">
        <v>449</v>
      </c>
      <c r="E469" s="376" t="s">
        <v>761</v>
      </c>
      <c r="F469" s="431" t="s">
        <v>730</v>
      </c>
      <c r="I469" s="431">
        <v>6</v>
      </c>
      <c r="J469" s="433" t="s">
        <v>433</v>
      </c>
      <c r="K469" s="431" t="s">
        <v>709</v>
      </c>
      <c r="M469" s="490" t="s">
        <v>431</v>
      </c>
      <c r="N469" s="722">
        <v>64841</v>
      </c>
      <c r="O469" s="459">
        <v>64843</v>
      </c>
      <c r="P469" s="459">
        <v>64869</v>
      </c>
      <c r="Q469" s="432" t="s">
        <v>51</v>
      </c>
      <c r="W469" s="332">
        <f ca="1">W468-21</f>
        <v>44591</v>
      </c>
    </row>
    <row r="470" spans="1:23">
      <c r="A470" s="377">
        <v>469</v>
      </c>
      <c r="B470" s="432" t="s">
        <v>524</v>
      </c>
      <c r="C470" s="376" t="s">
        <v>44</v>
      </c>
      <c r="D470" s="376" t="s">
        <v>449</v>
      </c>
      <c r="E470" s="376" t="s">
        <v>762</v>
      </c>
      <c r="F470" s="431" t="s">
        <v>491</v>
      </c>
      <c r="I470" s="431">
        <v>23</v>
      </c>
      <c r="J470" s="433" t="s">
        <v>404</v>
      </c>
      <c r="K470" s="431" t="s">
        <v>709</v>
      </c>
      <c r="M470" s="490" t="s">
        <v>431</v>
      </c>
      <c r="N470" s="722">
        <v>64841</v>
      </c>
      <c r="O470" s="459">
        <v>64843</v>
      </c>
      <c r="P470" s="459">
        <v>64869</v>
      </c>
      <c r="Q470" s="432" t="s">
        <v>51</v>
      </c>
    </row>
    <row r="471" spans="1:23">
      <c r="A471" s="377">
        <v>470</v>
      </c>
      <c r="B471" s="432" t="s">
        <v>524</v>
      </c>
      <c r="C471" s="376" t="s">
        <v>44</v>
      </c>
      <c r="D471" s="376" t="s">
        <v>449</v>
      </c>
      <c r="E471" s="376" t="s">
        <v>763</v>
      </c>
      <c r="F471" s="431" t="s">
        <v>441</v>
      </c>
      <c r="I471" s="431">
        <v>20</v>
      </c>
      <c r="J471" s="433" t="s">
        <v>433</v>
      </c>
      <c r="K471" s="431" t="s">
        <v>709</v>
      </c>
      <c r="M471" s="490" t="s">
        <v>431</v>
      </c>
      <c r="N471" s="722">
        <v>64841</v>
      </c>
      <c r="O471" s="459">
        <v>64843</v>
      </c>
      <c r="P471" s="459">
        <v>64869</v>
      </c>
      <c r="Q471" s="432" t="s">
        <v>51</v>
      </c>
    </row>
    <row r="472" spans="1:23">
      <c r="A472" s="377">
        <v>471</v>
      </c>
      <c r="B472" s="432" t="s">
        <v>524</v>
      </c>
      <c r="C472" s="376" t="s">
        <v>44</v>
      </c>
      <c r="D472" s="376" t="s">
        <v>449</v>
      </c>
      <c r="E472" s="376" t="s">
        <v>764</v>
      </c>
      <c r="F472" s="431" t="s">
        <v>765</v>
      </c>
      <c r="I472" s="431">
        <v>27</v>
      </c>
      <c r="J472" s="433" t="s">
        <v>433</v>
      </c>
      <c r="K472" s="431" t="s">
        <v>709</v>
      </c>
      <c r="M472" s="490" t="s">
        <v>431</v>
      </c>
      <c r="N472" s="722">
        <v>64841</v>
      </c>
      <c r="O472" s="459">
        <v>64843</v>
      </c>
      <c r="P472" s="459">
        <v>64869</v>
      </c>
      <c r="Q472" s="432" t="s">
        <v>51</v>
      </c>
    </row>
    <row r="473" spans="1:23">
      <c r="A473" s="377">
        <v>472</v>
      </c>
      <c r="B473" s="432" t="s">
        <v>524</v>
      </c>
      <c r="C473" s="376" t="s">
        <v>44</v>
      </c>
      <c r="D473" s="376" t="s">
        <v>449</v>
      </c>
      <c r="E473" s="376" t="s">
        <v>766</v>
      </c>
      <c r="F473" s="431" t="s">
        <v>397</v>
      </c>
      <c r="I473" s="431">
        <v>40</v>
      </c>
      <c r="J473" s="433" t="s">
        <v>404</v>
      </c>
      <c r="K473" s="431" t="s">
        <v>709</v>
      </c>
      <c r="M473" s="490" t="s">
        <v>431</v>
      </c>
      <c r="N473" s="722">
        <v>64841</v>
      </c>
      <c r="O473" s="459">
        <v>64843</v>
      </c>
      <c r="P473" s="459">
        <v>64869</v>
      </c>
      <c r="Q473" s="432" t="s">
        <v>51</v>
      </c>
    </row>
    <row r="474" spans="1:23">
      <c r="A474" s="377">
        <v>473</v>
      </c>
      <c r="B474" s="432" t="s">
        <v>524</v>
      </c>
      <c r="C474" s="376" t="s">
        <v>44</v>
      </c>
      <c r="D474" s="376" t="s">
        <v>449</v>
      </c>
      <c r="E474" s="376" t="s">
        <v>767</v>
      </c>
      <c r="F474" s="431" t="s">
        <v>557</v>
      </c>
      <c r="I474" s="431">
        <v>27</v>
      </c>
      <c r="J474" s="433" t="s">
        <v>404</v>
      </c>
      <c r="K474" s="431" t="s">
        <v>709</v>
      </c>
      <c r="M474" s="490" t="s">
        <v>431</v>
      </c>
      <c r="N474" s="722">
        <v>64841</v>
      </c>
      <c r="O474" s="459">
        <v>64843</v>
      </c>
      <c r="P474" s="459">
        <v>64869</v>
      </c>
      <c r="Q474" s="432" t="s">
        <v>51</v>
      </c>
    </row>
    <row r="475" spans="1:23">
      <c r="A475" s="377">
        <v>474</v>
      </c>
      <c r="B475" s="432" t="s">
        <v>524</v>
      </c>
      <c r="C475" s="376" t="s">
        <v>44</v>
      </c>
      <c r="D475" s="376" t="s">
        <v>449</v>
      </c>
      <c r="E475" s="376" t="s">
        <v>768</v>
      </c>
      <c r="F475" s="431" t="s">
        <v>491</v>
      </c>
      <c r="I475" s="431">
        <v>29</v>
      </c>
      <c r="J475" s="433" t="s">
        <v>404</v>
      </c>
      <c r="K475" s="431" t="s">
        <v>709</v>
      </c>
      <c r="M475" s="490" t="s">
        <v>431</v>
      </c>
      <c r="N475" s="722">
        <v>64841</v>
      </c>
      <c r="O475" s="459">
        <v>64843</v>
      </c>
      <c r="P475" s="459">
        <v>64869</v>
      </c>
      <c r="Q475" s="432" t="s">
        <v>51</v>
      </c>
    </row>
    <row r="476" spans="1:23">
      <c r="A476" s="377">
        <v>475</v>
      </c>
      <c r="B476" s="432" t="s">
        <v>524</v>
      </c>
      <c r="C476" s="376" t="s">
        <v>44</v>
      </c>
      <c r="D476" s="376" t="s">
        <v>449</v>
      </c>
      <c r="E476" s="376" t="s">
        <v>769</v>
      </c>
      <c r="F476" s="431" t="s">
        <v>451</v>
      </c>
      <c r="I476" s="431">
        <v>24</v>
      </c>
      <c r="J476" s="433" t="s">
        <v>404</v>
      </c>
      <c r="K476" s="431" t="s">
        <v>709</v>
      </c>
      <c r="M476" s="490" t="s">
        <v>431</v>
      </c>
      <c r="N476" s="722">
        <v>64841</v>
      </c>
      <c r="O476" s="459">
        <v>64843</v>
      </c>
      <c r="P476" s="459">
        <v>64869</v>
      </c>
      <c r="Q476" s="432" t="s">
        <v>51</v>
      </c>
    </row>
    <row r="477" spans="1:23">
      <c r="A477" s="377">
        <v>476</v>
      </c>
      <c r="B477" s="432" t="s">
        <v>524</v>
      </c>
      <c r="C477" s="376" t="s">
        <v>44</v>
      </c>
      <c r="D477" s="376" t="s">
        <v>449</v>
      </c>
      <c r="E477" s="376" t="s">
        <v>770</v>
      </c>
      <c r="F477" s="431" t="s">
        <v>124</v>
      </c>
      <c r="I477" s="431">
        <v>32</v>
      </c>
      <c r="J477" s="433" t="s">
        <v>433</v>
      </c>
      <c r="K477" s="431" t="s">
        <v>709</v>
      </c>
      <c r="M477" s="490" t="s">
        <v>431</v>
      </c>
      <c r="N477" s="722">
        <v>64841</v>
      </c>
      <c r="O477" s="459">
        <v>64843</v>
      </c>
      <c r="P477" s="459">
        <v>64869</v>
      </c>
      <c r="Q477" s="432" t="s">
        <v>51</v>
      </c>
    </row>
    <row r="478" spans="1:23">
      <c r="A478" s="377">
        <v>477</v>
      </c>
      <c r="B478" s="432" t="s">
        <v>524</v>
      </c>
      <c r="C478" s="376" t="s">
        <v>44</v>
      </c>
      <c r="D478" s="376" t="s">
        <v>449</v>
      </c>
      <c r="E478" s="376" t="s">
        <v>777</v>
      </c>
      <c r="F478" s="431" t="s">
        <v>502</v>
      </c>
      <c r="G478" s="434">
        <v>9847855958</v>
      </c>
      <c r="I478" s="431">
        <v>29</v>
      </c>
      <c r="J478" s="433" t="s">
        <v>433</v>
      </c>
      <c r="K478" s="431" t="s">
        <v>709</v>
      </c>
      <c r="M478" s="490" t="s">
        <v>431</v>
      </c>
      <c r="N478" s="730">
        <v>64843</v>
      </c>
      <c r="O478" s="459">
        <v>64844</v>
      </c>
      <c r="P478" s="459">
        <v>64869</v>
      </c>
      <c r="Q478" s="432" t="s">
        <v>51</v>
      </c>
    </row>
    <row r="479" spans="1:23">
      <c r="A479" s="377">
        <v>478</v>
      </c>
      <c r="B479" s="432" t="s">
        <v>524</v>
      </c>
      <c r="C479" s="376" t="s">
        <v>44</v>
      </c>
      <c r="D479" s="376" t="s">
        <v>449</v>
      </c>
      <c r="E479" s="376" t="s">
        <v>778</v>
      </c>
      <c r="F479" s="431" t="s">
        <v>491</v>
      </c>
      <c r="G479" s="434">
        <v>9809811003</v>
      </c>
      <c r="I479" s="431">
        <v>34</v>
      </c>
      <c r="J479" s="433" t="s">
        <v>404</v>
      </c>
      <c r="K479" s="431" t="s">
        <v>709</v>
      </c>
      <c r="M479" s="490" t="s">
        <v>431</v>
      </c>
      <c r="N479" s="730">
        <v>64843</v>
      </c>
      <c r="O479" s="459">
        <v>64844</v>
      </c>
      <c r="P479" s="459">
        <v>64869</v>
      </c>
      <c r="Q479" s="432" t="s">
        <v>51</v>
      </c>
    </row>
    <row r="480" spans="1:23">
      <c r="A480" s="377">
        <v>479</v>
      </c>
      <c r="B480" s="432" t="s">
        <v>524</v>
      </c>
      <c r="C480" s="376" t="s">
        <v>44</v>
      </c>
      <c r="D480" s="376" t="s">
        <v>449</v>
      </c>
      <c r="E480" s="376" t="s">
        <v>779</v>
      </c>
      <c r="F480" s="431" t="s">
        <v>529</v>
      </c>
      <c r="G480" s="434">
        <v>9809782275</v>
      </c>
      <c r="I480" s="431">
        <v>42</v>
      </c>
      <c r="J480" s="433" t="s">
        <v>404</v>
      </c>
      <c r="K480" s="431" t="s">
        <v>709</v>
      </c>
      <c r="M480" s="490" t="s">
        <v>431</v>
      </c>
      <c r="N480" s="730">
        <v>64843</v>
      </c>
      <c r="O480" s="459">
        <v>64844</v>
      </c>
      <c r="P480" s="459">
        <v>64869</v>
      </c>
      <c r="Q480" s="432" t="s">
        <v>51</v>
      </c>
    </row>
    <row r="481" spans="1:17">
      <c r="A481" s="377">
        <v>480</v>
      </c>
      <c r="B481" s="432" t="s">
        <v>524</v>
      </c>
      <c r="C481" s="376" t="s">
        <v>44</v>
      </c>
      <c r="D481" s="376" t="s">
        <v>449</v>
      </c>
      <c r="E481" s="376" t="s">
        <v>780</v>
      </c>
      <c r="F481" s="431" t="s">
        <v>497</v>
      </c>
      <c r="G481" s="434">
        <v>9829593282</v>
      </c>
      <c r="I481" s="431">
        <v>38</v>
      </c>
      <c r="J481" s="433" t="s">
        <v>404</v>
      </c>
      <c r="K481" s="431" t="s">
        <v>709</v>
      </c>
      <c r="M481" s="490" t="s">
        <v>431</v>
      </c>
      <c r="N481" s="730">
        <v>64843</v>
      </c>
      <c r="O481" s="459">
        <v>64844</v>
      </c>
      <c r="P481" s="459">
        <v>64869</v>
      </c>
      <c r="Q481" s="432" t="s">
        <v>51</v>
      </c>
    </row>
    <row r="482" spans="1:17">
      <c r="A482" s="377">
        <v>481</v>
      </c>
      <c r="B482" s="432" t="s">
        <v>524</v>
      </c>
      <c r="C482" s="376" t="s">
        <v>44</v>
      </c>
      <c r="D482" s="376" t="s">
        <v>449</v>
      </c>
      <c r="E482" s="376" t="s">
        <v>781</v>
      </c>
      <c r="F482" s="431" t="s">
        <v>469</v>
      </c>
      <c r="G482" s="434">
        <v>9809500809</v>
      </c>
      <c r="I482" s="431">
        <v>35</v>
      </c>
      <c r="J482" s="433" t="s">
        <v>404</v>
      </c>
      <c r="K482" s="431" t="s">
        <v>709</v>
      </c>
      <c r="M482" s="490" t="s">
        <v>431</v>
      </c>
      <c r="N482" s="730">
        <v>64843</v>
      </c>
      <c r="O482" s="459">
        <v>64844</v>
      </c>
      <c r="P482" s="459">
        <v>64869</v>
      </c>
      <c r="Q482" s="432" t="s">
        <v>51</v>
      </c>
    </row>
    <row r="483" spans="1:17">
      <c r="A483" s="377">
        <v>482</v>
      </c>
      <c r="B483" s="432" t="s">
        <v>524</v>
      </c>
      <c r="C483" s="376" t="s">
        <v>44</v>
      </c>
      <c r="D483" s="376" t="s">
        <v>449</v>
      </c>
      <c r="E483" s="376" t="s">
        <v>782</v>
      </c>
      <c r="F483" s="431" t="s">
        <v>783</v>
      </c>
      <c r="G483" s="434">
        <v>9801191375</v>
      </c>
      <c r="I483" s="431">
        <v>22</v>
      </c>
      <c r="J483" s="433" t="s">
        <v>404</v>
      </c>
      <c r="K483" s="431" t="s">
        <v>709</v>
      </c>
      <c r="M483" s="490" t="s">
        <v>431</v>
      </c>
      <c r="N483" s="730">
        <v>64843</v>
      </c>
      <c r="O483" s="459">
        <v>64844</v>
      </c>
      <c r="P483" s="459">
        <v>64869</v>
      </c>
      <c r="Q483" s="432" t="s">
        <v>51</v>
      </c>
    </row>
    <row r="484" spans="1:17">
      <c r="A484" s="377">
        <v>483</v>
      </c>
      <c r="B484" s="432" t="s">
        <v>524</v>
      </c>
      <c r="C484" s="376" t="s">
        <v>44</v>
      </c>
      <c r="D484" s="376" t="s">
        <v>449</v>
      </c>
      <c r="E484" s="376" t="s">
        <v>784</v>
      </c>
      <c r="F484" s="431" t="s">
        <v>491</v>
      </c>
      <c r="G484" s="434">
        <v>9856031908</v>
      </c>
      <c r="I484" s="431">
        <v>33</v>
      </c>
      <c r="J484" s="433" t="s">
        <v>404</v>
      </c>
      <c r="K484" s="431" t="s">
        <v>709</v>
      </c>
      <c r="M484" s="490" t="s">
        <v>431</v>
      </c>
      <c r="N484" s="730">
        <v>64843</v>
      </c>
      <c r="O484" s="459">
        <v>64844</v>
      </c>
      <c r="P484" s="459">
        <v>64869</v>
      </c>
      <c r="Q484" s="432" t="s">
        <v>51</v>
      </c>
    </row>
    <row r="485" spans="1:17">
      <c r="A485" s="377">
        <v>484</v>
      </c>
      <c r="B485" s="432" t="s">
        <v>524</v>
      </c>
      <c r="C485" s="376" t="s">
        <v>44</v>
      </c>
      <c r="D485" s="376" t="s">
        <v>449</v>
      </c>
      <c r="E485" s="376" t="s">
        <v>785</v>
      </c>
      <c r="F485" s="431" t="s">
        <v>491</v>
      </c>
      <c r="G485" s="434">
        <v>9857821194</v>
      </c>
      <c r="I485" s="431">
        <v>43</v>
      </c>
      <c r="J485" s="433" t="s">
        <v>404</v>
      </c>
      <c r="K485" s="431" t="s">
        <v>709</v>
      </c>
      <c r="M485" s="490" t="s">
        <v>431</v>
      </c>
      <c r="N485" s="730">
        <v>64843</v>
      </c>
      <c r="O485" s="459">
        <v>64844</v>
      </c>
      <c r="P485" s="459">
        <v>64869</v>
      </c>
      <c r="Q485" s="432" t="s">
        <v>51</v>
      </c>
    </row>
    <row r="486" spans="1:17">
      <c r="A486" s="377">
        <v>485</v>
      </c>
      <c r="B486" s="432" t="s">
        <v>524</v>
      </c>
      <c r="C486" s="376" t="s">
        <v>44</v>
      </c>
      <c r="D486" s="376" t="s">
        <v>449</v>
      </c>
      <c r="E486" s="376" t="s">
        <v>786</v>
      </c>
      <c r="F486" s="431" t="s">
        <v>791</v>
      </c>
      <c r="G486" s="434">
        <v>9847835920</v>
      </c>
      <c r="I486" s="431">
        <v>58</v>
      </c>
      <c r="J486" s="433" t="s">
        <v>404</v>
      </c>
      <c r="K486" s="431" t="s">
        <v>709</v>
      </c>
      <c r="M486" s="490" t="s">
        <v>431</v>
      </c>
      <c r="N486" s="730">
        <v>64843</v>
      </c>
      <c r="O486" s="459">
        <v>64844</v>
      </c>
      <c r="P486" s="459">
        <v>64869</v>
      </c>
      <c r="Q486" s="432" t="s">
        <v>51</v>
      </c>
    </row>
    <row r="487" spans="1:17">
      <c r="A487" s="377">
        <v>486</v>
      </c>
      <c r="B487" s="432" t="s">
        <v>524</v>
      </c>
      <c r="C487" s="376" t="s">
        <v>44</v>
      </c>
      <c r="D487" s="376" t="s">
        <v>449</v>
      </c>
      <c r="E487" s="376" t="s">
        <v>787</v>
      </c>
      <c r="F487" s="431" t="s">
        <v>502</v>
      </c>
      <c r="G487" s="434">
        <v>9868040943</v>
      </c>
      <c r="I487" s="431">
        <v>25</v>
      </c>
      <c r="J487" s="433" t="s">
        <v>433</v>
      </c>
      <c r="K487" s="431" t="s">
        <v>709</v>
      </c>
      <c r="M487" s="490" t="s">
        <v>431</v>
      </c>
      <c r="N487" s="730">
        <v>64843</v>
      </c>
      <c r="O487" s="459">
        <v>64844</v>
      </c>
      <c r="P487" s="459">
        <v>64869</v>
      </c>
      <c r="Q487" s="432" t="s">
        <v>51</v>
      </c>
    </row>
    <row r="488" spans="1:17" s="335" customFormat="1">
      <c r="A488" s="421">
        <v>487</v>
      </c>
      <c r="B488" s="472" t="s">
        <v>524</v>
      </c>
      <c r="C488" s="445" t="s">
        <v>44</v>
      </c>
      <c r="D488" s="445" t="s">
        <v>449</v>
      </c>
      <c r="E488" s="445" t="s">
        <v>788</v>
      </c>
      <c r="F488" s="473" t="s">
        <v>502</v>
      </c>
      <c r="G488" s="474">
        <v>9829522518</v>
      </c>
      <c r="H488" s="472"/>
      <c r="I488" s="473">
        <v>20</v>
      </c>
      <c r="J488" s="470" t="s">
        <v>433</v>
      </c>
      <c r="K488" s="473" t="s">
        <v>709</v>
      </c>
      <c r="L488" s="474"/>
      <c r="M488" s="474" t="s">
        <v>431</v>
      </c>
      <c r="N488" s="729">
        <v>64843</v>
      </c>
      <c r="O488" s="475">
        <v>64844</v>
      </c>
      <c r="P488" s="472"/>
      <c r="Q488" s="472" t="s">
        <v>940</v>
      </c>
    </row>
    <row r="489" spans="1:17">
      <c r="A489" s="377">
        <v>488</v>
      </c>
      <c r="B489" s="432" t="s">
        <v>524</v>
      </c>
      <c r="C489" s="376" t="s">
        <v>44</v>
      </c>
      <c r="D489" s="376" t="s">
        <v>449</v>
      </c>
      <c r="E489" s="376" t="s">
        <v>789</v>
      </c>
      <c r="F489" s="431" t="s">
        <v>548</v>
      </c>
      <c r="G489" s="434">
        <v>9812875782</v>
      </c>
      <c r="I489" s="431">
        <v>26</v>
      </c>
      <c r="J489" s="433" t="s">
        <v>404</v>
      </c>
      <c r="K489" s="431" t="s">
        <v>709</v>
      </c>
      <c r="M489" s="490" t="s">
        <v>431</v>
      </c>
      <c r="N489" s="730">
        <v>64843</v>
      </c>
      <c r="O489" s="459">
        <v>64844</v>
      </c>
      <c r="P489" s="459">
        <v>64869</v>
      </c>
      <c r="Q489" s="432" t="s">
        <v>51</v>
      </c>
    </row>
    <row r="490" spans="1:17">
      <c r="A490" s="377">
        <f>A489+1</f>
        <v>489</v>
      </c>
      <c r="B490" s="432" t="s">
        <v>524</v>
      </c>
      <c r="C490" s="376" t="s">
        <v>44</v>
      </c>
      <c r="D490" s="376" t="s">
        <v>449</v>
      </c>
      <c r="E490" s="376" t="s">
        <v>790</v>
      </c>
      <c r="F490" s="431" t="s">
        <v>512</v>
      </c>
      <c r="G490" s="434">
        <v>9857821811</v>
      </c>
      <c r="I490" s="431">
        <v>41</v>
      </c>
      <c r="J490" s="433" t="s">
        <v>404</v>
      </c>
      <c r="K490" s="431" t="s">
        <v>709</v>
      </c>
      <c r="M490" s="490" t="s">
        <v>431</v>
      </c>
      <c r="N490" s="730">
        <v>64843</v>
      </c>
      <c r="O490" s="459">
        <v>64844</v>
      </c>
      <c r="P490" s="459">
        <v>64869</v>
      </c>
      <c r="Q490" s="432" t="s">
        <v>51</v>
      </c>
    </row>
    <row r="491" spans="1:17" ht="18">
      <c r="A491" s="377">
        <f>A490+1</f>
        <v>490</v>
      </c>
      <c r="B491" s="432" t="s">
        <v>524</v>
      </c>
      <c r="C491" s="376" t="s">
        <v>44</v>
      </c>
      <c r="D491" s="376" t="s">
        <v>449</v>
      </c>
      <c r="E491" s="376" t="s">
        <v>867</v>
      </c>
      <c r="F491" s="431" t="s">
        <v>557</v>
      </c>
      <c r="I491" s="431">
        <v>28</v>
      </c>
      <c r="J491" s="433" t="s">
        <v>404</v>
      </c>
      <c r="K491" s="506" t="s">
        <v>818</v>
      </c>
      <c r="M491" s="438" t="s">
        <v>868</v>
      </c>
      <c r="N491" s="730">
        <v>64843</v>
      </c>
      <c r="O491" s="459">
        <v>64844</v>
      </c>
      <c r="P491" s="459">
        <v>64869</v>
      </c>
      <c r="Q491" s="432" t="s">
        <v>51</v>
      </c>
    </row>
    <row r="492" spans="1:17">
      <c r="A492" s="377">
        <f>A491+1</f>
        <v>491</v>
      </c>
      <c r="B492" s="432" t="s">
        <v>524</v>
      </c>
      <c r="C492" s="376" t="s">
        <v>44</v>
      </c>
      <c r="D492" s="376" t="s">
        <v>449</v>
      </c>
      <c r="E492" s="376" t="s">
        <v>792</v>
      </c>
      <c r="F492" s="431" t="s">
        <v>502</v>
      </c>
      <c r="I492" s="431">
        <v>24</v>
      </c>
      <c r="J492" s="433" t="s">
        <v>433</v>
      </c>
      <c r="K492" s="431" t="s">
        <v>709</v>
      </c>
      <c r="M492" s="490" t="s">
        <v>431</v>
      </c>
      <c r="N492" s="730">
        <v>64844</v>
      </c>
      <c r="O492" s="459">
        <v>64848</v>
      </c>
      <c r="P492" s="459">
        <v>64869</v>
      </c>
      <c r="Q492" s="432" t="s">
        <v>51</v>
      </c>
    </row>
    <row r="493" spans="1:17">
      <c r="A493" s="377">
        <f t="shared" ref="A493:A556" si="0">A492+1</f>
        <v>492</v>
      </c>
      <c r="B493" s="432" t="s">
        <v>524</v>
      </c>
      <c r="C493" s="376" t="s">
        <v>44</v>
      </c>
      <c r="D493" s="376" t="s">
        <v>449</v>
      </c>
      <c r="E493" s="376" t="s">
        <v>579</v>
      </c>
      <c r="F493" s="431" t="s">
        <v>441</v>
      </c>
      <c r="I493" s="431">
        <v>28</v>
      </c>
      <c r="J493" s="433" t="s">
        <v>433</v>
      </c>
      <c r="K493" s="431" t="s">
        <v>709</v>
      </c>
      <c r="M493" s="490" t="s">
        <v>431</v>
      </c>
      <c r="N493" s="730">
        <v>64844</v>
      </c>
      <c r="O493" s="459">
        <v>64848</v>
      </c>
      <c r="P493" s="459">
        <v>64869</v>
      </c>
      <c r="Q493" s="432" t="s">
        <v>51</v>
      </c>
    </row>
    <row r="494" spans="1:17">
      <c r="A494" s="377">
        <f t="shared" si="0"/>
        <v>493</v>
      </c>
      <c r="B494" s="432" t="s">
        <v>524</v>
      </c>
      <c r="C494" s="376" t="s">
        <v>44</v>
      </c>
      <c r="D494" s="376" t="s">
        <v>449</v>
      </c>
      <c r="E494" s="376" t="s">
        <v>793</v>
      </c>
      <c r="F494" s="431" t="s">
        <v>502</v>
      </c>
      <c r="I494" s="431">
        <v>23</v>
      </c>
      <c r="J494" s="433" t="s">
        <v>404</v>
      </c>
      <c r="K494" s="431" t="s">
        <v>709</v>
      </c>
      <c r="M494" s="490" t="s">
        <v>431</v>
      </c>
      <c r="N494" s="730">
        <v>64844</v>
      </c>
      <c r="O494" s="459">
        <v>64848</v>
      </c>
      <c r="P494" s="459">
        <v>64857</v>
      </c>
      <c r="Q494" s="432" t="s">
        <v>51</v>
      </c>
    </row>
    <row r="495" spans="1:17">
      <c r="A495" s="377">
        <f t="shared" si="0"/>
        <v>494</v>
      </c>
      <c r="B495" s="432" t="s">
        <v>524</v>
      </c>
      <c r="C495" s="376" t="s">
        <v>44</v>
      </c>
      <c r="D495" s="376" t="s">
        <v>449</v>
      </c>
      <c r="E495" s="376" t="s">
        <v>794</v>
      </c>
      <c r="F495" s="431" t="s">
        <v>502</v>
      </c>
      <c r="I495" s="431">
        <v>21</v>
      </c>
      <c r="J495" s="433" t="s">
        <v>404</v>
      </c>
      <c r="K495" s="431" t="s">
        <v>709</v>
      </c>
      <c r="M495" s="490" t="s">
        <v>431</v>
      </c>
      <c r="N495" s="730">
        <v>64844</v>
      </c>
      <c r="O495" s="459">
        <v>64848</v>
      </c>
      <c r="P495" s="459">
        <v>64869</v>
      </c>
      <c r="Q495" s="432" t="s">
        <v>51</v>
      </c>
    </row>
    <row r="496" spans="1:17">
      <c r="A496" s="377">
        <f t="shared" si="0"/>
        <v>495</v>
      </c>
      <c r="B496" s="432" t="s">
        <v>524</v>
      </c>
      <c r="C496" s="376" t="s">
        <v>44</v>
      </c>
      <c r="D496" s="376" t="s">
        <v>449</v>
      </c>
      <c r="E496" s="376" t="s">
        <v>795</v>
      </c>
      <c r="F496" s="431" t="s">
        <v>491</v>
      </c>
      <c r="I496" s="431">
        <v>27</v>
      </c>
      <c r="J496" s="433" t="s">
        <v>404</v>
      </c>
      <c r="K496" s="431" t="s">
        <v>709</v>
      </c>
      <c r="M496" s="490" t="s">
        <v>431</v>
      </c>
      <c r="N496" s="730">
        <v>64844</v>
      </c>
      <c r="O496" s="459">
        <v>64848</v>
      </c>
      <c r="P496" s="459">
        <v>64869</v>
      </c>
      <c r="Q496" s="432" t="s">
        <v>51</v>
      </c>
    </row>
    <row r="497" spans="1:17">
      <c r="A497" s="377">
        <f t="shared" si="0"/>
        <v>496</v>
      </c>
      <c r="B497" s="432" t="s">
        <v>524</v>
      </c>
      <c r="C497" s="376" t="s">
        <v>44</v>
      </c>
      <c r="D497" s="376" t="s">
        <v>449</v>
      </c>
      <c r="E497" s="376" t="s">
        <v>585</v>
      </c>
      <c r="F497" s="431" t="s">
        <v>491</v>
      </c>
      <c r="I497" s="431">
        <v>18</v>
      </c>
      <c r="J497" s="433" t="s">
        <v>433</v>
      </c>
      <c r="K497" s="431" t="s">
        <v>709</v>
      </c>
      <c r="M497" s="490" t="s">
        <v>431</v>
      </c>
      <c r="N497" s="730">
        <v>64844</v>
      </c>
      <c r="O497" s="459">
        <v>64848</v>
      </c>
      <c r="P497" s="459">
        <v>64869</v>
      </c>
      <c r="Q497" s="432" t="s">
        <v>51</v>
      </c>
    </row>
    <row r="498" spans="1:17">
      <c r="A498" s="377">
        <f t="shared" si="0"/>
        <v>497</v>
      </c>
      <c r="B498" s="432" t="s">
        <v>524</v>
      </c>
      <c r="C498" s="376" t="s">
        <v>44</v>
      </c>
      <c r="D498" s="376" t="s">
        <v>449</v>
      </c>
      <c r="E498" s="376" t="s">
        <v>796</v>
      </c>
      <c r="F498" s="431" t="s">
        <v>491</v>
      </c>
      <c r="I498" s="431">
        <v>27</v>
      </c>
      <c r="J498" s="433" t="s">
        <v>433</v>
      </c>
      <c r="K498" s="431" t="s">
        <v>709</v>
      </c>
      <c r="M498" s="490" t="s">
        <v>431</v>
      </c>
      <c r="N498" s="730">
        <v>64844</v>
      </c>
      <c r="O498" s="459">
        <v>64848</v>
      </c>
      <c r="P498" s="459">
        <v>64869</v>
      </c>
      <c r="Q498" s="432" t="s">
        <v>51</v>
      </c>
    </row>
    <row r="499" spans="1:17">
      <c r="A499" s="377">
        <f t="shared" si="0"/>
        <v>498</v>
      </c>
      <c r="B499" s="432" t="s">
        <v>524</v>
      </c>
      <c r="C499" s="376" t="s">
        <v>44</v>
      </c>
      <c r="D499" s="376" t="s">
        <v>449</v>
      </c>
      <c r="E499" s="376" t="s">
        <v>797</v>
      </c>
      <c r="F499" s="431" t="s">
        <v>469</v>
      </c>
      <c r="I499" s="431">
        <v>53</v>
      </c>
      <c r="J499" s="433" t="s">
        <v>404</v>
      </c>
      <c r="K499" s="431" t="s">
        <v>709</v>
      </c>
      <c r="M499" s="438" t="s">
        <v>705</v>
      </c>
      <c r="N499" s="730">
        <v>64844</v>
      </c>
      <c r="O499" s="459">
        <v>64848</v>
      </c>
      <c r="P499" s="459">
        <v>64869</v>
      </c>
      <c r="Q499" s="432" t="s">
        <v>51</v>
      </c>
    </row>
    <row r="500" spans="1:17">
      <c r="A500" s="377">
        <f t="shared" si="0"/>
        <v>499</v>
      </c>
      <c r="B500" s="432" t="s">
        <v>524</v>
      </c>
      <c r="C500" s="376" t="s">
        <v>44</v>
      </c>
      <c r="D500" s="376" t="s">
        <v>449</v>
      </c>
      <c r="E500" s="376" t="s">
        <v>798</v>
      </c>
      <c r="F500" s="431" t="s">
        <v>497</v>
      </c>
      <c r="I500" s="431">
        <v>30</v>
      </c>
      <c r="J500" s="433" t="s">
        <v>433</v>
      </c>
      <c r="K500" s="431" t="s">
        <v>709</v>
      </c>
      <c r="M500" s="490" t="s">
        <v>431</v>
      </c>
      <c r="N500" s="730">
        <v>64844</v>
      </c>
      <c r="O500" s="459">
        <v>64848</v>
      </c>
      <c r="P500" s="459">
        <v>64869</v>
      </c>
      <c r="Q500" s="432" t="s">
        <v>51</v>
      </c>
    </row>
    <row r="501" spans="1:17">
      <c r="A501" s="377">
        <f t="shared" si="0"/>
        <v>500</v>
      </c>
      <c r="B501" s="432" t="s">
        <v>524</v>
      </c>
      <c r="C501" s="376" t="s">
        <v>44</v>
      </c>
      <c r="D501" s="376" t="s">
        <v>449</v>
      </c>
      <c r="E501" s="376" t="s">
        <v>837</v>
      </c>
      <c r="F501" s="431" t="s">
        <v>491</v>
      </c>
      <c r="I501" s="431">
        <v>27</v>
      </c>
      <c r="J501" s="433" t="s">
        <v>404</v>
      </c>
      <c r="K501" s="431" t="s">
        <v>709</v>
      </c>
      <c r="M501" s="490" t="s">
        <v>431</v>
      </c>
      <c r="N501" s="730">
        <v>64844</v>
      </c>
      <c r="O501" s="459">
        <v>64848</v>
      </c>
      <c r="P501" s="459">
        <v>64869</v>
      </c>
      <c r="Q501" s="432" t="s">
        <v>51</v>
      </c>
    </row>
    <row r="502" spans="1:17">
      <c r="A502" s="377">
        <f t="shared" si="0"/>
        <v>501</v>
      </c>
      <c r="B502" s="432" t="s">
        <v>524</v>
      </c>
      <c r="C502" s="376" t="s">
        <v>44</v>
      </c>
      <c r="D502" s="376" t="s">
        <v>449</v>
      </c>
      <c r="E502" s="376" t="s">
        <v>838</v>
      </c>
      <c r="F502" s="431" t="s">
        <v>502</v>
      </c>
      <c r="I502" s="431">
        <v>45</v>
      </c>
      <c r="J502" s="433" t="s">
        <v>404</v>
      </c>
      <c r="K502" s="431" t="s">
        <v>709</v>
      </c>
      <c r="M502" s="490" t="s">
        <v>431</v>
      </c>
      <c r="N502" s="730">
        <v>64844</v>
      </c>
      <c r="O502" s="459">
        <v>64848</v>
      </c>
      <c r="P502" s="459">
        <v>64869</v>
      </c>
      <c r="Q502" s="432" t="s">
        <v>51</v>
      </c>
    </row>
    <row r="503" spans="1:17">
      <c r="A503" s="377">
        <f t="shared" si="0"/>
        <v>502</v>
      </c>
      <c r="B503" s="432" t="s">
        <v>524</v>
      </c>
      <c r="C503" s="376" t="s">
        <v>44</v>
      </c>
      <c r="D503" s="376" t="s">
        <v>449</v>
      </c>
      <c r="E503" s="376" t="s">
        <v>839</v>
      </c>
      <c r="F503" s="431" t="s">
        <v>502</v>
      </c>
      <c r="I503" s="431">
        <v>26</v>
      </c>
      <c r="J503" s="433" t="s">
        <v>404</v>
      </c>
      <c r="K503" s="431" t="s">
        <v>709</v>
      </c>
      <c r="M503" s="490" t="s">
        <v>431</v>
      </c>
      <c r="N503" s="730">
        <v>64844</v>
      </c>
      <c r="O503" s="459">
        <v>64848</v>
      </c>
      <c r="P503" s="459">
        <v>64869</v>
      </c>
      <c r="Q503" s="432" t="s">
        <v>51</v>
      </c>
    </row>
    <row r="504" spans="1:17">
      <c r="A504" s="377">
        <f t="shared" si="0"/>
        <v>503</v>
      </c>
      <c r="B504" s="432" t="s">
        <v>524</v>
      </c>
      <c r="C504" s="376" t="s">
        <v>44</v>
      </c>
      <c r="D504" s="376" t="s">
        <v>449</v>
      </c>
      <c r="E504" s="376" t="s">
        <v>833</v>
      </c>
      <c r="F504" s="431" t="s">
        <v>548</v>
      </c>
      <c r="I504" s="431">
        <v>39</v>
      </c>
      <c r="J504" s="433" t="s">
        <v>404</v>
      </c>
      <c r="K504" s="431" t="s">
        <v>709</v>
      </c>
      <c r="M504" s="490" t="s">
        <v>431</v>
      </c>
      <c r="N504" s="730">
        <v>64845</v>
      </c>
      <c r="O504" s="459">
        <v>64848</v>
      </c>
      <c r="P504" s="459">
        <v>64869</v>
      </c>
      <c r="Q504" s="432" t="s">
        <v>51</v>
      </c>
    </row>
    <row r="505" spans="1:17">
      <c r="A505" s="377">
        <f t="shared" si="0"/>
        <v>504</v>
      </c>
      <c r="B505" s="432" t="s">
        <v>524</v>
      </c>
      <c r="C505" s="376" t="s">
        <v>44</v>
      </c>
      <c r="D505" s="376" t="s">
        <v>449</v>
      </c>
      <c r="E505" s="376" t="s">
        <v>834</v>
      </c>
      <c r="F505" s="431" t="s">
        <v>497</v>
      </c>
      <c r="I505" s="431">
        <v>25</v>
      </c>
      <c r="J505" s="433" t="s">
        <v>404</v>
      </c>
      <c r="K505" s="431" t="s">
        <v>709</v>
      </c>
      <c r="M505" s="490" t="s">
        <v>431</v>
      </c>
      <c r="N505" s="730">
        <v>64845</v>
      </c>
      <c r="O505" s="459">
        <v>64848</v>
      </c>
      <c r="P505" s="459">
        <v>64869</v>
      </c>
      <c r="Q505" s="432" t="s">
        <v>51</v>
      </c>
    </row>
    <row r="506" spans="1:17">
      <c r="A506" s="377">
        <f t="shared" si="0"/>
        <v>505</v>
      </c>
      <c r="B506" s="432" t="s">
        <v>524</v>
      </c>
      <c r="C506" s="376" t="s">
        <v>44</v>
      </c>
      <c r="D506" s="376" t="s">
        <v>449</v>
      </c>
      <c r="E506" s="376" t="s">
        <v>835</v>
      </c>
      <c r="F506" s="431" t="s">
        <v>497</v>
      </c>
      <c r="I506" s="431">
        <v>53</v>
      </c>
      <c r="J506" s="433" t="s">
        <v>404</v>
      </c>
      <c r="K506" s="431" t="s">
        <v>709</v>
      </c>
      <c r="M506" s="490" t="s">
        <v>431</v>
      </c>
      <c r="N506" s="730">
        <v>64845</v>
      </c>
      <c r="O506" s="459">
        <v>64848</v>
      </c>
      <c r="P506" s="459">
        <v>64869</v>
      </c>
      <c r="Q506" s="432" t="s">
        <v>51</v>
      </c>
    </row>
    <row r="507" spans="1:17">
      <c r="A507" s="377">
        <f t="shared" si="0"/>
        <v>506</v>
      </c>
      <c r="B507" s="432" t="s">
        <v>524</v>
      </c>
      <c r="C507" s="376" t="s">
        <v>44</v>
      </c>
      <c r="D507" s="376" t="s">
        <v>449</v>
      </c>
      <c r="E507" s="376" t="s">
        <v>836</v>
      </c>
      <c r="F507" s="431" t="s">
        <v>557</v>
      </c>
      <c r="I507" s="431">
        <v>35</v>
      </c>
      <c r="J507" s="433" t="s">
        <v>433</v>
      </c>
      <c r="K507" s="431" t="s">
        <v>709</v>
      </c>
      <c r="M507" s="490" t="s">
        <v>431</v>
      </c>
      <c r="N507" s="730">
        <v>64845</v>
      </c>
      <c r="O507" s="459">
        <v>64848</v>
      </c>
      <c r="P507" s="459">
        <v>64869</v>
      </c>
      <c r="Q507" s="432" t="s">
        <v>51</v>
      </c>
    </row>
    <row r="508" spans="1:17">
      <c r="A508" s="377">
        <f t="shared" si="0"/>
        <v>507</v>
      </c>
      <c r="B508" s="432" t="s">
        <v>524</v>
      </c>
      <c r="C508" s="376" t="s">
        <v>44</v>
      </c>
      <c r="D508" s="376" t="s">
        <v>449</v>
      </c>
      <c r="E508" s="376" t="s">
        <v>840</v>
      </c>
      <c r="F508" s="431" t="s">
        <v>502</v>
      </c>
      <c r="G508" s="434">
        <v>9841099567</v>
      </c>
      <c r="I508" s="431">
        <v>31</v>
      </c>
      <c r="J508" s="433" t="s">
        <v>404</v>
      </c>
      <c r="K508" s="431" t="s">
        <v>709</v>
      </c>
      <c r="M508" s="490" t="s">
        <v>431</v>
      </c>
      <c r="N508" s="730">
        <v>64847</v>
      </c>
      <c r="O508" s="459">
        <v>64849</v>
      </c>
      <c r="P508" s="459">
        <v>64869</v>
      </c>
      <c r="Q508" s="432" t="s">
        <v>51</v>
      </c>
    </row>
    <row r="509" spans="1:17">
      <c r="A509" s="377">
        <f t="shared" si="0"/>
        <v>508</v>
      </c>
      <c r="B509" s="432" t="s">
        <v>524</v>
      </c>
      <c r="C509" s="376" t="s">
        <v>44</v>
      </c>
      <c r="D509" s="376" t="s">
        <v>449</v>
      </c>
      <c r="E509" s="376" t="s">
        <v>841</v>
      </c>
      <c r="F509" s="431" t="s">
        <v>491</v>
      </c>
      <c r="G509" s="434">
        <v>9847817086</v>
      </c>
      <c r="I509" s="431">
        <v>30</v>
      </c>
      <c r="J509" s="433" t="s">
        <v>404</v>
      </c>
      <c r="K509" s="431" t="s">
        <v>709</v>
      </c>
      <c r="M509" s="490" t="s">
        <v>431</v>
      </c>
      <c r="N509" s="730">
        <v>64847</v>
      </c>
      <c r="O509" s="459">
        <v>64849</v>
      </c>
      <c r="P509" s="459">
        <v>64869</v>
      </c>
      <c r="Q509" s="432" t="s">
        <v>51</v>
      </c>
    </row>
    <row r="510" spans="1:17">
      <c r="A510" s="377">
        <f t="shared" si="0"/>
        <v>509</v>
      </c>
      <c r="B510" s="432" t="s">
        <v>524</v>
      </c>
      <c r="C510" s="376" t="s">
        <v>44</v>
      </c>
      <c r="D510" s="376" t="s">
        <v>449</v>
      </c>
      <c r="E510" s="376" t="s">
        <v>842</v>
      </c>
      <c r="F510" s="431" t="s">
        <v>791</v>
      </c>
      <c r="G510" s="434">
        <v>9806251602</v>
      </c>
      <c r="I510" s="431">
        <v>22</v>
      </c>
      <c r="J510" s="433" t="s">
        <v>404</v>
      </c>
      <c r="K510" s="431" t="s">
        <v>709</v>
      </c>
      <c r="M510" s="490" t="s">
        <v>431</v>
      </c>
      <c r="N510" s="730">
        <v>64847</v>
      </c>
      <c r="O510" s="459">
        <v>64849</v>
      </c>
      <c r="P510" s="459">
        <v>64869</v>
      </c>
      <c r="Q510" s="432" t="s">
        <v>51</v>
      </c>
    </row>
    <row r="511" spans="1:17">
      <c r="A511" s="377">
        <f t="shared" si="0"/>
        <v>510</v>
      </c>
      <c r="B511" s="432" t="s">
        <v>524</v>
      </c>
      <c r="C511" s="376" t="s">
        <v>44</v>
      </c>
      <c r="D511" s="376" t="s">
        <v>449</v>
      </c>
      <c r="E511" s="376" t="s">
        <v>843</v>
      </c>
      <c r="F511" s="431" t="s">
        <v>469</v>
      </c>
      <c r="G511" s="434">
        <v>9812807540</v>
      </c>
      <c r="I511" s="431">
        <v>48</v>
      </c>
      <c r="J511" s="433" t="s">
        <v>433</v>
      </c>
      <c r="K511" s="431" t="s">
        <v>709</v>
      </c>
      <c r="M511" s="438" t="s">
        <v>489</v>
      </c>
      <c r="N511" s="730">
        <v>64847</v>
      </c>
      <c r="O511" s="459">
        <v>64849</v>
      </c>
      <c r="P511" s="459">
        <v>64869</v>
      </c>
      <c r="Q511" s="432" t="s">
        <v>51</v>
      </c>
    </row>
    <row r="512" spans="1:17">
      <c r="A512" s="377">
        <f t="shared" si="0"/>
        <v>511</v>
      </c>
      <c r="B512" s="432" t="s">
        <v>524</v>
      </c>
      <c r="C512" s="376" t="s">
        <v>44</v>
      </c>
      <c r="D512" s="376" t="s">
        <v>449</v>
      </c>
      <c r="E512" s="376" t="s">
        <v>844</v>
      </c>
      <c r="F512" s="431" t="s">
        <v>469</v>
      </c>
      <c r="I512" s="431">
        <v>20</v>
      </c>
      <c r="J512" s="433" t="s">
        <v>404</v>
      </c>
      <c r="K512" s="431" t="s">
        <v>709</v>
      </c>
      <c r="M512" s="438" t="s">
        <v>489</v>
      </c>
      <c r="N512" s="730">
        <v>64847</v>
      </c>
      <c r="O512" s="459">
        <v>64849</v>
      </c>
      <c r="P512" s="459">
        <v>64869</v>
      </c>
      <c r="Q512" s="432" t="s">
        <v>51</v>
      </c>
    </row>
    <row r="513" spans="1:23">
      <c r="A513" s="377">
        <f t="shared" si="0"/>
        <v>512</v>
      </c>
      <c r="B513" s="432" t="s">
        <v>524</v>
      </c>
      <c r="C513" s="376" t="s">
        <v>44</v>
      </c>
      <c r="D513" s="376" t="s">
        <v>449</v>
      </c>
      <c r="E513" s="376" t="s">
        <v>845</v>
      </c>
      <c r="F513" s="431" t="s">
        <v>502</v>
      </c>
      <c r="G513" s="434">
        <v>984781565</v>
      </c>
      <c r="I513" s="431">
        <v>24</v>
      </c>
      <c r="J513" s="433" t="s">
        <v>433</v>
      </c>
      <c r="K513" s="431" t="s">
        <v>709</v>
      </c>
      <c r="M513" s="490" t="s">
        <v>431</v>
      </c>
      <c r="N513" s="730">
        <v>64847</v>
      </c>
      <c r="O513" s="459">
        <v>64849</v>
      </c>
      <c r="P513" s="459">
        <v>64869</v>
      </c>
      <c r="Q513" s="432" t="s">
        <v>51</v>
      </c>
    </row>
    <row r="514" spans="1:23">
      <c r="A514" s="377">
        <f t="shared" si="0"/>
        <v>513</v>
      </c>
      <c r="B514" s="432" t="s">
        <v>524</v>
      </c>
      <c r="C514" s="376" t="s">
        <v>44</v>
      </c>
      <c r="D514" s="376" t="s">
        <v>449</v>
      </c>
      <c r="E514" s="376" t="s">
        <v>846</v>
      </c>
      <c r="F514" s="431" t="s">
        <v>617</v>
      </c>
      <c r="G514" s="434">
        <v>9857822104</v>
      </c>
      <c r="I514" s="431">
        <v>32</v>
      </c>
      <c r="J514" s="433" t="s">
        <v>404</v>
      </c>
      <c r="K514" s="431" t="s">
        <v>709</v>
      </c>
      <c r="M514" s="490" t="s">
        <v>431</v>
      </c>
      <c r="N514" s="730">
        <v>64847</v>
      </c>
      <c r="O514" s="459">
        <v>64849</v>
      </c>
      <c r="P514" s="459">
        <v>64869</v>
      </c>
      <c r="Q514" s="432" t="s">
        <v>51</v>
      </c>
    </row>
    <row r="515" spans="1:23">
      <c r="A515" s="377">
        <f t="shared" si="0"/>
        <v>514</v>
      </c>
      <c r="B515" s="432" t="s">
        <v>524</v>
      </c>
      <c r="C515" s="376" t="s">
        <v>44</v>
      </c>
      <c r="D515" s="376" t="s">
        <v>449</v>
      </c>
      <c r="E515" s="376" t="s">
        <v>847</v>
      </c>
      <c r="F515" s="431" t="s">
        <v>791</v>
      </c>
      <c r="G515" s="434">
        <v>9844179105</v>
      </c>
      <c r="I515" s="431">
        <v>43</v>
      </c>
      <c r="J515" s="433" t="s">
        <v>404</v>
      </c>
      <c r="K515" s="431" t="s">
        <v>709</v>
      </c>
      <c r="M515" s="438" t="s">
        <v>489</v>
      </c>
      <c r="N515" s="730">
        <v>64847</v>
      </c>
      <c r="O515" s="459">
        <v>64849</v>
      </c>
      <c r="P515" s="459">
        <v>64869</v>
      </c>
      <c r="Q515" s="432" t="s">
        <v>51</v>
      </c>
    </row>
    <row r="516" spans="1:23" s="335" customFormat="1">
      <c r="A516" s="421">
        <f t="shared" si="0"/>
        <v>515</v>
      </c>
      <c r="B516" s="472" t="s">
        <v>524</v>
      </c>
      <c r="C516" s="445" t="s">
        <v>44</v>
      </c>
      <c r="D516" s="445" t="s">
        <v>449</v>
      </c>
      <c r="E516" s="445" t="s">
        <v>848</v>
      </c>
      <c r="F516" s="473" t="s">
        <v>491</v>
      </c>
      <c r="G516" s="474">
        <v>9809581587</v>
      </c>
      <c r="H516" s="472"/>
      <c r="I516" s="473">
        <v>55</v>
      </c>
      <c r="J516" s="470" t="s">
        <v>404</v>
      </c>
      <c r="K516" s="473" t="s">
        <v>709</v>
      </c>
      <c r="L516" s="474"/>
      <c r="M516" s="474" t="s">
        <v>489</v>
      </c>
      <c r="N516" s="729">
        <v>64847</v>
      </c>
      <c r="O516" s="475">
        <v>64849</v>
      </c>
      <c r="P516" s="472"/>
      <c r="Q516" s="472" t="s">
        <v>940</v>
      </c>
    </row>
    <row r="517" spans="1:23">
      <c r="A517" s="377">
        <f t="shared" si="0"/>
        <v>516</v>
      </c>
      <c r="B517" s="432" t="s">
        <v>524</v>
      </c>
      <c r="C517" s="376" t="s">
        <v>44</v>
      </c>
      <c r="D517" s="376" t="s">
        <v>449</v>
      </c>
      <c r="E517" s="376" t="s">
        <v>849</v>
      </c>
      <c r="F517" s="431" t="s">
        <v>491</v>
      </c>
      <c r="G517" s="434">
        <v>9809581587</v>
      </c>
      <c r="I517" s="431">
        <v>47</v>
      </c>
      <c r="J517" s="433" t="s">
        <v>433</v>
      </c>
      <c r="K517" s="431" t="s">
        <v>709</v>
      </c>
      <c r="M517" s="490" t="s">
        <v>431</v>
      </c>
      <c r="N517" s="730">
        <v>64847</v>
      </c>
      <c r="O517" s="459">
        <v>64849</v>
      </c>
      <c r="P517" s="459">
        <v>64869</v>
      </c>
      <c r="Q517" s="432" t="s">
        <v>51</v>
      </c>
    </row>
    <row r="518" spans="1:23">
      <c r="A518" s="377">
        <f t="shared" si="0"/>
        <v>517</v>
      </c>
      <c r="B518" s="432" t="s">
        <v>524</v>
      </c>
      <c r="C518" s="376" t="s">
        <v>44</v>
      </c>
      <c r="D518" s="376" t="s">
        <v>449</v>
      </c>
      <c r="E518" s="376" t="s">
        <v>850</v>
      </c>
      <c r="F518" s="431" t="s">
        <v>491</v>
      </c>
      <c r="G518" s="434">
        <v>9809581587</v>
      </c>
      <c r="I518" s="431">
        <v>25</v>
      </c>
      <c r="J518" s="433" t="s">
        <v>433</v>
      </c>
      <c r="K518" s="431" t="s">
        <v>709</v>
      </c>
      <c r="M518" s="490" t="s">
        <v>431</v>
      </c>
      <c r="N518" s="730">
        <v>64847</v>
      </c>
      <c r="O518" s="459">
        <v>64849</v>
      </c>
      <c r="P518" s="459">
        <v>64869</v>
      </c>
      <c r="Q518" s="432" t="s">
        <v>51</v>
      </c>
    </row>
    <row r="519" spans="1:23">
      <c r="A519" s="377">
        <f t="shared" si="0"/>
        <v>518</v>
      </c>
      <c r="B519" s="432" t="s">
        <v>524</v>
      </c>
      <c r="C519" s="376" t="s">
        <v>44</v>
      </c>
      <c r="D519" s="376" t="s">
        <v>449</v>
      </c>
      <c r="E519" s="376" t="s">
        <v>852</v>
      </c>
      <c r="F519" s="431" t="s">
        <v>441</v>
      </c>
      <c r="G519" s="434">
        <v>9849296413</v>
      </c>
      <c r="I519" s="431">
        <v>30</v>
      </c>
      <c r="J519" s="433" t="s">
        <v>404</v>
      </c>
      <c r="K519" s="431" t="s">
        <v>709</v>
      </c>
      <c r="M519" s="490" t="s">
        <v>431</v>
      </c>
      <c r="N519" s="730">
        <v>64848</v>
      </c>
      <c r="O519" s="459">
        <v>64850</v>
      </c>
      <c r="P519" s="459">
        <v>64871</v>
      </c>
      <c r="Q519" s="432" t="s">
        <v>51</v>
      </c>
    </row>
    <row r="520" spans="1:23">
      <c r="A520" s="377">
        <f t="shared" si="0"/>
        <v>519</v>
      </c>
      <c r="B520" s="432" t="s">
        <v>524</v>
      </c>
      <c r="C520" s="376" t="s">
        <v>44</v>
      </c>
      <c r="D520" s="376" t="s">
        <v>449</v>
      </c>
      <c r="E520" s="376" t="s">
        <v>853</v>
      </c>
      <c r="F520" s="431" t="s">
        <v>491</v>
      </c>
      <c r="G520" s="434">
        <v>9847865775</v>
      </c>
      <c r="I520" s="431">
        <v>38</v>
      </c>
      <c r="J520" s="433" t="s">
        <v>433</v>
      </c>
      <c r="K520" s="431" t="s">
        <v>709</v>
      </c>
      <c r="M520" s="490" t="s">
        <v>431</v>
      </c>
      <c r="N520" s="730">
        <v>64848</v>
      </c>
      <c r="O520" s="459">
        <v>64850</v>
      </c>
      <c r="P520" s="459">
        <v>64871</v>
      </c>
      <c r="Q520" s="432" t="s">
        <v>51</v>
      </c>
    </row>
    <row r="521" spans="1:23">
      <c r="A521" s="377">
        <f t="shared" si="0"/>
        <v>520</v>
      </c>
      <c r="B521" s="432" t="s">
        <v>524</v>
      </c>
      <c r="C521" s="376" t="s">
        <v>44</v>
      </c>
      <c r="D521" s="376" t="s">
        <v>449</v>
      </c>
      <c r="E521" s="376" t="s">
        <v>854</v>
      </c>
      <c r="F521" s="431" t="s">
        <v>730</v>
      </c>
      <c r="G521" s="434">
        <v>9847960418</v>
      </c>
      <c r="I521" s="431">
        <v>54</v>
      </c>
      <c r="J521" s="433" t="s">
        <v>433</v>
      </c>
      <c r="K521" s="431" t="s">
        <v>709</v>
      </c>
      <c r="M521" s="490" t="s">
        <v>431</v>
      </c>
      <c r="N521" s="730">
        <v>64848</v>
      </c>
      <c r="O521" s="459">
        <v>64850</v>
      </c>
      <c r="P521" s="459">
        <v>64871</v>
      </c>
      <c r="Q521" s="432" t="s">
        <v>51</v>
      </c>
      <c r="W521" s="332">
        <f ca="1">TODAY()</f>
        <v>44612</v>
      </c>
    </row>
    <row r="522" spans="1:23">
      <c r="A522" s="377">
        <f t="shared" si="0"/>
        <v>521</v>
      </c>
      <c r="B522" s="432" t="s">
        <v>524</v>
      </c>
      <c r="C522" s="376" t="s">
        <v>44</v>
      </c>
      <c r="D522" s="376" t="s">
        <v>449</v>
      </c>
      <c r="E522" s="376" t="s">
        <v>855</v>
      </c>
      <c r="F522" s="431" t="s">
        <v>436</v>
      </c>
      <c r="G522" s="434">
        <v>9828553126</v>
      </c>
      <c r="I522" s="431">
        <v>47</v>
      </c>
      <c r="J522" s="433" t="s">
        <v>433</v>
      </c>
      <c r="K522" s="431" t="s">
        <v>709</v>
      </c>
      <c r="M522" s="490" t="s">
        <v>431</v>
      </c>
      <c r="N522" s="730">
        <v>64848</v>
      </c>
      <c r="O522" s="459">
        <v>64850</v>
      </c>
      <c r="P522" s="459">
        <v>64871</v>
      </c>
      <c r="Q522" s="432" t="s">
        <v>51</v>
      </c>
      <c r="W522" s="332">
        <f ca="1">W521-21</f>
        <v>44591</v>
      </c>
    </row>
    <row r="523" spans="1:23">
      <c r="A523" s="377">
        <f t="shared" si="0"/>
        <v>522</v>
      </c>
      <c r="B523" s="432" t="s">
        <v>524</v>
      </c>
      <c r="C523" s="376" t="s">
        <v>44</v>
      </c>
      <c r="D523" s="376" t="s">
        <v>449</v>
      </c>
      <c r="E523" s="376" t="s">
        <v>856</v>
      </c>
      <c r="F523" s="431" t="s">
        <v>469</v>
      </c>
      <c r="G523" s="434">
        <v>9847846006</v>
      </c>
      <c r="I523" s="431">
        <v>42</v>
      </c>
      <c r="J523" s="433" t="s">
        <v>404</v>
      </c>
      <c r="K523" s="431" t="s">
        <v>709</v>
      </c>
      <c r="M523" s="490" t="s">
        <v>431</v>
      </c>
      <c r="N523" s="730">
        <v>64848</v>
      </c>
      <c r="O523" s="459">
        <v>64850</v>
      </c>
      <c r="P523" s="459">
        <v>64871</v>
      </c>
      <c r="Q523" s="432" t="s">
        <v>51</v>
      </c>
    </row>
    <row r="524" spans="1:23">
      <c r="A524" s="377">
        <f t="shared" si="0"/>
        <v>523</v>
      </c>
      <c r="B524" s="432" t="s">
        <v>524</v>
      </c>
      <c r="C524" s="376" t="s">
        <v>44</v>
      </c>
      <c r="D524" s="376" t="s">
        <v>449</v>
      </c>
      <c r="E524" s="376" t="s">
        <v>857</v>
      </c>
      <c r="F524" s="431" t="s">
        <v>502</v>
      </c>
      <c r="G524" s="434">
        <v>9841617961</v>
      </c>
      <c r="I524" s="431">
        <v>31</v>
      </c>
      <c r="J524" s="433" t="s">
        <v>404</v>
      </c>
      <c r="K524" s="431" t="s">
        <v>709</v>
      </c>
      <c r="M524" s="490" t="s">
        <v>431</v>
      </c>
      <c r="N524" s="730">
        <v>64848</v>
      </c>
      <c r="O524" s="459">
        <v>64850</v>
      </c>
      <c r="P524" s="459">
        <v>64871</v>
      </c>
      <c r="Q524" s="432" t="s">
        <v>51</v>
      </c>
    </row>
    <row r="525" spans="1:23">
      <c r="A525" s="377">
        <f t="shared" si="0"/>
        <v>524</v>
      </c>
      <c r="B525" s="432" t="s">
        <v>524</v>
      </c>
      <c r="C525" s="376" t="s">
        <v>44</v>
      </c>
      <c r="D525" s="376" t="s">
        <v>449</v>
      </c>
      <c r="E525" s="376" t="s">
        <v>858</v>
      </c>
      <c r="F525" s="431" t="s">
        <v>491</v>
      </c>
      <c r="G525" s="434">
        <v>9847822075</v>
      </c>
      <c r="I525" s="431">
        <v>56</v>
      </c>
      <c r="J525" s="433" t="s">
        <v>404</v>
      </c>
      <c r="K525" s="431" t="s">
        <v>709</v>
      </c>
      <c r="M525" s="490" t="s">
        <v>431</v>
      </c>
      <c r="N525" s="730">
        <v>64848</v>
      </c>
      <c r="O525" s="459">
        <v>64850</v>
      </c>
      <c r="P525" s="459">
        <v>64871</v>
      </c>
      <c r="Q525" s="432" t="s">
        <v>51</v>
      </c>
    </row>
    <row r="526" spans="1:23">
      <c r="A526" s="377">
        <f t="shared" si="0"/>
        <v>525</v>
      </c>
      <c r="B526" s="432" t="s">
        <v>524</v>
      </c>
      <c r="C526" s="376" t="s">
        <v>44</v>
      </c>
      <c r="D526" s="376" t="s">
        <v>449</v>
      </c>
      <c r="E526" s="376" t="s">
        <v>859</v>
      </c>
      <c r="F526" s="431" t="s">
        <v>469</v>
      </c>
      <c r="G526" s="434">
        <v>9843284153</v>
      </c>
      <c r="I526" s="431">
        <v>28</v>
      </c>
      <c r="J526" s="433" t="s">
        <v>404</v>
      </c>
      <c r="K526" s="431" t="s">
        <v>709</v>
      </c>
      <c r="M526" s="490" t="s">
        <v>431</v>
      </c>
      <c r="N526" s="730">
        <v>64848</v>
      </c>
      <c r="O526" s="459">
        <v>64850</v>
      </c>
      <c r="P526" s="459">
        <v>64871</v>
      </c>
      <c r="Q526" s="432" t="s">
        <v>51</v>
      </c>
    </row>
    <row r="527" spans="1:23">
      <c r="A527" s="377">
        <f t="shared" si="0"/>
        <v>526</v>
      </c>
      <c r="B527" s="432" t="s">
        <v>524</v>
      </c>
      <c r="C527" s="376" t="s">
        <v>44</v>
      </c>
      <c r="D527" s="376" t="s">
        <v>449</v>
      </c>
      <c r="E527" s="376" t="s">
        <v>860</v>
      </c>
      <c r="F527" s="431" t="s">
        <v>730</v>
      </c>
      <c r="G527" s="434">
        <v>9843061242</v>
      </c>
      <c r="I527" s="431">
        <v>32</v>
      </c>
      <c r="J527" s="433" t="s">
        <v>433</v>
      </c>
      <c r="K527" s="431" t="s">
        <v>709</v>
      </c>
      <c r="M527" s="490" t="s">
        <v>431</v>
      </c>
      <c r="N527" s="730">
        <v>64848</v>
      </c>
      <c r="O527" s="459">
        <v>64850</v>
      </c>
      <c r="P527" s="459">
        <v>64871</v>
      </c>
      <c r="Q527" s="432" t="s">
        <v>51</v>
      </c>
    </row>
    <row r="528" spans="1:23">
      <c r="A528" s="377">
        <f t="shared" si="0"/>
        <v>527</v>
      </c>
      <c r="B528" s="432" t="s">
        <v>524</v>
      </c>
      <c r="C528" s="376" t="s">
        <v>44</v>
      </c>
      <c r="D528" s="376" t="s">
        <v>449</v>
      </c>
      <c r="E528" s="376" t="s">
        <v>861</v>
      </c>
      <c r="F528" s="431" t="s">
        <v>441</v>
      </c>
      <c r="G528" s="434">
        <v>9857890441</v>
      </c>
      <c r="I528" s="431">
        <v>46</v>
      </c>
      <c r="J528" s="433" t="s">
        <v>404</v>
      </c>
      <c r="K528" s="431" t="s">
        <v>709</v>
      </c>
      <c r="M528" s="490" t="s">
        <v>431</v>
      </c>
      <c r="N528" s="730">
        <v>64848</v>
      </c>
      <c r="O528" s="459">
        <v>64850</v>
      </c>
      <c r="P528" s="459">
        <v>64871</v>
      </c>
      <c r="Q528" s="432" t="s">
        <v>51</v>
      </c>
    </row>
    <row r="529" spans="1:17">
      <c r="A529" s="377">
        <f t="shared" si="0"/>
        <v>528</v>
      </c>
      <c r="B529" s="432" t="s">
        <v>524</v>
      </c>
      <c r="C529" s="376" t="s">
        <v>44</v>
      </c>
      <c r="D529" s="376" t="s">
        <v>449</v>
      </c>
      <c r="E529" s="376" t="s">
        <v>862</v>
      </c>
      <c r="F529" s="431" t="s">
        <v>502</v>
      </c>
      <c r="G529" s="434">
        <v>9829506141</v>
      </c>
      <c r="I529" s="431">
        <v>22</v>
      </c>
      <c r="J529" s="433" t="s">
        <v>433</v>
      </c>
      <c r="K529" s="431" t="s">
        <v>709</v>
      </c>
      <c r="M529" s="490" t="s">
        <v>431</v>
      </c>
      <c r="N529" s="730">
        <v>64848</v>
      </c>
      <c r="O529" s="459">
        <v>64850</v>
      </c>
      <c r="P529" s="459">
        <v>64871</v>
      </c>
      <c r="Q529" s="432" t="s">
        <v>51</v>
      </c>
    </row>
    <row r="530" spans="1:17">
      <c r="A530" s="377">
        <f t="shared" si="0"/>
        <v>529</v>
      </c>
      <c r="B530" s="432" t="s">
        <v>524</v>
      </c>
      <c r="C530" s="376" t="s">
        <v>44</v>
      </c>
      <c r="D530" s="376" t="s">
        <v>449</v>
      </c>
      <c r="E530" s="376" t="s">
        <v>863</v>
      </c>
      <c r="F530" s="431" t="s">
        <v>497</v>
      </c>
      <c r="G530" s="434">
        <v>9809797672</v>
      </c>
      <c r="I530" s="431">
        <v>31</v>
      </c>
      <c r="J530" s="433" t="s">
        <v>404</v>
      </c>
      <c r="K530" s="431" t="s">
        <v>709</v>
      </c>
      <c r="M530" s="490" t="s">
        <v>431</v>
      </c>
      <c r="N530" s="730">
        <v>64848</v>
      </c>
      <c r="O530" s="459">
        <v>64850</v>
      </c>
      <c r="P530" s="459">
        <v>64871</v>
      </c>
      <c r="Q530" s="432" t="s">
        <v>51</v>
      </c>
    </row>
    <row r="531" spans="1:17">
      <c r="A531" s="377">
        <f t="shared" si="0"/>
        <v>530</v>
      </c>
      <c r="B531" s="432" t="s">
        <v>524</v>
      </c>
      <c r="C531" s="376" t="s">
        <v>44</v>
      </c>
      <c r="D531" s="376" t="s">
        <v>449</v>
      </c>
      <c r="E531" s="376" t="s">
        <v>869</v>
      </c>
      <c r="F531" s="431" t="s">
        <v>791</v>
      </c>
      <c r="G531" s="434">
        <v>9857823588</v>
      </c>
      <c r="I531" s="431">
        <v>34</v>
      </c>
      <c r="J531" s="433" t="s">
        <v>404</v>
      </c>
      <c r="K531" s="431" t="s">
        <v>709</v>
      </c>
      <c r="M531" s="490" t="s">
        <v>431</v>
      </c>
      <c r="N531" s="730">
        <v>64849</v>
      </c>
      <c r="O531" s="459">
        <v>64851</v>
      </c>
      <c r="P531" s="459">
        <v>64871</v>
      </c>
      <c r="Q531" s="432" t="s">
        <v>51</v>
      </c>
    </row>
    <row r="532" spans="1:17">
      <c r="A532" s="377">
        <f t="shared" si="0"/>
        <v>531</v>
      </c>
      <c r="B532" s="432" t="s">
        <v>524</v>
      </c>
      <c r="C532" s="376" t="s">
        <v>44</v>
      </c>
      <c r="D532" s="376" t="s">
        <v>449</v>
      </c>
      <c r="E532" s="376" t="s">
        <v>870</v>
      </c>
      <c r="F532" s="431" t="s">
        <v>617</v>
      </c>
      <c r="G532" s="434">
        <v>9841732917</v>
      </c>
      <c r="I532" s="431">
        <v>60</v>
      </c>
      <c r="J532" s="433" t="s">
        <v>433</v>
      </c>
      <c r="K532" s="431" t="s">
        <v>709</v>
      </c>
      <c r="M532" s="490" t="s">
        <v>431</v>
      </c>
      <c r="N532" s="730">
        <v>64849</v>
      </c>
      <c r="O532" s="459">
        <v>64851</v>
      </c>
      <c r="P532" s="459">
        <v>64871</v>
      </c>
      <c r="Q532" s="432" t="s">
        <v>51</v>
      </c>
    </row>
    <row r="533" spans="1:17">
      <c r="A533" s="377">
        <f t="shared" si="0"/>
        <v>532</v>
      </c>
      <c r="B533" s="432" t="s">
        <v>524</v>
      </c>
      <c r="C533" s="376" t="s">
        <v>44</v>
      </c>
      <c r="D533" s="376" t="s">
        <v>449</v>
      </c>
      <c r="E533" s="376" t="s">
        <v>871</v>
      </c>
      <c r="F533" s="431" t="s">
        <v>502</v>
      </c>
      <c r="G533" s="434">
        <v>9851178734</v>
      </c>
      <c r="I533" s="431">
        <v>37</v>
      </c>
      <c r="J533" s="433" t="s">
        <v>433</v>
      </c>
      <c r="K533" s="431" t="s">
        <v>709</v>
      </c>
      <c r="M533" s="490" t="s">
        <v>431</v>
      </c>
      <c r="N533" s="730">
        <v>64849</v>
      </c>
      <c r="O533" s="459">
        <v>64851</v>
      </c>
      <c r="P533" s="459">
        <v>64871</v>
      </c>
      <c r="Q533" s="432" t="s">
        <v>51</v>
      </c>
    </row>
    <row r="534" spans="1:17">
      <c r="A534" s="377">
        <f t="shared" si="0"/>
        <v>533</v>
      </c>
      <c r="B534" s="432" t="s">
        <v>524</v>
      </c>
      <c r="C534" s="376" t="s">
        <v>44</v>
      </c>
      <c r="D534" s="376" t="s">
        <v>449</v>
      </c>
      <c r="E534" s="376" t="s">
        <v>872</v>
      </c>
      <c r="F534" s="431" t="s">
        <v>502</v>
      </c>
      <c r="G534" s="434">
        <v>9857823880</v>
      </c>
      <c r="I534" s="431">
        <v>86</v>
      </c>
      <c r="J534" s="433" t="s">
        <v>404</v>
      </c>
      <c r="K534" s="431" t="s">
        <v>709</v>
      </c>
      <c r="M534" s="490" t="s">
        <v>431</v>
      </c>
      <c r="N534" s="730">
        <v>64849</v>
      </c>
      <c r="O534" s="459">
        <v>64851</v>
      </c>
      <c r="P534" s="459">
        <v>64871</v>
      </c>
      <c r="Q534" s="432" t="s">
        <v>51</v>
      </c>
    </row>
    <row r="535" spans="1:17">
      <c r="A535" s="377">
        <f t="shared" si="0"/>
        <v>534</v>
      </c>
      <c r="B535" s="432" t="s">
        <v>524</v>
      </c>
      <c r="C535" s="376" t="s">
        <v>44</v>
      </c>
      <c r="D535" s="376" t="s">
        <v>449</v>
      </c>
      <c r="E535" s="376" t="s">
        <v>747</v>
      </c>
      <c r="F535" s="431" t="s">
        <v>491</v>
      </c>
      <c r="G535" s="434">
        <v>9812814346</v>
      </c>
      <c r="I535" s="431">
        <v>67</v>
      </c>
      <c r="J535" s="433" t="s">
        <v>404</v>
      </c>
      <c r="K535" s="431" t="s">
        <v>709</v>
      </c>
      <c r="M535" s="490" t="s">
        <v>431</v>
      </c>
      <c r="N535" s="730">
        <v>64849</v>
      </c>
      <c r="O535" s="459">
        <v>64851</v>
      </c>
      <c r="P535" s="459">
        <v>64871</v>
      </c>
      <c r="Q535" s="432" t="s">
        <v>51</v>
      </c>
    </row>
    <row r="536" spans="1:17">
      <c r="A536" s="377">
        <f t="shared" si="0"/>
        <v>535</v>
      </c>
      <c r="B536" s="432" t="s">
        <v>524</v>
      </c>
      <c r="C536" s="376" t="s">
        <v>44</v>
      </c>
      <c r="D536" s="376" t="s">
        <v>449</v>
      </c>
      <c r="E536" s="376" t="s">
        <v>873</v>
      </c>
      <c r="F536" s="431" t="s">
        <v>548</v>
      </c>
      <c r="G536" s="434">
        <v>9841297167</v>
      </c>
      <c r="I536" s="431">
        <v>48</v>
      </c>
      <c r="J536" s="433" t="s">
        <v>404</v>
      </c>
      <c r="K536" s="431" t="s">
        <v>709</v>
      </c>
      <c r="M536" s="490" t="s">
        <v>431</v>
      </c>
      <c r="N536" s="730">
        <v>64849</v>
      </c>
      <c r="O536" s="459">
        <v>64851</v>
      </c>
      <c r="P536" s="459">
        <v>64871</v>
      </c>
      <c r="Q536" s="432" t="s">
        <v>51</v>
      </c>
    </row>
    <row r="537" spans="1:17">
      <c r="A537" s="377">
        <f t="shared" si="0"/>
        <v>536</v>
      </c>
      <c r="B537" s="432" t="s">
        <v>524</v>
      </c>
      <c r="C537" s="376" t="s">
        <v>44</v>
      </c>
      <c r="D537" s="376" t="s">
        <v>449</v>
      </c>
      <c r="E537" s="376" t="s">
        <v>874</v>
      </c>
      <c r="F537" s="431" t="s">
        <v>502</v>
      </c>
      <c r="G537" s="434">
        <v>9844988338</v>
      </c>
      <c r="I537" s="431">
        <v>32</v>
      </c>
      <c r="J537" s="433" t="s">
        <v>404</v>
      </c>
      <c r="K537" s="431" t="s">
        <v>709</v>
      </c>
      <c r="M537" s="490" t="s">
        <v>431</v>
      </c>
      <c r="N537" s="730">
        <v>64849</v>
      </c>
      <c r="O537" s="459">
        <v>64851</v>
      </c>
      <c r="P537" s="459">
        <v>64871</v>
      </c>
      <c r="Q537" s="432" t="s">
        <v>51</v>
      </c>
    </row>
    <row r="538" spans="1:17">
      <c r="A538" s="377">
        <f t="shared" si="0"/>
        <v>537</v>
      </c>
      <c r="B538" s="432" t="s">
        <v>524</v>
      </c>
      <c r="C538" s="376" t="s">
        <v>44</v>
      </c>
      <c r="D538" s="376" t="s">
        <v>449</v>
      </c>
      <c r="E538" s="376" t="s">
        <v>875</v>
      </c>
      <c r="F538" s="431" t="s">
        <v>502</v>
      </c>
      <c r="G538" s="434">
        <v>9849199122</v>
      </c>
      <c r="I538" s="431">
        <v>31</v>
      </c>
      <c r="J538" s="433" t="s">
        <v>404</v>
      </c>
      <c r="K538" s="431" t="s">
        <v>709</v>
      </c>
      <c r="M538" s="490" t="s">
        <v>431</v>
      </c>
      <c r="N538" s="730">
        <v>64849</v>
      </c>
      <c r="O538" s="459">
        <v>64851</v>
      </c>
      <c r="P538" s="459">
        <v>64871</v>
      </c>
      <c r="Q538" s="432" t="s">
        <v>51</v>
      </c>
    </row>
    <row r="539" spans="1:17">
      <c r="A539" s="377">
        <f t="shared" si="0"/>
        <v>538</v>
      </c>
      <c r="B539" s="432" t="s">
        <v>524</v>
      </c>
      <c r="C539" s="376" t="s">
        <v>44</v>
      </c>
      <c r="D539" s="376" t="s">
        <v>449</v>
      </c>
      <c r="E539" s="376" t="s">
        <v>876</v>
      </c>
      <c r="F539" s="431" t="s">
        <v>491</v>
      </c>
      <c r="G539" s="434">
        <v>9869474988</v>
      </c>
      <c r="I539" s="431">
        <v>38</v>
      </c>
      <c r="J539" s="433" t="s">
        <v>404</v>
      </c>
      <c r="K539" s="431" t="s">
        <v>709</v>
      </c>
      <c r="M539" s="490" t="s">
        <v>431</v>
      </c>
      <c r="N539" s="730">
        <v>64849</v>
      </c>
      <c r="O539" s="459">
        <v>64851</v>
      </c>
      <c r="P539" s="459">
        <v>64871</v>
      </c>
      <c r="Q539" s="432" t="s">
        <v>51</v>
      </c>
    </row>
    <row r="540" spans="1:17">
      <c r="A540" s="377">
        <f t="shared" si="0"/>
        <v>539</v>
      </c>
      <c r="B540" s="432" t="s">
        <v>524</v>
      </c>
      <c r="C540" s="376" t="s">
        <v>44</v>
      </c>
      <c r="D540" s="376" t="s">
        <v>449</v>
      </c>
      <c r="E540" s="376" t="s">
        <v>877</v>
      </c>
      <c r="F540" s="431" t="s">
        <v>512</v>
      </c>
      <c r="G540" s="434">
        <v>9848753034</v>
      </c>
      <c r="I540" s="431">
        <v>25</v>
      </c>
      <c r="J540" s="433" t="s">
        <v>404</v>
      </c>
      <c r="K540" s="431" t="s">
        <v>709</v>
      </c>
      <c r="M540" s="490" t="s">
        <v>431</v>
      </c>
      <c r="N540" s="730">
        <v>64849</v>
      </c>
      <c r="O540" s="459">
        <v>64851</v>
      </c>
      <c r="P540" s="459">
        <v>64871</v>
      </c>
      <c r="Q540" s="432" t="s">
        <v>51</v>
      </c>
    </row>
    <row r="541" spans="1:17">
      <c r="A541" s="377">
        <f t="shared" si="0"/>
        <v>540</v>
      </c>
      <c r="B541" s="432" t="s">
        <v>524</v>
      </c>
      <c r="C541" s="376" t="s">
        <v>44</v>
      </c>
      <c r="D541" s="376" t="s">
        <v>449</v>
      </c>
      <c r="E541" s="376" t="s">
        <v>878</v>
      </c>
      <c r="F541" s="431" t="s">
        <v>548</v>
      </c>
      <c r="G541" s="434">
        <v>9848013667</v>
      </c>
      <c r="I541" s="431">
        <v>45</v>
      </c>
      <c r="J541" s="433" t="s">
        <v>404</v>
      </c>
      <c r="K541" s="431" t="s">
        <v>709</v>
      </c>
      <c r="M541" s="490" t="s">
        <v>431</v>
      </c>
      <c r="N541" s="730">
        <v>64849</v>
      </c>
      <c r="O541" s="459">
        <v>64851</v>
      </c>
      <c r="P541" s="459">
        <v>64871</v>
      </c>
      <c r="Q541" s="432" t="s">
        <v>51</v>
      </c>
    </row>
    <row r="542" spans="1:17">
      <c r="A542" s="377">
        <f t="shared" si="0"/>
        <v>541</v>
      </c>
      <c r="B542" s="432" t="s">
        <v>524</v>
      </c>
      <c r="C542" s="376" t="s">
        <v>44</v>
      </c>
      <c r="D542" s="376" t="s">
        <v>449</v>
      </c>
      <c r="E542" s="376" t="s">
        <v>879</v>
      </c>
      <c r="F542" s="431" t="s">
        <v>730</v>
      </c>
      <c r="G542" s="434">
        <v>9822975119</v>
      </c>
      <c r="I542" s="431">
        <v>66</v>
      </c>
      <c r="J542" s="433" t="s">
        <v>433</v>
      </c>
      <c r="K542" s="431" t="s">
        <v>709</v>
      </c>
      <c r="M542" s="490" t="s">
        <v>431</v>
      </c>
      <c r="N542" s="730">
        <v>64849</v>
      </c>
      <c r="O542" s="459">
        <v>64851</v>
      </c>
      <c r="P542" s="459">
        <v>64871</v>
      </c>
      <c r="Q542" s="432" t="s">
        <v>51</v>
      </c>
    </row>
    <row r="543" spans="1:17">
      <c r="A543" s="377">
        <f t="shared" si="0"/>
        <v>542</v>
      </c>
      <c r="B543" s="432" t="s">
        <v>524</v>
      </c>
      <c r="C543" s="376" t="s">
        <v>44</v>
      </c>
      <c r="D543" s="376" t="s">
        <v>449</v>
      </c>
      <c r="E543" s="376" t="s">
        <v>880</v>
      </c>
      <c r="F543" s="431" t="s">
        <v>512</v>
      </c>
      <c r="G543" s="434">
        <v>9866415301</v>
      </c>
      <c r="I543" s="431">
        <v>38</v>
      </c>
      <c r="J543" s="433" t="s">
        <v>404</v>
      </c>
      <c r="K543" s="431" t="s">
        <v>709</v>
      </c>
      <c r="M543" s="490" t="s">
        <v>431</v>
      </c>
      <c r="N543" s="730">
        <v>64849</v>
      </c>
      <c r="O543" s="459">
        <v>64851</v>
      </c>
      <c r="P543" s="459">
        <v>64871</v>
      </c>
      <c r="Q543" s="432" t="s">
        <v>51</v>
      </c>
    </row>
    <row r="544" spans="1:17">
      <c r="A544" s="377">
        <f t="shared" si="0"/>
        <v>543</v>
      </c>
      <c r="B544" s="432" t="s">
        <v>524</v>
      </c>
      <c r="C544" s="376" t="s">
        <v>44</v>
      </c>
      <c r="D544" s="376" t="s">
        <v>449</v>
      </c>
      <c r="E544" s="376" t="s">
        <v>881</v>
      </c>
      <c r="F544" s="431" t="s">
        <v>502</v>
      </c>
      <c r="G544" s="434">
        <v>9863017468</v>
      </c>
      <c r="I544" s="431">
        <v>23</v>
      </c>
      <c r="J544" s="433" t="s">
        <v>404</v>
      </c>
      <c r="K544" s="431" t="s">
        <v>709</v>
      </c>
      <c r="M544" s="490" t="s">
        <v>431</v>
      </c>
      <c r="N544" s="730">
        <v>64849</v>
      </c>
      <c r="O544" s="459">
        <v>64851</v>
      </c>
      <c r="P544" s="459">
        <v>64871</v>
      </c>
      <c r="Q544" s="432" t="s">
        <v>51</v>
      </c>
    </row>
    <row r="545" spans="1:22">
      <c r="A545" s="377">
        <f t="shared" si="0"/>
        <v>544</v>
      </c>
      <c r="B545" s="432" t="s">
        <v>524</v>
      </c>
      <c r="C545" s="376" t="s">
        <v>44</v>
      </c>
      <c r="D545" s="376" t="s">
        <v>449</v>
      </c>
      <c r="E545" s="376" t="s">
        <v>882</v>
      </c>
      <c r="F545" s="431" t="s">
        <v>491</v>
      </c>
      <c r="G545" s="434">
        <v>9849471732</v>
      </c>
      <c r="I545" s="431">
        <v>40</v>
      </c>
      <c r="J545" s="433" t="s">
        <v>404</v>
      </c>
      <c r="K545" s="431" t="s">
        <v>709</v>
      </c>
      <c r="M545" s="490" t="s">
        <v>431</v>
      </c>
      <c r="N545" s="730">
        <v>64849</v>
      </c>
      <c r="O545" s="459">
        <v>64851</v>
      </c>
      <c r="P545" s="459">
        <v>64871</v>
      </c>
      <c r="Q545" s="432" t="s">
        <v>51</v>
      </c>
    </row>
    <row r="546" spans="1:22">
      <c r="A546" s="377">
        <f t="shared" si="0"/>
        <v>545</v>
      </c>
      <c r="B546" s="432" t="s">
        <v>524</v>
      </c>
      <c r="C546" s="376" t="s">
        <v>44</v>
      </c>
      <c r="D546" s="376" t="s">
        <v>449</v>
      </c>
      <c r="E546" s="376" t="s">
        <v>883</v>
      </c>
      <c r="F546" s="431" t="s">
        <v>124</v>
      </c>
      <c r="G546" s="434">
        <v>9867048182</v>
      </c>
      <c r="I546" s="431">
        <v>41</v>
      </c>
      <c r="J546" s="433" t="s">
        <v>433</v>
      </c>
      <c r="K546" s="431" t="s">
        <v>709</v>
      </c>
      <c r="M546" s="490" t="s">
        <v>431</v>
      </c>
      <c r="N546" s="730">
        <v>64849</v>
      </c>
      <c r="O546" s="459">
        <v>64851</v>
      </c>
      <c r="P546" s="459">
        <v>64871</v>
      </c>
      <c r="Q546" s="432" t="s">
        <v>51</v>
      </c>
    </row>
    <row r="547" spans="1:22">
      <c r="A547" s="377">
        <f t="shared" si="0"/>
        <v>546</v>
      </c>
      <c r="B547" s="432" t="s">
        <v>524</v>
      </c>
      <c r="C547" s="376" t="s">
        <v>44</v>
      </c>
      <c r="D547" s="376" t="s">
        <v>449</v>
      </c>
      <c r="E547" s="376" t="s">
        <v>884</v>
      </c>
      <c r="F547" s="431" t="s">
        <v>124</v>
      </c>
      <c r="G547" s="434">
        <v>9867048182</v>
      </c>
      <c r="I547" s="431">
        <v>36</v>
      </c>
      <c r="J547" s="433" t="s">
        <v>404</v>
      </c>
      <c r="K547" s="431" t="s">
        <v>709</v>
      </c>
      <c r="M547" s="490" t="s">
        <v>431</v>
      </c>
      <c r="N547" s="730">
        <v>64849</v>
      </c>
      <c r="O547" s="459">
        <v>64851</v>
      </c>
      <c r="P547" s="459">
        <v>64871</v>
      </c>
      <c r="Q547" s="432" t="s">
        <v>51</v>
      </c>
    </row>
    <row r="548" spans="1:22">
      <c r="A548" s="377">
        <f t="shared" si="0"/>
        <v>547</v>
      </c>
      <c r="B548" s="432" t="s">
        <v>524</v>
      </c>
      <c r="C548" s="376" t="s">
        <v>44</v>
      </c>
      <c r="D548" s="376" t="s">
        <v>449</v>
      </c>
      <c r="E548" s="376" t="s">
        <v>885</v>
      </c>
      <c r="F548" s="431" t="s">
        <v>502</v>
      </c>
      <c r="G548" s="434">
        <v>9869090450</v>
      </c>
      <c r="I548" s="431">
        <v>47</v>
      </c>
      <c r="J548" s="433" t="s">
        <v>404</v>
      </c>
      <c r="K548" s="431" t="s">
        <v>709</v>
      </c>
      <c r="M548" s="490" t="s">
        <v>431</v>
      </c>
      <c r="N548" s="730">
        <v>64849</v>
      </c>
      <c r="O548" s="459">
        <v>64851</v>
      </c>
      <c r="P548" s="459">
        <v>64871</v>
      </c>
      <c r="Q548" s="432" t="s">
        <v>51</v>
      </c>
    </row>
    <row r="549" spans="1:22">
      <c r="A549" s="377">
        <f t="shared" si="0"/>
        <v>548</v>
      </c>
      <c r="B549" s="432" t="s">
        <v>524</v>
      </c>
      <c r="C549" s="376" t="s">
        <v>44</v>
      </c>
      <c r="D549" s="376" t="s">
        <v>449</v>
      </c>
      <c r="E549" s="376" t="s">
        <v>886</v>
      </c>
      <c r="F549" s="431" t="s">
        <v>491</v>
      </c>
      <c r="I549" s="431">
        <v>34</v>
      </c>
      <c r="J549" s="433" t="s">
        <v>404</v>
      </c>
      <c r="K549" s="431" t="s">
        <v>891</v>
      </c>
      <c r="M549" s="490" t="s">
        <v>431</v>
      </c>
      <c r="N549" s="730">
        <v>64849</v>
      </c>
      <c r="O549" s="459">
        <v>64851</v>
      </c>
      <c r="P549" s="459">
        <v>64871</v>
      </c>
      <c r="Q549" s="432" t="s">
        <v>51</v>
      </c>
    </row>
    <row r="550" spans="1:22">
      <c r="A550" s="377">
        <f t="shared" si="0"/>
        <v>549</v>
      </c>
      <c r="B550" s="432" t="s">
        <v>524</v>
      </c>
      <c r="C550" s="376" t="s">
        <v>44</v>
      </c>
      <c r="D550" s="376" t="s">
        <v>449</v>
      </c>
      <c r="E550" s="376" t="s">
        <v>887</v>
      </c>
      <c r="F550" s="431" t="s">
        <v>491</v>
      </c>
      <c r="I550" s="431">
        <v>33</v>
      </c>
      <c r="J550" s="433" t="s">
        <v>404</v>
      </c>
      <c r="K550" s="431" t="s">
        <v>891</v>
      </c>
      <c r="M550" s="490" t="s">
        <v>431</v>
      </c>
      <c r="N550" s="730">
        <v>64850</v>
      </c>
      <c r="O550" s="459">
        <v>64851</v>
      </c>
      <c r="P550" s="459">
        <v>64871</v>
      </c>
      <c r="Q550" s="432" t="s">
        <v>51</v>
      </c>
    </row>
    <row r="551" spans="1:22">
      <c r="A551" s="377">
        <f t="shared" si="0"/>
        <v>550</v>
      </c>
      <c r="B551" s="432" t="s">
        <v>524</v>
      </c>
      <c r="C551" s="376" t="s">
        <v>44</v>
      </c>
      <c r="D551" s="376" t="s">
        <v>449</v>
      </c>
      <c r="E551" s="376" t="s">
        <v>888</v>
      </c>
      <c r="F551" s="431" t="s">
        <v>491</v>
      </c>
      <c r="I551" s="431">
        <v>0.11</v>
      </c>
      <c r="J551" s="433" t="s">
        <v>433</v>
      </c>
      <c r="K551" s="431" t="s">
        <v>891</v>
      </c>
      <c r="M551" s="490" t="s">
        <v>431</v>
      </c>
      <c r="N551" s="730">
        <v>64848</v>
      </c>
      <c r="O551" s="459">
        <v>64850</v>
      </c>
      <c r="P551" s="459">
        <v>64871</v>
      </c>
      <c r="Q551" s="432" t="s">
        <v>51</v>
      </c>
    </row>
    <row r="552" spans="1:22">
      <c r="A552" s="377">
        <f t="shared" si="0"/>
        <v>551</v>
      </c>
      <c r="B552" s="432" t="s">
        <v>524</v>
      </c>
      <c r="C552" s="376" t="s">
        <v>44</v>
      </c>
      <c r="D552" s="376" t="s">
        <v>449</v>
      </c>
      <c r="E552" s="376" t="s">
        <v>889</v>
      </c>
      <c r="F552" s="431" t="s">
        <v>124</v>
      </c>
      <c r="I552" s="431">
        <v>30</v>
      </c>
      <c r="J552" s="433" t="s">
        <v>404</v>
      </c>
      <c r="K552" s="431" t="s">
        <v>709</v>
      </c>
      <c r="M552" s="490" t="s">
        <v>431</v>
      </c>
      <c r="N552" s="730">
        <v>64848</v>
      </c>
      <c r="O552" s="459">
        <v>64850</v>
      </c>
      <c r="P552" s="459">
        <v>64871</v>
      </c>
      <c r="Q552" s="432" t="s">
        <v>51</v>
      </c>
    </row>
    <row r="553" spans="1:22">
      <c r="A553" s="377">
        <f t="shared" si="0"/>
        <v>552</v>
      </c>
      <c r="B553" s="432" t="s">
        <v>524</v>
      </c>
      <c r="C553" s="376" t="s">
        <v>44</v>
      </c>
      <c r="D553" s="376" t="s">
        <v>449</v>
      </c>
      <c r="E553" s="376" t="s">
        <v>890</v>
      </c>
      <c r="F553" s="431" t="s">
        <v>124</v>
      </c>
      <c r="I553" s="431">
        <v>22</v>
      </c>
      <c r="J553" s="433" t="s">
        <v>433</v>
      </c>
      <c r="K553" s="431" t="s">
        <v>709</v>
      </c>
      <c r="M553" s="490" t="s">
        <v>431</v>
      </c>
      <c r="N553" s="730">
        <v>64848</v>
      </c>
      <c r="O553" s="459">
        <v>64850</v>
      </c>
      <c r="P553" s="459">
        <v>64871</v>
      </c>
      <c r="Q553" s="432" t="s">
        <v>51</v>
      </c>
    </row>
    <row r="554" spans="1:22">
      <c r="A554" s="377">
        <f t="shared" si="0"/>
        <v>553</v>
      </c>
      <c r="B554" s="432" t="s">
        <v>524</v>
      </c>
      <c r="C554" s="376" t="s">
        <v>44</v>
      </c>
      <c r="D554" s="376" t="s">
        <v>449</v>
      </c>
      <c r="E554" s="376" t="s">
        <v>892</v>
      </c>
      <c r="F554" s="431" t="s">
        <v>441</v>
      </c>
      <c r="I554" s="431">
        <v>22</v>
      </c>
      <c r="J554" s="433" t="s">
        <v>433</v>
      </c>
      <c r="K554" s="431" t="s">
        <v>709</v>
      </c>
      <c r="M554" s="490" t="s">
        <v>431</v>
      </c>
      <c r="N554" s="730">
        <v>64850</v>
      </c>
      <c r="O554" s="459">
        <v>64852</v>
      </c>
      <c r="P554" s="459">
        <v>64874</v>
      </c>
      <c r="Q554" s="432" t="s">
        <v>51</v>
      </c>
    </row>
    <row r="555" spans="1:22">
      <c r="A555" s="377">
        <f t="shared" si="0"/>
        <v>554</v>
      </c>
      <c r="B555" s="432" t="s">
        <v>524</v>
      </c>
      <c r="C555" s="376" t="s">
        <v>44</v>
      </c>
      <c r="D555" s="376" t="s">
        <v>449</v>
      </c>
      <c r="E555" s="376" t="s">
        <v>893</v>
      </c>
      <c r="F555" s="431" t="s">
        <v>491</v>
      </c>
      <c r="I555" s="431">
        <v>61</v>
      </c>
      <c r="J555" s="433" t="s">
        <v>404</v>
      </c>
      <c r="K555" s="431" t="s">
        <v>709</v>
      </c>
      <c r="M555" s="490" t="s">
        <v>431</v>
      </c>
      <c r="N555" s="730">
        <v>64850</v>
      </c>
      <c r="O555" s="459">
        <v>64852</v>
      </c>
      <c r="P555" s="459">
        <v>64874</v>
      </c>
      <c r="Q555" s="432" t="s">
        <v>51</v>
      </c>
    </row>
    <row r="556" spans="1:22">
      <c r="A556" s="377">
        <f t="shared" si="0"/>
        <v>555</v>
      </c>
      <c r="B556" s="432" t="s">
        <v>524</v>
      </c>
      <c r="C556" s="376" t="s">
        <v>44</v>
      </c>
      <c r="D556" s="376" t="s">
        <v>449</v>
      </c>
      <c r="E556" s="376" t="s">
        <v>894</v>
      </c>
      <c r="F556" s="431" t="s">
        <v>491</v>
      </c>
      <c r="I556" s="431">
        <v>53</v>
      </c>
      <c r="J556" s="433" t="s">
        <v>433</v>
      </c>
      <c r="K556" s="431" t="s">
        <v>709</v>
      </c>
      <c r="M556" s="490" t="s">
        <v>431</v>
      </c>
      <c r="N556" s="730">
        <v>64850</v>
      </c>
      <c r="O556" s="459">
        <v>64852</v>
      </c>
      <c r="P556" s="459">
        <v>64870</v>
      </c>
      <c r="Q556" s="432" t="s">
        <v>51</v>
      </c>
    </row>
    <row r="557" spans="1:22">
      <c r="A557" s="377">
        <f t="shared" ref="A557:A620" si="1">A556+1</f>
        <v>556</v>
      </c>
      <c r="B557" s="432" t="s">
        <v>524</v>
      </c>
      <c r="C557" s="376" t="s">
        <v>44</v>
      </c>
      <c r="D557" s="376" t="s">
        <v>449</v>
      </c>
      <c r="E557" s="376" t="s">
        <v>895</v>
      </c>
      <c r="F557" s="431" t="s">
        <v>548</v>
      </c>
      <c r="I557" s="431">
        <v>28</v>
      </c>
      <c r="J557" s="433" t="s">
        <v>404</v>
      </c>
      <c r="K557" s="431" t="s">
        <v>709</v>
      </c>
      <c r="M557" s="490" t="s">
        <v>431</v>
      </c>
      <c r="N557" s="730">
        <v>64850</v>
      </c>
      <c r="O557" s="459">
        <v>64852</v>
      </c>
      <c r="P557" s="459">
        <v>64874</v>
      </c>
      <c r="Q557" s="432" t="s">
        <v>51</v>
      </c>
      <c r="V557" s="332">
        <f ca="1">TODAY()</f>
        <v>44612</v>
      </c>
    </row>
    <row r="558" spans="1:22">
      <c r="A558" s="377">
        <f t="shared" si="1"/>
        <v>557</v>
      </c>
      <c r="B558" s="432" t="s">
        <v>524</v>
      </c>
      <c r="C558" s="376" t="s">
        <v>44</v>
      </c>
      <c r="D558" s="376" t="s">
        <v>449</v>
      </c>
      <c r="E558" s="376" t="s">
        <v>896</v>
      </c>
      <c r="F558" s="431" t="s">
        <v>548</v>
      </c>
      <c r="I558" s="431">
        <v>16</v>
      </c>
      <c r="J558" s="433" t="s">
        <v>404</v>
      </c>
      <c r="K558" s="431" t="s">
        <v>709</v>
      </c>
      <c r="M558" s="490" t="s">
        <v>431</v>
      </c>
      <c r="N558" s="730">
        <v>64850</v>
      </c>
      <c r="O558" s="459">
        <v>64852</v>
      </c>
      <c r="P558" s="459">
        <v>64874</v>
      </c>
      <c r="Q558" s="432" t="s">
        <v>51</v>
      </c>
      <c r="V558" s="332">
        <f ca="1">V557-21</f>
        <v>44591</v>
      </c>
    </row>
    <row r="559" spans="1:22">
      <c r="A559" s="377">
        <f t="shared" si="1"/>
        <v>558</v>
      </c>
      <c r="B559" s="432" t="s">
        <v>524</v>
      </c>
      <c r="C559" s="376" t="s">
        <v>44</v>
      </c>
      <c r="D559" s="376" t="s">
        <v>449</v>
      </c>
      <c r="E559" s="376" t="s">
        <v>897</v>
      </c>
      <c r="F559" s="431" t="s">
        <v>491</v>
      </c>
      <c r="I559" s="431">
        <v>53</v>
      </c>
      <c r="J559" s="433" t="s">
        <v>404</v>
      </c>
      <c r="K559" s="431" t="s">
        <v>709</v>
      </c>
      <c r="M559" s="490" t="s">
        <v>431</v>
      </c>
      <c r="N559" s="730">
        <v>64850</v>
      </c>
      <c r="O559" s="459">
        <v>64852</v>
      </c>
      <c r="P559" s="459">
        <v>64874</v>
      </c>
      <c r="Q559" s="432" t="s">
        <v>51</v>
      </c>
    </row>
    <row r="560" spans="1:22">
      <c r="A560" s="377">
        <f t="shared" si="1"/>
        <v>559</v>
      </c>
      <c r="B560" s="432" t="s">
        <v>524</v>
      </c>
      <c r="C560" s="376" t="s">
        <v>44</v>
      </c>
      <c r="D560" s="376" t="s">
        <v>449</v>
      </c>
      <c r="E560" s="376" t="s">
        <v>898</v>
      </c>
      <c r="F560" s="431" t="s">
        <v>783</v>
      </c>
      <c r="I560" s="431">
        <v>38</v>
      </c>
      <c r="J560" s="433" t="s">
        <v>433</v>
      </c>
      <c r="K560" s="431" t="s">
        <v>709</v>
      </c>
      <c r="M560" s="490" t="s">
        <v>431</v>
      </c>
      <c r="N560" s="730">
        <v>64850</v>
      </c>
      <c r="O560" s="459">
        <v>64852</v>
      </c>
      <c r="P560" s="459">
        <v>64874</v>
      </c>
      <c r="Q560" s="432" t="s">
        <v>51</v>
      </c>
    </row>
    <row r="561" spans="1:17">
      <c r="A561" s="377">
        <f t="shared" si="1"/>
        <v>560</v>
      </c>
      <c r="B561" s="432" t="s">
        <v>524</v>
      </c>
      <c r="C561" s="376" t="s">
        <v>44</v>
      </c>
      <c r="D561" s="376" t="s">
        <v>449</v>
      </c>
      <c r="E561" s="376" t="s">
        <v>899</v>
      </c>
      <c r="F561" s="431" t="s">
        <v>491</v>
      </c>
      <c r="I561" s="431">
        <v>60</v>
      </c>
      <c r="J561" s="433" t="s">
        <v>433</v>
      </c>
      <c r="K561" s="431" t="s">
        <v>709</v>
      </c>
      <c r="M561" s="490" t="s">
        <v>431</v>
      </c>
      <c r="N561" s="730">
        <v>64850</v>
      </c>
      <c r="O561" s="459">
        <v>64852</v>
      </c>
      <c r="P561" s="459">
        <v>64874</v>
      </c>
      <c r="Q561" s="432" t="s">
        <v>51</v>
      </c>
    </row>
    <row r="562" spans="1:17">
      <c r="A562" s="377">
        <f t="shared" si="1"/>
        <v>561</v>
      </c>
      <c r="B562" s="432" t="s">
        <v>524</v>
      </c>
      <c r="C562" s="376" t="s">
        <v>44</v>
      </c>
      <c r="D562" s="376" t="s">
        <v>449</v>
      </c>
      <c r="E562" s="376" t="s">
        <v>900</v>
      </c>
      <c r="F562" s="431" t="s">
        <v>491</v>
      </c>
      <c r="G562" s="434">
        <v>9847865775</v>
      </c>
      <c r="I562" s="431">
        <v>20</v>
      </c>
      <c r="J562" s="433" t="s">
        <v>433</v>
      </c>
      <c r="K562" s="431" t="s">
        <v>709</v>
      </c>
      <c r="M562" s="490" t="s">
        <v>431</v>
      </c>
      <c r="N562" s="730">
        <v>64850</v>
      </c>
      <c r="O562" s="459">
        <v>64852</v>
      </c>
      <c r="P562" s="459">
        <v>64874</v>
      </c>
      <c r="Q562" s="432" t="s">
        <v>51</v>
      </c>
    </row>
    <row r="563" spans="1:17">
      <c r="A563" s="377">
        <f t="shared" si="1"/>
        <v>562</v>
      </c>
      <c r="B563" s="432" t="s">
        <v>524</v>
      </c>
      <c r="C563" s="376" t="s">
        <v>44</v>
      </c>
      <c r="D563" s="376" t="s">
        <v>449</v>
      </c>
      <c r="E563" s="376" t="s">
        <v>901</v>
      </c>
      <c r="F563" s="431" t="s">
        <v>502</v>
      </c>
      <c r="G563" s="434">
        <v>9847830393</v>
      </c>
      <c r="I563" s="431">
        <v>56</v>
      </c>
      <c r="J563" s="433" t="s">
        <v>433</v>
      </c>
      <c r="K563" s="431" t="s">
        <v>709</v>
      </c>
      <c r="M563" s="490" t="s">
        <v>431</v>
      </c>
      <c r="N563" s="730">
        <v>64850</v>
      </c>
      <c r="O563" s="459">
        <v>64852</v>
      </c>
      <c r="P563" s="459">
        <v>64874</v>
      </c>
      <c r="Q563" s="432" t="s">
        <v>51</v>
      </c>
    </row>
    <row r="564" spans="1:17">
      <c r="A564" s="377">
        <f t="shared" si="1"/>
        <v>563</v>
      </c>
      <c r="B564" s="432" t="s">
        <v>524</v>
      </c>
      <c r="C564" s="376" t="s">
        <v>44</v>
      </c>
      <c r="D564" s="376" t="s">
        <v>449</v>
      </c>
      <c r="E564" s="376" t="s">
        <v>902</v>
      </c>
      <c r="F564" s="431" t="s">
        <v>502</v>
      </c>
      <c r="G564" s="434">
        <v>9851233280</v>
      </c>
      <c r="I564" s="431">
        <v>55</v>
      </c>
      <c r="J564" s="433" t="s">
        <v>404</v>
      </c>
      <c r="K564" s="431" t="s">
        <v>709</v>
      </c>
      <c r="M564" s="490" t="s">
        <v>431</v>
      </c>
      <c r="N564" s="730">
        <v>64850</v>
      </c>
      <c r="O564" s="459">
        <v>64852</v>
      </c>
      <c r="P564" s="459">
        <v>64874</v>
      </c>
      <c r="Q564" s="432" t="s">
        <v>51</v>
      </c>
    </row>
    <row r="565" spans="1:17">
      <c r="A565" s="377">
        <f t="shared" si="1"/>
        <v>564</v>
      </c>
      <c r="B565" s="432" t="s">
        <v>524</v>
      </c>
      <c r="C565" s="376" t="s">
        <v>44</v>
      </c>
      <c r="D565" s="376" t="s">
        <v>449</v>
      </c>
      <c r="E565" s="376" t="s">
        <v>903</v>
      </c>
      <c r="F565" s="431" t="s">
        <v>617</v>
      </c>
      <c r="G565" s="434">
        <v>9847956209</v>
      </c>
      <c r="I565" s="431">
        <v>31</v>
      </c>
      <c r="J565" s="433" t="s">
        <v>404</v>
      </c>
      <c r="K565" s="431" t="s">
        <v>709</v>
      </c>
      <c r="M565" s="490" t="s">
        <v>431</v>
      </c>
      <c r="N565" s="730">
        <v>64850</v>
      </c>
      <c r="O565" s="459">
        <v>64852</v>
      </c>
      <c r="P565" s="459">
        <v>64874</v>
      </c>
      <c r="Q565" s="432" t="s">
        <v>51</v>
      </c>
    </row>
    <row r="566" spans="1:17">
      <c r="A566" s="377">
        <f t="shared" si="1"/>
        <v>565</v>
      </c>
      <c r="B566" s="432" t="s">
        <v>524</v>
      </c>
      <c r="C566" s="376" t="s">
        <v>44</v>
      </c>
      <c r="D566" s="376" t="s">
        <v>449</v>
      </c>
      <c r="E566" s="376" t="s">
        <v>904</v>
      </c>
      <c r="F566" s="431" t="s">
        <v>124</v>
      </c>
      <c r="G566" s="434">
        <v>9847917949</v>
      </c>
      <c r="I566" s="431">
        <v>39</v>
      </c>
      <c r="J566" s="433" t="s">
        <v>433</v>
      </c>
      <c r="K566" s="431" t="s">
        <v>709</v>
      </c>
      <c r="M566" s="490" t="s">
        <v>431</v>
      </c>
      <c r="N566" s="730">
        <v>64850</v>
      </c>
      <c r="O566" s="459">
        <v>64852</v>
      </c>
      <c r="P566" s="459">
        <v>64874</v>
      </c>
      <c r="Q566" s="432" t="s">
        <v>51</v>
      </c>
    </row>
    <row r="567" spans="1:17">
      <c r="A567" s="377">
        <f t="shared" si="1"/>
        <v>566</v>
      </c>
      <c r="B567" s="432" t="s">
        <v>524</v>
      </c>
      <c r="C567" s="376" t="s">
        <v>44</v>
      </c>
      <c r="D567" s="376" t="s">
        <v>449</v>
      </c>
      <c r="E567" s="376" t="s">
        <v>905</v>
      </c>
      <c r="F567" s="431" t="s">
        <v>491</v>
      </c>
      <c r="G567" s="434">
        <v>9861177681</v>
      </c>
      <c r="I567" s="431">
        <v>22</v>
      </c>
      <c r="J567" s="433" t="s">
        <v>404</v>
      </c>
      <c r="K567" s="431" t="s">
        <v>709</v>
      </c>
      <c r="M567" s="490" t="s">
        <v>431</v>
      </c>
      <c r="N567" s="730">
        <v>64850</v>
      </c>
      <c r="O567" s="459">
        <v>64852</v>
      </c>
      <c r="P567" s="459">
        <v>64874</v>
      </c>
      <c r="Q567" s="432" t="s">
        <v>51</v>
      </c>
    </row>
    <row r="568" spans="1:17">
      <c r="A568" s="377">
        <f t="shared" si="1"/>
        <v>567</v>
      </c>
      <c r="B568" s="432" t="s">
        <v>524</v>
      </c>
      <c r="C568" s="376" t="s">
        <v>44</v>
      </c>
      <c r="D568" s="376" t="s">
        <v>449</v>
      </c>
      <c r="E568" s="376" t="s">
        <v>906</v>
      </c>
      <c r="F568" s="431" t="s">
        <v>502</v>
      </c>
      <c r="G568" s="434">
        <v>9847925119</v>
      </c>
      <c r="I568" s="431">
        <v>42</v>
      </c>
      <c r="J568" s="433" t="s">
        <v>404</v>
      </c>
      <c r="K568" s="431" t="s">
        <v>709</v>
      </c>
      <c r="M568" s="438" t="s">
        <v>489</v>
      </c>
      <c r="N568" s="730">
        <v>64850</v>
      </c>
      <c r="O568" s="459">
        <v>64852</v>
      </c>
      <c r="P568" s="459">
        <v>64868</v>
      </c>
      <c r="Q568" s="432" t="s">
        <v>51</v>
      </c>
    </row>
    <row r="569" spans="1:17">
      <c r="A569" s="377">
        <f>A568+1</f>
        <v>568</v>
      </c>
      <c r="B569" s="432" t="s">
        <v>524</v>
      </c>
      <c r="C569" s="376" t="s">
        <v>44</v>
      </c>
      <c r="D569" s="376" t="s">
        <v>449</v>
      </c>
      <c r="E569" s="376" t="s">
        <v>916</v>
      </c>
      <c r="F569" s="431" t="s">
        <v>791</v>
      </c>
      <c r="G569" s="434">
        <v>9809721609</v>
      </c>
      <c r="I569" s="431">
        <v>16</v>
      </c>
      <c r="J569" s="433" t="s">
        <v>433</v>
      </c>
      <c r="K569" s="431" t="s">
        <v>709</v>
      </c>
      <c r="M569" s="490" t="s">
        <v>431</v>
      </c>
      <c r="N569" s="730">
        <v>64850</v>
      </c>
      <c r="O569" s="459">
        <v>64852</v>
      </c>
      <c r="P569" s="459">
        <v>64874</v>
      </c>
      <c r="Q569" s="432" t="s">
        <v>51</v>
      </c>
    </row>
    <row r="570" spans="1:17">
      <c r="A570" s="377">
        <f t="shared" si="1"/>
        <v>569</v>
      </c>
      <c r="B570" s="432" t="s">
        <v>524</v>
      </c>
      <c r="C570" s="376" t="s">
        <v>44</v>
      </c>
      <c r="D570" s="376" t="s">
        <v>449</v>
      </c>
      <c r="E570" s="376" t="s">
        <v>907</v>
      </c>
      <c r="F570" s="431" t="s">
        <v>451</v>
      </c>
      <c r="I570" s="431">
        <v>20</v>
      </c>
      <c r="J570" s="433" t="s">
        <v>433</v>
      </c>
      <c r="K570" s="431" t="s">
        <v>709</v>
      </c>
      <c r="M570" s="490" t="s">
        <v>431</v>
      </c>
      <c r="N570" s="730">
        <v>64850</v>
      </c>
      <c r="O570" s="459">
        <v>64852</v>
      </c>
      <c r="P570" s="459">
        <v>64874</v>
      </c>
      <c r="Q570" s="432" t="s">
        <v>51</v>
      </c>
    </row>
    <row r="571" spans="1:17">
      <c r="A571" s="377">
        <f t="shared" si="1"/>
        <v>570</v>
      </c>
      <c r="B571" s="432" t="s">
        <v>524</v>
      </c>
      <c r="C571" s="376" t="s">
        <v>44</v>
      </c>
      <c r="D571" s="376" t="s">
        <v>449</v>
      </c>
      <c r="E571" s="376" t="s">
        <v>908</v>
      </c>
      <c r="F571" s="431" t="s">
        <v>451</v>
      </c>
      <c r="I571" s="431">
        <v>24</v>
      </c>
      <c r="J571" s="433" t="s">
        <v>433</v>
      </c>
      <c r="K571" s="431" t="s">
        <v>709</v>
      </c>
      <c r="M571" s="490" t="s">
        <v>431</v>
      </c>
      <c r="N571" s="730">
        <v>64850</v>
      </c>
      <c r="O571" s="459">
        <v>64852</v>
      </c>
      <c r="P571" s="459">
        <v>64874</v>
      </c>
      <c r="Q571" s="432" t="s">
        <v>51</v>
      </c>
    </row>
    <row r="572" spans="1:17">
      <c r="A572" s="377">
        <f t="shared" si="1"/>
        <v>571</v>
      </c>
      <c r="B572" s="432" t="s">
        <v>524</v>
      </c>
      <c r="C572" s="376" t="s">
        <v>44</v>
      </c>
      <c r="D572" s="376" t="s">
        <v>449</v>
      </c>
      <c r="E572" s="376" t="s">
        <v>909</v>
      </c>
      <c r="F572" s="431" t="s">
        <v>910</v>
      </c>
      <c r="G572" s="434">
        <v>9857841403</v>
      </c>
      <c r="I572" s="431">
        <v>32</v>
      </c>
      <c r="J572" s="433" t="s">
        <v>404</v>
      </c>
      <c r="K572" s="431" t="s">
        <v>709</v>
      </c>
      <c r="M572" s="490" t="s">
        <v>431</v>
      </c>
      <c r="N572" s="730">
        <v>64850</v>
      </c>
      <c r="O572" s="459">
        <v>64852</v>
      </c>
      <c r="P572" s="459">
        <v>64874</v>
      </c>
      <c r="Q572" s="432" t="s">
        <v>51</v>
      </c>
    </row>
    <row r="573" spans="1:17">
      <c r="A573" s="377">
        <f t="shared" si="1"/>
        <v>572</v>
      </c>
      <c r="B573" s="432" t="s">
        <v>524</v>
      </c>
      <c r="C573" s="376" t="s">
        <v>44</v>
      </c>
      <c r="D573" s="376" t="s">
        <v>449</v>
      </c>
      <c r="E573" s="376" t="s">
        <v>911</v>
      </c>
      <c r="F573" s="431" t="s">
        <v>491</v>
      </c>
      <c r="I573" s="431">
        <v>65</v>
      </c>
      <c r="J573" s="433" t="s">
        <v>433</v>
      </c>
      <c r="K573" s="431" t="s">
        <v>709</v>
      </c>
      <c r="M573" s="438" t="s">
        <v>489</v>
      </c>
      <c r="N573" s="730">
        <v>64850</v>
      </c>
      <c r="O573" s="459">
        <v>64852</v>
      </c>
      <c r="P573" s="459">
        <v>64868</v>
      </c>
      <c r="Q573" s="432" t="s">
        <v>51</v>
      </c>
    </row>
    <row r="574" spans="1:17">
      <c r="A574" s="377">
        <f t="shared" si="1"/>
        <v>573</v>
      </c>
      <c r="B574" s="432" t="s">
        <v>524</v>
      </c>
      <c r="C574" s="376" t="s">
        <v>44</v>
      </c>
      <c r="D574" s="376" t="s">
        <v>449</v>
      </c>
      <c r="E574" s="376" t="s">
        <v>912</v>
      </c>
      <c r="F574" s="431" t="s">
        <v>491</v>
      </c>
      <c r="G574" s="434">
        <v>9857823554</v>
      </c>
      <c r="I574" s="431">
        <v>33</v>
      </c>
      <c r="J574" s="433" t="s">
        <v>404</v>
      </c>
      <c r="K574" s="431" t="s">
        <v>709</v>
      </c>
      <c r="M574" s="490" t="s">
        <v>431</v>
      </c>
      <c r="N574" s="730">
        <v>64850</v>
      </c>
      <c r="O574" s="459">
        <v>64852</v>
      </c>
      <c r="P574" s="459">
        <v>64874</v>
      </c>
      <c r="Q574" s="432" t="s">
        <v>51</v>
      </c>
    </row>
    <row r="575" spans="1:17">
      <c r="A575" s="377">
        <f t="shared" si="1"/>
        <v>574</v>
      </c>
      <c r="B575" s="432" t="s">
        <v>524</v>
      </c>
      <c r="C575" s="376" t="s">
        <v>44</v>
      </c>
      <c r="D575" s="376" t="s">
        <v>449</v>
      </c>
      <c r="E575" s="376" t="s">
        <v>913</v>
      </c>
      <c r="F575" s="431" t="s">
        <v>491</v>
      </c>
      <c r="G575" s="434">
        <v>9847865030</v>
      </c>
      <c r="I575" s="431">
        <v>33</v>
      </c>
      <c r="J575" s="433" t="s">
        <v>404</v>
      </c>
      <c r="K575" s="431" t="s">
        <v>709</v>
      </c>
      <c r="M575" s="490" t="s">
        <v>431</v>
      </c>
      <c r="N575" s="730">
        <v>64850</v>
      </c>
      <c r="O575" s="459">
        <v>64852</v>
      </c>
      <c r="P575" s="459">
        <v>64874</v>
      </c>
      <c r="Q575" s="432" t="s">
        <v>51</v>
      </c>
    </row>
    <row r="576" spans="1:17">
      <c r="A576" s="377">
        <f t="shared" si="1"/>
        <v>575</v>
      </c>
      <c r="B576" s="432" t="s">
        <v>524</v>
      </c>
      <c r="C576" s="376" t="s">
        <v>44</v>
      </c>
      <c r="D576" s="376" t="s">
        <v>449</v>
      </c>
      <c r="E576" s="376" t="s">
        <v>914</v>
      </c>
      <c r="F576" s="431" t="s">
        <v>557</v>
      </c>
      <c r="I576" s="431">
        <v>27</v>
      </c>
      <c r="J576" s="433" t="s">
        <v>433</v>
      </c>
      <c r="K576" s="431" t="s">
        <v>709</v>
      </c>
      <c r="M576" s="490" t="s">
        <v>431</v>
      </c>
      <c r="N576" s="730">
        <v>64850</v>
      </c>
      <c r="O576" s="459">
        <v>64852</v>
      </c>
      <c r="P576" s="459">
        <v>64874</v>
      </c>
      <c r="Q576" s="432" t="s">
        <v>51</v>
      </c>
    </row>
    <row r="577" spans="1:19">
      <c r="A577" s="377">
        <f t="shared" si="1"/>
        <v>576</v>
      </c>
      <c r="B577" s="432" t="s">
        <v>524</v>
      </c>
      <c r="C577" s="376" t="s">
        <v>44</v>
      </c>
      <c r="D577" s="376" t="s">
        <v>449</v>
      </c>
      <c r="E577" s="376" t="s">
        <v>915</v>
      </c>
      <c r="F577" s="431" t="s">
        <v>512</v>
      </c>
      <c r="G577" s="434">
        <v>9810810638</v>
      </c>
      <c r="I577" s="431">
        <v>39</v>
      </c>
      <c r="J577" s="433" t="s">
        <v>404</v>
      </c>
      <c r="K577" s="431" t="s">
        <v>709</v>
      </c>
      <c r="M577" s="490" t="s">
        <v>431</v>
      </c>
      <c r="N577" s="730">
        <v>64850</v>
      </c>
      <c r="O577" s="459">
        <v>64852</v>
      </c>
      <c r="P577" s="459">
        <v>64874</v>
      </c>
      <c r="Q577" s="432" t="s">
        <v>51</v>
      </c>
    </row>
    <row r="578" spans="1:19">
      <c r="A578" s="377">
        <f t="shared" si="1"/>
        <v>577</v>
      </c>
      <c r="B578" s="432" t="s">
        <v>524</v>
      </c>
      <c r="C578" s="376" t="s">
        <v>44</v>
      </c>
      <c r="D578" s="376" t="s">
        <v>449</v>
      </c>
      <c r="E578" s="376" t="s">
        <v>917</v>
      </c>
      <c r="F578" s="431" t="s">
        <v>491</v>
      </c>
      <c r="G578" s="434">
        <v>9861494128</v>
      </c>
      <c r="I578" s="431">
        <v>41</v>
      </c>
      <c r="J578" s="433" t="s">
        <v>404</v>
      </c>
      <c r="K578" s="431" t="s">
        <v>709</v>
      </c>
      <c r="M578" s="490" t="s">
        <v>431</v>
      </c>
      <c r="N578" s="730">
        <v>64852</v>
      </c>
      <c r="O578" s="459">
        <v>64853</v>
      </c>
      <c r="P578" s="459">
        <v>64874</v>
      </c>
      <c r="Q578" s="432" t="s">
        <v>51</v>
      </c>
    </row>
    <row r="579" spans="1:19">
      <c r="A579" s="377">
        <f t="shared" si="1"/>
        <v>578</v>
      </c>
      <c r="B579" s="432" t="s">
        <v>524</v>
      </c>
      <c r="C579" s="376" t="s">
        <v>44</v>
      </c>
      <c r="D579" s="376" t="s">
        <v>449</v>
      </c>
      <c r="E579" s="376" t="s">
        <v>918</v>
      </c>
      <c r="F579" s="431" t="s">
        <v>441</v>
      </c>
      <c r="G579" s="434">
        <v>9866526091</v>
      </c>
      <c r="I579" s="431">
        <v>18</v>
      </c>
      <c r="J579" s="433" t="s">
        <v>433</v>
      </c>
      <c r="K579" s="431" t="s">
        <v>709</v>
      </c>
      <c r="M579" s="490" t="s">
        <v>431</v>
      </c>
      <c r="N579" s="730">
        <v>64852</v>
      </c>
      <c r="O579" s="459">
        <v>64853</v>
      </c>
      <c r="P579" s="459">
        <v>64874</v>
      </c>
      <c r="Q579" s="432" t="s">
        <v>51</v>
      </c>
    </row>
    <row r="580" spans="1:19">
      <c r="A580" s="377">
        <f t="shared" si="1"/>
        <v>579</v>
      </c>
      <c r="B580" s="432" t="s">
        <v>524</v>
      </c>
      <c r="C580" s="376" t="s">
        <v>44</v>
      </c>
      <c r="D580" s="376" t="s">
        <v>449</v>
      </c>
      <c r="E580" s="376" t="s">
        <v>919</v>
      </c>
      <c r="F580" s="431" t="s">
        <v>502</v>
      </c>
      <c r="G580" s="434">
        <v>9857834950</v>
      </c>
      <c r="I580" s="431">
        <v>32</v>
      </c>
      <c r="J580" s="433" t="s">
        <v>404</v>
      </c>
      <c r="K580" s="431" t="s">
        <v>709</v>
      </c>
      <c r="M580" s="490" t="s">
        <v>431</v>
      </c>
      <c r="N580" s="730">
        <v>64852</v>
      </c>
      <c r="O580" s="459">
        <v>64853</v>
      </c>
      <c r="P580" s="459">
        <v>64874</v>
      </c>
      <c r="Q580" s="432" t="s">
        <v>51</v>
      </c>
    </row>
    <row r="581" spans="1:19">
      <c r="A581" s="377">
        <f t="shared" si="1"/>
        <v>580</v>
      </c>
      <c r="B581" s="432" t="s">
        <v>524</v>
      </c>
      <c r="C581" s="376" t="s">
        <v>44</v>
      </c>
      <c r="D581" s="376" t="s">
        <v>449</v>
      </c>
      <c r="E581" s="376" t="s">
        <v>920</v>
      </c>
      <c r="F581" s="431" t="s">
        <v>529</v>
      </c>
      <c r="G581" s="434">
        <v>9860082464</v>
      </c>
      <c r="I581" s="431">
        <v>30</v>
      </c>
      <c r="J581" s="433" t="s">
        <v>404</v>
      </c>
      <c r="K581" s="431" t="s">
        <v>709</v>
      </c>
      <c r="M581" s="490" t="s">
        <v>431</v>
      </c>
      <c r="N581" s="730">
        <v>64852</v>
      </c>
      <c r="O581" s="459">
        <v>64853</v>
      </c>
      <c r="P581" s="459">
        <v>64870</v>
      </c>
      <c r="Q581" s="432" t="s">
        <v>51</v>
      </c>
    </row>
    <row r="582" spans="1:19">
      <c r="A582" s="377">
        <f t="shared" si="1"/>
        <v>581</v>
      </c>
      <c r="B582" s="432" t="s">
        <v>524</v>
      </c>
      <c r="C582" s="376" t="s">
        <v>44</v>
      </c>
      <c r="D582" s="376" t="s">
        <v>449</v>
      </c>
      <c r="E582" s="376" t="s">
        <v>921</v>
      </c>
      <c r="F582" s="431" t="s">
        <v>529</v>
      </c>
      <c r="G582" s="434">
        <v>9868359379</v>
      </c>
      <c r="I582" s="431">
        <v>30</v>
      </c>
      <c r="J582" s="433" t="s">
        <v>433</v>
      </c>
      <c r="K582" s="431" t="s">
        <v>709</v>
      </c>
      <c r="M582" s="490" t="s">
        <v>431</v>
      </c>
      <c r="N582" s="730">
        <v>64852</v>
      </c>
      <c r="O582" s="459">
        <v>64853</v>
      </c>
      <c r="P582" s="459">
        <v>64874</v>
      </c>
      <c r="Q582" s="432" t="s">
        <v>51</v>
      </c>
    </row>
    <row r="583" spans="1:19">
      <c r="A583" s="377">
        <f t="shared" si="1"/>
        <v>582</v>
      </c>
      <c r="B583" s="432" t="s">
        <v>524</v>
      </c>
      <c r="C583" s="376" t="s">
        <v>44</v>
      </c>
      <c r="D583" s="376" t="s">
        <v>449</v>
      </c>
      <c r="E583" s="376" t="s">
        <v>922</v>
      </c>
      <c r="F583" s="431" t="s">
        <v>441</v>
      </c>
      <c r="G583" s="434">
        <v>9847836682</v>
      </c>
      <c r="I583" s="431">
        <v>7</v>
      </c>
      <c r="J583" s="433" t="s">
        <v>404</v>
      </c>
      <c r="K583" s="431" t="s">
        <v>709</v>
      </c>
      <c r="M583" s="490" t="s">
        <v>431</v>
      </c>
      <c r="N583" s="730">
        <v>64852</v>
      </c>
      <c r="O583" s="459">
        <v>64853</v>
      </c>
      <c r="P583" s="459">
        <v>64874</v>
      </c>
      <c r="Q583" s="432" t="s">
        <v>51</v>
      </c>
    </row>
    <row r="584" spans="1:19">
      <c r="A584" s="377">
        <f t="shared" si="1"/>
        <v>583</v>
      </c>
      <c r="B584" s="432" t="s">
        <v>524</v>
      </c>
      <c r="C584" s="376" t="s">
        <v>44</v>
      </c>
      <c r="D584" s="376" t="s">
        <v>449</v>
      </c>
      <c r="E584" s="376" t="s">
        <v>923</v>
      </c>
      <c r="F584" s="431" t="s">
        <v>491</v>
      </c>
      <c r="G584" s="434">
        <v>9857821100</v>
      </c>
      <c r="I584" s="431">
        <v>63</v>
      </c>
      <c r="J584" s="433" t="s">
        <v>404</v>
      </c>
      <c r="K584" s="431" t="s">
        <v>709</v>
      </c>
      <c r="M584" s="490" t="s">
        <v>431</v>
      </c>
      <c r="N584" s="730">
        <v>64852</v>
      </c>
      <c r="O584" s="459">
        <v>64853</v>
      </c>
      <c r="P584" s="459">
        <v>64874</v>
      </c>
      <c r="Q584" s="432" t="s">
        <v>51</v>
      </c>
    </row>
    <row r="585" spans="1:19">
      <c r="A585" s="377">
        <f t="shared" si="1"/>
        <v>584</v>
      </c>
      <c r="B585" s="432" t="s">
        <v>524</v>
      </c>
      <c r="C585" s="376" t="s">
        <v>44</v>
      </c>
      <c r="D585" s="376" t="s">
        <v>449</v>
      </c>
      <c r="E585" s="376" t="s">
        <v>924</v>
      </c>
      <c r="F585" s="431" t="s">
        <v>548</v>
      </c>
      <c r="G585" s="434">
        <v>9868641338</v>
      </c>
      <c r="I585" s="431">
        <v>23</v>
      </c>
      <c r="J585" s="433" t="s">
        <v>433</v>
      </c>
      <c r="K585" s="431" t="s">
        <v>709</v>
      </c>
      <c r="M585" s="490" t="s">
        <v>431</v>
      </c>
      <c r="N585" s="730">
        <v>64852</v>
      </c>
      <c r="O585" s="459">
        <v>64853</v>
      </c>
      <c r="P585" s="459">
        <v>64874</v>
      </c>
      <c r="Q585" s="432" t="s">
        <v>51</v>
      </c>
    </row>
    <row r="586" spans="1:19">
      <c r="A586" s="377">
        <f t="shared" si="1"/>
        <v>585</v>
      </c>
      <c r="B586" s="432" t="s">
        <v>524</v>
      </c>
      <c r="C586" s="376" t="s">
        <v>44</v>
      </c>
      <c r="D586" s="376" t="s">
        <v>449</v>
      </c>
      <c r="E586" s="376" t="s">
        <v>925</v>
      </c>
      <c r="F586" s="431" t="s">
        <v>491</v>
      </c>
      <c r="G586" s="434">
        <v>9851007361</v>
      </c>
      <c r="I586" s="431">
        <v>15</v>
      </c>
      <c r="J586" s="433" t="s">
        <v>404</v>
      </c>
      <c r="K586" s="431" t="s">
        <v>709</v>
      </c>
      <c r="M586" s="490" t="s">
        <v>431</v>
      </c>
      <c r="N586" s="730">
        <v>64852</v>
      </c>
      <c r="O586" s="459">
        <v>64853</v>
      </c>
      <c r="P586" s="459">
        <v>64874</v>
      </c>
      <c r="Q586" s="432" t="s">
        <v>51</v>
      </c>
    </row>
    <row r="587" spans="1:19">
      <c r="A587" s="377">
        <f t="shared" si="1"/>
        <v>586</v>
      </c>
      <c r="B587" s="432" t="s">
        <v>524</v>
      </c>
      <c r="C587" s="376" t="s">
        <v>44</v>
      </c>
      <c r="D587" s="376" t="s">
        <v>449</v>
      </c>
      <c r="E587" s="376" t="s">
        <v>926</v>
      </c>
      <c r="F587" s="431" t="s">
        <v>502</v>
      </c>
      <c r="I587" s="431">
        <v>42</v>
      </c>
      <c r="J587" s="433" t="s">
        <v>404</v>
      </c>
      <c r="K587" s="431" t="s">
        <v>929</v>
      </c>
      <c r="M587" s="490" t="s">
        <v>431</v>
      </c>
      <c r="N587" s="730">
        <v>64852</v>
      </c>
      <c r="O587" s="459">
        <v>64853</v>
      </c>
      <c r="P587" s="459">
        <v>64874</v>
      </c>
      <c r="Q587" s="432" t="s">
        <v>51</v>
      </c>
    </row>
    <row r="588" spans="1:19">
      <c r="A588" s="377">
        <f t="shared" si="1"/>
        <v>587</v>
      </c>
      <c r="B588" s="432" t="s">
        <v>524</v>
      </c>
      <c r="C588" s="376" t="s">
        <v>44</v>
      </c>
      <c r="D588" s="376" t="s">
        <v>449</v>
      </c>
      <c r="E588" s="376" t="s">
        <v>927</v>
      </c>
      <c r="F588" s="431" t="s">
        <v>502</v>
      </c>
      <c r="I588" s="431">
        <v>39</v>
      </c>
      <c r="J588" s="433" t="s">
        <v>433</v>
      </c>
      <c r="K588" s="431" t="s">
        <v>929</v>
      </c>
      <c r="M588" s="490" t="s">
        <v>431</v>
      </c>
      <c r="N588" s="730">
        <v>64852</v>
      </c>
      <c r="O588" s="459">
        <v>64853</v>
      </c>
      <c r="P588" s="459">
        <v>64874</v>
      </c>
      <c r="Q588" s="432" t="s">
        <v>51</v>
      </c>
    </row>
    <row r="589" spans="1:19">
      <c r="A589" s="377">
        <f t="shared" si="1"/>
        <v>588</v>
      </c>
      <c r="B589" s="432" t="s">
        <v>524</v>
      </c>
      <c r="C589" s="376" t="s">
        <v>44</v>
      </c>
      <c r="D589" s="376" t="s">
        <v>449</v>
      </c>
      <c r="E589" s="376" t="s">
        <v>928</v>
      </c>
      <c r="F589" s="431" t="s">
        <v>502</v>
      </c>
      <c r="I589" s="431">
        <v>17</v>
      </c>
      <c r="J589" s="433" t="s">
        <v>404</v>
      </c>
      <c r="K589" s="431" t="s">
        <v>929</v>
      </c>
      <c r="M589" s="490" t="s">
        <v>431</v>
      </c>
      <c r="N589" s="730">
        <v>64852</v>
      </c>
      <c r="O589" s="459">
        <v>64853</v>
      </c>
      <c r="P589" s="459">
        <v>64874</v>
      </c>
      <c r="Q589" s="432" t="s">
        <v>51</v>
      </c>
      <c r="S589" s="332">
        <f ca="1">TODAY()</f>
        <v>44612</v>
      </c>
    </row>
    <row r="590" spans="1:19">
      <c r="A590" s="377">
        <f t="shared" si="1"/>
        <v>589</v>
      </c>
      <c r="B590" s="432" t="s">
        <v>524</v>
      </c>
      <c r="C590" s="376" t="s">
        <v>44</v>
      </c>
      <c r="D590" s="376" t="s">
        <v>449</v>
      </c>
      <c r="E590" s="376" t="s">
        <v>941</v>
      </c>
      <c r="F590" s="431" t="s">
        <v>491</v>
      </c>
      <c r="G590" s="434">
        <v>9857822282</v>
      </c>
      <c r="I590" s="431">
        <v>66</v>
      </c>
      <c r="J590" s="433" t="s">
        <v>404</v>
      </c>
      <c r="K590" s="431" t="s">
        <v>709</v>
      </c>
      <c r="M590" s="490" t="s">
        <v>431</v>
      </c>
      <c r="N590" s="730">
        <v>64854</v>
      </c>
      <c r="O590" s="459">
        <v>64855</v>
      </c>
      <c r="P590" s="459">
        <v>64876</v>
      </c>
      <c r="Q590" s="432" t="s">
        <v>51</v>
      </c>
      <c r="S590" s="332">
        <f ca="1">S589-21</f>
        <v>44591</v>
      </c>
    </row>
    <row r="591" spans="1:19">
      <c r="A591" s="377">
        <f t="shared" si="1"/>
        <v>590</v>
      </c>
      <c r="B591" s="432" t="s">
        <v>524</v>
      </c>
      <c r="C591" s="376" t="s">
        <v>44</v>
      </c>
      <c r="D591" s="376" t="s">
        <v>449</v>
      </c>
      <c r="E591" s="376" t="s">
        <v>942</v>
      </c>
      <c r="F591" s="431" t="s">
        <v>491</v>
      </c>
      <c r="G591" s="434">
        <v>9884050226</v>
      </c>
      <c r="I591" s="431">
        <v>75</v>
      </c>
      <c r="J591" s="433" t="s">
        <v>404</v>
      </c>
      <c r="K591" s="431" t="s">
        <v>709</v>
      </c>
      <c r="M591" s="490" t="s">
        <v>431</v>
      </c>
      <c r="N591" s="730">
        <v>64854</v>
      </c>
      <c r="O591" s="459">
        <v>64855</v>
      </c>
      <c r="P591" s="459">
        <v>64876</v>
      </c>
      <c r="Q591" s="432" t="s">
        <v>51</v>
      </c>
    </row>
    <row r="592" spans="1:19">
      <c r="A592" s="377">
        <f t="shared" si="1"/>
        <v>591</v>
      </c>
      <c r="B592" s="432" t="s">
        <v>524</v>
      </c>
      <c r="C592" s="376" t="s">
        <v>44</v>
      </c>
      <c r="D592" s="376" t="s">
        <v>449</v>
      </c>
      <c r="E592" s="376" t="s">
        <v>979</v>
      </c>
      <c r="F592" s="431" t="s">
        <v>497</v>
      </c>
      <c r="G592" s="434">
        <v>9868635707</v>
      </c>
      <c r="I592" s="431">
        <v>44</v>
      </c>
      <c r="J592" s="433" t="s">
        <v>433</v>
      </c>
      <c r="K592" s="431" t="s">
        <v>709</v>
      </c>
      <c r="M592" s="490" t="s">
        <v>431</v>
      </c>
      <c r="N592" s="730">
        <v>64854</v>
      </c>
      <c r="O592" s="459">
        <v>64855</v>
      </c>
      <c r="P592" s="459">
        <v>64876</v>
      </c>
      <c r="Q592" s="432" t="s">
        <v>51</v>
      </c>
    </row>
    <row r="593" spans="1:17">
      <c r="A593" s="377">
        <f t="shared" si="1"/>
        <v>592</v>
      </c>
      <c r="B593" s="432" t="s">
        <v>524</v>
      </c>
      <c r="C593" s="376" t="s">
        <v>44</v>
      </c>
      <c r="D593" s="376" t="s">
        <v>449</v>
      </c>
      <c r="E593" s="376" t="s">
        <v>943</v>
      </c>
      <c r="F593" s="431" t="s">
        <v>510</v>
      </c>
      <c r="G593" s="434">
        <v>9807092062</v>
      </c>
      <c r="I593" s="431">
        <v>25</v>
      </c>
      <c r="J593" s="433" t="s">
        <v>433</v>
      </c>
      <c r="K593" s="431" t="s">
        <v>709</v>
      </c>
      <c r="M593" s="490" t="s">
        <v>431</v>
      </c>
      <c r="N593" s="730">
        <v>64854</v>
      </c>
      <c r="O593" s="459">
        <v>64855</v>
      </c>
      <c r="P593" s="459">
        <v>64876</v>
      </c>
      <c r="Q593" s="432" t="s">
        <v>51</v>
      </c>
    </row>
    <row r="594" spans="1:17">
      <c r="A594" s="377">
        <f t="shared" si="1"/>
        <v>593</v>
      </c>
      <c r="B594" s="432" t="s">
        <v>524</v>
      </c>
      <c r="C594" s="376" t="s">
        <v>44</v>
      </c>
      <c r="D594" s="376" t="s">
        <v>449</v>
      </c>
      <c r="E594" s="376" t="s">
        <v>944</v>
      </c>
      <c r="F594" s="431" t="s">
        <v>124</v>
      </c>
      <c r="G594" s="434">
        <v>9842337551</v>
      </c>
      <c r="I594" s="431">
        <v>27</v>
      </c>
      <c r="J594" s="433" t="s">
        <v>404</v>
      </c>
      <c r="K594" s="431" t="s">
        <v>709</v>
      </c>
      <c r="M594" s="490" t="s">
        <v>431</v>
      </c>
      <c r="N594" s="730">
        <v>64854</v>
      </c>
      <c r="O594" s="459">
        <v>64855</v>
      </c>
      <c r="P594" s="459">
        <v>64876</v>
      </c>
      <c r="Q594" s="432" t="s">
        <v>51</v>
      </c>
    </row>
    <row r="595" spans="1:17">
      <c r="A595" s="377">
        <f t="shared" si="1"/>
        <v>594</v>
      </c>
      <c r="B595" s="432" t="s">
        <v>524</v>
      </c>
      <c r="C595" s="376" t="s">
        <v>44</v>
      </c>
      <c r="D595" s="376" t="s">
        <v>449</v>
      </c>
      <c r="E595" s="376" t="s">
        <v>945</v>
      </c>
      <c r="F595" s="431" t="s">
        <v>598</v>
      </c>
      <c r="G595" s="434">
        <v>9842337551</v>
      </c>
      <c r="I595" s="431">
        <v>17</v>
      </c>
      <c r="J595" s="433" t="s">
        <v>404</v>
      </c>
      <c r="K595" s="431" t="s">
        <v>709</v>
      </c>
      <c r="M595" s="490" t="s">
        <v>431</v>
      </c>
      <c r="N595" s="730">
        <v>64854</v>
      </c>
      <c r="O595" s="459">
        <v>64855</v>
      </c>
      <c r="P595" s="459">
        <v>64876</v>
      </c>
      <c r="Q595" s="432" t="s">
        <v>51</v>
      </c>
    </row>
    <row r="596" spans="1:17">
      <c r="A596" s="377">
        <f t="shared" si="1"/>
        <v>595</v>
      </c>
      <c r="B596" s="432" t="s">
        <v>524</v>
      </c>
      <c r="C596" s="376" t="s">
        <v>44</v>
      </c>
      <c r="D596" s="376" t="s">
        <v>449</v>
      </c>
      <c r="E596" s="376" t="s">
        <v>946</v>
      </c>
      <c r="F596" s="431" t="s">
        <v>502</v>
      </c>
      <c r="G596" s="434">
        <v>9844947411</v>
      </c>
      <c r="I596" s="431">
        <v>67</v>
      </c>
      <c r="J596" s="433" t="s">
        <v>404</v>
      </c>
      <c r="K596" s="431" t="s">
        <v>709</v>
      </c>
      <c r="M596" s="438" t="s">
        <v>489</v>
      </c>
      <c r="N596" s="730">
        <v>64854</v>
      </c>
      <c r="O596" s="459">
        <v>64855</v>
      </c>
      <c r="P596" s="459">
        <v>64870</v>
      </c>
      <c r="Q596" s="432" t="s">
        <v>51</v>
      </c>
    </row>
    <row r="597" spans="1:17">
      <c r="A597" s="377">
        <f t="shared" si="1"/>
        <v>596</v>
      </c>
      <c r="B597" s="432" t="s">
        <v>524</v>
      </c>
      <c r="C597" s="376" t="s">
        <v>44</v>
      </c>
      <c r="D597" s="376" t="s">
        <v>449</v>
      </c>
      <c r="E597" s="376" t="s">
        <v>947</v>
      </c>
      <c r="F597" s="431" t="s">
        <v>502</v>
      </c>
      <c r="G597" s="434">
        <v>9844947411</v>
      </c>
      <c r="I597" s="431">
        <v>58</v>
      </c>
      <c r="J597" s="433" t="s">
        <v>433</v>
      </c>
      <c r="K597" s="431" t="s">
        <v>709</v>
      </c>
      <c r="M597" s="490" t="s">
        <v>431</v>
      </c>
      <c r="N597" s="730">
        <v>64854</v>
      </c>
      <c r="O597" s="459">
        <v>64855</v>
      </c>
      <c r="P597" s="459">
        <v>64876</v>
      </c>
      <c r="Q597" s="432" t="s">
        <v>51</v>
      </c>
    </row>
    <row r="598" spans="1:17">
      <c r="A598" s="377">
        <f t="shared" si="1"/>
        <v>597</v>
      </c>
      <c r="B598" s="432" t="s">
        <v>524</v>
      </c>
      <c r="C598" s="376" t="s">
        <v>44</v>
      </c>
      <c r="D598" s="376" t="s">
        <v>449</v>
      </c>
      <c r="E598" s="376" t="s">
        <v>948</v>
      </c>
      <c r="F598" s="431" t="s">
        <v>783</v>
      </c>
      <c r="G598" s="434">
        <v>9855083342</v>
      </c>
      <c r="I598" s="431">
        <v>20</v>
      </c>
      <c r="J598" s="433" t="s">
        <v>404</v>
      </c>
      <c r="K598" s="431" t="s">
        <v>709</v>
      </c>
      <c r="M598" s="490" t="s">
        <v>431</v>
      </c>
      <c r="N598" s="730">
        <v>64854</v>
      </c>
      <c r="O598" s="459">
        <v>64855</v>
      </c>
      <c r="P598" s="459">
        <v>64876</v>
      </c>
      <c r="Q598" s="432" t="s">
        <v>51</v>
      </c>
    </row>
    <row r="599" spans="1:17">
      <c r="A599" s="377">
        <f t="shared" si="1"/>
        <v>598</v>
      </c>
      <c r="B599" s="432" t="s">
        <v>524</v>
      </c>
      <c r="C599" s="376" t="s">
        <v>44</v>
      </c>
      <c r="D599" s="376" t="s">
        <v>449</v>
      </c>
      <c r="E599" s="376" t="s">
        <v>949</v>
      </c>
      <c r="F599" s="431" t="s">
        <v>791</v>
      </c>
      <c r="I599" s="431">
        <v>32</v>
      </c>
      <c r="J599" s="433" t="s">
        <v>404</v>
      </c>
      <c r="K599" s="431" t="s">
        <v>709</v>
      </c>
      <c r="M599" s="490" t="s">
        <v>431</v>
      </c>
      <c r="N599" s="730">
        <v>64854</v>
      </c>
      <c r="O599" s="459">
        <v>64855</v>
      </c>
      <c r="P599" s="459">
        <v>64876</v>
      </c>
      <c r="Q599" s="432" t="s">
        <v>51</v>
      </c>
    </row>
    <row r="600" spans="1:17">
      <c r="A600" s="377">
        <f t="shared" si="1"/>
        <v>599</v>
      </c>
      <c r="B600" s="432" t="s">
        <v>524</v>
      </c>
      <c r="C600" s="376" t="s">
        <v>44</v>
      </c>
      <c r="D600" s="376" t="s">
        <v>449</v>
      </c>
      <c r="E600" s="376" t="s">
        <v>950</v>
      </c>
      <c r="F600" s="431" t="s">
        <v>529</v>
      </c>
      <c r="G600" s="434">
        <v>9860059550</v>
      </c>
      <c r="I600" s="431">
        <v>36</v>
      </c>
      <c r="J600" s="433" t="s">
        <v>433</v>
      </c>
      <c r="K600" s="431" t="s">
        <v>709</v>
      </c>
      <c r="M600" s="490" t="s">
        <v>431</v>
      </c>
      <c r="N600" s="730">
        <v>64854</v>
      </c>
      <c r="O600" s="459">
        <v>64855</v>
      </c>
      <c r="P600" s="459">
        <v>64876</v>
      </c>
      <c r="Q600" s="432" t="s">
        <v>51</v>
      </c>
    </row>
    <row r="601" spans="1:17">
      <c r="A601" s="377">
        <f t="shared" si="1"/>
        <v>600</v>
      </c>
      <c r="B601" s="432" t="s">
        <v>524</v>
      </c>
      <c r="C601" s="376" t="s">
        <v>44</v>
      </c>
      <c r="D601" s="376" t="s">
        <v>449</v>
      </c>
      <c r="E601" s="376" t="s">
        <v>951</v>
      </c>
      <c r="F601" s="431" t="s">
        <v>548</v>
      </c>
      <c r="G601" s="434">
        <v>9849788245</v>
      </c>
      <c r="I601" s="431">
        <v>24</v>
      </c>
      <c r="J601" s="433" t="s">
        <v>433</v>
      </c>
      <c r="K601" s="431" t="s">
        <v>709</v>
      </c>
      <c r="M601" s="490" t="s">
        <v>431</v>
      </c>
      <c r="N601" s="730">
        <v>64854</v>
      </c>
      <c r="O601" s="459">
        <v>64855</v>
      </c>
      <c r="P601" s="459">
        <v>64876</v>
      </c>
      <c r="Q601" s="432" t="s">
        <v>51</v>
      </c>
    </row>
    <row r="602" spans="1:17">
      <c r="A602" s="377">
        <f t="shared" si="1"/>
        <v>601</v>
      </c>
      <c r="B602" s="432" t="s">
        <v>524</v>
      </c>
      <c r="C602" s="376" t="s">
        <v>44</v>
      </c>
      <c r="D602" s="376" t="s">
        <v>449</v>
      </c>
      <c r="E602" s="376" t="s">
        <v>952</v>
      </c>
      <c r="F602" s="431" t="s">
        <v>548</v>
      </c>
      <c r="G602" s="434">
        <v>9803361880</v>
      </c>
      <c r="I602" s="431">
        <v>45</v>
      </c>
      <c r="J602" s="433" t="s">
        <v>433</v>
      </c>
      <c r="K602" s="431" t="s">
        <v>709</v>
      </c>
      <c r="M602" s="490" t="s">
        <v>431</v>
      </c>
      <c r="N602" s="730">
        <v>64854</v>
      </c>
      <c r="O602" s="459">
        <v>64855</v>
      </c>
      <c r="P602" s="459">
        <v>64876</v>
      </c>
      <c r="Q602" s="432" t="s">
        <v>51</v>
      </c>
    </row>
    <row r="603" spans="1:17">
      <c r="A603" s="377">
        <f t="shared" si="1"/>
        <v>602</v>
      </c>
      <c r="B603" s="432" t="s">
        <v>524</v>
      </c>
      <c r="C603" s="376" t="s">
        <v>44</v>
      </c>
      <c r="D603" s="376" t="s">
        <v>449</v>
      </c>
      <c r="E603" s="376" t="s">
        <v>953</v>
      </c>
      <c r="F603" s="431" t="s">
        <v>491</v>
      </c>
      <c r="G603" s="434">
        <v>9867761549</v>
      </c>
      <c r="I603" s="431">
        <v>29</v>
      </c>
      <c r="J603" s="433" t="s">
        <v>433</v>
      </c>
      <c r="K603" s="431" t="s">
        <v>709</v>
      </c>
      <c r="M603" s="490" t="s">
        <v>431</v>
      </c>
      <c r="N603" s="730">
        <v>64854</v>
      </c>
      <c r="O603" s="459">
        <v>64855</v>
      </c>
      <c r="P603" s="459">
        <v>64876</v>
      </c>
      <c r="Q603" s="432" t="s">
        <v>51</v>
      </c>
    </row>
    <row r="604" spans="1:17">
      <c r="A604" s="377">
        <f t="shared" si="1"/>
        <v>603</v>
      </c>
      <c r="B604" s="432" t="s">
        <v>524</v>
      </c>
      <c r="C604" s="376" t="s">
        <v>44</v>
      </c>
      <c r="D604" s="376" t="s">
        <v>449</v>
      </c>
      <c r="E604" s="376" t="s">
        <v>954</v>
      </c>
      <c r="F604" s="431" t="s">
        <v>491</v>
      </c>
      <c r="G604" s="434">
        <v>9867761549</v>
      </c>
      <c r="I604" s="431">
        <v>13</v>
      </c>
      <c r="J604" s="433" t="s">
        <v>433</v>
      </c>
      <c r="K604" s="431" t="s">
        <v>709</v>
      </c>
      <c r="M604" s="490" t="s">
        <v>431</v>
      </c>
      <c r="N604" s="730">
        <v>64854</v>
      </c>
      <c r="O604" s="459">
        <v>64855</v>
      </c>
      <c r="P604" s="459">
        <v>64876</v>
      </c>
      <c r="Q604" s="432" t="s">
        <v>51</v>
      </c>
    </row>
    <row r="605" spans="1:17">
      <c r="A605" s="377">
        <f t="shared" si="1"/>
        <v>604</v>
      </c>
      <c r="B605" s="432" t="s">
        <v>524</v>
      </c>
      <c r="C605" s="376" t="s">
        <v>44</v>
      </c>
      <c r="D605" s="376" t="s">
        <v>449</v>
      </c>
      <c r="E605" s="376" t="s">
        <v>955</v>
      </c>
      <c r="F605" s="431" t="s">
        <v>491</v>
      </c>
      <c r="G605" s="434">
        <v>9847836934</v>
      </c>
      <c r="I605" s="431">
        <v>45</v>
      </c>
      <c r="J605" s="433" t="s">
        <v>433</v>
      </c>
      <c r="K605" s="431" t="s">
        <v>709</v>
      </c>
      <c r="M605" s="438" t="s">
        <v>489</v>
      </c>
      <c r="N605" s="730">
        <v>64854</v>
      </c>
      <c r="O605" s="459">
        <v>64855</v>
      </c>
      <c r="P605" s="459">
        <v>64870</v>
      </c>
      <c r="Q605" s="432" t="s">
        <v>51</v>
      </c>
    </row>
    <row r="606" spans="1:17">
      <c r="A606" s="377">
        <f t="shared" si="1"/>
        <v>605</v>
      </c>
      <c r="B606" s="432" t="s">
        <v>524</v>
      </c>
      <c r="C606" s="376" t="s">
        <v>44</v>
      </c>
      <c r="D606" s="376" t="s">
        <v>449</v>
      </c>
      <c r="E606" s="376" t="s">
        <v>956</v>
      </c>
      <c r="F606" s="431" t="s">
        <v>502</v>
      </c>
      <c r="G606" s="434">
        <v>9841518154</v>
      </c>
      <c r="I606" s="431">
        <v>64</v>
      </c>
      <c r="J606" s="433" t="s">
        <v>433</v>
      </c>
      <c r="K606" s="431" t="s">
        <v>709</v>
      </c>
      <c r="M606" s="490" t="s">
        <v>431</v>
      </c>
      <c r="N606" s="730">
        <v>64854</v>
      </c>
      <c r="O606" s="459">
        <v>64855</v>
      </c>
      <c r="P606" s="459">
        <v>64876</v>
      </c>
      <c r="Q606" s="432" t="s">
        <v>51</v>
      </c>
    </row>
    <row r="607" spans="1:17">
      <c r="A607" s="377">
        <f t="shared" si="1"/>
        <v>606</v>
      </c>
      <c r="B607" s="432" t="s">
        <v>524</v>
      </c>
      <c r="C607" s="376" t="s">
        <v>44</v>
      </c>
      <c r="D607" s="376" t="s">
        <v>449</v>
      </c>
      <c r="E607" s="376" t="s">
        <v>957</v>
      </c>
      <c r="F607" s="431" t="s">
        <v>502</v>
      </c>
      <c r="G607" s="434">
        <v>9822880545</v>
      </c>
      <c r="I607" s="431">
        <v>19</v>
      </c>
      <c r="J607" s="433" t="s">
        <v>404</v>
      </c>
      <c r="K607" s="431" t="s">
        <v>709</v>
      </c>
      <c r="M607" s="490" t="s">
        <v>431</v>
      </c>
      <c r="N607" s="730">
        <v>64854</v>
      </c>
      <c r="O607" s="459">
        <v>64855</v>
      </c>
      <c r="P607" s="459">
        <v>64876</v>
      </c>
      <c r="Q607" s="432" t="s">
        <v>51</v>
      </c>
    </row>
    <row r="608" spans="1:17">
      <c r="A608" s="377">
        <f t="shared" si="1"/>
        <v>607</v>
      </c>
      <c r="B608" s="432" t="s">
        <v>524</v>
      </c>
      <c r="C608" s="376" t="s">
        <v>44</v>
      </c>
      <c r="D608" s="376" t="s">
        <v>449</v>
      </c>
      <c r="E608" s="376" t="s">
        <v>958</v>
      </c>
      <c r="F608" s="431" t="s">
        <v>491</v>
      </c>
      <c r="G608" s="434">
        <v>9849431095</v>
      </c>
      <c r="I608" s="431">
        <v>31</v>
      </c>
      <c r="J608" s="433" t="s">
        <v>433</v>
      </c>
      <c r="K608" s="431" t="s">
        <v>709</v>
      </c>
      <c r="M608" s="490" t="s">
        <v>431</v>
      </c>
      <c r="N608" s="730">
        <v>64854</v>
      </c>
      <c r="O608" s="459">
        <v>64855</v>
      </c>
      <c r="P608" s="459">
        <v>64876</v>
      </c>
      <c r="Q608" s="432" t="s">
        <v>51</v>
      </c>
    </row>
    <row r="609" spans="1:17">
      <c r="A609" s="377">
        <f t="shared" si="1"/>
        <v>608</v>
      </c>
      <c r="B609" s="432" t="s">
        <v>524</v>
      </c>
      <c r="C609" s="376" t="s">
        <v>44</v>
      </c>
      <c r="D609" s="376" t="s">
        <v>449</v>
      </c>
      <c r="E609" s="376" t="s">
        <v>959</v>
      </c>
      <c r="F609" s="431" t="s">
        <v>491</v>
      </c>
      <c r="G609" s="434">
        <v>9849431095</v>
      </c>
      <c r="I609" s="431">
        <v>65</v>
      </c>
      <c r="J609" s="433" t="s">
        <v>433</v>
      </c>
      <c r="K609" s="431" t="s">
        <v>709</v>
      </c>
      <c r="M609" s="490" t="s">
        <v>431</v>
      </c>
      <c r="N609" s="730">
        <v>64854</v>
      </c>
      <c r="O609" s="459">
        <v>64855</v>
      </c>
      <c r="P609" s="459">
        <v>64876</v>
      </c>
      <c r="Q609" s="432" t="s">
        <v>51</v>
      </c>
    </row>
    <row r="610" spans="1:17">
      <c r="A610" s="377">
        <f t="shared" si="1"/>
        <v>609</v>
      </c>
      <c r="B610" s="432" t="s">
        <v>524</v>
      </c>
      <c r="C610" s="376" t="s">
        <v>44</v>
      </c>
      <c r="D610" s="376" t="s">
        <v>449</v>
      </c>
      <c r="E610" s="376" t="s">
        <v>960</v>
      </c>
      <c r="F610" s="431" t="s">
        <v>491</v>
      </c>
      <c r="G610" s="434">
        <v>9849431095</v>
      </c>
      <c r="I610" s="431">
        <v>27</v>
      </c>
      <c r="J610" s="433" t="s">
        <v>404</v>
      </c>
      <c r="K610" s="431" t="s">
        <v>709</v>
      </c>
      <c r="M610" s="490" t="s">
        <v>431</v>
      </c>
      <c r="N610" s="730">
        <v>64854</v>
      </c>
      <c r="O610" s="459">
        <v>64855</v>
      </c>
      <c r="P610" s="459">
        <v>64876</v>
      </c>
      <c r="Q610" s="432" t="s">
        <v>51</v>
      </c>
    </row>
    <row r="611" spans="1:17">
      <c r="A611" s="377">
        <f t="shared" si="1"/>
        <v>610</v>
      </c>
      <c r="B611" s="432" t="s">
        <v>524</v>
      </c>
      <c r="C611" s="376" t="s">
        <v>44</v>
      </c>
      <c r="D611" s="376" t="s">
        <v>449</v>
      </c>
      <c r="E611" s="376" t="s">
        <v>961</v>
      </c>
      <c r="F611" s="431" t="s">
        <v>491</v>
      </c>
      <c r="G611" s="434">
        <v>9849431095</v>
      </c>
      <c r="I611" s="431">
        <v>59</v>
      </c>
      <c r="J611" s="433" t="s">
        <v>404</v>
      </c>
      <c r="K611" s="431" t="s">
        <v>709</v>
      </c>
      <c r="M611" s="490" t="s">
        <v>431</v>
      </c>
      <c r="N611" s="730">
        <v>64854</v>
      </c>
      <c r="O611" s="459">
        <v>64855</v>
      </c>
      <c r="P611" s="459">
        <v>64876</v>
      </c>
      <c r="Q611" s="432" t="s">
        <v>51</v>
      </c>
    </row>
    <row r="612" spans="1:17">
      <c r="A612" s="377">
        <f t="shared" si="1"/>
        <v>611</v>
      </c>
      <c r="B612" s="432" t="s">
        <v>524</v>
      </c>
      <c r="C612" s="376" t="s">
        <v>44</v>
      </c>
      <c r="D612" s="376" t="s">
        <v>449</v>
      </c>
      <c r="E612" s="376" t="s">
        <v>962</v>
      </c>
      <c r="F612" s="431" t="s">
        <v>497</v>
      </c>
      <c r="G612" s="434">
        <v>9849623183</v>
      </c>
      <c r="I612" s="431">
        <v>27</v>
      </c>
      <c r="J612" s="433" t="s">
        <v>433</v>
      </c>
      <c r="K612" s="431" t="s">
        <v>709</v>
      </c>
      <c r="M612" s="490" t="s">
        <v>431</v>
      </c>
      <c r="N612" s="730">
        <v>64854</v>
      </c>
      <c r="O612" s="459">
        <v>64855</v>
      </c>
      <c r="P612" s="459">
        <v>64876</v>
      </c>
      <c r="Q612" s="432" t="s">
        <v>51</v>
      </c>
    </row>
    <row r="613" spans="1:17">
      <c r="A613" s="377">
        <f t="shared" si="1"/>
        <v>612</v>
      </c>
      <c r="B613" s="432" t="s">
        <v>524</v>
      </c>
      <c r="C613" s="376" t="s">
        <v>44</v>
      </c>
      <c r="D613" s="376" t="s">
        <v>449</v>
      </c>
      <c r="E613" s="376" t="s">
        <v>963</v>
      </c>
      <c r="F613" s="431" t="s">
        <v>497</v>
      </c>
      <c r="G613" s="434">
        <v>9849623183</v>
      </c>
      <c r="I613" s="431">
        <v>3</v>
      </c>
      <c r="J613" s="433" t="s">
        <v>404</v>
      </c>
      <c r="K613" s="431" t="s">
        <v>709</v>
      </c>
      <c r="M613" s="490" t="s">
        <v>431</v>
      </c>
      <c r="N613" s="730">
        <v>64854</v>
      </c>
      <c r="O613" s="459">
        <v>64855</v>
      </c>
      <c r="P613" s="459">
        <v>64876</v>
      </c>
      <c r="Q613" s="432" t="s">
        <v>51</v>
      </c>
    </row>
    <row r="614" spans="1:17">
      <c r="A614" s="377">
        <f t="shared" si="1"/>
        <v>613</v>
      </c>
      <c r="B614" s="432" t="s">
        <v>524</v>
      </c>
      <c r="C614" s="376" t="s">
        <v>44</v>
      </c>
      <c r="D614" s="376" t="s">
        <v>449</v>
      </c>
      <c r="E614" s="376" t="s">
        <v>964</v>
      </c>
      <c r="F614" s="431" t="s">
        <v>497</v>
      </c>
      <c r="G614" s="434">
        <v>9841746584</v>
      </c>
      <c r="I614" s="431">
        <v>33</v>
      </c>
      <c r="J614" s="433" t="s">
        <v>433</v>
      </c>
      <c r="K614" s="431" t="s">
        <v>709</v>
      </c>
      <c r="M614" s="490" t="s">
        <v>431</v>
      </c>
      <c r="N614" s="730">
        <v>64855</v>
      </c>
      <c r="O614" s="459">
        <v>64856</v>
      </c>
      <c r="P614" s="459">
        <v>64879</v>
      </c>
      <c r="Q614" s="432" t="s">
        <v>51</v>
      </c>
    </row>
    <row r="615" spans="1:17">
      <c r="A615" s="377">
        <f t="shared" si="1"/>
        <v>614</v>
      </c>
      <c r="B615" s="432" t="s">
        <v>524</v>
      </c>
      <c r="C615" s="376" t="s">
        <v>44</v>
      </c>
      <c r="D615" s="376" t="s">
        <v>449</v>
      </c>
      <c r="E615" s="376" t="s">
        <v>965</v>
      </c>
      <c r="F615" s="431" t="s">
        <v>557</v>
      </c>
      <c r="G615" s="434">
        <v>9847890814</v>
      </c>
      <c r="I615" s="431">
        <v>60</v>
      </c>
      <c r="J615" s="433" t="s">
        <v>433</v>
      </c>
      <c r="K615" s="431" t="s">
        <v>709</v>
      </c>
      <c r="M615" s="490" t="s">
        <v>431</v>
      </c>
      <c r="N615" s="730">
        <v>64855</v>
      </c>
      <c r="O615" s="459">
        <v>64856</v>
      </c>
      <c r="P615" s="459">
        <v>64879</v>
      </c>
      <c r="Q615" s="432" t="s">
        <v>51</v>
      </c>
    </row>
    <row r="616" spans="1:17">
      <c r="A616" s="377">
        <f>A615+1</f>
        <v>615</v>
      </c>
      <c r="B616" s="432" t="s">
        <v>524</v>
      </c>
      <c r="C616" s="376" t="s">
        <v>44</v>
      </c>
      <c r="D616" s="376" t="s">
        <v>449</v>
      </c>
      <c r="E616" s="376" t="s">
        <v>966</v>
      </c>
      <c r="F616" s="431" t="s">
        <v>502</v>
      </c>
      <c r="G616" s="434">
        <v>9844920848</v>
      </c>
      <c r="I616" s="431">
        <v>53</v>
      </c>
      <c r="J616" s="433" t="s">
        <v>404</v>
      </c>
      <c r="K616" s="431" t="s">
        <v>709</v>
      </c>
      <c r="M616" s="490" t="s">
        <v>431</v>
      </c>
      <c r="N616" s="730">
        <v>64855</v>
      </c>
      <c r="O616" s="459">
        <v>64856</v>
      </c>
      <c r="P616" s="459">
        <v>64879</v>
      </c>
      <c r="Q616" s="432" t="s">
        <v>51</v>
      </c>
    </row>
    <row r="617" spans="1:17">
      <c r="A617" s="377">
        <f t="shared" si="1"/>
        <v>616</v>
      </c>
      <c r="B617" s="432" t="s">
        <v>524</v>
      </c>
      <c r="C617" s="376" t="s">
        <v>44</v>
      </c>
      <c r="D617" s="376" t="s">
        <v>449</v>
      </c>
      <c r="E617" s="376" t="s">
        <v>967</v>
      </c>
      <c r="F617" s="431" t="s">
        <v>502</v>
      </c>
      <c r="G617" s="434">
        <v>9857836700</v>
      </c>
      <c r="I617" s="431">
        <v>66</v>
      </c>
      <c r="J617" s="433" t="s">
        <v>404</v>
      </c>
      <c r="K617" s="431" t="s">
        <v>709</v>
      </c>
      <c r="M617" s="490" t="s">
        <v>431</v>
      </c>
      <c r="N617" s="730">
        <v>64855</v>
      </c>
      <c r="O617" s="459">
        <v>64856</v>
      </c>
      <c r="P617" s="459">
        <v>64879</v>
      </c>
      <c r="Q617" s="432" t="s">
        <v>51</v>
      </c>
    </row>
    <row r="618" spans="1:17">
      <c r="A618" s="377">
        <f t="shared" si="1"/>
        <v>617</v>
      </c>
      <c r="B618" s="432" t="s">
        <v>524</v>
      </c>
      <c r="C618" s="376" t="s">
        <v>44</v>
      </c>
      <c r="D618" s="376" t="s">
        <v>449</v>
      </c>
      <c r="E618" s="376" t="s">
        <v>968</v>
      </c>
      <c r="F618" s="431" t="s">
        <v>502</v>
      </c>
      <c r="G618" s="434">
        <v>9857836750</v>
      </c>
      <c r="I618" s="431">
        <v>57</v>
      </c>
      <c r="J618" s="433" t="s">
        <v>433</v>
      </c>
      <c r="K618" s="431" t="s">
        <v>709</v>
      </c>
      <c r="M618" s="490" t="s">
        <v>431</v>
      </c>
      <c r="N618" s="730">
        <v>64855</v>
      </c>
      <c r="O618" s="459">
        <v>64856</v>
      </c>
      <c r="P618" s="459">
        <v>64879</v>
      </c>
      <c r="Q618" s="432" t="s">
        <v>51</v>
      </c>
    </row>
    <row r="619" spans="1:17">
      <c r="A619" s="377">
        <f t="shared" si="1"/>
        <v>618</v>
      </c>
      <c r="B619" s="432" t="s">
        <v>524</v>
      </c>
      <c r="C619" s="376" t="s">
        <v>44</v>
      </c>
      <c r="D619" s="376" t="s">
        <v>449</v>
      </c>
      <c r="E619" s="376" t="s">
        <v>969</v>
      </c>
      <c r="F619" s="431" t="s">
        <v>502</v>
      </c>
      <c r="G619" s="434">
        <v>9857836750</v>
      </c>
      <c r="I619" s="431">
        <v>41</v>
      </c>
      <c r="J619" s="433" t="s">
        <v>404</v>
      </c>
      <c r="K619" s="431" t="s">
        <v>709</v>
      </c>
      <c r="M619" s="490" t="s">
        <v>431</v>
      </c>
      <c r="N619" s="730">
        <v>64855</v>
      </c>
      <c r="O619" s="459">
        <v>64856</v>
      </c>
      <c r="P619" s="459">
        <v>64879</v>
      </c>
      <c r="Q619" s="432" t="s">
        <v>51</v>
      </c>
    </row>
    <row r="620" spans="1:17">
      <c r="A620" s="377">
        <f t="shared" si="1"/>
        <v>619</v>
      </c>
      <c r="B620" s="432" t="s">
        <v>524</v>
      </c>
      <c r="C620" s="376" t="s">
        <v>44</v>
      </c>
      <c r="D620" s="376" t="s">
        <v>449</v>
      </c>
      <c r="E620" s="376" t="s">
        <v>905</v>
      </c>
      <c r="F620" s="431" t="s">
        <v>451</v>
      </c>
      <c r="G620" s="434">
        <v>9812526474</v>
      </c>
      <c r="I620" s="431">
        <v>20</v>
      </c>
      <c r="J620" s="433" t="s">
        <v>404</v>
      </c>
      <c r="K620" s="431" t="s">
        <v>709</v>
      </c>
      <c r="M620" s="490" t="s">
        <v>431</v>
      </c>
      <c r="N620" s="730">
        <v>64855</v>
      </c>
      <c r="O620" s="459">
        <v>64856</v>
      </c>
      <c r="P620" s="459">
        <v>64879</v>
      </c>
      <c r="Q620" s="432" t="s">
        <v>51</v>
      </c>
    </row>
    <row r="621" spans="1:17">
      <c r="A621" s="377">
        <f t="shared" ref="A621:A669" si="2">A620+1</f>
        <v>620</v>
      </c>
      <c r="B621" s="432" t="s">
        <v>524</v>
      </c>
      <c r="C621" s="376" t="s">
        <v>44</v>
      </c>
      <c r="D621" s="376" t="s">
        <v>449</v>
      </c>
      <c r="E621" s="376" t="s">
        <v>970</v>
      </c>
      <c r="F621" s="431" t="s">
        <v>451</v>
      </c>
      <c r="G621" s="434">
        <v>9855045145</v>
      </c>
      <c r="I621" s="431">
        <v>33</v>
      </c>
      <c r="J621" s="433" t="s">
        <v>404</v>
      </c>
      <c r="K621" s="431" t="s">
        <v>709</v>
      </c>
      <c r="M621" s="490" t="s">
        <v>431</v>
      </c>
      <c r="N621" s="730">
        <v>64855</v>
      </c>
      <c r="O621" s="459">
        <v>64856</v>
      </c>
      <c r="P621" s="459">
        <v>64879</v>
      </c>
      <c r="Q621" s="432" t="s">
        <v>51</v>
      </c>
    </row>
    <row r="622" spans="1:17">
      <c r="A622" s="377">
        <f t="shared" si="2"/>
        <v>621</v>
      </c>
      <c r="B622" s="422" t="s">
        <v>524</v>
      </c>
      <c r="C622" s="73" t="s">
        <v>44</v>
      </c>
      <c r="D622" s="73" t="s">
        <v>449</v>
      </c>
      <c r="E622" s="73" t="s">
        <v>971</v>
      </c>
      <c r="F622" s="373" t="s">
        <v>491</v>
      </c>
      <c r="G622" s="423">
        <v>9848109613</v>
      </c>
      <c r="H622" s="422"/>
      <c r="I622" s="373">
        <v>56</v>
      </c>
      <c r="J622" s="402" t="s">
        <v>404</v>
      </c>
      <c r="K622" s="373" t="s">
        <v>709</v>
      </c>
      <c r="L622" s="423"/>
      <c r="M622" s="507" t="s">
        <v>431</v>
      </c>
      <c r="N622" s="726">
        <v>64855</v>
      </c>
      <c r="O622" s="476">
        <v>64856</v>
      </c>
      <c r="P622" s="476">
        <v>64866</v>
      </c>
      <c r="Q622" s="422" t="s">
        <v>940</v>
      </c>
    </row>
    <row r="623" spans="1:17">
      <c r="A623" s="377">
        <f t="shared" si="2"/>
        <v>622</v>
      </c>
      <c r="B623" s="432" t="s">
        <v>524</v>
      </c>
      <c r="C623" s="376" t="s">
        <v>44</v>
      </c>
      <c r="D623" s="376" t="s">
        <v>449</v>
      </c>
      <c r="E623" s="376" t="s">
        <v>972</v>
      </c>
      <c r="F623" s="431" t="s">
        <v>491</v>
      </c>
      <c r="G623" s="434">
        <v>9866934373</v>
      </c>
      <c r="I623" s="431">
        <v>32</v>
      </c>
      <c r="J623" s="433" t="s">
        <v>433</v>
      </c>
      <c r="K623" s="431" t="s">
        <v>709</v>
      </c>
      <c r="M623" s="490" t="s">
        <v>431</v>
      </c>
      <c r="N623" s="730">
        <v>64855</v>
      </c>
      <c r="O623" s="459">
        <v>64856</v>
      </c>
      <c r="P623" s="459">
        <v>64879</v>
      </c>
      <c r="Q623" s="432" t="s">
        <v>51</v>
      </c>
    </row>
    <row r="624" spans="1:17">
      <c r="A624" s="377">
        <f t="shared" si="2"/>
        <v>623</v>
      </c>
      <c r="B624" s="432" t="s">
        <v>524</v>
      </c>
      <c r="C624" s="376" t="s">
        <v>44</v>
      </c>
      <c r="D624" s="376" t="s">
        <v>449</v>
      </c>
      <c r="E624" s="376" t="s">
        <v>973</v>
      </c>
      <c r="F624" s="431" t="s">
        <v>491</v>
      </c>
      <c r="G624" s="434">
        <v>9868625286</v>
      </c>
      <c r="I624" s="431">
        <v>50</v>
      </c>
      <c r="J624" s="433" t="s">
        <v>433</v>
      </c>
      <c r="K624" s="431" t="s">
        <v>709</v>
      </c>
      <c r="M624" s="490" t="s">
        <v>431</v>
      </c>
      <c r="N624" s="730">
        <v>64855</v>
      </c>
      <c r="O624" s="459">
        <v>64856</v>
      </c>
      <c r="P624" s="459">
        <v>64879</v>
      </c>
      <c r="Q624" s="432" t="s">
        <v>51</v>
      </c>
    </row>
    <row r="625" spans="1:20">
      <c r="A625" s="377">
        <f t="shared" si="2"/>
        <v>624</v>
      </c>
      <c r="B625" s="432" t="s">
        <v>524</v>
      </c>
      <c r="C625" s="376" t="s">
        <v>44</v>
      </c>
      <c r="D625" s="376" t="s">
        <v>449</v>
      </c>
      <c r="E625" s="376" t="s">
        <v>974</v>
      </c>
      <c r="F625" s="431" t="s">
        <v>469</v>
      </c>
      <c r="G625" s="434">
        <v>9868625286</v>
      </c>
      <c r="I625" s="431">
        <v>37</v>
      </c>
      <c r="J625" s="433" t="s">
        <v>404</v>
      </c>
      <c r="K625" s="431" t="s">
        <v>709</v>
      </c>
      <c r="M625" s="490" t="s">
        <v>431</v>
      </c>
      <c r="N625" s="730">
        <v>64855</v>
      </c>
      <c r="O625" s="459">
        <v>64856</v>
      </c>
      <c r="P625" s="459">
        <v>64879</v>
      </c>
      <c r="Q625" s="432" t="s">
        <v>51</v>
      </c>
    </row>
    <row r="626" spans="1:20">
      <c r="A626" s="377">
        <f t="shared" si="2"/>
        <v>625</v>
      </c>
      <c r="B626" s="432" t="s">
        <v>524</v>
      </c>
      <c r="C626" s="376" t="s">
        <v>44</v>
      </c>
      <c r="D626" s="376" t="s">
        <v>449</v>
      </c>
      <c r="E626" s="376" t="s">
        <v>975</v>
      </c>
      <c r="F626" s="431" t="s">
        <v>502</v>
      </c>
      <c r="G626" s="434">
        <v>9866206352</v>
      </c>
      <c r="I626" s="431">
        <v>20</v>
      </c>
      <c r="J626" s="433" t="s">
        <v>433</v>
      </c>
      <c r="K626" s="431" t="s">
        <v>709</v>
      </c>
      <c r="M626" s="490" t="s">
        <v>431</v>
      </c>
      <c r="N626" s="730">
        <v>64855</v>
      </c>
      <c r="O626" s="459">
        <v>64856</v>
      </c>
      <c r="P626" s="459">
        <v>64879</v>
      </c>
      <c r="Q626" s="432" t="s">
        <v>51</v>
      </c>
    </row>
    <row r="627" spans="1:20">
      <c r="A627" s="377">
        <f t="shared" si="2"/>
        <v>626</v>
      </c>
      <c r="B627" s="432" t="s">
        <v>524</v>
      </c>
      <c r="C627" s="376" t="s">
        <v>44</v>
      </c>
      <c r="D627" s="376" t="s">
        <v>449</v>
      </c>
      <c r="E627" s="376" t="s">
        <v>976</v>
      </c>
      <c r="F627" s="431" t="s">
        <v>512</v>
      </c>
      <c r="G627" s="434">
        <v>9847906353</v>
      </c>
      <c r="I627" s="431">
        <v>24</v>
      </c>
      <c r="J627" s="433" t="s">
        <v>404</v>
      </c>
      <c r="K627" s="431" t="s">
        <v>709</v>
      </c>
      <c r="M627" s="490" t="s">
        <v>431</v>
      </c>
      <c r="N627" s="730">
        <v>64855</v>
      </c>
      <c r="O627" s="459">
        <v>64856</v>
      </c>
      <c r="P627" s="459">
        <v>64879</v>
      </c>
      <c r="Q627" s="432" t="s">
        <v>51</v>
      </c>
    </row>
    <row r="628" spans="1:20">
      <c r="A628" s="377">
        <f t="shared" si="2"/>
        <v>627</v>
      </c>
      <c r="B628" s="432" t="s">
        <v>524</v>
      </c>
      <c r="C628" s="376" t="s">
        <v>44</v>
      </c>
      <c r="D628" s="376" t="s">
        <v>449</v>
      </c>
      <c r="E628" s="376" t="s">
        <v>977</v>
      </c>
      <c r="F628" s="431" t="s">
        <v>502</v>
      </c>
      <c r="G628" s="434">
        <v>9857821374</v>
      </c>
      <c r="I628" s="431">
        <v>44</v>
      </c>
      <c r="J628" s="433" t="s">
        <v>404</v>
      </c>
      <c r="K628" s="431" t="s">
        <v>709</v>
      </c>
      <c r="M628" s="490" t="s">
        <v>431</v>
      </c>
      <c r="N628" s="730">
        <v>64855</v>
      </c>
      <c r="O628" s="459">
        <v>64856</v>
      </c>
      <c r="P628" s="459">
        <v>64879</v>
      </c>
      <c r="Q628" s="432" t="s">
        <v>51</v>
      </c>
    </row>
    <row r="629" spans="1:20">
      <c r="A629" s="377">
        <f t="shared" si="2"/>
        <v>628</v>
      </c>
      <c r="B629" s="432" t="s">
        <v>524</v>
      </c>
      <c r="C629" s="376" t="s">
        <v>44</v>
      </c>
      <c r="D629" s="376" t="s">
        <v>449</v>
      </c>
      <c r="E629" s="376" t="s">
        <v>978</v>
      </c>
      <c r="F629" s="431" t="s">
        <v>502</v>
      </c>
      <c r="G629" s="434">
        <v>9857821374</v>
      </c>
      <c r="I629" s="431">
        <v>34</v>
      </c>
      <c r="J629" s="433" t="s">
        <v>433</v>
      </c>
      <c r="K629" s="431" t="s">
        <v>709</v>
      </c>
      <c r="M629" s="490" t="s">
        <v>431</v>
      </c>
      <c r="N629" s="730">
        <v>64855</v>
      </c>
      <c r="O629" s="459">
        <v>64856</v>
      </c>
      <c r="P629" s="459">
        <v>64879</v>
      </c>
      <c r="Q629" s="432" t="s">
        <v>51</v>
      </c>
    </row>
    <row r="630" spans="1:20">
      <c r="A630" s="377">
        <f t="shared" si="2"/>
        <v>629</v>
      </c>
      <c r="B630" s="432" t="s">
        <v>524</v>
      </c>
      <c r="C630" s="376" t="s">
        <v>44</v>
      </c>
      <c r="D630" s="376" t="s">
        <v>449</v>
      </c>
      <c r="E630" s="376" t="s">
        <v>980</v>
      </c>
      <c r="F630" s="431" t="s">
        <v>512</v>
      </c>
      <c r="I630" s="431">
        <v>13</v>
      </c>
      <c r="J630" s="433" t="s">
        <v>433</v>
      </c>
      <c r="K630" s="431" t="s">
        <v>709</v>
      </c>
      <c r="M630" s="490" t="s">
        <v>431</v>
      </c>
      <c r="N630" s="730">
        <v>64856</v>
      </c>
      <c r="O630" s="459">
        <v>64857</v>
      </c>
      <c r="P630" s="459">
        <v>64879</v>
      </c>
      <c r="Q630" s="432" t="s">
        <v>51</v>
      </c>
    </row>
    <row r="631" spans="1:20">
      <c r="A631" s="377">
        <f t="shared" si="2"/>
        <v>630</v>
      </c>
      <c r="B631" s="432" t="s">
        <v>524</v>
      </c>
      <c r="C631" s="376" t="s">
        <v>44</v>
      </c>
      <c r="D631" s="376" t="s">
        <v>449</v>
      </c>
      <c r="E631" s="376" t="s">
        <v>981</v>
      </c>
      <c r="F631" s="431" t="s">
        <v>502</v>
      </c>
      <c r="I631" s="431">
        <v>70</v>
      </c>
      <c r="J631" s="433" t="s">
        <v>404</v>
      </c>
      <c r="K631" s="431" t="s">
        <v>709</v>
      </c>
      <c r="M631" s="490" t="s">
        <v>431</v>
      </c>
      <c r="N631" s="730">
        <v>64856</v>
      </c>
      <c r="O631" s="459">
        <v>64857</v>
      </c>
      <c r="P631" s="459">
        <v>64879</v>
      </c>
      <c r="Q631" s="432" t="s">
        <v>51</v>
      </c>
    </row>
    <row r="632" spans="1:20">
      <c r="A632" s="377">
        <f t="shared" si="2"/>
        <v>631</v>
      </c>
      <c r="B632" s="432" t="s">
        <v>524</v>
      </c>
      <c r="C632" s="376" t="s">
        <v>44</v>
      </c>
      <c r="D632" s="376" t="s">
        <v>449</v>
      </c>
      <c r="E632" s="376" t="s">
        <v>982</v>
      </c>
      <c r="F632" s="431" t="s">
        <v>783</v>
      </c>
      <c r="I632" s="431">
        <v>27</v>
      </c>
      <c r="J632" s="433" t="s">
        <v>404</v>
      </c>
      <c r="K632" s="431" t="s">
        <v>709</v>
      </c>
      <c r="M632" s="490" t="s">
        <v>431</v>
      </c>
      <c r="N632" s="730">
        <v>64856</v>
      </c>
      <c r="O632" s="459">
        <v>64857</v>
      </c>
      <c r="P632" s="459">
        <v>64879</v>
      </c>
      <c r="Q632" s="432" t="s">
        <v>51</v>
      </c>
    </row>
    <row r="633" spans="1:20">
      <c r="A633" s="377">
        <f t="shared" si="2"/>
        <v>632</v>
      </c>
      <c r="B633" s="432" t="s">
        <v>524</v>
      </c>
      <c r="C633" s="376" t="s">
        <v>44</v>
      </c>
      <c r="D633" s="376" t="s">
        <v>449</v>
      </c>
      <c r="E633" s="376" t="s">
        <v>983</v>
      </c>
      <c r="F633" s="431" t="s">
        <v>124</v>
      </c>
      <c r="I633" s="431">
        <v>34</v>
      </c>
      <c r="J633" s="433" t="s">
        <v>433</v>
      </c>
      <c r="K633" s="431" t="s">
        <v>709</v>
      </c>
      <c r="M633" s="490" t="s">
        <v>431</v>
      </c>
      <c r="N633" s="730">
        <v>64856</v>
      </c>
      <c r="O633" s="459">
        <v>64857</v>
      </c>
      <c r="P633" s="459">
        <v>64879</v>
      </c>
      <c r="Q633" s="432" t="s">
        <v>51</v>
      </c>
    </row>
    <row r="634" spans="1:20">
      <c r="A634" s="377">
        <f t="shared" si="2"/>
        <v>633</v>
      </c>
      <c r="B634" s="432" t="s">
        <v>524</v>
      </c>
      <c r="C634" s="376" t="s">
        <v>44</v>
      </c>
      <c r="D634" s="376" t="s">
        <v>449</v>
      </c>
      <c r="E634" s="376" t="s">
        <v>984</v>
      </c>
      <c r="F634" s="431" t="s">
        <v>548</v>
      </c>
      <c r="I634" s="431">
        <v>19</v>
      </c>
      <c r="J634" s="433" t="s">
        <v>404</v>
      </c>
      <c r="K634" s="431" t="s">
        <v>709</v>
      </c>
      <c r="M634" s="490" t="s">
        <v>431</v>
      </c>
      <c r="N634" s="730">
        <v>64856</v>
      </c>
      <c r="O634" s="459">
        <v>64857</v>
      </c>
      <c r="P634" s="459">
        <v>64879</v>
      </c>
      <c r="Q634" s="432" t="s">
        <v>51</v>
      </c>
    </row>
    <row r="635" spans="1:20">
      <c r="A635" s="377">
        <f t="shared" si="2"/>
        <v>634</v>
      </c>
      <c r="B635" s="432" t="s">
        <v>524</v>
      </c>
      <c r="C635" s="376" t="s">
        <v>44</v>
      </c>
      <c r="D635" s="376" t="s">
        <v>449</v>
      </c>
      <c r="E635" s="376" t="s">
        <v>985</v>
      </c>
      <c r="F635" s="431" t="s">
        <v>548</v>
      </c>
      <c r="I635" s="431">
        <v>20</v>
      </c>
      <c r="J635" s="433" t="s">
        <v>433</v>
      </c>
      <c r="K635" s="431" t="s">
        <v>709</v>
      </c>
      <c r="M635" s="490" t="s">
        <v>431</v>
      </c>
      <c r="N635" s="730">
        <v>64856</v>
      </c>
      <c r="O635" s="459">
        <v>64857</v>
      </c>
      <c r="P635" s="459">
        <v>64879</v>
      </c>
      <c r="Q635" s="432" t="s">
        <v>51</v>
      </c>
    </row>
    <row r="636" spans="1:20">
      <c r="A636" s="377">
        <f t="shared" si="2"/>
        <v>635</v>
      </c>
      <c r="B636" s="432" t="s">
        <v>524</v>
      </c>
      <c r="C636" s="376" t="s">
        <v>44</v>
      </c>
      <c r="D636" s="376" t="s">
        <v>449</v>
      </c>
      <c r="E636" s="376" t="s">
        <v>986</v>
      </c>
      <c r="F636" s="431" t="s">
        <v>548</v>
      </c>
      <c r="I636" s="431">
        <v>21</v>
      </c>
      <c r="J636" s="433" t="s">
        <v>404</v>
      </c>
      <c r="K636" s="431" t="s">
        <v>709</v>
      </c>
      <c r="M636" s="490" t="s">
        <v>431</v>
      </c>
      <c r="N636" s="730">
        <v>64856</v>
      </c>
      <c r="O636" s="459">
        <v>64857</v>
      </c>
      <c r="P636" s="459">
        <v>64879</v>
      </c>
      <c r="Q636" s="432" t="s">
        <v>51</v>
      </c>
      <c r="T636" s="332">
        <f ca="1">TODAY()</f>
        <v>44612</v>
      </c>
    </row>
    <row r="637" spans="1:20">
      <c r="A637" s="377">
        <f t="shared" si="2"/>
        <v>636</v>
      </c>
      <c r="B637" s="432" t="s">
        <v>524</v>
      </c>
      <c r="C637" s="376" t="s">
        <v>44</v>
      </c>
      <c r="D637" s="376" t="s">
        <v>449</v>
      </c>
      <c r="E637" s="376" t="s">
        <v>987</v>
      </c>
      <c r="F637" s="431" t="s">
        <v>502</v>
      </c>
      <c r="I637" s="431">
        <v>39</v>
      </c>
      <c r="J637" s="433" t="s">
        <v>433</v>
      </c>
      <c r="K637" s="431" t="s">
        <v>709</v>
      </c>
      <c r="M637" s="490" t="s">
        <v>431</v>
      </c>
      <c r="N637" s="730">
        <v>64856</v>
      </c>
      <c r="O637" s="459">
        <v>64857</v>
      </c>
      <c r="P637" s="459">
        <v>64879</v>
      </c>
      <c r="Q637" s="432" t="s">
        <v>51</v>
      </c>
      <c r="T637" s="332">
        <f ca="1">T636-21</f>
        <v>44591</v>
      </c>
    </row>
    <row r="638" spans="1:20">
      <c r="A638" s="377">
        <f t="shared" si="2"/>
        <v>637</v>
      </c>
      <c r="B638" s="432" t="s">
        <v>524</v>
      </c>
      <c r="C638" s="376" t="s">
        <v>44</v>
      </c>
      <c r="D638" s="376" t="s">
        <v>449</v>
      </c>
      <c r="E638" s="376" t="s">
        <v>988</v>
      </c>
      <c r="F638" s="431" t="s">
        <v>617</v>
      </c>
      <c r="I638" s="431">
        <v>42</v>
      </c>
      <c r="J638" s="433" t="s">
        <v>404</v>
      </c>
      <c r="K638" s="431" t="s">
        <v>709</v>
      </c>
      <c r="M638" s="490" t="s">
        <v>431</v>
      </c>
      <c r="N638" s="730">
        <v>64856</v>
      </c>
      <c r="O638" s="459">
        <v>64857</v>
      </c>
      <c r="P638" s="459">
        <v>64879</v>
      </c>
      <c r="Q638" s="432" t="s">
        <v>51</v>
      </c>
    </row>
    <row r="639" spans="1:20">
      <c r="A639" s="377">
        <f t="shared" si="2"/>
        <v>638</v>
      </c>
      <c r="B639" s="432" t="s">
        <v>524</v>
      </c>
      <c r="C639" s="376" t="s">
        <v>44</v>
      </c>
      <c r="D639" s="376" t="s">
        <v>449</v>
      </c>
      <c r="E639" s="376" t="s">
        <v>989</v>
      </c>
      <c r="F639" s="431" t="s">
        <v>491</v>
      </c>
      <c r="G639" s="434">
        <v>9869889900</v>
      </c>
      <c r="I639" s="431">
        <v>33</v>
      </c>
      <c r="J639" s="433" t="s">
        <v>404</v>
      </c>
      <c r="K639" s="431" t="s">
        <v>709</v>
      </c>
      <c r="M639" s="490" t="s">
        <v>431</v>
      </c>
      <c r="N639" s="730">
        <v>64856</v>
      </c>
      <c r="O639" s="459">
        <v>64857</v>
      </c>
      <c r="P639" s="459">
        <v>64879</v>
      </c>
      <c r="Q639" s="432" t="s">
        <v>51</v>
      </c>
      <c r="R639" s="332"/>
    </row>
    <row r="640" spans="1:20">
      <c r="A640" s="377">
        <f t="shared" si="2"/>
        <v>639</v>
      </c>
      <c r="B640" s="432" t="s">
        <v>524</v>
      </c>
      <c r="C640" s="376" t="s">
        <v>44</v>
      </c>
      <c r="D640" s="376" t="s">
        <v>449</v>
      </c>
      <c r="E640" s="376" t="s">
        <v>990</v>
      </c>
      <c r="F640" s="431" t="s">
        <v>791</v>
      </c>
      <c r="I640" s="431">
        <v>29</v>
      </c>
      <c r="J640" s="433" t="s">
        <v>433</v>
      </c>
      <c r="K640" s="431" t="s">
        <v>709</v>
      </c>
      <c r="M640" s="490" t="s">
        <v>431</v>
      </c>
      <c r="N640" s="730">
        <v>64856</v>
      </c>
      <c r="O640" s="459">
        <v>64857</v>
      </c>
      <c r="P640" s="459">
        <v>64879</v>
      </c>
      <c r="Q640" s="432" t="s">
        <v>51</v>
      </c>
    </row>
    <row r="641" spans="1:17" s="163" customFormat="1">
      <c r="A641" s="377">
        <f t="shared" si="2"/>
        <v>640</v>
      </c>
      <c r="B641" s="436" t="s">
        <v>524</v>
      </c>
      <c r="C641" s="420" t="s">
        <v>44</v>
      </c>
      <c r="D641" s="420" t="s">
        <v>449</v>
      </c>
      <c r="E641" s="420" t="s">
        <v>991</v>
      </c>
      <c r="F641" s="435" t="s">
        <v>502</v>
      </c>
      <c r="G641" s="435">
        <v>9809833661</v>
      </c>
      <c r="H641" s="420"/>
      <c r="I641" s="435">
        <v>60</v>
      </c>
      <c r="J641" s="437" t="s">
        <v>404</v>
      </c>
      <c r="K641" s="435" t="s">
        <v>709</v>
      </c>
      <c r="L641" s="438"/>
      <c r="M641" s="438" t="s">
        <v>489</v>
      </c>
      <c r="N641" s="731">
        <v>64857</v>
      </c>
      <c r="O641" s="465">
        <v>64860</v>
      </c>
      <c r="P641" s="465">
        <v>64908</v>
      </c>
      <c r="Q641" s="432" t="s">
        <v>51</v>
      </c>
    </row>
    <row r="642" spans="1:17">
      <c r="A642" s="377">
        <f t="shared" si="2"/>
        <v>641</v>
      </c>
      <c r="B642" s="432" t="s">
        <v>524</v>
      </c>
      <c r="C642" s="376" t="s">
        <v>44</v>
      </c>
      <c r="D642" s="376" t="s">
        <v>449</v>
      </c>
      <c r="E642" s="376" t="s">
        <v>992</v>
      </c>
      <c r="F642" s="431" t="s">
        <v>1008</v>
      </c>
      <c r="G642" s="431">
        <v>9857828493</v>
      </c>
      <c r="H642" s="376"/>
      <c r="I642" s="431">
        <v>6</v>
      </c>
      <c r="J642" s="433" t="s">
        <v>404</v>
      </c>
      <c r="K642" s="431" t="s">
        <v>709</v>
      </c>
      <c r="M642" s="490" t="s">
        <v>431</v>
      </c>
      <c r="N642" s="730">
        <v>64857</v>
      </c>
      <c r="O642" s="459">
        <v>64860</v>
      </c>
      <c r="P642" s="459">
        <v>64879</v>
      </c>
      <c r="Q642" s="432" t="s">
        <v>51</v>
      </c>
    </row>
    <row r="643" spans="1:17">
      <c r="A643" s="377">
        <f t="shared" si="2"/>
        <v>642</v>
      </c>
      <c r="B643" s="432" t="s">
        <v>524</v>
      </c>
      <c r="C643" s="376" t="s">
        <v>44</v>
      </c>
      <c r="D643" s="376" t="s">
        <v>449</v>
      </c>
      <c r="E643" s="376" t="s">
        <v>993</v>
      </c>
      <c r="F643" s="431" t="s">
        <v>502</v>
      </c>
      <c r="G643" s="431">
        <v>9848345060</v>
      </c>
      <c r="H643" s="376"/>
      <c r="I643" s="431">
        <v>23</v>
      </c>
      <c r="J643" s="433" t="s">
        <v>404</v>
      </c>
      <c r="K643" s="431" t="s">
        <v>709</v>
      </c>
      <c r="M643" s="490" t="s">
        <v>431</v>
      </c>
      <c r="N643" s="730">
        <v>64857</v>
      </c>
      <c r="O643" s="459">
        <v>64860</v>
      </c>
      <c r="P643" s="459">
        <v>64879</v>
      </c>
      <c r="Q643" s="432" t="s">
        <v>51</v>
      </c>
    </row>
    <row r="644" spans="1:17">
      <c r="A644" s="377">
        <f t="shared" si="2"/>
        <v>643</v>
      </c>
      <c r="B644" s="432" t="s">
        <v>524</v>
      </c>
      <c r="C644" s="376" t="s">
        <v>44</v>
      </c>
      <c r="D644" s="376" t="s">
        <v>449</v>
      </c>
      <c r="E644" s="376" t="s">
        <v>994</v>
      </c>
      <c r="F644" s="431" t="s">
        <v>1009</v>
      </c>
      <c r="G644" s="431">
        <v>9847990855</v>
      </c>
      <c r="H644" s="376"/>
      <c r="I644" s="431">
        <v>40</v>
      </c>
      <c r="J644" s="433" t="s">
        <v>404</v>
      </c>
      <c r="K644" s="431" t="s">
        <v>709</v>
      </c>
      <c r="M644" s="490" t="s">
        <v>431</v>
      </c>
      <c r="N644" s="730">
        <v>64857</v>
      </c>
      <c r="O644" s="459">
        <v>64860</v>
      </c>
      <c r="P644" s="459">
        <v>64879</v>
      </c>
      <c r="Q644" s="432" t="s">
        <v>51</v>
      </c>
    </row>
    <row r="645" spans="1:17">
      <c r="A645" s="377">
        <f t="shared" si="2"/>
        <v>644</v>
      </c>
      <c r="B645" s="432" t="s">
        <v>524</v>
      </c>
      <c r="C645" s="376" t="s">
        <v>44</v>
      </c>
      <c r="D645" s="376" t="s">
        <v>449</v>
      </c>
      <c r="E645" s="376" t="s">
        <v>995</v>
      </c>
      <c r="F645" s="431" t="s">
        <v>1008</v>
      </c>
      <c r="G645" s="431">
        <v>9857834910</v>
      </c>
      <c r="H645" s="376"/>
      <c r="I645" s="431">
        <v>65</v>
      </c>
      <c r="J645" s="433" t="s">
        <v>404</v>
      </c>
      <c r="K645" s="431" t="s">
        <v>709</v>
      </c>
      <c r="M645" s="490" t="s">
        <v>431</v>
      </c>
      <c r="N645" s="730">
        <v>64857</v>
      </c>
      <c r="O645" s="459">
        <v>64860</v>
      </c>
      <c r="P645" s="459">
        <v>64879</v>
      </c>
      <c r="Q645" s="432" t="s">
        <v>51</v>
      </c>
    </row>
    <row r="646" spans="1:17">
      <c r="A646" s="377">
        <f t="shared" si="2"/>
        <v>645</v>
      </c>
      <c r="B646" s="432" t="s">
        <v>524</v>
      </c>
      <c r="C646" s="376" t="s">
        <v>44</v>
      </c>
      <c r="D646" s="376" t="s">
        <v>449</v>
      </c>
      <c r="E646" s="376" t="s">
        <v>996</v>
      </c>
      <c r="F646" s="431" t="s">
        <v>502</v>
      </c>
      <c r="G646" s="431">
        <v>9847824727</v>
      </c>
      <c r="H646" s="376"/>
      <c r="I646" s="431">
        <v>46</v>
      </c>
      <c r="J646" s="433" t="s">
        <v>433</v>
      </c>
      <c r="K646" s="431" t="s">
        <v>709</v>
      </c>
      <c r="M646" s="490" t="s">
        <v>431</v>
      </c>
      <c r="N646" s="730">
        <v>64857</v>
      </c>
      <c r="O646" s="459">
        <v>64860</v>
      </c>
      <c r="P646" s="459">
        <v>64879</v>
      </c>
      <c r="Q646" s="432" t="s">
        <v>51</v>
      </c>
    </row>
    <row r="647" spans="1:17">
      <c r="A647" s="377">
        <f t="shared" si="2"/>
        <v>646</v>
      </c>
      <c r="B647" s="432" t="s">
        <v>524</v>
      </c>
      <c r="C647" s="376" t="s">
        <v>44</v>
      </c>
      <c r="D647" s="376" t="s">
        <v>449</v>
      </c>
      <c r="E647" s="376" t="s">
        <v>997</v>
      </c>
      <c r="F647" s="431" t="s">
        <v>491</v>
      </c>
      <c r="G647" s="431">
        <v>9857822560</v>
      </c>
      <c r="H647" s="376"/>
      <c r="I647" s="431">
        <v>65</v>
      </c>
      <c r="J647" s="433" t="s">
        <v>433</v>
      </c>
      <c r="K647" s="431" t="s">
        <v>709</v>
      </c>
      <c r="M647" s="490" t="s">
        <v>431</v>
      </c>
      <c r="N647" s="730">
        <v>64857</v>
      </c>
      <c r="O647" s="459">
        <v>64860</v>
      </c>
      <c r="P647" s="459">
        <v>64879</v>
      </c>
      <c r="Q647" s="432" t="s">
        <v>51</v>
      </c>
    </row>
    <row r="648" spans="1:17">
      <c r="A648" s="377">
        <f t="shared" si="2"/>
        <v>647</v>
      </c>
      <c r="B648" s="432" t="s">
        <v>524</v>
      </c>
      <c r="C648" s="376" t="s">
        <v>44</v>
      </c>
      <c r="D648" s="376" t="s">
        <v>449</v>
      </c>
      <c r="E648" s="376" t="s">
        <v>998</v>
      </c>
      <c r="F648" s="431" t="s">
        <v>502</v>
      </c>
      <c r="G648" s="431">
        <v>9857820331</v>
      </c>
      <c r="H648" s="376"/>
      <c r="I648" s="431">
        <v>54</v>
      </c>
      <c r="J648" s="433" t="s">
        <v>404</v>
      </c>
      <c r="K648" s="431" t="s">
        <v>709</v>
      </c>
      <c r="M648" s="490" t="s">
        <v>431</v>
      </c>
      <c r="N648" s="730">
        <v>64857</v>
      </c>
      <c r="O648" s="459">
        <v>64860</v>
      </c>
      <c r="P648" s="459">
        <v>64879</v>
      </c>
      <c r="Q648" s="432" t="s">
        <v>51</v>
      </c>
    </row>
    <row r="649" spans="1:17">
      <c r="A649" s="377">
        <f t="shared" si="2"/>
        <v>648</v>
      </c>
      <c r="B649" s="432" t="s">
        <v>524</v>
      </c>
      <c r="C649" s="376" t="s">
        <v>44</v>
      </c>
      <c r="D649" s="376" t="s">
        <v>449</v>
      </c>
      <c r="E649" s="376" t="s">
        <v>999</v>
      </c>
      <c r="F649" s="431" t="s">
        <v>497</v>
      </c>
      <c r="G649" s="431">
        <v>9844950590</v>
      </c>
      <c r="H649" s="376"/>
      <c r="I649" s="431">
        <v>50</v>
      </c>
      <c r="J649" s="433" t="s">
        <v>433</v>
      </c>
      <c r="K649" s="431" t="s">
        <v>709</v>
      </c>
      <c r="M649" s="490" t="s">
        <v>431</v>
      </c>
      <c r="N649" s="730">
        <v>64857</v>
      </c>
      <c r="O649" s="459">
        <v>64860</v>
      </c>
      <c r="P649" s="459">
        <v>64879</v>
      </c>
      <c r="Q649" s="432" t="s">
        <v>51</v>
      </c>
    </row>
    <row r="650" spans="1:17">
      <c r="A650" s="377">
        <f t="shared" si="2"/>
        <v>649</v>
      </c>
      <c r="B650" s="432" t="s">
        <v>524</v>
      </c>
      <c r="C650" s="376" t="s">
        <v>44</v>
      </c>
      <c r="D650" s="376" t="s">
        <v>449</v>
      </c>
      <c r="E650" s="376" t="s">
        <v>1000</v>
      </c>
      <c r="F650" s="431" t="s">
        <v>502</v>
      </c>
      <c r="G650" s="431">
        <v>9860520025</v>
      </c>
      <c r="H650" s="376"/>
      <c r="I650" s="431">
        <v>23</v>
      </c>
      <c r="J650" s="433" t="s">
        <v>433</v>
      </c>
      <c r="K650" s="431" t="s">
        <v>709</v>
      </c>
      <c r="M650" s="490" t="s">
        <v>431</v>
      </c>
      <c r="N650" s="730">
        <v>64857</v>
      </c>
      <c r="O650" s="459">
        <v>64860</v>
      </c>
      <c r="P650" s="459">
        <v>64879</v>
      </c>
      <c r="Q650" s="432" t="s">
        <v>51</v>
      </c>
    </row>
    <row r="651" spans="1:17">
      <c r="A651" s="377">
        <f t="shared" si="2"/>
        <v>650</v>
      </c>
      <c r="B651" s="432" t="s">
        <v>524</v>
      </c>
      <c r="C651" s="376" t="s">
        <v>44</v>
      </c>
      <c r="D651" s="376" t="s">
        <v>449</v>
      </c>
      <c r="E651" s="376" t="s">
        <v>1001</v>
      </c>
      <c r="F651" s="431" t="s">
        <v>636</v>
      </c>
      <c r="G651" s="431">
        <v>9847832155</v>
      </c>
      <c r="H651" s="376"/>
      <c r="I651" s="431">
        <v>45</v>
      </c>
      <c r="J651" s="433" t="s">
        <v>404</v>
      </c>
      <c r="K651" s="431" t="s">
        <v>709</v>
      </c>
      <c r="M651" s="490" t="s">
        <v>431</v>
      </c>
      <c r="N651" s="730">
        <v>64858</v>
      </c>
      <c r="O651" s="459">
        <v>64860</v>
      </c>
      <c r="P651" s="459">
        <v>64883</v>
      </c>
      <c r="Q651" s="432" t="s">
        <v>51</v>
      </c>
    </row>
    <row r="652" spans="1:17">
      <c r="A652" s="377">
        <f t="shared" si="2"/>
        <v>651</v>
      </c>
      <c r="B652" s="432" t="s">
        <v>524</v>
      </c>
      <c r="C652" s="376" t="s">
        <v>44</v>
      </c>
      <c r="D652" s="376" t="s">
        <v>449</v>
      </c>
      <c r="E652" s="376" t="s">
        <v>1002</v>
      </c>
      <c r="F652" s="431" t="s">
        <v>124</v>
      </c>
      <c r="G652" s="431">
        <v>9847827163</v>
      </c>
      <c r="H652" s="376"/>
      <c r="I652" s="431">
        <v>65</v>
      </c>
      <c r="J652" s="433" t="s">
        <v>404</v>
      </c>
      <c r="K652" s="431" t="s">
        <v>709</v>
      </c>
      <c r="M652" s="490" t="s">
        <v>431</v>
      </c>
      <c r="N652" s="730">
        <v>64859</v>
      </c>
      <c r="O652" s="459">
        <v>64860</v>
      </c>
      <c r="P652" s="459">
        <v>64883</v>
      </c>
      <c r="Q652" s="432" t="s">
        <v>51</v>
      </c>
    </row>
    <row r="653" spans="1:17">
      <c r="A653" s="377">
        <f t="shared" si="2"/>
        <v>652</v>
      </c>
      <c r="B653" s="432" t="s">
        <v>524</v>
      </c>
      <c r="C653" s="376" t="s">
        <v>44</v>
      </c>
      <c r="D653" s="376" t="s">
        <v>449</v>
      </c>
      <c r="E653" s="376" t="s">
        <v>1003</v>
      </c>
      <c r="F653" s="431" t="s">
        <v>502</v>
      </c>
      <c r="G653" s="431">
        <v>9866600488</v>
      </c>
      <c r="H653" s="376"/>
      <c r="I653" s="431">
        <v>62</v>
      </c>
      <c r="J653" s="433" t="s">
        <v>404</v>
      </c>
      <c r="K653" s="431" t="s">
        <v>709</v>
      </c>
      <c r="M653" s="490" t="s">
        <v>431</v>
      </c>
      <c r="N653" s="730">
        <v>64859</v>
      </c>
      <c r="O653" s="459">
        <v>64860</v>
      </c>
      <c r="P653" s="459">
        <v>64883</v>
      </c>
      <c r="Q653" s="432" t="s">
        <v>51</v>
      </c>
    </row>
    <row r="654" spans="1:17">
      <c r="A654" s="377">
        <f t="shared" si="2"/>
        <v>653</v>
      </c>
      <c r="B654" s="432" t="s">
        <v>524</v>
      </c>
      <c r="C654" s="376" t="s">
        <v>44</v>
      </c>
      <c r="D654" s="376" t="s">
        <v>449</v>
      </c>
      <c r="E654" s="376" t="s">
        <v>1004</v>
      </c>
      <c r="F654" s="431" t="s">
        <v>1009</v>
      </c>
      <c r="G654" s="431">
        <v>9857834986</v>
      </c>
      <c r="H654" s="376"/>
      <c r="I654" s="431">
        <v>34</v>
      </c>
      <c r="J654" s="433" t="s">
        <v>404</v>
      </c>
      <c r="K654" s="431" t="s">
        <v>709</v>
      </c>
      <c r="M654" s="490" t="s">
        <v>431</v>
      </c>
      <c r="N654" s="730">
        <v>64859</v>
      </c>
      <c r="O654" s="459">
        <v>64860</v>
      </c>
      <c r="P654" s="459">
        <v>64883</v>
      </c>
      <c r="Q654" s="432" t="s">
        <v>51</v>
      </c>
    </row>
    <row r="655" spans="1:17">
      <c r="A655" s="377">
        <f t="shared" si="2"/>
        <v>654</v>
      </c>
      <c r="B655" s="432" t="s">
        <v>524</v>
      </c>
      <c r="C655" s="376" t="s">
        <v>44</v>
      </c>
      <c r="D655" s="376" t="s">
        <v>449</v>
      </c>
      <c r="E655" s="376" t="s">
        <v>1005</v>
      </c>
      <c r="F655" s="431" t="s">
        <v>529</v>
      </c>
      <c r="G655" s="431">
        <v>9866828238</v>
      </c>
      <c r="H655" s="376"/>
      <c r="I655" s="431">
        <v>21</v>
      </c>
      <c r="J655" s="433" t="s">
        <v>433</v>
      </c>
      <c r="K655" s="431" t="s">
        <v>709</v>
      </c>
      <c r="M655" s="490" t="s">
        <v>431</v>
      </c>
      <c r="N655" s="730">
        <v>64859</v>
      </c>
      <c r="O655" s="459">
        <v>64860</v>
      </c>
      <c r="P655" s="459">
        <v>64883</v>
      </c>
      <c r="Q655" s="432" t="s">
        <v>51</v>
      </c>
    </row>
    <row r="656" spans="1:17">
      <c r="A656" s="421">
        <f t="shared" si="2"/>
        <v>655</v>
      </c>
      <c r="B656" s="422" t="s">
        <v>524</v>
      </c>
      <c r="C656" s="73" t="s">
        <v>44</v>
      </c>
      <c r="D656" s="73" t="s">
        <v>449</v>
      </c>
      <c r="E656" s="73" t="s">
        <v>1006</v>
      </c>
      <c r="F656" s="373" t="s">
        <v>491</v>
      </c>
      <c r="G656" s="373">
        <v>9857824598</v>
      </c>
      <c r="H656" s="73"/>
      <c r="I656" s="373">
        <v>81</v>
      </c>
      <c r="J656" s="402" t="s">
        <v>404</v>
      </c>
      <c r="K656" s="373" t="s">
        <v>709</v>
      </c>
      <c r="L656" s="423"/>
      <c r="M656" s="507" t="s">
        <v>431</v>
      </c>
      <c r="N656" s="726">
        <v>64859</v>
      </c>
      <c r="O656" s="476">
        <v>64860</v>
      </c>
      <c r="P656" s="81">
        <v>64866</v>
      </c>
      <c r="Q656" s="77" t="s">
        <v>940</v>
      </c>
    </row>
    <row r="657" spans="1:17">
      <c r="A657" s="377">
        <f t="shared" si="2"/>
        <v>656</v>
      </c>
      <c r="B657" s="432" t="s">
        <v>524</v>
      </c>
      <c r="C657" s="376" t="s">
        <v>44</v>
      </c>
      <c r="D657" s="376" t="s">
        <v>449</v>
      </c>
      <c r="E657" s="376" t="s">
        <v>1007</v>
      </c>
      <c r="F657" s="431" t="s">
        <v>598</v>
      </c>
      <c r="G657" s="431">
        <v>9847988031</v>
      </c>
      <c r="H657" s="376"/>
      <c r="I657" s="431">
        <v>25</v>
      </c>
      <c r="J657" s="433" t="s">
        <v>404</v>
      </c>
      <c r="K657" s="431" t="s">
        <v>709</v>
      </c>
      <c r="M657" s="490" t="s">
        <v>431</v>
      </c>
      <c r="N657" s="730">
        <v>64859</v>
      </c>
      <c r="O657" s="459">
        <v>64860</v>
      </c>
      <c r="P657" s="459">
        <v>64883</v>
      </c>
      <c r="Q657" s="432" t="s">
        <v>51</v>
      </c>
    </row>
    <row r="658" spans="1:17">
      <c r="A658" s="377">
        <f t="shared" si="2"/>
        <v>657</v>
      </c>
      <c r="B658" s="432" t="s">
        <v>524</v>
      </c>
      <c r="C658" s="376" t="s">
        <v>44</v>
      </c>
      <c r="D658" s="376" t="s">
        <v>449</v>
      </c>
      <c r="E658" s="376" t="s">
        <v>1010</v>
      </c>
      <c r="F658" s="431" t="s">
        <v>1008</v>
      </c>
      <c r="G658" s="431">
        <v>9866917309</v>
      </c>
      <c r="I658" s="431">
        <v>49</v>
      </c>
      <c r="J658" s="433" t="s">
        <v>433</v>
      </c>
      <c r="K658" s="431" t="s">
        <v>709</v>
      </c>
      <c r="M658" s="490" t="s">
        <v>431</v>
      </c>
      <c r="N658" s="730">
        <v>64861</v>
      </c>
      <c r="O658" s="459">
        <v>64863</v>
      </c>
      <c r="P658" s="459">
        <v>64883</v>
      </c>
      <c r="Q658" s="432" t="s">
        <v>51</v>
      </c>
    </row>
    <row r="659" spans="1:17">
      <c r="A659" s="377">
        <f t="shared" si="2"/>
        <v>658</v>
      </c>
      <c r="B659" s="432" t="s">
        <v>524</v>
      </c>
      <c r="C659" s="376" t="s">
        <v>44</v>
      </c>
      <c r="D659" s="376" t="s">
        <v>449</v>
      </c>
      <c r="E659" s="376" t="s">
        <v>1011</v>
      </c>
      <c r="F659" s="431" t="s">
        <v>441</v>
      </c>
      <c r="G659" s="431">
        <v>9847819200</v>
      </c>
      <c r="I659" s="431">
        <v>51</v>
      </c>
      <c r="J659" s="433" t="s">
        <v>433</v>
      </c>
      <c r="K659" s="431" t="s">
        <v>709</v>
      </c>
      <c r="M659" s="490" t="s">
        <v>431</v>
      </c>
      <c r="N659" s="730">
        <v>64861</v>
      </c>
      <c r="O659" s="459">
        <v>64863</v>
      </c>
      <c r="P659" s="459">
        <v>64883</v>
      </c>
      <c r="Q659" s="432" t="s">
        <v>51</v>
      </c>
    </row>
    <row r="660" spans="1:17">
      <c r="A660" s="377">
        <f t="shared" si="2"/>
        <v>659</v>
      </c>
      <c r="B660" s="432" t="s">
        <v>524</v>
      </c>
      <c r="C660" s="376" t="s">
        <v>44</v>
      </c>
      <c r="D660" s="376" t="s">
        <v>449</v>
      </c>
      <c r="E660" s="376" t="s">
        <v>1012</v>
      </c>
      <c r="F660" s="431" t="s">
        <v>441</v>
      </c>
      <c r="G660" s="431">
        <v>9847823624</v>
      </c>
      <c r="I660" s="431">
        <v>49</v>
      </c>
      <c r="J660" s="433" t="s">
        <v>404</v>
      </c>
      <c r="K660" s="431" t="s">
        <v>709</v>
      </c>
      <c r="M660" s="490" t="s">
        <v>431</v>
      </c>
      <c r="N660" s="730">
        <v>64861</v>
      </c>
      <c r="O660" s="459">
        <v>64863</v>
      </c>
      <c r="P660" s="459">
        <v>64883</v>
      </c>
      <c r="Q660" s="432" t="s">
        <v>51</v>
      </c>
    </row>
    <row r="661" spans="1:17">
      <c r="A661" s="377">
        <f t="shared" si="2"/>
        <v>660</v>
      </c>
      <c r="B661" s="432" t="s">
        <v>524</v>
      </c>
      <c r="C661" s="376" t="s">
        <v>44</v>
      </c>
      <c r="D661" s="376" t="s">
        <v>449</v>
      </c>
      <c r="E661" s="376" t="s">
        <v>1013</v>
      </c>
      <c r="F661" s="431" t="s">
        <v>491</v>
      </c>
      <c r="G661" s="431">
        <v>9847833583</v>
      </c>
      <c r="I661" s="431">
        <v>55</v>
      </c>
      <c r="J661" s="433" t="s">
        <v>404</v>
      </c>
      <c r="K661" s="431" t="s">
        <v>709</v>
      </c>
      <c r="M661" s="490" t="s">
        <v>431</v>
      </c>
      <c r="N661" s="730">
        <v>64861</v>
      </c>
      <c r="O661" s="459">
        <v>64863</v>
      </c>
      <c r="P661" s="459">
        <v>64883</v>
      </c>
      <c r="Q661" s="432" t="s">
        <v>51</v>
      </c>
    </row>
    <row r="662" spans="1:17">
      <c r="A662" s="377">
        <f t="shared" si="2"/>
        <v>661</v>
      </c>
      <c r="B662" s="432" t="s">
        <v>524</v>
      </c>
      <c r="C662" s="376" t="s">
        <v>44</v>
      </c>
      <c r="D662" s="376" t="s">
        <v>449</v>
      </c>
      <c r="E662" s="376" t="s">
        <v>1014</v>
      </c>
      <c r="F662" s="431" t="s">
        <v>502</v>
      </c>
      <c r="G662" s="431">
        <v>9847837317</v>
      </c>
      <c r="I662" s="431">
        <v>39</v>
      </c>
      <c r="J662" s="433" t="s">
        <v>404</v>
      </c>
      <c r="K662" s="431" t="s">
        <v>709</v>
      </c>
      <c r="M662" s="490" t="s">
        <v>431</v>
      </c>
      <c r="N662" s="730">
        <v>64864</v>
      </c>
      <c r="O662" s="459">
        <v>64865</v>
      </c>
      <c r="P662" s="459">
        <v>64885</v>
      </c>
      <c r="Q662" s="432" t="s">
        <v>51</v>
      </c>
    </row>
    <row r="663" spans="1:17">
      <c r="A663" s="377">
        <f t="shared" si="2"/>
        <v>662</v>
      </c>
      <c r="B663" s="432" t="s">
        <v>524</v>
      </c>
      <c r="C663" s="376" t="s">
        <v>44</v>
      </c>
      <c r="D663" s="376" t="s">
        <v>449</v>
      </c>
      <c r="E663" s="376" t="s">
        <v>1015</v>
      </c>
      <c r="F663" s="431" t="s">
        <v>491</v>
      </c>
      <c r="G663" s="431">
        <v>9847469300</v>
      </c>
      <c r="I663" s="431">
        <v>49</v>
      </c>
      <c r="J663" s="433" t="s">
        <v>404</v>
      </c>
      <c r="K663" s="431" t="s">
        <v>709</v>
      </c>
      <c r="M663" s="490" t="s">
        <v>431</v>
      </c>
      <c r="N663" s="730">
        <v>64864</v>
      </c>
      <c r="O663" s="459">
        <v>64865</v>
      </c>
      <c r="P663" s="459">
        <v>64880</v>
      </c>
      <c r="Q663" s="432" t="s">
        <v>51</v>
      </c>
    </row>
    <row r="664" spans="1:17">
      <c r="A664" s="377">
        <f t="shared" si="2"/>
        <v>663</v>
      </c>
      <c r="B664" s="432" t="s">
        <v>524</v>
      </c>
      <c r="C664" s="376" t="s">
        <v>44</v>
      </c>
      <c r="D664" s="376" t="s">
        <v>449</v>
      </c>
      <c r="E664" s="376" t="s">
        <v>1016</v>
      </c>
      <c r="F664" s="431" t="s">
        <v>502</v>
      </c>
      <c r="G664" s="431">
        <v>9848061194</v>
      </c>
      <c r="I664" s="431">
        <v>31</v>
      </c>
      <c r="J664" s="433" t="s">
        <v>433</v>
      </c>
      <c r="K664" s="431" t="s">
        <v>709</v>
      </c>
      <c r="M664" s="490" t="s">
        <v>431</v>
      </c>
      <c r="N664" s="730">
        <v>64864</v>
      </c>
      <c r="O664" s="459">
        <v>64865</v>
      </c>
      <c r="P664" s="459">
        <v>64879</v>
      </c>
      <c r="Q664" s="432" t="s">
        <v>51</v>
      </c>
    </row>
    <row r="665" spans="1:17">
      <c r="A665" s="377">
        <f t="shared" si="2"/>
        <v>664</v>
      </c>
      <c r="B665" s="432" t="s">
        <v>524</v>
      </c>
      <c r="C665" s="376" t="s">
        <v>44</v>
      </c>
      <c r="D665" s="376" t="s">
        <v>449</v>
      </c>
      <c r="E665" s="376" t="s">
        <v>1017</v>
      </c>
      <c r="F665" s="431" t="s">
        <v>502</v>
      </c>
      <c r="G665" s="431">
        <v>9841461362</v>
      </c>
      <c r="I665" s="431">
        <v>42</v>
      </c>
      <c r="J665" s="433" t="s">
        <v>404</v>
      </c>
      <c r="K665" s="431" t="s">
        <v>709</v>
      </c>
      <c r="M665" s="490" t="s">
        <v>431</v>
      </c>
      <c r="N665" s="730">
        <v>64864</v>
      </c>
      <c r="O665" s="459">
        <v>64865</v>
      </c>
      <c r="P665" s="459">
        <v>64879</v>
      </c>
      <c r="Q665" s="432" t="s">
        <v>51</v>
      </c>
    </row>
    <row r="666" spans="1:17">
      <c r="A666" s="421">
        <f t="shared" si="2"/>
        <v>665</v>
      </c>
      <c r="B666" s="422" t="s">
        <v>524</v>
      </c>
      <c r="C666" s="73" t="s">
        <v>44</v>
      </c>
      <c r="D666" s="73" t="s">
        <v>449</v>
      </c>
      <c r="E666" s="73" t="s">
        <v>1018</v>
      </c>
      <c r="F666" s="423" t="s">
        <v>1009</v>
      </c>
      <c r="G666" s="373">
        <v>9847832291</v>
      </c>
      <c r="H666" s="422"/>
      <c r="I666" s="423">
        <v>45</v>
      </c>
      <c r="J666" s="402" t="s">
        <v>404</v>
      </c>
      <c r="K666" s="373" t="s">
        <v>709</v>
      </c>
      <c r="L666" s="423"/>
      <c r="M666" s="507" t="s">
        <v>431</v>
      </c>
      <c r="N666" s="726">
        <v>64865</v>
      </c>
      <c r="O666" s="476">
        <v>64865</v>
      </c>
      <c r="P666" s="476">
        <v>64880</v>
      </c>
      <c r="Q666" s="422" t="s">
        <v>940</v>
      </c>
    </row>
    <row r="667" spans="1:17">
      <c r="A667" s="377">
        <f t="shared" si="2"/>
        <v>666</v>
      </c>
      <c r="B667" s="432" t="s">
        <v>524</v>
      </c>
      <c r="C667" s="376" t="s">
        <v>44</v>
      </c>
      <c r="D667" s="376" t="s">
        <v>449</v>
      </c>
      <c r="E667" s="376" t="s">
        <v>1019</v>
      </c>
      <c r="F667" s="434" t="s">
        <v>791</v>
      </c>
      <c r="G667" s="431">
        <v>9864718983</v>
      </c>
      <c r="I667" s="434">
        <v>43</v>
      </c>
      <c r="J667" s="433" t="s">
        <v>404</v>
      </c>
      <c r="K667" s="431" t="s">
        <v>709</v>
      </c>
      <c r="M667" s="490" t="s">
        <v>431</v>
      </c>
      <c r="N667" s="730">
        <v>64865</v>
      </c>
      <c r="O667" s="459">
        <v>64865</v>
      </c>
      <c r="P667" s="459">
        <v>64887</v>
      </c>
      <c r="Q667" s="432" t="s">
        <v>51</v>
      </c>
    </row>
    <row r="668" spans="1:17">
      <c r="A668" s="377">
        <f t="shared" si="2"/>
        <v>667</v>
      </c>
      <c r="B668" s="432" t="s">
        <v>524</v>
      </c>
      <c r="C668" s="376" t="s">
        <v>44</v>
      </c>
      <c r="D668" s="376" t="s">
        <v>449</v>
      </c>
      <c r="E668" s="376" t="s">
        <v>1020</v>
      </c>
      <c r="F668" s="434" t="s">
        <v>502</v>
      </c>
      <c r="G668" s="431">
        <v>9857825853</v>
      </c>
      <c r="I668" s="434">
        <v>48</v>
      </c>
      <c r="J668" s="433" t="s">
        <v>404</v>
      </c>
      <c r="K668" s="431" t="s">
        <v>709</v>
      </c>
      <c r="M668" s="490" t="s">
        <v>431</v>
      </c>
      <c r="N668" s="730">
        <v>64865</v>
      </c>
      <c r="O668" s="459">
        <v>64865</v>
      </c>
      <c r="P668" s="459">
        <v>64887</v>
      </c>
      <c r="Q668" s="432" t="s">
        <v>51</v>
      </c>
    </row>
    <row r="669" spans="1:17">
      <c r="A669" s="377">
        <f t="shared" si="2"/>
        <v>668</v>
      </c>
      <c r="B669" s="432" t="s">
        <v>524</v>
      </c>
      <c r="C669" s="376" t="s">
        <v>44</v>
      </c>
      <c r="D669" s="376" t="s">
        <v>449</v>
      </c>
      <c r="E669" s="376" t="s">
        <v>1021</v>
      </c>
      <c r="F669" s="434" t="s">
        <v>441</v>
      </c>
      <c r="G669" s="431">
        <v>9847819200</v>
      </c>
      <c r="I669" s="434">
        <v>23</v>
      </c>
      <c r="J669" s="433" t="s">
        <v>404</v>
      </c>
      <c r="K669" s="431" t="s">
        <v>709</v>
      </c>
      <c r="M669" s="490" t="s">
        <v>431</v>
      </c>
      <c r="N669" s="730">
        <v>64865</v>
      </c>
      <c r="O669" s="459">
        <v>64865</v>
      </c>
      <c r="P669" s="459">
        <v>64887</v>
      </c>
      <c r="Q669" s="432" t="s">
        <v>51</v>
      </c>
    </row>
    <row r="670" spans="1:17">
      <c r="A670" s="377">
        <f>A669+1</f>
        <v>669</v>
      </c>
      <c r="B670" s="432" t="s">
        <v>524</v>
      </c>
      <c r="C670" s="376" t="s">
        <v>44</v>
      </c>
      <c r="D670" s="376" t="s">
        <v>449</v>
      </c>
      <c r="E670" s="376" t="s">
        <v>1052</v>
      </c>
      <c r="F670" s="431" t="s">
        <v>491</v>
      </c>
      <c r="G670" s="431">
        <v>9857820101</v>
      </c>
      <c r="I670" s="434">
        <v>35</v>
      </c>
      <c r="J670" s="433" t="s">
        <v>404</v>
      </c>
      <c r="K670" s="431" t="s">
        <v>1047</v>
      </c>
      <c r="M670" s="490" t="s">
        <v>431</v>
      </c>
      <c r="N670" s="730">
        <v>64809</v>
      </c>
      <c r="O670" s="459">
        <v>64810</v>
      </c>
      <c r="P670" s="459">
        <v>64866</v>
      </c>
      <c r="Q670" s="432" t="s">
        <v>51</v>
      </c>
    </row>
    <row r="671" spans="1:17">
      <c r="A671" s="377">
        <f>A670+1</f>
        <v>670</v>
      </c>
      <c r="B671" s="432" t="s">
        <v>524</v>
      </c>
      <c r="C671" s="376" t="s">
        <v>44</v>
      </c>
      <c r="D671" s="376" t="s">
        <v>449</v>
      </c>
      <c r="E671" s="376" t="s">
        <v>1048</v>
      </c>
      <c r="F671" s="431" t="s">
        <v>791</v>
      </c>
      <c r="G671" s="431"/>
      <c r="I671" s="434">
        <v>41</v>
      </c>
      <c r="J671" s="433" t="s">
        <v>433</v>
      </c>
      <c r="K671" s="431" t="s">
        <v>709</v>
      </c>
      <c r="M671" s="490" t="s">
        <v>431</v>
      </c>
      <c r="N671" s="730"/>
      <c r="O671" s="459">
        <v>64851</v>
      </c>
      <c r="P671" s="459">
        <v>64866</v>
      </c>
      <c r="Q671" s="432" t="s">
        <v>51</v>
      </c>
    </row>
    <row r="672" spans="1:17">
      <c r="A672" s="377">
        <f t="shared" ref="A672:A717" si="3">A671+1</f>
        <v>671</v>
      </c>
      <c r="B672" s="432" t="s">
        <v>524</v>
      </c>
      <c r="C672" s="376" t="s">
        <v>44</v>
      </c>
      <c r="D672" s="376" t="s">
        <v>449</v>
      </c>
      <c r="E672" s="376" t="s">
        <v>1049</v>
      </c>
      <c r="F672" s="431" t="s">
        <v>791</v>
      </c>
      <c r="G672" s="431"/>
      <c r="I672" s="434">
        <v>20</v>
      </c>
      <c r="J672" s="433" t="s">
        <v>404</v>
      </c>
      <c r="K672" s="431" t="s">
        <v>709</v>
      </c>
      <c r="M672" s="490" t="s">
        <v>431</v>
      </c>
      <c r="N672" s="730"/>
      <c r="O672" s="459">
        <v>64851</v>
      </c>
      <c r="P672" s="459">
        <v>64866</v>
      </c>
      <c r="Q672" s="432" t="s">
        <v>51</v>
      </c>
    </row>
    <row r="673" spans="1:17">
      <c r="A673" s="377">
        <f t="shared" si="3"/>
        <v>672</v>
      </c>
      <c r="B673" s="432" t="s">
        <v>524</v>
      </c>
      <c r="C673" s="376" t="s">
        <v>44</v>
      </c>
      <c r="D673" s="376" t="s">
        <v>449</v>
      </c>
      <c r="E673" s="376" t="s">
        <v>1050</v>
      </c>
      <c r="F673" s="431" t="s">
        <v>791</v>
      </c>
      <c r="G673" s="431"/>
      <c r="I673" s="434">
        <v>23</v>
      </c>
      <c r="J673" s="433" t="s">
        <v>433</v>
      </c>
      <c r="K673" s="431" t="s">
        <v>709</v>
      </c>
      <c r="M673" s="490" t="s">
        <v>431</v>
      </c>
      <c r="N673" s="730"/>
      <c r="O673" s="459">
        <v>64851</v>
      </c>
      <c r="P673" s="459">
        <v>64866</v>
      </c>
      <c r="Q673" s="432" t="s">
        <v>51</v>
      </c>
    </row>
    <row r="674" spans="1:17">
      <c r="A674" s="377">
        <f t="shared" si="3"/>
        <v>673</v>
      </c>
      <c r="B674" s="432" t="s">
        <v>524</v>
      </c>
      <c r="C674" s="376" t="s">
        <v>44</v>
      </c>
      <c r="D674" s="376" t="s">
        <v>449</v>
      </c>
      <c r="E674" s="376" t="s">
        <v>1051</v>
      </c>
      <c r="F674" s="431" t="s">
        <v>791</v>
      </c>
      <c r="G674" s="431"/>
      <c r="I674" s="434">
        <v>36</v>
      </c>
      <c r="J674" s="433" t="s">
        <v>433</v>
      </c>
      <c r="K674" s="431" t="s">
        <v>709</v>
      </c>
      <c r="M674" s="490" t="s">
        <v>431</v>
      </c>
      <c r="N674" s="730"/>
      <c r="O674" s="459">
        <v>64851</v>
      </c>
      <c r="P674" s="459">
        <v>64866</v>
      </c>
      <c r="Q674" s="432" t="s">
        <v>51</v>
      </c>
    </row>
    <row r="675" spans="1:17">
      <c r="A675" s="377">
        <f t="shared" si="3"/>
        <v>674</v>
      </c>
      <c r="B675" s="432" t="s">
        <v>524</v>
      </c>
      <c r="C675" s="376" t="s">
        <v>44</v>
      </c>
      <c r="D675" s="376" t="s">
        <v>449</v>
      </c>
      <c r="E675" s="376" t="s">
        <v>1027</v>
      </c>
      <c r="F675" s="434" t="s">
        <v>124</v>
      </c>
      <c r="G675" s="431">
        <v>9857834275</v>
      </c>
      <c r="I675" s="431">
        <v>50</v>
      </c>
      <c r="J675" s="433" t="s">
        <v>433</v>
      </c>
      <c r="K675" s="431" t="s">
        <v>709</v>
      </c>
      <c r="M675" s="490" t="s">
        <v>431</v>
      </c>
      <c r="N675" s="730">
        <v>64866</v>
      </c>
      <c r="O675" s="459">
        <v>64866</v>
      </c>
      <c r="P675" s="459">
        <v>64887</v>
      </c>
      <c r="Q675" s="432" t="s">
        <v>51</v>
      </c>
    </row>
    <row r="676" spans="1:17">
      <c r="A676" s="377">
        <f t="shared" si="3"/>
        <v>675</v>
      </c>
      <c r="B676" s="432" t="s">
        <v>524</v>
      </c>
      <c r="C676" s="376" t="s">
        <v>44</v>
      </c>
      <c r="D676" s="376" t="s">
        <v>449</v>
      </c>
      <c r="E676" s="376" t="s">
        <v>1028</v>
      </c>
      <c r="F676" s="434" t="s">
        <v>491</v>
      </c>
      <c r="G676" s="431">
        <v>9866539576</v>
      </c>
      <c r="I676" s="431">
        <v>57</v>
      </c>
      <c r="J676" s="433" t="s">
        <v>404</v>
      </c>
      <c r="K676" s="431" t="s">
        <v>709</v>
      </c>
      <c r="M676" s="490" t="s">
        <v>431</v>
      </c>
      <c r="N676" s="730">
        <v>64866</v>
      </c>
      <c r="O676" s="459">
        <v>64866</v>
      </c>
      <c r="P676" s="459">
        <v>64887</v>
      </c>
      <c r="Q676" s="432" t="s">
        <v>51</v>
      </c>
    </row>
    <row r="677" spans="1:17">
      <c r="A677" s="377">
        <f t="shared" si="3"/>
        <v>676</v>
      </c>
      <c r="B677" s="432" t="s">
        <v>524</v>
      </c>
      <c r="C677" s="376" t="s">
        <v>44</v>
      </c>
      <c r="D677" s="376" t="s">
        <v>449</v>
      </c>
      <c r="E677" s="376" t="s">
        <v>1029</v>
      </c>
      <c r="F677" s="434" t="s">
        <v>491</v>
      </c>
      <c r="G677" s="431">
        <v>9866539576</v>
      </c>
      <c r="I677" s="431">
        <v>52</v>
      </c>
      <c r="J677" s="433" t="s">
        <v>433</v>
      </c>
      <c r="K677" s="431" t="s">
        <v>709</v>
      </c>
      <c r="M677" s="490" t="s">
        <v>431</v>
      </c>
      <c r="N677" s="730">
        <v>64866</v>
      </c>
      <c r="O677" s="459">
        <v>64866</v>
      </c>
      <c r="P677" s="459">
        <v>64887</v>
      </c>
      <c r="Q677" s="432" t="s">
        <v>51</v>
      </c>
    </row>
    <row r="678" spans="1:17">
      <c r="A678" s="377">
        <f t="shared" si="3"/>
        <v>677</v>
      </c>
      <c r="B678" s="432" t="s">
        <v>524</v>
      </c>
      <c r="C678" s="376" t="s">
        <v>44</v>
      </c>
      <c r="D678" s="376" t="s">
        <v>449</v>
      </c>
      <c r="E678" s="376" t="s">
        <v>1030</v>
      </c>
      <c r="F678" s="434" t="s">
        <v>636</v>
      </c>
      <c r="G678" s="431">
        <v>9803542019</v>
      </c>
      <c r="I678" s="431">
        <v>31</v>
      </c>
      <c r="J678" s="433" t="s">
        <v>404</v>
      </c>
      <c r="K678" s="431" t="s">
        <v>709</v>
      </c>
      <c r="M678" s="490" t="s">
        <v>431</v>
      </c>
      <c r="N678" s="730">
        <v>64866</v>
      </c>
      <c r="O678" s="459">
        <v>64866</v>
      </c>
      <c r="P678" s="459">
        <v>64887</v>
      </c>
      <c r="Q678" s="432" t="s">
        <v>51</v>
      </c>
    </row>
    <row r="679" spans="1:17">
      <c r="A679" s="377">
        <f t="shared" si="3"/>
        <v>678</v>
      </c>
      <c r="B679" s="432" t="s">
        <v>524</v>
      </c>
      <c r="C679" s="376" t="s">
        <v>44</v>
      </c>
      <c r="D679" s="376" t="s">
        <v>449</v>
      </c>
      <c r="E679" s="376" t="s">
        <v>1031</v>
      </c>
      <c r="F679" s="434" t="s">
        <v>557</v>
      </c>
      <c r="G679" s="431">
        <v>9857822458</v>
      </c>
      <c r="I679" s="431">
        <v>75</v>
      </c>
      <c r="J679" s="433" t="s">
        <v>404</v>
      </c>
      <c r="K679" s="431" t="s">
        <v>709</v>
      </c>
      <c r="M679" s="490" t="s">
        <v>431</v>
      </c>
      <c r="N679" s="730">
        <v>64866</v>
      </c>
      <c r="O679" s="459">
        <v>64866</v>
      </c>
      <c r="P679" s="459">
        <v>64887</v>
      </c>
      <c r="Q679" s="432" t="s">
        <v>51</v>
      </c>
    </row>
    <row r="680" spans="1:17">
      <c r="A680" s="377">
        <f t="shared" si="3"/>
        <v>679</v>
      </c>
      <c r="B680" s="432" t="s">
        <v>524</v>
      </c>
      <c r="C680" s="376" t="s">
        <v>44</v>
      </c>
      <c r="D680" s="376" t="s">
        <v>449</v>
      </c>
      <c r="E680" s="376" t="s">
        <v>1032</v>
      </c>
      <c r="F680" s="434" t="s">
        <v>491</v>
      </c>
      <c r="G680" s="431">
        <v>9843982350</v>
      </c>
      <c r="I680" s="431">
        <v>26</v>
      </c>
      <c r="J680" s="433" t="s">
        <v>404</v>
      </c>
      <c r="K680" s="431" t="s">
        <v>709</v>
      </c>
      <c r="M680" s="490" t="s">
        <v>431</v>
      </c>
      <c r="N680" s="730">
        <v>64866</v>
      </c>
      <c r="O680" s="459">
        <v>64866</v>
      </c>
      <c r="P680" s="459">
        <v>64887</v>
      </c>
      <c r="Q680" s="432" t="s">
        <v>51</v>
      </c>
    </row>
    <row r="681" spans="1:17">
      <c r="A681" s="377">
        <f t="shared" si="3"/>
        <v>680</v>
      </c>
      <c r="B681" s="432" t="s">
        <v>524</v>
      </c>
      <c r="C681" s="376" t="s">
        <v>44</v>
      </c>
      <c r="D681" s="376" t="s">
        <v>449</v>
      </c>
      <c r="E681" s="376" t="s">
        <v>1033</v>
      </c>
      <c r="F681" s="434" t="s">
        <v>557</v>
      </c>
      <c r="G681" s="434">
        <v>9847890814</v>
      </c>
      <c r="I681" s="434">
        <v>54</v>
      </c>
      <c r="J681" s="433" t="s">
        <v>404</v>
      </c>
      <c r="K681" s="431" t="s">
        <v>709</v>
      </c>
      <c r="M681" s="490" t="s">
        <v>431</v>
      </c>
      <c r="N681" s="730">
        <v>64867</v>
      </c>
      <c r="O681" s="459">
        <v>64867</v>
      </c>
      <c r="P681" s="459">
        <v>64888</v>
      </c>
      <c r="Q681" s="432" t="s">
        <v>51</v>
      </c>
    </row>
    <row r="682" spans="1:17">
      <c r="A682" s="377">
        <f t="shared" si="3"/>
        <v>681</v>
      </c>
      <c r="B682" s="432" t="s">
        <v>524</v>
      </c>
      <c r="C682" s="376" t="s">
        <v>44</v>
      </c>
      <c r="D682" s="376" t="s">
        <v>449</v>
      </c>
      <c r="E682" s="376" t="s">
        <v>1034</v>
      </c>
      <c r="F682" s="434" t="s">
        <v>491</v>
      </c>
      <c r="G682" s="434">
        <v>9851225099</v>
      </c>
      <c r="I682" s="434">
        <v>46</v>
      </c>
      <c r="J682" s="433" t="s">
        <v>404</v>
      </c>
      <c r="K682" s="431" t="s">
        <v>709</v>
      </c>
      <c r="M682" s="490" t="s">
        <v>431</v>
      </c>
      <c r="N682" s="730">
        <v>64867</v>
      </c>
      <c r="O682" s="459">
        <v>64867</v>
      </c>
      <c r="P682" s="459">
        <v>64888</v>
      </c>
      <c r="Q682" s="432" t="s">
        <v>51</v>
      </c>
    </row>
    <row r="683" spans="1:17">
      <c r="A683" s="377">
        <f t="shared" si="3"/>
        <v>682</v>
      </c>
      <c r="B683" s="432" t="s">
        <v>524</v>
      </c>
      <c r="C683" s="376" t="s">
        <v>44</v>
      </c>
      <c r="D683" s="376" t="s">
        <v>449</v>
      </c>
      <c r="E683" s="376" t="s">
        <v>1035</v>
      </c>
      <c r="F683" s="434" t="s">
        <v>502</v>
      </c>
      <c r="G683" s="434">
        <v>9841500626</v>
      </c>
      <c r="I683" s="434">
        <v>36</v>
      </c>
      <c r="J683" s="433" t="s">
        <v>433</v>
      </c>
      <c r="K683" s="431" t="s">
        <v>709</v>
      </c>
      <c r="M683" s="490" t="s">
        <v>431</v>
      </c>
      <c r="N683" s="730">
        <v>64867</v>
      </c>
      <c r="O683" s="459">
        <v>64867</v>
      </c>
      <c r="P683" s="459">
        <v>64888</v>
      </c>
      <c r="Q683" s="432" t="s">
        <v>51</v>
      </c>
    </row>
    <row r="684" spans="1:17">
      <c r="A684" s="377">
        <f t="shared" si="3"/>
        <v>683</v>
      </c>
      <c r="B684" s="432" t="s">
        <v>524</v>
      </c>
      <c r="C684" s="376" t="s">
        <v>44</v>
      </c>
      <c r="D684" s="376" t="s">
        <v>449</v>
      </c>
      <c r="E684" s="376" t="s">
        <v>1036</v>
      </c>
      <c r="F684" s="434" t="s">
        <v>730</v>
      </c>
      <c r="G684" s="434">
        <v>9857820029</v>
      </c>
      <c r="I684" s="434">
        <v>41</v>
      </c>
      <c r="J684" s="433" t="s">
        <v>404</v>
      </c>
      <c r="K684" s="431" t="s">
        <v>709</v>
      </c>
      <c r="M684" s="490" t="s">
        <v>431</v>
      </c>
      <c r="N684" s="730">
        <v>64867</v>
      </c>
      <c r="O684" s="459">
        <v>64867</v>
      </c>
      <c r="P684" s="459">
        <v>64888</v>
      </c>
      <c r="Q684" s="432" t="s">
        <v>51</v>
      </c>
    </row>
    <row r="685" spans="1:17">
      <c r="A685" s="377">
        <f t="shared" si="3"/>
        <v>684</v>
      </c>
      <c r="B685" s="432" t="s">
        <v>524</v>
      </c>
      <c r="C685" s="376" t="s">
        <v>44</v>
      </c>
      <c r="D685" s="376" t="s">
        <v>449</v>
      </c>
      <c r="E685" s="376" t="s">
        <v>1037</v>
      </c>
      <c r="F685" s="434" t="s">
        <v>730</v>
      </c>
      <c r="G685" s="434">
        <v>9810833087</v>
      </c>
      <c r="I685" s="434">
        <v>23</v>
      </c>
      <c r="J685" s="433" t="s">
        <v>404</v>
      </c>
      <c r="K685" s="431" t="s">
        <v>709</v>
      </c>
      <c r="M685" s="490" t="s">
        <v>431</v>
      </c>
      <c r="N685" s="730">
        <v>64867</v>
      </c>
      <c r="O685" s="459">
        <v>64867</v>
      </c>
      <c r="P685" s="459">
        <v>64888</v>
      </c>
      <c r="Q685" s="432" t="s">
        <v>51</v>
      </c>
    </row>
    <row r="686" spans="1:17">
      <c r="A686" s="377">
        <f t="shared" si="3"/>
        <v>685</v>
      </c>
      <c r="B686" s="432" t="s">
        <v>524</v>
      </c>
      <c r="C686" s="376" t="s">
        <v>44</v>
      </c>
      <c r="D686" s="376" t="s">
        <v>449</v>
      </c>
      <c r="E686" s="376" t="s">
        <v>1038</v>
      </c>
      <c r="F686" s="434" t="s">
        <v>1008</v>
      </c>
      <c r="G686" s="434">
        <v>9806250265</v>
      </c>
      <c r="I686" s="434">
        <v>32</v>
      </c>
      <c r="J686" s="433" t="s">
        <v>433</v>
      </c>
      <c r="K686" s="431" t="s">
        <v>709</v>
      </c>
      <c r="M686" s="490" t="s">
        <v>431</v>
      </c>
      <c r="N686" s="730">
        <v>64867</v>
      </c>
      <c r="O686" s="459">
        <v>64867</v>
      </c>
      <c r="P686" s="459">
        <v>64888</v>
      </c>
      <c r="Q686" s="432" t="s">
        <v>51</v>
      </c>
    </row>
    <row r="687" spans="1:17">
      <c r="A687" s="377">
        <f t="shared" si="3"/>
        <v>686</v>
      </c>
      <c r="B687" s="432" t="s">
        <v>524</v>
      </c>
      <c r="C687" s="376" t="s">
        <v>44</v>
      </c>
      <c r="D687" s="376" t="s">
        <v>449</v>
      </c>
      <c r="E687" s="376" t="s">
        <v>1039</v>
      </c>
      <c r="F687" s="434" t="s">
        <v>469</v>
      </c>
      <c r="G687" s="434">
        <v>9847944559</v>
      </c>
      <c r="I687" s="434">
        <v>32</v>
      </c>
      <c r="J687" s="433" t="s">
        <v>404</v>
      </c>
      <c r="K687" s="431" t="s">
        <v>709</v>
      </c>
      <c r="M687" s="490" t="s">
        <v>489</v>
      </c>
      <c r="N687" s="730">
        <v>64867</v>
      </c>
      <c r="O687" s="459">
        <v>64867</v>
      </c>
      <c r="P687" s="459">
        <v>64887</v>
      </c>
      <c r="Q687" s="432" t="s">
        <v>51</v>
      </c>
    </row>
    <row r="688" spans="1:17">
      <c r="A688" s="377">
        <f t="shared" si="3"/>
        <v>687</v>
      </c>
      <c r="B688" s="432" t="s">
        <v>524</v>
      </c>
      <c r="C688" s="376" t="s">
        <v>44</v>
      </c>
      <c r="D688" s="376" t="s">
        <v>449</v>
      </c>
      <c r="E688" s="376" t="s">
        <v>1040</v>
      </c>
      <c r="F688" s="434" t="s">
        <v>502</v>
      </c>
      <c r="G688" s="434">
        <v>9818787160</v>
      </c>
      <c r="I688" s="434">
        <v>28</v>
      </c>
      <c r="J688" s="433" t="s">
        <v>433</v>
      </c>
      <c r="K688" s="431" t="s">
        <v>709</v>
      </c>
      <c r="M688" s="490" t="s">
        <v>431</v>
      </c>
      <c r="N688" s="730">
        <v>64867</v>
      </c>
      <c r="O688" s="459">
        <v>64867</v>
      </c>
      <c r="P688" s="459">
        <v>64888</v>
      </c>
      <c r="Q688" s="432" t="s">
        <v>51</v>
      </c>
    </row>
    <row r="689" spans="1:17">
      <c r="A689" s="377">
        <f t="shared" si="3"/>
        <v>688</v>
      </c>
      <c r="B689" s="432" t="s">
        <v>524</v>
      </c>
      <c r="C689" s="376" t="s">
        <v>44</v>
      </c>
      <c r="D689" s="376" t="s">
        <v>449</v>
      </c>
      <c r="E689" s="376" t="s">
        <v>1041</v>
      </c>
      <c r="F689" s="434" t="s">
        <v>1046</v>
      </c>
      <c r="G689" s="434">
        <v>9866854987</v>
      </c>
      <c r="I689" s="434">
        <v>25</v>
      </c>
      <c r="J689" s="433" t="s">
        <v>404</v>
      </c>
      <c r="K689" s="431" t="s">
        <v>709</v>
      </c>
      <c r="M689" s="490" t="s">
        <v>431</v>
      </c>
      <c r="N689" s="730">
        <v>64867</v>
      </c>
      <c r="O689" s="459">
        <v>64867</v>
      </c>
      <c r="P689" s="459">
        <v>64888</v>
      </c>
      <c r="Q689" s="432" t="s">
        <v>51</v>
      </c>
    </row>
    <row r="690" spans="1:17">
      <c r="A690" s="377">
        <f t="shared" si="3"/>
        <v>689</v>
      </c>
      <c r="B690" s="432" t="s">
        <v>524</v>
      </c>
      <c r="C690" s="376" t="s">
        <v>44</v>
      </c>
      <c r="D690" s="376" t="s">
        <v>449</v>
      </c>
      <c r="E690" s="376" t="s">
        <v>1042</v>
      </c>
      <c r="F690" s="434" t="s">
        <v>502</v>
      </c>
      <c r="G690" s="434">
        <v>9866600521</v>
      </c>
      <c r="I690" s="434">
        <v>61</v>
      </c>
      <c r="J690" s="433" t="s">
        <v>404</v>
      </c>
      <c r="K690" s="431" t="s">
        <v>709</v>
      </c>
      <c r="M690" s="490" t="s">
        <v>431</v>
      </c>
      <c r="N690" s="730">
        <v>64867</v>
      </c>
      <c r="O690" s="459">
        <v>64867</v>
      </c>
      <c r="P690" s="459">
        <v>64888</v>
      </c>
      <c r="Q690" s="432" t="s">
        <v>51</v>
      </c>
    </row>
    <row r="691" spans="1:17">
      <c r="A691" s="377">
        <f t="shared" si="3"/>
        <v>690</v>
      </c>
      <c r="B691" s="432" t="s">
        <v>524</v>
      </c>
      <c r="C691" s="376" t="s">
        <v>44</v>
      </c>
      <c r="D691" s="376" t="s">
        <v>449</v>
      </c>
      <c r="E691" s="376" t="s">
        <v>1043</v>
      </c>
      <c r="F691" s="434" t="s">
        <v>491</v>
      </c>
      <c r="G691" s="434">
        <v>9809893059</v>
      </c>
      <c r="I691" s="434">
        <v>51</v>
      </c>
      <c r="J691" s="433" t="s">
        <v>404</v>
      </c>
      <c r="K691" s="431" t="s">
        <v>709</v>
      </c>
      <c r="M691" s="490" t="s">
        <v>431</v>
      </c>
      <c r="N691" s="730">
        <v>64867</v>
      </c>
      <c r="O691" s="459">
        <v>64867</v>
      </c>
      <c r="P691" s="459">
        <v>64888</v>
      </c>
      <c r="Q691" s="432" t="s">
        <v>51</v>
      </c>
    </row>
    <row r="692" spans="1:17">
      <c r="A692" s="377">
        <f t="shared" si="3"/>
        <v>691</v>
      </c>
      <c r="B692" s="432" t="s">
        <v>524</v>
      </c>
      <c r="C692" s="376" t="s">
        <v>44</v>
      </c>
      <c r="D692" s="376" t="s">
        <v>449</v>
      </c>
      <c r="E692" s="376" t="s">
        <v>1044</v>
      </c>
      <c r="F692" s="434" t="s">
        <v>491</v>
      </c>
      <c r="G692" s="434">
        <v>9809880285</v>
      </c>
      <c r="I692" s="434">
        <v>26</v>
      </c>
      <c r="J692" s="433" t="s">
        <v>433</v>
      </c>
      <c r="K692" s="431" t="s">
        <v>709</v>
      </c>
      <c r="M692" s="490" t="s">
        <v>431</v>
      </c>
      <c r="N692" s="730">
        <v>64867</v>
      </c>
      <c r="O692" s="459">
        <v>64867</v>
      </c>
      <c r="P692" s="459">
        <v>64888</v>
      </c>
      <c r="Q692" s="432" t="s">
        <v>51</v>
      </c>
    </row>
    <row r="693" spans="1:17">
      <c r="A693" s="377">
        <f t="shared" si="3"/>
        <v>692</v>
      </c>
      <c r="B693" s="432" t="s">
        <v>524</v>
      </c>
      <c r="C693" s="376" t="s">
        <v>44</v>
      </c>
      <c r="D693" s="376" t="s">
        <v>449</v>
      </c>
      <c r="E693" s="376" t="s">
        <v>1045</v>
      </c>
      <c r="F693" s="434" t="s">
        <v>491</v>
      </c>
      <c r="G693" s="434">
        <v>9847814462</v>
      </c>
      <c r="I693" s="434">
        <v>61</v>
      </c>
      <c r="J693" s="433" t="s">
        <v>404</v>
      </c>
      <c r="K693" s="431" t="s">
        <v>709</v>
      </c>
      <c r="M693" s="490" t="s">
        <v>431</v>
      </c>
      <c r="N693" s="730">
        <v>64867</v>
      </c>
      <c r="O693" s="459">
        <v>64867</v>
      </c>
      <c r="P693" s="459">
        <v>64888</v>
      </c>
      <c r="Q693" s="432" t="s">
        <v>51</v>
      </c>
    </row>
    <row r="694" spans="1:17">
      <c r="A694" s="377">
        <f t="shared" si="3"/>
        <v>693</v>
      </c>
      <c r="B694" s="432" t="s">
        <v>524</v>
      </c>
      <c r="C694" s="376" t="s">
        <v>44</v>
      </c>
      <c r="D694" s="376" t="s">
        <v>449</v>
      </c>
      <c r="E694" s="376" t="s">
        <v>1058</v>
      </c>
      <c r="F694" s="434" t="s">
        <v>441</v>
      </c>
      <c r="G694" s="431">
        <v>9801353897</v>
      </c>
      <c r="I694" s="434">
        <v>27</v>
      </c>
      <c r="J694" s="433" t="s">
        <v>433</v>
      </c>
      <c r="K694" s="431" t="s">
        <v>709</v>
      </c>
      <c r="M694" s="490" t="s">
        <v>431</v>
      </c>
      <c r="N694" s="730">
        <v>64869</v>
      </c>
      <c r="O694" s="459">
        <v>64869</v>
      </c>
      <c r="P694" s="459">
        <v>64890</v>
      </c>
      <c r="Q694" s="432" t="s">
        <v>51</v>
      </c>
    </row>
    <row r="695" spans="1:17">
      <c r="A695" s="377">
        <f t="shared" si="3"/>
        <v>694</v>
      </c>
      <c r="B695" s="432" t="s">
        <v>524</v>
      </c>
      <c r="C695" s="376" t="s">
        <v>44</v>
      </c>
      <c r="D695" s="376" t="s">
        <v>449</v>
      </c>
      <c r="E695" s="376" t="s">
        <v>1059</v>
      </c>
      <c r="F695" s="434" t="s">
        <v>502</v>
      </c>
      <c r="G695" s="431">
        <v>9822866584</v>
      </c>
      <c r="I695" s="434">
        <v>23</v>
      </c>
      <c r="J695" s="433" t="s">
        <v>433</v>
      </c>
      <c r="K695" s="431" t="s">
        <v>709</v>
      </c>
      <c r="M695" s="490" t="s">
        <v>431</v>
      </c>
      <c r="N695" s="730">
        <v>64869</v>
      </c>
      <c r="O695" s="459">
        <v>64869</v>
      </c>
      <c r="P695" s="459">
        <v>64890</v>
      </c>
      <c r="Q695" s="432" t="s">
        <v>51</v>
      </c>
    </row>
    <row r="696" spans="1:17">
      <c r="A696" s="377">
        <f t="shared" si="3"/>
        <v>695</v>
      </c>
      <c r="B696" s="432" t="s">
        <v>524</v>
      </c>
      <c r="C696" s="376" t="s">
        <v>44</v>
      </c>
      <c r="D696" s="376" t="s">
        <v>449</v>
      </c>
      <c r="E696" s="376" t="s">
        <v>1060</v>
      </c>
      <c r="F696" s="434" t="s">
        <v>1008</v>
      </c>
      <c r="G696" s="431">
        <v>9847824119</v>
      </c>
      <c r="I696" s="434">
        <v>38</v>
      </c>
      <c r="J696" s="433" t="s">
        <v>404</v>
      </c>
      <c r="K696" s="431" t="s">
        <v>709</v>
      </c>
      <c r="M696" s="490" t="s">
        <v>431</v>
      </c>
      <c r="N696" s="730">
        <v>64869</v>
      </c>
      <c r="O696" s="459">
        <v>64869</v>
      </c>
      <c r="P696" s="459">
        <v>64890</v>
      </c>
      <c r="Q696" s="432" t="s">
        <v>51</v>
      </c>
    </row>
    <row r="697" spans="1:17">
      <c r="A697" s="377">
        <f t="shared" si="3"/>
        <v>696</v>
      </c>
      <c r="B697" s="432" t="s">
        <v>524</v>
      </c>
      <c r="C697" s="376" t="s">
        <v>44</v>
      </c>
      <c r="D697" s="376" t="s">
        <v>449</v>
      </c>
      <c r="E697" s="376" t="s">
        <v>1061</v>
      </c>
      <c r="F697" s="434" t="s">
        <v>124</v>
      </c>
      <c r="G697" s="431">
        <v>9857825528</v>
      </c>
      <c r="I697" s="434">
        <v>29</v>
      </c>
      <c r="J697" s="433" t="s">
        <v>404</v>
      </c>
      <c r="K697" s="431" t="s">
        <v>709</v>
      </c>
      <c r="M697" s="490" t="s">
        <v>489</v>
      </c>
      <c r="N697" s="730">
        <v>64869</v>
      </c>
      <c r="O697" s="459">
        <v>64869</v>
      </c>
      <c r="P697" s="459">
        <v>64887</v>
      </c>
      <c r="Q697" s="432" t="s">
        <v>51</v>
      </c>
    </row>
    <row r="698" spans="1:17">
      <c r="A698" s="377">
        <f t="shared" si="3"/>
        <v>697</v>
      </c>
      <c r="B698" s="432" t="s">
        <v>524</v>
      </c>
      <c r="C698" s="376" t="s">
        <v>44</v>
      </c>
      <c r="D698" s="376" t="s">
        <v>449</v>
      </c>
      <c r="E698" s="376" t="s">
        <v>1062</v>
      </c>
      <c r="F698" s="434" t="s">
        <v>491</v>
      </c>
      <c r="G698" s="431">
        <v>9847835585</v>
      </c>
      <c r="I698" s="434">
        <v>25</v>
      </c>
      <c r="J698" s="433" t="s">
        <v>404</v>
      </c>
      <c r="K698" s="431" t="s">
        <v>709</v>
      </c>
      <c r="M698" s="490" t="s">
        <v>431</v>
      </c>
      <c r="N698" s="730">
        <v>64869</v>
      </c>
      <c r="O698" s="459">
        <v>64869</v>
      </c>
      <c r="P698" s="459">
        <v>64890</v>
      </c>
      <c r="Q698" s="432" t="s">
        <v>51</v>
      </c>
    </row>
    <row r="699" spans="1:17">
      <c r="A699" s="377">
        <f t="shared" si="3"/>
        <v>698</v>
      </c>
      <c r="B699" s="432" t="s">
        <v>524</v>
      </c>
      <c r="C699" s="376" t="s">
        <v>44</v>
      </c>
      <c r="D699" s="376" t="s">
        <v>449</v>
      </c>
      <c r="E699" s="376" t="s">
        <v>1063</v>
      </c>
      <c r="F699" s="434" t="s">
        <v>502</v>
      </c>
      <c r="G699" s="431">
        <v>9802002893</v>
      </c>
      <c r="I699" s="434">
        <v>33</v>
      </c>
      <c r="J699" s="433" t="s">
        <v>404</v>
      </c>
      <c r="K699" s="431" t="s">
        <v>709</v>
      </c>
      <c r="M699" s="490" t="s">
        <v>431</v>
      </c>
      <c r="N699" s="730">
        <v>64869</v>
      </c>
      <c r="O699" s="459">
        <v>64869</v>
      </c>
      <c r="P699" s="459">
        <v>64890</v>
      </c>
      <c r="Q699" s="432" t="s">
        <v>51</v>
      </c>
    </row>
    <row r="700" spans="1:17">
      <c r="A700" s="377">
        <f t="shared" si="3"/>
        <v>699</v>
      </c>
      <c r="B700" s="432" t="s">
        <v>524</v>
      </c>
      <c r="C700" s="376" t="s">
        <v>44</v>
      </c>
      <c r="D700" s="376" t="s">
        <v>449</v>
      </c>
      <c r="E700" s="376" t="s">
        <v>1064</v>
      </c>
      <c r="F700" s="434" t="s">
        <v>1008</v>
      </c>
      <c r="G700" s="431">
        <v>9809532998</v>
      </c>
      <c r="I700" s="434">
        <v>23</v>
      </c>
      <c r="J700" s="433" t="s">
        <v>404</v>
      </c>
      <c r="K700" s="431" t="s">
        <v>709</v>
      </c>
      <c r="M700" s="490" t="s">
        <v>431</v>
      </c>
      <c r="N700" s="730">
        <v>64869</v>
      </c>
      <c r="O700" s="459">
        <v>64869</v>
      </c>
      <c r="P700" s="459">
        <v>64890</v>
      </c>
      <c r="Q700" s="432" t="s">
        <v>51</v>
      </c>
    </row>
    <row r="701" spans="1:17">
      <c r="A701" s="377">
        <f t="shared" si="3"/>
        <v>700</v>
      </c>
      <c r="B701" s="432" t="s">
        <v>524</v>
      </c>
      <c r="C701" s="376" t="s">
        <v>44</v>
      </c>
      <c r="D701" s="376" t="s">
        <v>449</v>
      </c>
      <c r="E701" s="376" t="s">
        <v>1065</v>
      </c>
      <c r="F701" s="434" t="s">
        <v>491</v>
      </c>
      <c r="G701" s="431">
        <v>9809719864</v>
      </c>
      <c r="I701" s="434">
        <v>18</v>
      </c>
      <c r="J701" s="433" t="s">
        <v>404</v>
      </c>
      <c r="K701" s="431" t="s">
        <v>709</v>
      </c>
      <c r="M701" s="490" t="s">
        <v>431</v>
      </c>
      <c r="N701" s="730">
        <v>64869</v>
      </c>
      <c r="O701" s="459">
        <v>64869</v>
      </c>
      <c r="P701" s="459">
        <v>64890</v>
      </c>
      <c r="Q701" s="432" t="s">
        <v>51</v>
      </c>
    </row>
    <row r="702" spans="1:17">
      <c r="A702" s="377">
        <f t="shared" si="3"/>
        <v>701</v>
      </c>
      <c r="B702" s="432" t="s">
        <v>524</v>
      </c>
      <c r="C702" s="376" t="s">
        <v>44</v>
      </c>
      <c r="D702" s="376" t="s">
        <v>449</v>
      </c>
      <c r="E702" s="376" t="s">
        <v>1066</v>
      </c>
      <c r="F702" s="434" t="s">
        <v>497</v>
      </c>
      <c r="G702" s="431">
        <v>9868705016</v>
      </c>
      <c r="I702" s="434">
        <v>29</v>
      </c>
      <c r="J702" s="433" t="s">
        <v>404</v>
      </c>
      <c r="K702" s="431" t="s">
        <v>709</v>
      </c>
      <c r="M702" s="490" t="s">
        <v>431</v>
      </c>
      <c r="N702" s="730">
        <v>64869</v>
      </c>
      <c r="O702" s="459">
        <v>64869</v>
      </c>
      <c r="P702" s="459">
        <v>64890</v>
      </c>
      <c r="Q702" s="432" t="s">
        <v>51</v>
      </c>
    </row>
    <row r="703" spans="1:17">
      <c r="A703" s="377">
        <f t="shared" si="3"/>
        <v>702</v>
      </c>
      <c r="B703" s="432" t="s">
        <v>524</v>
      </c>
      <c r="C703" s="376" t="s">
        <v>44</v>
      </c>
      <c r="D703" s="376" t="s">
        <v>449</v>
      </c>
      <c r="E703" s="376" t="s">
        <v>1067</v>
      </c>
      <c r="F703" s="434" t="s">
        <v>491</v>
      </c>
      <c r="G703" s="431">
        <v>9849157409</v>
      </c>
      <c r="I703" s="434">
        <v>39</v>
      </c>
      <c r="J703" s="433" t="s">
        <v>404</v>
      </c>
      <c r="K703" s="431" t="s">
        <v>709</v>
      </c>
      <c r="M703" s="490" t="s">
        <v>431</v>
      </c>
      <c r="N703" s="730">
        <v>64869</v>
      </c>
      <c r="O703" s="459">
        <v>64869</v>
      </c>
      <c r="P703" s="459">
        <v>64890</v>
      </c>
      <c r="Q703" s="432" t="s">
        <v>51</v>
      </c>
    </row>
    <row r="704" spans="1:17">
      <c r="A704" s="377">
        <f t="shared" si="3"/>
        <v>703</v>
      </c>
      <c r="B704" s="432" t="s">
        <v>524</v>
      </c>
      <c r="C704" s="376" t="s">
        <v>44</v>
      </c>
      <c r="D704" s="376" t="s">
        <v>449</v>
      </c>
      <c r="E704" s="376" t="s">
        <v>1068</v>
      </c>
      <c r="F704" s="434" t="s">
        <v>491</v>
      </c>
      <c r="G704" s="431">
        <v>9849157409</v>
      </c>
      <c r="I704" s="434">
        <v>72</v>
      </c>
      <c r="J704" s="433" t="s">
        <v>404</v>
      </c>
      <c r="K704" s="431" t="s">
        <v>709</v>
      </c>
      <c r="M704" s="490" t="s">
        <v>431</v>
      </c>
      <c r="N704" s="730">
        <v>64869</v>
      </c>
      <c r="O704" s="459">
        <v>64869</v>
      </c>
      <c r="P704" s="459">
        <v>64890</v>
      </c>
      <c r="Q704" s="432" t="s">
        <v>51</v>
      </c>
    </row>
    <row r="705" spans="1:20">
      <c r="A705" s="377">
        <f t="shared" si="3"/>
        <v>704</v>
      </c>
      <c r="B705" s="432" t="s">
        <v>524</v>
      </c>
      <c r="C705" s="376" t="s">
        <v>44</v>
      </c>
      <c r="D705" s="376" t="s">
        <v>449</v>
      </c>
      <c r="E705" s="376" t="s">
        <v>1069</v>
      </c>
      <c r="F705" s="431" t="s">
        <v>124</v>
      </c>
      <c r="G705" s="431">
        <v>9810831185</v>
      </c>
      <c r="I705" s="434">
        <v>41</v>
      </c>
      <c r="J705" s="433" t="s">
        <v>433</v>
      </c>
      <c r="K705" s="431" t="s">
        <v>709</v>
      </c>
      <c r="M705" s="490" t="s">
        <v>431</v>
      </c>
      <c r="N705" s="730">
        <v>64870</v>
      </c>
      <c r="O705" s="459">
        <v>64870</v>
      </c>
      <c r="P705" s="459">
        <v>64892</v>
      </c>
      <c r="Q705" s="432" t="s">
        <v>51</v>
      </c>
    </row>
    <row r="706" spans="1:20">
      <c r="A706" s="377">
        <f t="shared" si="3"/>
        <v>705</v>
      </c>
      <c r="B706" s="432" t="s">
        <v>524</v>
      </c>
      <c r="C706" s="376" t="s">
        <v>44</v>
      </c>
      <c r="D706" s="376" t="s">
        <v>449</v>
      </c>
      <c r="E706" s="376" t="s">
        <v>1070</v>
      </c>
      <c r="F706" s="431" t="s">
        <v>124</v>
      </c>
      <c r="G706" s="431">
        <v>9810831185</v>
      </c>
      <c r="I706" s="434">
        <v>49</v>
      </c>
      <c r="J706" s="433" t="s">
        <v>404</v>
      </c>
      <c r="K706" s="431" t="s">
        <v>709</v>
      </c>
      <c r="M706" s="490" t="s">
        <v>431</v>
      </c>
      <c r="N706" s="730">
        <v>64870</v>
      </c>
      <c r="O706" s="459">
        <v>64870</v>
      </c>
      <c r="P706" s="459">
        <v>64892</v>
      </c>
      <c r="Q706" s="432" t="s">
        <v>51</v>
      </c>
    </row>
    <row r="707" spans="1:20">
      <c r="A707" s="377">
        <f t="shared" si="3"/>
        <v>706</v>
      </c>
      <c r="B707" s="432" t="s">
        <v>524</v>
      </c>
      <c r="C707" s="376" t="s">
        <v>44</v>
      </c>
      <c r="D707" s="376" t="s">
        <v>449</v>
      </c>
      <c r="E707" s="376" t="s">
        <v>1071</v>
      </c>
      <c r="F707" s="434" t="s">
        <v>1008</v>
      </c>
      <c r="G707" s="431">
        <v>9841013011</v>
      </c>
      <c r="I707" s="431">
        <v>27</v>
      </c>
      <c r="J707" s="433" t="s">
        <v>404</v>
      </c>
      <c r="K707" s="431" t="s">
        <v>709</v>
      </c>
      <c r="M707" s="490" t="s">
        <v>431</v>
      </c>
      <c r="N707" s="730">
        <v>64871</v>
      </c>
      <c r="O707" s="459">
        <v>64871</v>
      </c>
      <c r="P707" s="459">
        <v>64892</v>
      </c>
      <c r="Q707" s="432" t="s">
        <v>51</v>
      </c>
    </row>
    <row r="708" spans="1:20">
      <c r="A708" s="377">
        <f t="shared" si="3"/>
        <v>707</v>
      </c>
      <c r="B708" s="432" t="s">
        <v>524</v>
      </c>
      <c r="C708" s="376" t="s">
        <v>44</v>
      </c>
      <c r="D708" s="376" t="s">
        <v>449</v>
      </c>
      <c r="E708" s="376" t="s">
        <v>1072</v>
      </c>
      <c r="F708" s="434" t="s">
        <v>730</v>
      </c>
      <c r="G708" s="431">
        <v>9809551273</v>
      </c>
      <c r="I708" s="431">
        <v>47</v>
      </c>
      <c r="J708" s="433" t="s">
        <v>433</v>
      </c>
      <c r="K708" s="431" t="s">
        <v>709</v>
      </c>
      <c r="M708" s="490" t="s">
        <v>431</v>
      </c>
      <c r="N708" s="730">
        <v>64871</v>
      </c>
      <c r="O708" s="459">
        <v>64871</v>
      </c>
      <c r="P708" s="459">
        <v>64892</v>
      </c>
      <c r="Q708" s="432" t="s">
        <v>51</v>
      </c>
    </row>
    <row r="709" spans="1:20">
      <c r="A709" s="377">
        <f t="shared" si="3"/>
        <v>708</v>
      </c>
      <c r="B709" s="432" t="s">
        <v>524</v>
      </c>
      <c r="C709" s="376" t="s">
        <v>44</v>
      </c>
      <c r="D709" s="376" t="s">
        <v>449</v>
      </c>
      <c r="E709" s="376" t="s">
        <v>1073</v>
      </c>
      <c r="F709" s="434" t="s">
        <v>441</v>
      </c>
      <c r="G709" s="431">
        <v>9847855566</v>
      </c>
      <c r="I709" s="431">
        <v>41</v>
      </c>
      <c r="J709" s="433" t="s">
        <v>433</v>
      </c>
      <c r="K709" s="431" t="s">
        <v>709</v>
      </c>
      <c r="M709" s="490" t="s">
        <v>431</v>
      </c>
      <c r="N709" s="730">
        <v>64871</v>
      </c>
      <c r="O709" s="459">
        <v>64871</v>
      </c>
      <c r="P709" s="459">
        <v>64892</v>
      </c>
      <c r="Q709" s="432" t="s">
        <v>51</v>
      </c>
    </row>
    <row r="710" spans="1:20">
      <c r="A710" s="377">
        <f t="shared" si="3"/>
        <v>709</v>
      </c>
      <c r="B710" s="432" t="s">
        <v>524</v>
      </c>
      <c r="C710" s="376" t="s">
        <v>44</v>
      </c>
      <c r="D710" s="376" t="s">
        <v>449</v>
      </c>
      <c r="E710" s="376" t="s">
        <v>1074</v>
      </c>
      <c r="F710" s="434" t="s">
        <v>491</v>
      </c>
      <c r="G710" s="431">
        <v>9857821078</v>
      </c>
      <c r="I710" s="431">
        <v>47</v>
      </c>
      <c r="J710" s="433" t="s">
        <v>404</v>
      </c>
      <c r="K710" s="431" t="s">
        <v>709</v>
      </c>
      <c r="M710" s="490" t="s">
        <v>431</v>
      </c>
      <c r="N710" s="730">
        <v>64871</v>
      </c>
      <c r="O710" s="459">
        <v>64871</v>
      </c>
      <c r="P710" s="459">
        <v>64892</v>
      </c>
      <c r="Q710" s="432" t="s">
        <v>51</v>
      </c>
    </row>
    <row r="711" spans="1:20">
      <c r="A711" s="377">
        <f t="shared" si="3"/>
        <v>710</v>
      </c>
      <c r="B711" s="432" t="s">
        <v>524</v>
      </c>
      <c r="C711" s="376" t="s">
        <v>44</v>
      </c>
      <c r="D711" s="376" t="s">
        <v>449</v>
      </c>
      <c r="E711" s="376" t="s">
        <v>1075</v>
      </c>
      <c r="F711" s="434" t="s">
        <v>441</v>
      </c>
      <c r="G711" s="431">
        <v>9810915403</v>
      </c>
      <c r="I711" s="431">
        <v>63</v>
      </c>
      <c r="J711" s="433" t="s">
        <v>433</v>
      </c>
      <c r="K711" s="431" t="s">
        <v>709</v>
      </c>
      <c r="M711" s="490" t="s">
        <v>431</v>
      </c>
      <c r="N711" s="730">
        <v>64871</v>
      </c>
      <c r="O711" s="459">
        <v>64871</v>
      </c>
      <c r="P711" s="459">
        <v>64892</v>
      </c>
      <c r="Q711" s="432" t="s">
        <v>51</v>
      </c>
    </row>
    <row r="712" spans="1:20">
      <c r="A712" s="377">
        <f t="shared" si="3"/>
        <v>711</v>
      </c>
      <c r="B712" s="432" t="s">
        <v>524</v>
      </c>
      <c r="C712" s="376" t="s">
        <v>44</v>
      </c>
      <c r="D712" s="376" t="s">
        <v>449</v>
      </c>
      <c r="E712" s="376" t="s">
        <v>1076</v>
      </c>
      <c r="F712" s="434" t="s">
        <v>502</v>
      </c>
      <c r="G712" s="431">
        <v>9847888641</v>
      </c>
      <c r="I712" s="431">
        <v>30</v>
      </c>
      <c r="J712" s="433" t="s">
        <v>404</v>
      </c>
      <c r="K712" s="431" t="s">
        <v>709</v>
      </c>
      <c r="M712" s="490" t="s">
        <v>431</v>
      </c>
      <c r="N712" s="730">
        <v>64871</v>
      </c>
      <c r="O712" s="459">
        <v>64871</v>
      </c>
      <c r="P712" s="459">
        <v>64892</v>
      </c>
      <c r="Q712" s="432" t="s">
        <v>51</v>
      </c>
    </row>
    <row r="713" spans="1:20">
      <c r="A713" s="421">
        <f t="shared" si="3"/>
        <v>712</v>
      </c>
      <c r="B713" s="422" t="s">
        <v>524</v>
      </c>
      <c r="C713" s="73" t="s">
        <v>44</v>
      </c>
      <c r="D713" s="73" t="s">
        <v>449</v>
      </c>
      <c r="E713" s="73" t="s">
        <v>1077</v>
      </c>
      <c r="F713" s="423" t="s">
        <v>502</v>
      </c>
      <c r="G713" s="373">
        <v>9847835864</v>
      </c>
      <c r="H713" s="422"/>
      <c r="I713" s="373">
        <v>60</v>
      </c>
      <c r="J713" s="402" t="s">
        <v>404</v>
      </c>
      <c r="K713" s="373" t="s">
        <v>709</v>
      </c>
      <c r="L713" s="423"/>
      <c r="M713" s="507" t="s">
        <v>431</v>
      </c>
      <c r="N713" s="726">
        <v>64871</v>
      </c>
      <c r="O713" s="476">
        <v>64871</v>
      </c>
      <c r="P713" s="476">
        <v>64878</v>
      </c>
      <c r="Q713" s="422" t="s">
        <v>940</v>
      </c>
      <c r="T713" s="332"/>
    </row>
    <row r="714" spans="1:20">
      <c r="A714" s="377">
        <f t="shared" si="3"/>
        <v>713</v>
      </c>
      <c r="B714" s="432" t="s">
        <v>524</v>
      </c>
      <c r="C714" s="376" t="s">
        <v>44</v>
      </c>
      <c r="D714" s="376" t="s">
        <v>449</v>
      </c>
      <c r="E714" s="376" t="s">
        <v>1081</v>
      </c>
      <c r="F714" s="434" t="s">
        <v>1046</v>
      </c>
      <c r="G714" s="431">
        <v>9857833724</v>
      </c>
      <c r="I714" s="431">
        <v>43</v>
      </c>
      <c r="J714" s="433" t="s">
        <v>404</v>
      </c>
      <c r="K714" s="431" t="s">
        <v>709</v>
      </c>
      <c r="M714" s="490" t="s">
        <v>431</v>
      </c>
      <c r="N714" s="730">
        <v>64872</v>
      </c>
      <c r="O714" s="459">
        <v>64872</v>
      </c>
      <c r="P714" s="459">
        <v>64895</v>
      </c>
      <c r="Q714" s="432" t="s">
        <v>51</v>
      </c>
      <c r="T714" s="332"/>
    </row>
    <row r="715" spans="1:20">
      <c r="A715" s="377">
        <f t="shared" si="3"/>
        <v>714</v>
      </c>
      <c r="B715" s="432" t="s">
        <v>524</v>
      </c>
      <c r="C715" s="376" t="s">
        <v>44</v>
      </c>
      <c r="D715" s="376" t="s">
        <v>449</v>
      </c>
      <c r="E715" s="376" t="s">
        <v>1082</v>
      </c>
      <c r="F715" s="434" t="s">
        <v>491</v>
      </c>
      <c r="G715" s="431">
        <v>9847810349</v>
      </c>
      <c r="I715" s="431">
        <v>36</v>
      </c>
      <c r="J715" s="433" t="s">
        <v>404</v>
      </c>
      <c r="K715" s="431" t="s">
        <v>709</v>
      </c>
      <c r="M715" s="490" t="s">
        <v>431</v>
      </c>
      <c r="N715" s="730">
        <v>64872</v>
      </c>
      <c r="O715" s="459">
        <v>64872</v>
      </c>
      <c r="P715" s="459">
        <v>64895</v>
      </c>
      <c r="Q715" s="432" t="s">
        <v>51</v>
      </c>
    </row>
    <row r="716" spans="1:20" s="163" customFormat="1">
      <c r="A716" s="377">
        <f t="shared" si="3"/>
        <v>715</v>
      </c>
      <c r="B716" s="436" t="s">
        <v>524</v>
      </c>
      <c r="C716" s="420" t="s">
        <v>44</v>
      </c>
      <c r="D716" s="420" t="s">
        <v>449</v>
      </c>
      <c r="E716" s="420" t="s">
        <v>1114</v>
      </c>
      <c r="F716" s="438" t="s">
        <v>617</v>
      </c>
      <c r="G716" s="435">
        <v>9846740589</v>
      </c>
      <c r="H716" s="436"/>
      <c r="I716" s="435">
        <v>35</v>
      </c>
      <c r="J716" s="437" t="s">
        <v>404</v>
      </c>
      <c r="K716" s="435" t="s">
        <v>709</v>
      </c>
      <c r="L716" s="438"/>
      <c r="M716" s="438" t="s">
        <v>489</v>
      </c>
      <c r="N716" s="731">
        <v>64872</v>
      </c>
      <c r="O716" s="465">
        <v>64872</v>
      </c>
      <c r="P716" s="465">
        <v>64887</v>
      </c>
      <c r="Q716" s="436" t="s">
        <v>1155</v>
      </c>
    </row>
    <row r="717" spans="1:20" s="326" customFormat="1">
      <c r="A717" s="421">
        <f t="shared" si="3"/>
        <v>716</v>
      </c>
      <c r="B717" s="422" t="s">
        <v>524</v>
      </c>
      <c r="C717" s="73" t="s">
        <v>44</v>
      </c>
      <c r="D717" s="73" t="s">
        <v>449</v>
      </c>
      <c r="E717" s="73" t="s">
        <v>1083</v>
      </c>
      <c r="F717" s="423" t="s">
        <v>497</v>
      </c>
      <c r="G717" s="373">
        <v>9857878780</v>
      </c>
      <c r="H717" s="422"/>
      <c r="I717" s="373">
        <v>26</v>
      </c>
      <c r="J717" s="402" t="s">
        <v>404</v>
      </c>
      <c r="K717" s="373" t="s">
        <v>709</v>
      </c>
      <c r="L717" s="423"/>
      <c r="M717" s="507" t="s">
        <v>431</v>
      </c>
      <c r="N717" s="726">
        <v>64872</v>
      </c>
      <c r="O717" s="476">
        <v>64872</v>
      </c>
      <c r="P717" s="476">
        <v>64881</v>
      </c>
      <c r="Q717" s="422" t="s">
        <v>940</v>
      </c>
    </row>
    <row r="718" spans="1:20">
      <c r="A718" s="509">
        <v>717</v>
      </c>
      <c r="B718" s="432" t="s">
        <v>524</v>
      </c>
      <c r="C718" s="432" t="s">
        <v>44</v>
      </c>
      <c r="D718" s="432" t="s">
        <v>449</v>
      </c>
      <c r="E718" s="432" t="s">
        <v>1084</v>
      </c>
      <c r="F718" s="434" t="s">
        <v>502</v>
      </c>
      <c r="G718" s="434">
        <v>9847824292</v>
      </c>
      <c r="I718" s="434">
        <v>23</v>
      </c>
      <c r="J718" s="434" t="s">
        <v>433</v>
      </c>
      <c r="K718" s="434" t="s">
        <v>709</v>
      </c>
      <c r="M718" s="434" t="s">
        <v>431</v>
      </c>
      <c r="N718" s="730">
        <v>64873</v>
      </c>
      <c r="O718" s="459">
        <v>64873</v>
      </c>
      <c r="P718" s="459">
        <v>64895</v>
      </c>
      <c r="Q718" s="432" t="s">
        <v>51</v>
      </c>
    </row>
    <row r="719" spans="1:20">
      <c r="A719" s="509">
        <v>718</v>
      </c>
      <c r="B719" s="432" t="s">
        <v>524</v>
      </c>
      <c r="C719" s="432" t="s">
        <v>44</v>
      </c>
      <c r="D719" s="432" t="s">
        <v>449</v>
      </c>
      <c r="E719" s="432" t="s">
        <v>1085</v>
      </c>
      <c r="F719" s="434" t="s">
        <v>491</v>
      </c>
      <c r="G719" s="434">
        <v>9847824292</v>
      </c>
      <c r="I719" s="434">
        <v>19</v>
      </c>
      <c r="J719" s="434" t="s">
        <v>404</v>
      </c>
      <c r="K719" s="434" t="s">
        <v>709</v>
      </c>
      <c r="M719" s="434" t="s">
        <v>431</v>
      </c>
      <c r="N719" s="730">
        <v>64873</v>
      </c>
      <c r="O719" s="459">
        <v>64873</v>
      </c>
      <c r="P719" s="459">
        <v>64895</v>
      </c>
      <c r="Q719" s="432" t="s">
        <v>51</v>
      </c>
    </row>
    <row r="720" spans="1:20">
      <c r="A720" s="509">
        <v>719</v>
      </c>
      <c r="B720" s="432" t="s">
        <v>524</v>
      </c>
      <c r="C720" s="432" t="s">
        <v>44</v>
      </c>
      <c r="D720" s="432" t="s">
        <v>449</v>
      </c>
      <c r="E720" s="432" t="s">
        <v>1086</v>
      </c>
      <c r="F720" s="434" t="s">
        <v>497</v>
      </c>
      <c r="G720" s="434">
        <v>9847830611</v>
      </c>
      <c r="I720" s="434">
        <v>48</v>
      </c>
      <c r="J720" s="434" t="s">
        <v>404</v>
      </c>
      <c r="K720" s="434" t="s">
        <v>709</v>
      </c>
      <c r="M720" s="434" t="s">
        <v>431</v>
      </c>
      <c r="N720" s="730">
        <v>64873</v>
      </c>
      <c r="O720" s="459">
        <v>64873</v>
      </c>
      <c r="P720" s="459">
        <v>64895</v>
      </c>
      <c r="Q720" s="432" t="s">
        <v>51</v>
      </c>
    </row>
    <row r="721" spans="1:17">
      <c r="A721" s="509">
        <v>720</v>
      </c>
      <c r="B721" s="432" t="s">
        <v>524</v>
      </c>
      <c r="C721" s="432" t="s">
        <v>44</v>
      </c>
      <c r="D721" s="432" t="s">
        <v>449</v>
      </c>
      <c r="E721" s="432" t="s">
        <v>1087</v>
      </c>
      <c r="F721" s="434" t="s">
        <v>1046</v>
      </c>
      <c r="G721" s="434">
        <v>9808310917</v>
      </c>
      <c r="I721" s="434">
        <v>32</v>
      </c>
      <c r="J721" s="434" t="s">
        <v>404</v>
      </c>
      <c r="K721" s="434" t="s">
        <v>709</v>
      </c>
      <c r="M721" s="434" t="s">
        <v>431</v>
      </c>
      <c r="N721" s="730">
        <v>64873</v>
      </c>
      <c r="O721" s="459">
        <v>64873</v>
      </c>
      <c r="P721" s="459">
        <v>64895</v>
      </c>
      <c r="Q721" s="432" t="s">
        <v>51</v>
      </c>
    </row>
    <row r="722" spans="1:17">
      <c r="A722" s="509">
        <v>721</v>
      </c>
      <c r="B722" s="432" t="s">
        <v>524</v>
      </c>
      <c r="C722" s="432" t="s">
        <v>44</v>
      </c>
      <c r="D722" s="432" t="s">
        <v>449</v>
      </c>
      <c r="E722" s="432" t="s">
        <v>1088</v>
      </c>
      <c r="F722" s="434" t="s">
        <v>491</v>
      </c>
      <c r="G722" s="434">
        <v>9845583801</v>
      </c>
      <c r="I722" s="434">
        <v>32</v>
      </c>
      <c r="J722" s="434" t="s">
        <v>404</v>
      </c>
      <c r="K722" s="434" t="s">
        <v>709</v>
      </c>
      <c r="M722" s="434" t="s">
        <v>431</v>
      </c>
      <c r="N722" s="730">
        <v>64873</v>
      </c>
      <c r="O722" s="459">
        <v>64873</v>
      </c>
      <c r="P722" s="459">
        <v>64895</v>
      </c>
      <c r="Q722" s="432" t="s">
        <v>51</v>
      </c>
    </row>
    <row r="723" spans="1:17">
      <c r="A723" s="509">
        <v>722</v>
      </c>
      <c r="B723" s="432" t="s">
        <v>524</v>
      </c>
      <c r="C723" s="432" t="s">
        <v>44</v>
      </c>
      <c r="D723" s="432" t="s">
        <v>449</v>
      </c>
      <c r="E723" s="432" t="s">
        <v>1113</v>
      </c>
      <c r="F723" s="434" t="s">
        <v>491</v>
      </c>
      <c r="G723" s="434">
        <v>9867092135</v>
      </c>
      <c r="I723" s="434">
        <v>40</v>
      </c>
      <c r="J723" s="434" t="s">
        <v>404</v>
      </c>
      <c r="K723" s="434" t="s">
        <v>709</v>
      </c>
      <c r="M723" s="434" t="s">
        <v>489</v>
      </c>
      <c r="N723" s="730">
        <v>64873</v>
      </c>
      <c r="O723" s="459">
        <v>64873</v>
      </c>
      <c r="P723" s="459">
        <v>64887</v>
      </c>
      <c r="Q723" s="432" t="s">
        <v>1155</v>
      </c>
    </row>
    <row r="724" spans="1:17">
      <c r="A724" s="509">
        <v>723</v>
      </c>
      <c r="B724" s="432" t="s">
        <v>524</v>
      </c>
      <c r="C724" s="432" t="s">
        <v>44</v>
      </c>
      <c r="D724" s="432" t="s">
        <v>449</v>
      </c>
      <c r="E724" s="432" t="s">
        <v>1089</v>
      </c>
      <c r="F724" s="434" t="s">
        <v>529</v>
      </c>
      <c r="G724" s="434">
        <v>9851172984</v>
      </c>
      <c r="I724" s="434">
        <v>28</v>
      </c>
      <c r="J724" s="434" t="s">
        <v>404</v>
      </c>
      <c r="K724" s="434" t="s">
        <v>709</v>
      </c>
      <c r="M724" s="434" t="s">
        <v>431</v>
      </c>
      <c r="N724" s="730">
        <v>64873</v>
      </c>
      <c r="O724" s="459">
        <v>64873</v>
      </c>
      <c r="P724" s="459">
        <v>64895</v>
      </c>
      <c r="Q724" s="432" t="s">
        <v>51</v>
      </c>
    </row>
    <row r="725" spans="1:17">
      <c r="A725" s="509">
        <v>724</v>
      </c>
      <c r="B725" s="432" t="s">
        <v>524</v>
      </c>
      <c r="C725" s="432" t="s">
        <v>44</v>
      </c>
      <c r="D725" s="432" t="s">
        <v>449</v>
      </c>
      <c r="E725" s="432" t="s">
        <v>1090</v>
      </c>
      <c r="F725" s="434" t="s">
        <v>491</v>
      </c>
      <c r="G725" s="434">
        <v>9845518782</v>
      </c>
      <c r="I725" s="434">
        <v>42</v>
      </c>
      <c r="J725" s="434" t="s">
        <v>433</v>
      </c>
      <c r="K725" s="434" t="s">
        <v>709</v>
      </c>
      <c r="M725" s="434" t="s">
        <v>431</v>
      </c>
      <c r="N725" s="730">
        <v>64873</v>
      </c>
      <c r="O725" s="459">
        <v>64873</v>
      </c>
      <c r="P725" s="459">
        <v>64895</v>
      </c>
      <c r="Q725" s="432" t="s">
        <v>51</v>
      </c>
    </row>
    <row r="726" spans="1:17">
      <c r="A726" s="509">
        <v>725</v>
      </c>
      <c r="B726" s="432" t="s">
        <v>524</v>
      </c>
      <c r="C726" s="432" t="s">
        <v>44</v>
      </c>
      <c r="D726" s="432" t="s">
        <v>449</v>
      </c>
      <c r="E726" s="432" t="s">
        <v>1091</v>
      </c>
      <c r="F726" s="434" t="s">
        <v>441</v>
      </c>
      <c r="G726" s="434">
        <v>9857822456</v>
      </c>
      <c r="I726" s="434">
        <v>32</v>
      </c>
      <c r="J726" s="434" t="s">
        <v>433</v>
      </c>
      <c r="K726" s="434" t="s">
        <v>709</v>
      </c>
      <c r="M726" s="434" t="s">
        <v>431</v>
      </c>
      <c r="N726" s="730">
        <v>64873</v>
      </c>
      <c r="O726" s="459">
        <v>64873</v>
      </c>
      <c r="P726" s="459">
        <v>64895</v>
      </c>
      <c r="Q726" s="432" t="s">
        <v>51</v>
      </c>
    </row>
    <row r="727" spans="1:17">
      <c r="A727" s="509">
        <v>726</v>
      </c>
      <c r="B727" s="432" t="s">
        <v>524</v>
      </c>
      <c r="C727" s="432" t="s">
        <v>44</v>
      </c>
      <c r="D727" s="432" t="s">
        <v>449</v>
      </c>
      <c r="E727" s="432" t="s">
        <v>1092</v>
      </c>
      <c r="F727" s="434" t="s">
        <v>1008</v>
      </c>
      <c r="G727" s="434">
        <v>9857871011</v>
      </c>
      <c r="I727" s="434">
        <v>30</v>
      </c>
      <c r="J727" s="434" t="s">
        <v>404</v>
      </c>
      <c r="K727" s="434" t="s">
        <v>709</v>
      </c>
      <c r="M727" s="434" t="s">
        <v>431</v>
      </c>
      <c r="N727" s="730">
        <v>64873</v>
      </c>
      <c r="O727" s="459">
        <v>64873</v>
      </c>
      <c r="P727" s="459">
        <v>64895</v>
      </c>
      <c r="Q727" s="432" t="s">
        <v>51</v>
      </c>
    </row>
    <row r="728" spans="1:17">
      <c r="A728" s="509">
        <f>A727+1</f>
        <v>727</v>
      </c>
      <c r="B728" s="432" t="s">
        <v>524</v>
      </c>
      <c r="C728" s="432" t="s">
        <v>44</v>
      </c>
      <c r="D728" s="432" t="s">
        <v>449</v>
      </c>
      <c r="E728" s="432" t="s">
        <v>1093</v>
      </c>
      <c r="F728" s="434" t="s">
        <v>469</v>
      </c>
      <c r="G728" s="434">
        <v>9847833325</v>
      </c>
      <c r="I728" s="434">
        <v>51</v>
      </c>
      <c r="J728" s="434" t="s">
        <v>404</v>
      </c>
      <c r="K728" s="434" t="s">
        <v>709</v>
      </c>
      <c r="M728" s="434" t="s">
        <v>431</v>
      </c>
      <c r="N728" s="730">
        <v>64874</v>
      </c>
      <c r="O728" s="459">
        <v>64874</v>
      </c>
      <c r="P728" s="459">
        <v>64896</v>
      </c>
      <c r="Q728" s="432" t="s">
        <v>51</v>
      </c>
    </row>
    <row r="729" spans="1:17">
      <c r="A729" s="509">
        <f>A728+1</f>
        <v>728</v>
      </c>
      <c r="B729" s="432" t="s">
        <v>524</v>
      </c>
      <c r="C729" s="432" t="s">
        <v>44</v>
      </c>
      <c r="D729" s="432" t="s">
        <v>449</v>
      </c>
      <c r="E729" s="432" t="s">
        <v>1094</v>
      </c>
      <c r="F729" s="434" t="s">
        <v>502</v>
      </c>
      <c r="G729" s="434">
        <v>9861854262</v>
      </c>
      <c r="I729" s="434">
        <v>24</v>
      </c>
      <c r="J729" s="434" t="s">
        <v>404</v>
      </c>
      <c r="K729" s="434" t="s">
        <v>709</v>
      </c>
      <c r="M729" s="434" t="s">
        <v>431</v>
      </c>
      <c r="N729" s="730">
        <v>64874</v>
      </c>
      <c r="O729" s="459">
        <v>64874</v>
      </c>
      <c r="P729" s="459">
        <v>64896</v>
      </c>
      <c r="Q729" s="432" t="s">
        <v>51</v>
      </c>
    </row>
    <row r="730" spans="1:17">
      <c r="A730" s="509">
        <f t="shared" ref="A730:A793" si="4">A729+1</f>
        <v>729</v>
      </c>
      <c r="B730" s="432" t="s">
        <v>524</v>
      </c>
      <c r="C730" s="432" t="s">
        <v>44</v>
      </c>
      <c r="D730" s="432" t="s">
        <v>449</v>
      </c>
      <c r="E730" s="432" t="s">
        <v>1095</v>
      </c>
      <c r="F730" s="434" t="s">
        <v>512</v>
      </c>
      <c r="G730" s="434">
        <v>9822849943</v>
      </c>
      <c r="I730" s="434">
        <v>58</v>
      </c>
      <c r="J730" s="434" t="s">
        <v>404</v>
      </c>
      <c r="K730" s="434" t="s">
        <v>709</v>
      </c>
      <c r="M730" s="434" t="s">
        <v>431</v>
      </c>
      <c r="N730" s="730">
        <v>64874</v>
      </c>
      <c r="O730" s="459">
        <v>64874</v>
      </c>
      <c r="P730" s="459">
        <v>64896</v>
      </c>
      <c r="Q730" s="432" t="s">
        <v>51</v>
      </c>
    </row>
    <row r="731" spans="1:17">
      <c r="A731" s="509">
        <f t="shared" si="4"/>
        <v>730</v>
      </c>
      <c r="B731" s="432" t="s">
        <v>524</v>
      </c>
      <c r="C731" s="432" t="s">
        <v>44</v>
      </c>
      <c r="D731" s="432" t="s">
        <v>449</v>
      </c>
      <c r="E731" s="432" t="s">
        <v>1096</v>
      </c>
      <c r="F731" s="434" t="s">
        <v>502</v>
      </c>
      <c r="G731" s="434">
        <v>9857823512</v>
      </c>
      <c r="I731" s="434">
        <v>60</v>
      </c>
      <c r="J731" s="434" t="s">
        <v>404</v>
      </c>
      <c r="K731" s="434" t="s">
        <v>709</v>
      </c>
      <c r="M731" s="438" t="s">
        <v>489</v>
      </c>
      <c r="N731" s="730">
        <v>64874</v>
      </c>
      <c r="O731" s="459">
        <v>64874</v>
      </c>
      <c r="P731" s="459">
        <v>64895</v>
      </c>
      <c r="Q731" s="432" t="s">
        <v>51</v>
      </c>
    </row>
    <row r="732" spans="1:17">
      <c r="A732" s="509">
        <f t="shared" si="4"/>
        <v>731</v>
      </c>
      <c r="B732" s="432" t="s">
        <v>524</v>
      </c>
      <c r="C732" s="432" t="s">
        <v>44</v>
      </c>
      <c r="D732" s="432" t="s">
        <v>449</v>
      </c>
      <c r="E732" s="432" t="s">
        <v>1097</v>
      </c>
      <c r="F732" s="434" t="s">
        <v>502</v>
      </c>
      <c r="G732" s="434">
        <v>9810942654</v>
      </c>
      <c r="I732" s="434">
        <v>55</v>
      </c>
      <c r="J732" s="434" t="s">
        <v>433</v>
      </c>
      <c r="K732" s="434" t="s">
        <v>709</v>
      </c>
      <c r="M732" s="434" t="s">
        <v>431</v>
      </c>
      <c r="N732" s="730">
        <v>64874</v>
      </c>
      <c r="O732" s="459">
        <v>64874</v>
      </c>
      <c r="P732" s="459">
        <v>64896</v>
      </c>
      <c r="Q732" s="432" t="s">
        <v>51</v>
      </c>
    </row>
    <row r="733" spans="1:17">
      <c r="A733" s="509">
        <f t="shared" si="4"/>
        <v>732</v>
      </c>
      <c r="B733" s="432" t="s">
        <v>524</v>
      </c>
      <c r="C733" s="432" t="s">
        <v>44</v>
      </c>
      <c r="D733" s="432" t="s">
        <v>449</v>
      </c>
      <c r="E733" s="432" t="s">
        <v>1098</v>
      </c>
      <c r="F733" s="434" t="s">
        <v>491</v>
      </c>
      <c r="G733" s="434">
        <v>9847942018</v>
      </c>
      <c r="I733" s="434">
        <v>53</v>
      </c>
      <c r="J733" s="434" t="s">
        <v>433</v>
      </c>
      <c r="K733" s="434" t="s">
        <v>709</v>
      </c>
      <c r="M733" s="434" t="s">
        <v>431</v>
      </c>
      <c r="N733" s="730">
        <v>64874</v>
      </c>
      <c r="O733" s="459">
        <v>64874</v>
      </c>
      <c r="P733" s="459">
        <v>64896</v>
      </c>
      <c r="Q733" s="432" t="s">
        <v>51</v>
      </c>
    </row>
    <row r="734" spans="1:17">
      <c r="A734" s="509">
        <f t="shared" si="4"/>
        <v>733</v>
      </c>
      <c r="B734" s="432" t="s">
        <v>524</v>
      </c>
      <c r="C734" s="432" t="s">
        <v>44</v>
      </c>
      <c r="D734" s="432" t="s">
        <v>449</v>
      </c>
      <c r="E734" s="432" t="s">
        <v>1099</v>
      </c>
      <c r="F734" s="434" t="s">
        <v>491</v>
      </c>
      <c r="G734" s="434">
        <v>9847823448</v>
      </c>
      <c r="I734" s="434">
        <v>58</v>
      </c>
      <c r="J734" s="434" t="s">
        <v>404</v>
      </c>
      <c r="K734" s="434" t="s">
        <v>709</v>
      </c>
      <c r="M734" s="434" t="s">
        <v>431</v>
      </c>
      <c r="N734" s="730">
        <v>64874</v>
      </c>
      <c r="O734" s="459">
        <v>64874</v>
      </c>
      <c r="P734" s="459">
        <v>64896</v>
      </c>
      <c r="Q734" s="432" t="s">
        <v>51</v>
      </c>
    </row>
    <row r="735" spans="1:17">
      <c r="A735" s="509">
        <f t="shared" si="4"/>
        <v>734</v>
      </c>
      <c r="B735" s="432" t="s">
        <v>524</v>
      </c>
      <c r="C735" s="432" t="s">
        <v>44</v>
      </c>
      <c r="D735" s="432" t="s">
        <v>449</v>
      </c>
      <c r="E735" s="432" t="s">
        <v>1100</v>
      </c>
      <c r="F735" s="434" t="s">
        <v>502</v>
      </c>
      <c r="G735" s="434">
        <v>9829530247</v>
      </c>
      <c r="I735" s="434">
        <v>58</v>
      </c>
      <c r="J735" s="434" t="s">
        <v>433</v>
      </c>
      <c r="K735" s="434" t="s">
        <v>709</v>
      </c>
      <c r="M735" s="434" t="s">
        <v>431</v>
      </c>
      <c r="N735" s="730">
        <v>64874</v>
      </c>
      <c r="O735" s="459">
        <v>64874</v>
      </c>
      <c r="P735" s="459">
        <v>64896</v>
      </c>
      <c r="Q735" s="432" t="s">
        <v>51</v>
      </c>
    </row>
    <row r="736" spans="1:17">
      <c r="A736" s="509">
        <f t="shared" si="4"/>
        <v>735</v>
      </c>
      <c r="B736" s="432" t="s">
        <v>524</v>
      </c>
      <c r="C736" s="432" t="s">
        <v>44</v>
      </c>
      <c r="D736" s="432" t="s">
        <v>449</v>
      </c>
      <c r="E736" s="432" t="s">
        <v>1101</v>
      </c>
      <c r="F736" s="434" t="s">
        <v>502</v>
      </c>
      <c r="G736" s="434">
        <v>9801352728</v>
      </c>
      <c r="I736" s="434">
        <v>33</v>
      </c>
      <c r="J736" s="434" t="s">
        <v>433</v>
      </c>
      <c r="K736" s="434" t="s">
        <v>709</v>
      </c>
      <c r="M736" s="434" t="s">
        <v>431</v>
      </c>
      <c r="N736" s="730">
        <v>64874</v>
      </c>
      <c r="O736" s="459">
        <v>64874</v>
      </c>
      <c r="P736" s="459">
        <v>64896</v>
      </c>
      <c r="Q736" s="432" t="s">
        <v>51</v>
      </c>
    </row>
    <row r="737" spans="1:17">
      <c r="A737" s="509">
        <f t="shared" si="4"/>
        <v>736</v>
      </c>
      <c r="B737" s="432" t="s">
        <v>524</v>
      </c>
      <c r="C737" s="432" t="s">
        <v>44</v>
      </c>
      <c r="D737" s="432" t="s">
        <v>449</v>
      </c>
      <c r="E737" s="432" t="s">
        <v>1102</v>
      </c>
      <c r="F737" s="434" t="s">
        <v>491</v>
      </c>
      <c r="G737" s="434">
        <v>9844966550</v>
      </c>
      <c r="I737" s="434">
        <v>12</v>
      </c>
      <c r="J737" s="434" t="s">
        <v>433</v>
      </c>
      <c r="K737" s="434" t="s">
        <v>709</v>
      </c>
      <c r="M737" s="434" t="s">
        <v>431</v>
      </c>
      <c r="N737" s="730">
        <v>64874</v>
      </c>
      <c r="O737" s="459">
        <v>64874</v>
      </c>
      <c r="P737" s="459">
        <v>64896</v>
      </c>
      <c r="Q737" s="432" t="s">
        <v>51</v>
      </c>
    </row>
    <row r="738" spans="1:17">
      <c r="A738" s="509">
        <f t="shared" si="4"/>
        <v>737</v>
      </c>
      <c r="B738" s="432" t="s">
        <v>524</v>
      </c>
      <c r="C738" s="432" t="s">
        <v>44</v>
      </c>
      <c r="D738" s="432" t="s">
        <v>449</v>
      </c>
      <c r="E738" s="432" t="s">
        <v>1103</v>
      </c>
      <c r="F738" s="434" t="s">
        <v>491</v>
      </c>
      <c r="G738" s="434">
        <v>9844966550</v>
      </c>
      <c r="I738" s="434">
        <v>38</v>
      </c>
      <c r="J738" s="434" t="s">
        <v>433</v>
      </c>
      <c r="K738" s="434" t="s">
        <v>709</v>
      </c>
      <c r="M738" s="434" t="s">
        <v>431</v>
      </c>
      <c r="N738" s="730">
        <v>64874</v>
      </c>
      <c r="O738" s="459">
        <v>64874</v>
      </c>
      <c r="P738" s="459">
        <v>64896</v>
      </c>
      <c r="Q738" s="432" t="s">
        <v>51</v>
      </c>
    </row>
    <row r="739" spans="1:17">
      <c r="A739" s="509">
        <f t="shared" si="4"/>
        <v>738</v>
      </c>
      <c r="B739" s="432" t="s">
        <v>524</v>
      </c>
      <c r="C739" s="432" t="s">
        <v>44</v>
      </c>
      <c r="D739" s="432" t="s">
        <v>449</v>
      </c>
      <c r="E739" s="432" t="s">
        <v>1104</v>
      </c>
      <c r="F739" s="434" t="s">
        <v>491</v>
      </c>
      <c r="G739" s="434">
        <v>9844945670</v>
      </c>
      <c r="I739" s="434">
        <v>28</v>
      </c>
      <c r="J739" s="434" t="s">
        <v>433</v>
      </c>
      <c r="K739" s="434" t="s">
        <v>709</v>
      </c>
      <c r="M739" s="434" t="s">
        <v>431</v>
      </c>
      <c r="N739" s="730">
        <v>64874</v>
      </c>
      <c r="O739" s="459">
        <v>64874</v>
      </c>
      <c r="P739" s="459">
        <v>64896</v>
      </c>
      <c r="Q739" s="432" t="s">
        <v>51</v>
      </c>
    </row>
    <row r="740" spans="1:17">
      <c r="A740" s="509">
        <f t="shared" si="4"/>
        <v>739</v>
      </c>
      <c r="B740" s="432" t="s">
        <v>524</v>
      </c>
      <c r="C740" s="432" t="s">
        <v>44</v>
      </c>
      <c r="D740" s="432" t="s">
        <v>449</v>
      </c>
      <c r="E740" s="432" t="s">
        <v>1105</v>
      </c>
      <c r="F740" s="434" t="s">
        <v>491</v>
      </c>
      <c r="G740" s="434">
        <v>9813794505</v>
      </c>
      <c r="I740" s="434">
        <v>54</v>
      </c>
      <c r="J740" s="434" t="s">
        <v>404</v>
      </c>
      <c r="K740" s="434" t="s">
        <v>709</v>
      </c>
      <c r="M740" s="434" t="s">
        <v>431</v>
      </c>
      <c r="N740" s="730">
        <v>64876</v>
      </c>
      <c r="O740" s="459">
        <v>64876</v>
      </c>
      <c r="P740" s="459">
        <v>64899</v>
      </c>
      <c r="Q740" s="432" t="s">
        <v>51</v>
      </c>
    </row>
    <row r="741" spans="1:17">
      <c r="A741" s="509">
        <f t="shared" si="4"/>
        <v>740</v>
      </c>
      <c r="B741" s="432" t="s">
        <v>524</v>
      </c>
      <c r="C741" s="432" t="s">
        <v>44</v>
      </c>
      <c r="D741" s="432" t="s">
        <v>449</v>
      </c>
      <c r="E741" s="432" t="s">
        <v>1106</v>
      </c>
      <c r="F741" s="434" t="s">
        <v>441</v>
      </c>
      <c r="G741" s="434">
        <v>9809550920</v>
      </c>
      <c r="I741" s="434">
        <v>59</v>
      </c>
      <c r="J741" s="434" t="s">
        <v>433</v>
      </c>
      <c r="K741" s="434" t="s">
        <v>709</v>
      </c>
      <c r="M741" s="434" t="s">
        <v>431</v>
      </c>
      <c r="N741" s="730">
        <v>64876</v>
      </c>
      <c r="O741" s="459">
        <v>64876</v>
      </c>
      <c r="P741" s="459">
        <v>64899</v>
      </c>
      <c r="Q741" s="432" t="s">
        <v>51</v>
      </c>
    </row>
    <row r="742" spans="1:17">
      <c r="A742" s="509">
        <f t="shared" si="4"/>
        <v>741</v>
      </c>
      <c r="B742" s="432" t="s">
        <v>524</v>
      </c>
      <c r="C742" s="432" t="s">
        <v>44</v>
      </c>
      <c r="D742" s="432" t="s">
        <v>449</v>
      </c>
      <c r="E742" s="432" t="s">
        <v>1107</v>
      </c>
      <c r="F742" s="434" t="s">
        <v>1008</v>
      </c>
      <c r="G742" s="434">
        <v>9857821993</v>
      </c>
      <c r="I742" s="434">
        <v>37</v>
      </c>
      <c r="J742" s="434" t="s">
        <v>404</v>
      </c>
      <c r="K742" s="434" t="s">
        <v>709</v>
      </c>
      <c r="M742" s="434" t="s">
        <v>431</v>
      </c>
      <c r="N742" s="730">
        <v>64876</v>
      </c>
      <c r="O742" s="459">
        <v>64876</v>
      </c>
      <c r="P742" s="459">
        <v>64899</v>
      </c>
      <c r="Q742" s="432" t="s">
        <v>51</v>
      </c>
    </row>
    <row r="743" spans="1:17">
      <c r="A743" s="509">
        <f t="shared" si="4"/>
        <v>742</v>
      </c>
      <c r="B743" s="432" t="s">
        <v>524</v>
      </c>
      <c r="C743" s="432" t="s">
        <v>44</v>
      </c>
      <c r="D743" s="432" t="s">
        <v>449</v>
      </c>
      <c r="E743" s="432" t="s">
        <v>1108</v>
      </c>
      <c r="F743" s="434" t="s">
        <v>488</v>
      </c>
      <c r="G743" s="434">
        <v>9868983485</v>
      </c>
      <c r="I743" s="434">
        <v>18</v>
      </c>
      <c r="J743" s="434" t="s">
        <v>404</v>
      </c>
      <c r="K743" s="434" t="s">
        <v>709</v>
      </c>
      <c r="M743" s="434" t="s">
        <v>431</v>
      </c>
      <c r="N743" s="730">
        <v>64876</v>
      </c>
      <c r="O743" s="459">
        <v>64876</v>
      </c>
      <c r="P743" s="459">
        <v>64899</v>
      </c>
      <c r="Q743" s="432" t="s">
        <v>51</v>
      </c>
    </row>
    <row r="744" spans="1:17">
      <c r="A744" s="509">
        <f t="shared" si="4"/>
        <v>743</v>
      </c>
      <c r="B744" s="432" t="s">
        <v>524</v>
      </c>
      <c r="C744" s="432" t="s">
        <v>44</v>
      </c>
      <c r="D744" s="432" t="s">
        <v>449</v>
      </c>
      <c r="E744" s="432" t="s">
        <v>1109</v>
      </c>
      <c r="F744" s="434" t="s">
        <v>510</v>
      </c>
      <c r="G744" s="434">
        <v>9868627560</v>
      </c>
      <c r="I744" s="434">
        <v>24</v>
      </c>
      <c r="J744" s="434" t="s">
        <v>433</v>
      </c>
      <c r="K744" s="434" t="s">
        <v>709</v>
      </c>
      <c r="M744" s="434" t="s">
        <v>431</v>
      </c>
      <c r="N744" s="730">
        <v>64876</v>
      </c>
      <c r="O744" s="459">
        <v>64876</v>
      </c>
      <c r="P744" s="459">
        <v>64899</v>
      </c>
      <c r="Q744" s="432" t="s">
        <v>51</v>
      </c>
    </row>
    <row r="745" spans="1:17">
      <c r="A745" s="509">
        <f t="shared" si="4"/>
        <v>744</v>
      </c>
      <c r="B745" s="432" t="s">
        <v>524</v>
      </c>
      <c r="C745" s="432" t="s">
        <v>44</v>
      </c>
      <c r="D745" s="432" t="s">
        <v>449</v>
      </c>
      <c r="E745" s="432" t="s">
        <v>1110</v>
      </c>
      <c r="F745" s="434" t="s">
        <v>491</v>
      </c>
      <c r="G745" s="434">
        <v>9847855173</v>
      </c>
      <c r="I745" s="434">
        <v>37</v>
      </c>
      <c r="J745" s="434" t="s">
        <v>404</v>
      </c>
      <c r="K745" s="434" t="s">
        <v>709</v>
      </c>
      <c r="M745" s="434" t="s">
        <v>431</v>
      </c>
      <c r="N745" s="730">
        <v>64876</v>
      </c>
      <c r="O745" s="459">
        <v>64876</v>
      </c>
      <c r="P745" s="459">
        <v>64901</v>
      </c>
      <c r="Q745" s="432" t="s">
        <v>51</v>
      </c>
    </row>
    <row r="746" spans="1:17">
      <c r="A746" s="509">
        <f t="shared" si="4"/>
        <v>745</v>
      </c>
      <c r="B746" s="432" t="s">
        <v>524</v>
      </c>
      <c r="C746" s="432" t="s">
        <v>44</v>
      </c>
      <c r="D746" s="432" t="s">
        <v>449</v>
      </c>
      <c r="E746" s="432" t="s">
        <v>1135</v>
      </c>
      <c r="F746" s="434" t="s">
        <v>441</v>
      </c>
      <c r="G746" s="434">
        <v>9866828488</v>
      </c>
      <c r="I746" s="434">
        <v>27</v>
      </c>
      <c r="J746" s="434" t="s">
        <v>433</v>
      </c>
      <c r="K746" s="434" t="s">
        <v>709</v>
      </c>
      <c r="M746" s="438" t="s">
        <v>489</v>
      </c>
      <c r="N746" s="730">
        <v>64877</v>
      </c>
      <c r="O746" s="459">
        <v>64877</v>
      </c>
      <c r="P746" s="459">
        <v>64899</v>
      </c>
      <c r="Q746" s="432" t="s">
        <v>51</v>
      </c>
    </row>
    <row r="747" spans="1:17">
      <c r="A747" s="509">
        <f t="shared" si="4"/>
        <v>746</v>
      </c>
      <c r="B747" s="432" t="s">
        <v>524</v>
      </c>
      <c r="C747" s="432" t="s">
        <v>44</v>
      </c>
      <c r="D747" s="432" t="s">
        <v>449</v>
      </c>
      <c r="E747" s="432" t="s">
        <v>1117</v>
      </c>
      <c r="F747" s="434" t="s">
        <v>488</v>
      </c>
      <c r="G747" s="434">
        <v>9857831675</v>
      </c>
      <c r="I747" s="434">
        <v>12</v>
      </c>
      <c r="J747" s="434" t="s">
        <v>433</v>
      </c>
      <c r="K747" s="434" t="s">
        <v>709</v>
      </c>
      <c r="M747" s="434" t="s">
        <v>431</v>
      </c>
      <c r="N747" s="730">
        <v>64878</v>
      </c>
      <c r="O747" s="459">
        <v>64879</v>
      </c>
      <c r="P747" s="459">
        <v>64901</v>
      </c>
      <c r="Q747" s="432" t="s">
        <v>51</v>
      </c>
    </row>
    <row r="748" spans="1:17">
      <c r="A748" s="509">
        <f t="shared" si="4"/>
        <v>747</v>
      </c>
      <c r="B748" s="432" t="s">
        <v>524</v>
      </c>
      <c r="C748" s="432" t="s">
        <v>44</v>
      </c>
      <c r="D748" s="432" t="s">
        <v>449</v>
      </c>
      <c r="E748" s="432" t="s">
        <v>1118</v>
      </c>
      <c r="F748" s="434" t="s">
        <v>441</v>
      </c>
      <c r="G748" s="434">
        <v>9810824430</v>
      </c>
      <c r="I748" s="434">
        <v>60</v>
      </c>
      <c r="J748" s="434" t="s">
        <v>404</v>
      </c>
      <c r="K748" s="434" t="s">
        <v>709</v>
      </c>
      <c r="M748" s="434" t="s">
        <v>431</v>
      </c>
      <c r="N748" s="730">
        <v>64878</v>
      </c>
      <c r="O748" s="459">
        <v>64879</v>
      </c>
      <c r="P748" s="459">
        <v>64901</v>
      </c>
      <c r="Q748" s="432" t="s">
        <v>51</v>
      </c>
    </row>
    <row r="749" spans="1:17">
      <c r="A749" s="509">
        <f t="shared" si="4"/>
        <v>748</v>
      </c>
      <c r="B749" s="432" t="s">
        <v>524</v>
      </c>
      <c r="C749" s="432" t="s">
        <v>44</v>
      </c>
      <c r="D749" s="432" t="s">
        <v>449</v>
      </c>
      <c r="E749" s="432" t="s">
        <v>1119</v>
      </c>
      <c r="F749" s="434" t="s">
        <v>529</v>
      </c>
      <c r="G749" s="434">
        <v>9847835424</v>
      </c>
      <c r="I749" s="434">
        <v>50</v>
      </c>
      <c r="J749" s="434" t="s">
        <v>404</v>
      </c>
      <c r="K749" s="434" t="s">
        <v>709</v>
      </c>
      <c r="M749" s="434" t="s">
        <v>431</v>
      </c>
      <c r="N749" s="730">
        <v>64878</v>
      </c>
      <c r="O749" s="459">
        <v>64879</v>
      </c>
      <c r="P749" s="459">
        <v>64901</v>
      </c>
      <c r="Q749" s="432" t="s">
        <v>51</v>
      </c>
    </row>
    <row r="750" spans="1:17">
      <c r="A750" s="509">
        <f t="shared" si="4"/>
        <v>749</v>
      </c>
      <c r="B750" s="432" t="s">
        <v>524</v>
      </c>
      <c r="C750" s="432" t="s">
        <v>44</v>
      </c>
      <c r="D750" s="432" t="s">
        <v>449</v>
      </c>
      <c r="E750" s="432" t="s">
        <v>1120</v>
      </c>
      <c r="F750" s="434" t="s">
        <v>502</v>
      </c>
      <c r="G750" s="434">
        <v>9847829835</v>
      </c>
      <c r="I750" s="434">
        <v>40</v>
      </c>
      <c r="J750" s="434" t="s">
        <v>404</v>
      </c>
      <c r="K750" s="434" t="s">
        <v>709</v>
      </c>
      <c r="M750" s="434" t="s">
        <v>431</v>
      </c>
      <c r="N750" s="730">
        <v>64878</v>
      </c>
      <c r="O750" s="459">
        <v>64879</v>
      </c>
      <c r="P750" s="459">
        <v>64901</v>
      </c>
      <c r="Q750" s="432" t="s">
        <v>51</v>
      </c>
    </row>
    <row r="751" spans="1:17">
      <c r="A751" s="509">
        <f t="shared" si="4"/>
        <v>750</v>
      </c>
      <c r="B751" s="432" t="s">
        <v>524</v>
      </c>
      <c r="C751" s="432" t="s">
        <v>44</v>
      </c>
      <c r="D751" s="432" t="s">
        <v>449</v>
      </c>
      <c r="E751" s="432" t="s">
        <v>1121</v>
      </c>
      <c r="F751" s="434" t="s">
        <v>441</v>
      </c>
      <c r="G751" s="434">
        <v>9828942632</v>
      </c>
      <c r="I751" s="434">
        <v>37</v>
      </c>
      <c r="J751" s="434" t="s">
        <v>404</v>
      </c>
      <c r="K751" s="434" t="s">
        <v>709</v>
      </c>
      <c r="M751" s="434" t="s">
        <v>431</v>
      </c>
      <c r="N751" s="730">
        <v>64878</v>
      </c>
      <c r="O751" s="459">
        <v>64879</v>
      </c>
      <c r="P751" s="459">
        <v>64901</v>
      </c>
      <c r="Q751" s="432" t="s">
        <v>51</v>
      </c>
    </row>
    <row r="752" spans="1:17">
      <c r="A752" s="509">
        <f t="shared" si="4"/>
        <v>751</v>
      </c>
      <c r="B752" s="432" t="s">
        <v>524</v>
      </c>
      <c r="C752" s="432" t="s">
        <v>44</v>
      </c>
      <c r="D752" s="432" t="s">
        <v>449</v>
      </c>
      <c r="E752" s="432" t="s">
        <v>1122</v>
      </c>
      <c r="F752" s="434" t="s">
        <v>497</v>
      </c>
      <c r="G752" s="434">
        <v>9809866282</v>
      </c>
      <c r="I752" s="434">
        <v>40</v>
      </c>
      <c r="J752" s="434" t="s">
        <v>433</v>
      </c>
      <c r="K752" s="434" t="s">
        <v>709</v>
      </c>
      <c r="M752" s="434" t="s">
        <v>431</v>
      </c>
      <c r="N752" s="730">
        <v>64878</v>
      </c>
      <c r="O752" s="459">
        <v>64879</v>
      </c>
      <c r="P752" s="459">
        <v>64901</v>
      </c>
      <c r="Q752" s="432" t="s">
        <v>51</v>
      </c>
    </row>
    <row r="753" spans="1:17">
      <c r="A753" s="509">
        <f t="shared" si="4"/>
        <v>752</v>
      </c>
      <c r="B753" s="432" t="s">
        <v>524</v>
      </c>
      <c r="C753" s="432" t="s">
        <v>44</v>
      </c>
      <c r="D753" s="432" t="s">
        <v>449</v>
      </c>
      <c r="E753" s="432" t="s">
        <v>1123</v>
      </c>
      <c r="F753" s="434" t="s">
        <v>510</v>
      </c>
      <c r="G753" s="434">
        <v>9847855388</v>
      </c>
      <c r="I753" s="434">
        <v>44</v>
      </c>
      <c r="J753" s="434" t="s">
        <v>404</v>
      </c>
      <c r="K753" s="434" t="s">
        <v>709</v>
      </c>
      <c r="M753" s="434" t="s">
        <v>431</v>
      </c>
      <c r="N753" s="730">
        <v>64878</v>
      </c>
      <c r="O753" s="459">
        <v>64879</v>
      </c>
      <c r="P753" s="459">
        <v>64901</v>
      </c>
      <c r="Q753" s="432" t="s">
        <v>51</v>
      </c>
    </row>
    <row r="754" spans="1:17">
      <c r="A754" s="509">
        <f t="shared" si="4"/>
        <v>753</v>
      </c>
      <c r="B754" s="432" t="s">
        <v>524</v>
      </c>
      <c r="C754" s="432" t="s">
        <v>44</v>
      </c>
      <c r="D754" s="432" t="s">
        <v>449</v>
      </c>
      <c r="E754" s="432" t="s">
        <v>1124</v>
      </c>
      <c r="F754" s="434" t="s">
        <v>502</v>
      </c>
      <c r="I754" s="434">
        <v>30</v>
      </c>
      <c r="J754" s="434" t="s">
        <v>404</v>
      </c>
      <c r="K754" s="434" t="s">
        <v>709</v>
      </c>
      <c r="M754" s="434" t="s">
        <v>431</v>
      </c>
      <c r="N754" s="730">
        <v>64878</v>
      </c>
      <c r="O754" s="459">
        <v>64879</v>
      </c>
      <c r="P754" s="459">
        <v>64901</v>
      </c>
      <c r="Q754" s="432" t="s">
        <v>51</v>
      </c>
    </row>
    <row r="755" spans="1:17">
      <c r="A755" s="509">
        <f t="shared" si="4"/>
        <v>754</v>
      </c>
      <c r="B755" s="432" t="s">
        <v>524</v>
      </c>
      <c r="C755" s="432" t="s">
        <v>44</v>
      </c>
      <c r="D755" s="432" t="s">
        <v>449</v>
      </c>
      <c r="E755" s="432" t="s">
        <v>1125</v>
      </c>
      <c r="F755" s="434" t="s">
        <v>491</v>
      </c>
      <c r="G755" s="434">
        <v>9847824350</v>
      </c>
      <c r="I755" s="434">
        <v>36</v>
      </c>
      <c r="J755" s="434" t="s">
        <v>404</v>
      </c>
      <c r="K755" s="434" t="s">
        <v>709</v>
      </c>
      <c r="M755" s="434" t="s">
        <v>431</v>
      </c>
      <c r="N755" s="730">
        <v>64879</v>
      </c>
      <c r="O755" s="459">
        <v>64880</v>
      </c>
      <c r="P755" s="459">
        <v>64901</v>
      </c>
      <c r="Q755" s="432" t="s">
        <v>51</v>
      </c>
    </row>
    <row r="756" spans="1:17">
      <c r="A756" s="509">
        <f t="shared" si="4"/>
        <v>755</v>
      </c>
      <c r="B756" s="432" t="s">
        <v>524</v>
      </c>
      <c r="C756" s="432" t="s">
        <v>44</v>
      </c>
      <c r="D756" s="432" t="s">
        <v>449</v>
      </c>
      <c r="E756" s="432" t="s">
        <v>1126</v>
      </c>
      <c r="F756" s="434" t="s">
        <v>617</v>
      </c>
      <c r="G756" s="434">
        <v>9857820772</v>
      </c>
      <c r="I756" s="434">
        <v>36</v>
      </c>
      <c r="J756" s="434" t="s">
        <v>404</v>
      </c>
      <c r="K756" s="434" t="s">
        <v>709</v>
      </c>
      <c r="M756" s="434" t="s">
        <v>431</v>
      </c>
      <c r="N756" s="730">
        <v>64879</v>
      </c>
      <c r="O756" s="459">
        <v>64880</v>
      </c>
      <c r="P756" s="459">
        <v>64901</v>
      </c>
      <c r="Q756" s="432" t="s">
        <v>51</v>
      </c>
    </row>
    <row r="757" spans="1:17">
      <c r="A757" s="509">
        <f t="shared" si="4"/>
        <v>756</v>
      </c>
      <c r="B757" s="432" t="s">
        <v>524</v>
      </c>
      <c r="C757" s="432" t="s">
        <v>44</v>
      </c>
      <c r="D757" s="432" t="s">
        <v>449</v>
      </c>
      <c r="E757" s="432" t="s">
        <v>1127</v>
      </c>
      <c r="F757" s="434" t="s">
        <v>1128</v>
      </c>
      <c r="G757" s="434">
        <v>9847993712</v>
      </c>
      <c r="I757" s="434">
        <v>23</v>
      </c>
      <c r="J757" s="434" t="s">
        <v>404</v>
      </c>
      <c r="K757" s="434" t="s">
        <v>709</v>
      </c>
      <c r="M757" s="438" t="s">
        <v>489</v>
      </c>
      <c r="N757" s="730">
        <v>64879</v>
      </c>
      <c r="O757" s="459">
        <v>64880</v>
      </c>
      <c r="P757" s="459">
        <v>64899</v>
      </c>
      <c r="Q757" s="432" t="s">
        <v>51</v>
      </c>
    </row>
    <row r="758" spans="1:17">
      <c r="A758" s="509">
        <f t="shared" si="4"/>
        <v>757</v>
      </c>
      <c r="B758" s="432" t="s">
        <v>524</v>
      </c>
      <c r="C758" s="432" t="s">
        <v>44</v>
      </c>
      <c r="D758" s="432" t="s">
        <v>449</v>
      </c>
      <c r="E758" s="432" t="s">
        <v>1136</v>
      </c>
      <c r="F758" s="434" t="s">
        <v>1009</v>
      </c>
      <c r="G758" s="434">
        <v>9841849104</v>
      </c>
      <c r="I758" s="434">
        <v>36</v>
      </c>
      <c r="J758" s="434" t="s">
        <v>404</v>
      </c>
      <c r="K758" s="434" t="s">
        <v>709</v>
      </c>
      <c r="M758" s="434" t="s">
        <v>431</v>
      </c>
      <c r="N758" s="730">
        <v>64881</v>
      </c>
      <c r="O758" s="459">
        <v>64881</v>
      </c>
      <c r="P758" s="459">
        <v>64901</v>
      </c>
      <c r="Q758" s="432" t="s">
        <v>51</v>
      </c>
    </row>
    <row r="759" spans="1:17">
      <c r="A759" s="509">
        <f t="shared" si="4"/>
        <v>758</v>
      </c>
      <c r="B759" s="432" t="s">
        <v>524</v>
      </c>
      <c r="C759" s="432" t="s">
        <v>44</v>
      </c>
      <c r="D759" s="432" t="s">
        <v>449</v>
      </c>
      <c r="E759" s="432" t="s">
        <v>1137</v>
      </c>
      <c r="F759" s="434" t="s">
        <v>491</v>
      </c>
      <c r="G759" s="434">
        <v>9840125272</v>
      </c>
      <c r="I759" s="434">
        <v>20</v>
      </c>
      <c r="J759" s="434" t="s">
        <v>404</v>
      </c>
      <c r="K759" s="434" t="s">
        <v>709</v>
      </c>
      <c r="M759" s="434" t="s">
        <v>431</v>
      </c>
      <c r="N759" s="730">
        <v>64881</v>
      </c>
      <c r="O759" s="459">
        <v>64881</v>
      </c>
      <c r="P759" s="459">
        <v>64901</v>
      </c>
      <c r="Q759" s="432" t="s">
        <v>51</v>
      </c>
    </row>
    <row r="760" spans="1:17">
      <c r="A760" s="509">
        <f t="shared" si="4"/>
        <v>759</v>
      </c>
      <c r="B760" s="432" t="s">
        <v>524</v>
      </c>
      <c r="C760" s="432" t="s">
        <v>44</v>
      </c>
      <c r="D760" s="432" t="s">
        <v>449</v>
      </c>
      <c r="E760" s="432" t="s">
        <v>1140</v>
      </c>
      <c r="F760" s="434" t="s">
        <v>512</v>
      </c>
      <c r="G760" s="434">
        <v>9847833563</v>
      </c>
      <c r="I760" s="434">
        <v>52</v>
      </c>
      <c r="J760" s="434" t="s">
        <v>433</v>
      </c>
      <c r="K760" s="434" t="s">
        <v>709</v>
      </c>
      <c r="M760" s="434" t="s">
        <v>431</v>
      </c>
      <c r="N760" s="730">
        <v>64880</v>
      </c>
      <c r="O760" s="459">
        <v>64881</v>
      </c>
      <c r="P760" s="459">
        <v>64901</v>
      </c>
      <c r="Q760" s="432" t="s">
        <v>51</v>
      </c>
    </row>
    <row r="761" spans="1:17">
      <c r="A761" s="509">
        <f t="shared" si="4"/>
        <v>760</v>
      </c>
      <c r="B761" s="432" t="s">
        <v>524</v>
      </c>
      <c r="C761" s="432" t="s">
        <v>44</v>
      </c>
      <c r="D761" s="432" t="s">
        <v>449</v>
      </c>
      <c r="E761" s="432" t="s">
        <v>1141</v>
      </c>
      <c r="F761" s="434" t="s">
        <v>512</v>
      </c>
      <c r="G761" s="434">
        <v>9857822874</v>
      </c>
      <c r="I761" s="434">
        <v>55</v>
      </c>
      <c r="J761" s="434" t="s">
        <v>404</v>
      </c>
      <c r="K761" s="434" t="s">
        <v>709</v>
      </c>
      <c r="M761" s="434" t="s">
        <v>431</v>
      </c>
      <c r="N761" s="730">
        <v>64880</v>
      </c>
      <c r="O761" s="459">
        <v>64881</v>
      </c>
      <c r="P761" s="459">
        <v>64901</v>
      </c>
      <c r="Q761" s="432" t="s">
        <v>51</v>
      </c>
    </row>
    <row r="762" spans="1:17">
      <c r="A762" s="509">
        <f t="shared" si="4"/>
        <v>761</v>
      </c>
      <c r="B762" s="432" t="s">
        <v>524</v>
      </c>
      <c r="C762" s="432" t="s">
        <v>44</v>
      </c>
      <c r="D762" s="432" t="s">
        <v>449</v>
      </c>
      <c r="E762" s="432" t="s">
        <v>1142</v>
      </c>
      <c r="F762" s="434" t="s">
        <v>469</v>
      </c>
      <c r="G762" s="434">
        <v>9847837321</v>
      </c>
      <c r="I762" s="434">
        <v>37</v>
      </c>
      <c r="J762" s="434" t="s">
        <v>404</v>
      </c>
      <c r="K762" s="434" t="s">
        <v>709</v>
      </c>
      <c r="M762" s="434" t="s">
        <v>431</v>
      </c>
      <c r="N762" s="730">
        <v>64883</v>
      </c>
      <c r="O762" s="459">
        <v>64884</v>
      </c>
      <c r="P762" s="459">
        <v>64901</v>
      </c>
      <c r="Q762" s="432" t="s">
        <v>51</v>
      </c>
    </row>
    <row r="763" spans="1:17">
      <c r="A763" s="509">
        <f t="shared" si="4"/>
        <v>762</v>
      </c>
      <c r="B763" s="432" t="s">
        <v>524</v>
      </c>
      <c r="C763" s="432" t="s">
        <v>44</v>
      </c>
      <c r="D763" s="432" t="s">
        <v>449</v>
      </c>
      <c r="E763" s="432" t="s">
        <v>1143</v>
      </c>
      <c r="F763" s="434" t="s">
        <v>1008</v>
      </c>
      <c r="G763" s="434">
        <v>9857832597</v>
      </c>
      <c r="I763" s="434">
        <v>48</v>
      </c>
      <c r="J763" s="434" t="s">
        <v>404</v>
      </c>
      <c r="K763" s="434" t="s">
        <v>709</v>
      </c>
      <c r="L763" s="434" t="s">
        <v>1150</v>
      </c>
      <c r="M763" s="434" t="s">
        <v>431</v>
      </c>
      <c r="N763" s="730">
        <v>64883</v>
      </c>
      <c r="O763" s="459">
        <v>64884</v>
      </c>
      <c r="P763" s="459">
        <v>64901</v>
      </c>
      <c r="Q763" s="432" t="s">
        <v>51</v>
      </c>
    </row>
    <row r="764" spans="1:17">
      <c r="A764" s="509">
        <f t="shared" si="4"/>
        <v>763</v>
      </c>
      <c r="B764" s="432" t="s">
        <v>524</v>
      </c>
      <c r="C764" s="432" t="s">
        <v>44</v>
      </c>
      <c r="D764" s="432" t="s">
        <v>449</v>
      </c>
      <c r="E764" s="432" t="s">
        <v>1145</v>
      </c>
      <c r="F764" s="434" t="s">
        <v>491</v>
      </c>
      <c r="G764" s="434">
        <v>9857822714</v>
      </c>
      <c r="I764" s="434">
        <v>43</v>
      </c>
      <c r="J764" s="434" t="s">
        <v>404</v>
      </c>
      <c r="K764" s="434" t="s">
        <v>709</v>
      </c>
      <c r="M764" s="434" t="s">
        <v>431</v>
      </c>
      <c r="N764" s="730">
        <v>64865</v>
      </c>
      <c r="O764" s="459">
        <v>64865</v>
      </c>
      <c r="P764" s="459">
        <v>64885</v>
      </c>
      <c r="Q764" s="432" t="s">
        <v>51</v>
      </c>
    </row>
    <row r="765" spans="1:17">
      <c r="A765" s="509">
        <f t="shared" si="4"/>
        <v>764</v>
      </c>
      <c r="B765" s="432" t="s">
        <v>524</v>
      </c>
      <c r="C765" s="432" t="s">
        <v>44</v>
      </c>
      <c r="D765" s="432" t="s">
        <v>449</v>
      </c>
      <c r="E765" s="432" t="s">
        <v>1144</v>
      </c>
      <c r="F765" s="434" t="s">
        <v>1046</v>
      </c>
      <c r="G765" s="434">
        <v>9849677694</v>
      </c>
      <c r="I765" s="434">
        <v>29</v>
      </c>
      <c r="J765" s="434" t="s">
        <v>404</v>
      </c>
      <c r="K765" s="434" t="s">
        <v>709</v>
      </c>
      <c r="L765" s="434" t="s">
        <v>1150</v>
      </c>
      <c r="M765" s="434" t="s">
        <v>431</v>
      </c>
      <c r="N765" s="730">
        <v>64884</v>
      </c>
      <c r="O765" s="459">
        <v>64885</v>
      </c>
      <c r="P765" s="459">
        <v>64901</v>
      </c>
      <c r="Q765" s="432" t="s">
        <v>51</v>
      </c>
    </row>
    <row r="766" spans="1:17">
      <c r="A766" s="509">
        <f t="shared" si="4"/>
        <v>765</v>
      </c>
      <c r="B766" s="432" t="s">
        <v>524</v>
      </c>
      <c r="C766" s="432" t="s">
        <v>44</v>
      </c>
      <c r="D766" s="432" t="s">
        <v>449</v>
      </c>
      <c r="E766" s="432" t="s">
        <v>1149</v>
      </c>
      <c r="F766" s="434" t="s">
        <v>441</v>
      </c>
      <c r="G766" s="434">
        <v>9847834521</v>
      </c>
      <c r="I766" s="434">
        <v>52</v>
      </c>
      <c r="J766" s="434" t="s">
        <v>404</v>
      </c>
      <c r="K766" s="434" t="s">
        <v>709</v>
      </c>
      <c r="L766" s="434" t="s">
        <v>1151</v>
      </c>
      <c r="M766" s="434" t="s">
        <v>431</v>
      </c>
      <c r="N766" s="730">
        <v>64884</v>
      </c>
      <c r="O766" s="459">
        <v>64885</v>
      </c>
      <c r="P766" s="459">
        <v>64901</v>
      </c>
      <c r="Q766" s="432" t="s">
        <v>51</v>
      </c>
    </row>
    <row r="767" spans="1:17">
      <c r="A767" s="509">
        <f t="shared" si="4"/>
        <v>766</v>
      </c>
      <c r="B767" s="432" t="s">
        <v>524</v>
      </c>
      <c r="C767" s="432" t="s">
        <v>44</v>
      </c>
      <c r="D767" s="432" t="s">
        <v>449</v>
      </c>
      <c r="E767" s="432" t="s">
        <v>1152</v>
      </c>
      <c r="F767" s="434" t="s">
        <v>1008</v>
      </c>
      <c r="G767" s="434">
        <v>9802053136</v>
      </c>
      <c r="I767" s="434">
        <v>55</v>
      </c>
      <c r="J767" s="434" t="s">
        <v>433</v>
      </c>
      <c r="K767" s="434" t="s">
        <v>709</v>
      </c>
      <c r="M767" s="434" t="s">
        <v>431</v>
      </c>
      <c r="N767" s="730">
        <v>64885</v>
      </c>
      <c r="O767" s="459">
        <v>64886</v>
      </c>
      <c r="P767" s="459">
        <v>64901</v>
      </c>
      <c r="Q767" s="432" t="s">
        <v>51</v>
      </c>
    </row>
    <row r="768" spans="1:17">
      <c r="A768" s="509">
        <f t="shared" si="4"/>
        <v>767</v>
      </c>
      <c r="B768" s="432" t="s">
        <v>524</v>
      </c>
      <c r="C768" s="432" t="s">
        <v>44</v>
      </c>
      <c r="D768" s="432" t="s">
        <v>449</v>
      </c>
      <c r="E768" s="432" t="s">
        <v>1153</v>
      </c>
      <c r="F768" s="434" t="s">
        <v>1008</v>
      </c>
      <c r="G768" s="434">
        <v>9802053136</v>
      </c>
      <c r="I768" s="434">
        <v>42</v>
      </c>
      <c r="J768" s="434" t="s">
        <v>404</v>
      </c>
      <c r="K768" s="434" t="s">
        <v>709</v>
      </c>
      <c r="M768" s="434" t="s">
        <v>431</v>
      </c>
      <c r="N768" s="730">
        <v>64885</v>
      </c>
      <c r="O768" s="459">
        <v>64886</v>
      </c>
      <c r="P768" s="459">
        <v>64901</v>
      </c>
      <c r="Q768" s="432" t="s">
        <v>51</v>
      </c>
    </row>
    <row r="769" spans="1:17">
      <c r="A769" s="509">
        <f t="shared" si="4"/>
        <v>768</v>
      </c>
      <c r="B769" s="432" t="s">
        <v>524</v>
      </c>
      <c r="C769" s="432" t="s">
        <v>44</v>
      </c>
      <c r="D769" s="432" t="s">
        <v>449</v>
      </c>
      <c r="E769" s="432" t="s">
        <v>1154</v>
      </c>
      <c r="F769" s="434" t="s">
        <v>491</v>
      </c>
      <c r="G769" s="434">
        <v>9857830386</v>
      </c>
      <c r="I769" s="434">
        <v>37</v>
      </c>
      <c r="J769" s="434" t="s">
        <v>404</v>
      </c>
      <c r="K769" s="434" t="s">
        <v>709</v>
      </c>
      <c r="M769" s="434" t="s">
        <v>431</v>
      </c>
      <c r="N769" s="730">
        <v>64885</v>
      </c>
      <c r="O769" s="459">
        <v>64886</v>
      </c>
      <c r="P769" s="459">
        <v>64901</v>
      </c>
      <c r="Q769" s="432" t="s">
        <v>51</v>
      </c>
    </row>
    <row r="770" spans="1:17">
      <c r="A770" s="509">
        <f t="shared" si="4"/>
        <v>769</v>
      </c>
      <c r="B770" s="432" t="s">
        <v>524</v>
      </c>
      <c r="C770" s="432" t="s">
        <v>44</v>
      </c>
      <c r="D770" s="432" t="s">
        <v>449</v>
      </c>
      <c r="E770" s="432" t="s">
        <v>1156</v>
      </c>
      <c r="F770" s="434" t="s">
        <v>1046</v>
      </c>
      <c r="G770" s="434">
        <v>9844225149</v>
      </c>
      <c r="I770" s="434">
        <v>29</v>
      </c>
      <c r="J770" s="434" t="s">
        <v>433</v>
      </c>
      <c r="K770" s="434" t="s">
        <v>709</v>
      </c>
      <c r="M770" s="434" t="s">
        <v>431</v>
      </c>
      <c r="N770" s="730">
        <v>64886</v>
      </c>
      <c r="O770" s="459">
        <v>64887</v>
      </c>
      <c r="P770" s="459">
        <v>64901</v>
      </c>
      <c r="Q770" s="432" t="s">
        <v>51</v>
      </c>
    </row>
    <row r="771" spans="1:17">
      <c r="A771" s="509">
        <f t="shared" si="4"/>
        <v>770</v>
      </c>
      <c r="B771" s="432" t="s">
        <v>524</v>
      </c>
      <c r="C771" s="432" t="s">
        <v>44</v>
      </c>
      <c r="D771" s="432" t="s">
        <v>449</v>
      </c>
      <c r="E771" s="432" t="s">
        <v>1157</v>
      </c>
      <c r="F771" s="434" t="s">
        <v>730</v>
      </c>
      <c r="G771" s="434">
        <v>9857821727</v>
      </c>
      <c r="I771" s="434">
        <v>33</v>
      </c>
      <c r="J771" s="434" t="s">
        <v>404</v>
      </c>
      <c r="K771" s="434" t="s">
        <v>709</v>
      </c>
      <c r="M771" s="434" t="s">
        <v>431</v>
      </c>
      <c r="N771" s="730">
        <v>64886</v>
      </c>
      <c r="O771" s="459">
        <v>64887</v>
      </c>
      <c r="P771" s="459">
        <v>64901</v>
      </c>
      <c r="Q771" s="432" t="s">
        <v>51</v>
      </c>
    </row>
    <row r="772" spans="1:17">
      <c r="A772" s="509">
        <f t="shared" si="4"/>
        <v>771</v>
      </c>
      <c r="B772" s="432" t="s">
        <v>524</v>
      </c>
      <c r="C772" s="432" t="s">
        <v>44</v>
      </c>
      <c r="D772" s="432" t="s">
        <v>449</v>
      </c>
      <c r="E772" s="432" t="s">
        <v>1158</v>
      </c>
      <c r="F772" s="434" t="s">
        <v>469</v>
      </c>
      <c r="G772" s="434">
        <v>9866955429</v>
      </c>
      <c r="I772" s="434">
        <v>22</v>
      </c>
      <c r="J772" s="434" t="s">
        <v>433</v>
      </c>
      <c r="K772" s="434" t="s">
        <v>709</v>
      </c>
      <c r="M772" s="434" t="s">
        <v>431</v>
      </c>
      <c r="N772" s="730">
        <v>64886</v>
      </c>
      <c r="O772" s="459">
        <v>64887</v>
      </c>
      <c r="P772" s="459">
        <v>64901</v>
      </c>
      <c r="Q772" s="432" t="s">
        <v>51</v>
      </c>
    </row>
    <row r="773" spans="1:17">
      <c r="A773" s="509">
        <f t="shared" si="4"/>
        <v>772</v>
      </c>
      <c r="B773" s="432" t="s">
        <v>524</v>
      </c>
      <c r="C773" s="432" t="s">
        <v>44</v>
      </c>
      <c r="D773" s="432" t="s">
        <v>449</v>
      </c>
      <c r="E773" s="432" t="s">
        <v>1159</v>
      </c>
      <c r="F773" s="434" t="s">
        <v>1009</v>
      </c>
      <c r="G773" s="434">
        <v>9847832462</v>
      </c>
      <c r="I773" s="434">
        <v>47</v>
      </c>
      <c r="J773" s="434" t="s">
        <v>404</v>
      </c>
      <c r="K773" s="434" t="s">
        <v>709</v>
      </c>
      <c r="M773" s="434" t="s">
        <v>431</v>
      </c>
      <c r="N773" s="730">
        <v>64886</v>
      </c>
      <c r="O773" s="459">
        <v>64887</v>
      </c>
      <c r="P773" s="459">
        <v>64901</v>
      </c>
      <c r="Q773" s="432" t="s">
        <v>51</v>
      </c>
    </row>
    <row r="774" spans="1:17">
      <c r="A774" s="509">
        <f t="shared" si="4"/>
        <v>773</v>
      </c>
      <c r="B774" s="432" t="s">
        <v>524</v>
      </c>
      <c r="C774" s="432" t="s">
        <v>44</v>
      </c>
      <c r="D774" s="432" t="s">
        <v>449</v>
      </c>
      <c r="E774" s="432" t="s">
        <v>1160</v>
      </c>
      <c r="F774" s="434" t="s">
        <v>491</v>
      </c>
      <c r="G774" s="434">
        <v>9857855666</v>
      </c>
      <c r="I774" s="434">
        <v>34</v>
      </c>
      <c r="J774" s="434" t="s">
        <v>404</v>
      </c>
      <c r="K774" s="434" t="s">
        <v>709</v>
      </c>
      <c r="M774" s="434" t="s">
        <v>431</v>
      </c>
      <c r="N774" s="730">
        <v>64887</v>
      </c>
      <c r="O774" s="459">
        <v>64888</v>
      </c>
      <c r="P774" s="459">
        <v>64902</v>
      </c>
      <c r="Q774" s="432" t="s">
        <v>51</v>
      </c>
    </row>
    <row r="775" spans="1:17">
      <c r="A775" s="509">
        <f t="shared" si="4"/>
        <v>774</v>
      </c>
      <c r="B775" s="432" t="s">
        <v>524</v>
      </c>
      <c r="C775" s="432" t="s">
        <v>44</v>
      </c>
      <c r="D775" s="432" t="s">
        <v>449</v>
      </c>
      <c r="E775" s="432" t="s">
        <v>1161</v>
      </c>
      <c r="F775" s="434" t="s">
        <v>491</v>
      </c>
      <c r="G775" s="434">
        <v>9857855666</v>
      </c>
      <c r="I775" s="434">
        <v>0.15</v>
      </c>
      <c r="J775" s="434" t="s">
        <v>404</v>
      </c>
      <c r="K775" s="434" t="s">
        <v>709</v>
      </c>
      <c r="M775" s="434" t="s">
        <v>431</v>
      </c>
      <c r="N775" s="730">
        <v>64887</v>
      </c>
      <c r="O775" s="459">
        <v>64888</v>
      </c>
      <c r="P775" s="459">
        <v>64902</v>
      </c>
      <c r="Q775" s="432" t="s">
        <v>51</v>
      </c>
    </row>
    <row r="776" spans="1:17">
      <c r="A776" s="509">
        <f t="shared" si="4"/>
        <v>775</v>
      </c>
      <c r="B776" s="432" t="s">
        <v>524</v>
      </c>
      <c r="C776" s="432" t="s">
        <v>44</v>
      </c>
      <c r="D776" s="432" t="s">
        <v>449</v>
      </c>
      <c r="E776" s="432" t="s">
        <v>1162</v>
      </c>
      <c r="F776" s="434" t="s">
        <v>491</v>
      </c>
      <c r="G776" s="434">
        <v>9857855666</v>
      </c>
      <c r="I776" s="434">
        <v>47</v>
      </c>
      <c r="J776" s="434" t="s">
        <v>433</v>
      </c>
      <c r="K776" s="434" t="s">
        <v>709</v>
      </c>
      <c r="M776" s="434" t="s">
        <v>431</v>
      </c>
      <c r="N776" s="730">
        <v>64887</v>
      </c>
      <c r="O776" s="459">
        <v>64888</v>
      </c>
      <c r="P776" s="459">
        <v>64902</v>
      </c>
      <c r="Q776" s="432" t="s">
        <v>51</v>
      </c>
    </row>
    <row r="777" spans="1:17">
      <c r="A777" s="509">
        <f t="shared" si="4"/>
        <v>776</v>
      </c>
      <c r="B777" s="432" t="s">
        <v>524</v>
      </c>
      <c r="C777" s="432" t="s">
        <v>44</v>
      </c>
      <c r="D777" s="432" t="s">
        <v>449</v>
      </c>
      <c r="E777" s="432" t="s">
        <v>1163</v>
      </c>
      <c r="F777" s="434" t="s">
        <v>491</v>
      </c>
      <c r="G777" s="434">
        <v>9857855666</v>
      </c>
      <c r="I777" s="434">
        <v>59</v>
      </c>
      <c r="J777" s="434" t="s">
        <v>404</v>
      </c>
      <c r="K777" s="434" t="s">
        <v>709</v>
      </c>
      <c r="M777" s="434" t="s">
        <v>431</v>
      </c>
      <c r="N777" s="730">
        <v>64887</v>
      </c>
      <c r="O777" s="459">
        <v>64888</v>
      </c>
      <c r="P777" s="459">
        <v>64902</v>
      </c>
      <c r="Q777" s="432" t="s">
        <v>51</v>
      </c>
    </row>
    <row r="778" spans="1:17">
      <c r="A778" s="509">
        <f t="shared" si="4"/>
        <v>777</v>
      </c>
      <c r="B778" s="432" t="s">
        <v>524</v>
      </c>
      <c r="C778" s="432" t="s">
        <v>44</v>
      </c>
      <c r="D778" s="432" t="s">
        <v>449</v>
      </c>
      <c r="E778" s="432" t="s">
        <v>1164</v>
      </c>
      <c r="F778" s="434" t="s">
        <v>491</v>
      </c>
      <c r="G778" s="434">
        <v>9857855666</v>
      </c>
      <c r="I778" s="434">
        <v>35</v>
      </c>
      <c r="J778" s="434" t="s">
        <v>433</v>
      </c>
      <c r="K778" s="434" t="s">
        <v>709</v>
      </c>
      <c r="M778" s="434" t="s">
        <v>431</v>
      </c>
      <c r="N778" s="730">
        <v>64887</v>
      </c>
      <c r="O778" s="459">
        <v>64888</v>
      </c>
      <c r="P778" s="459">
        <v>64902</v>
      </c>
      <c r="Q778" s="432" t="s">
        <v>51</v>
      </c>
    </row>
    <row r="779" spans="1:17">
      <c r="A779" s="509">
        <f t="shared" si="4"/>
        <v>778</v>
      </c>
      <c r="B779" s="432" t="s">
        <v>524</v>
      </c>
      <c r="C779" s="432" t="s">
        <v>44</v>
      </c>
      <c r="D779" s="432" t="s">
        <v>449</v>
      </c>
      <c r="E779" s="432" t="s">
        <v>1165</v>
      </c>
      <c r="F779" s="434" t="s">
        <v>491</v>
      </c>
      <c r="G779" s="434">
        <v>9857855666</v>
      </c>
      <c r="I779" s="434">
        <v>16</v>
      </c>
      <c r="J779" s="434" t="s">
        <v>433</v>
      </c>
      <c r="K779" s="434" t="s">
        <v>709</v>
      </c>
      <c r="M779" s="434" t="s">
        <v>431</v>
      </c>
      <c r="N779" s="730">
        <v>64887</v>
      </c>
      <c r="O779" s="459">
        <v>64888</v>
      </c>
      <c r="P779" s="459">
        <v>64902</v>
      </c>
      <c r="Q779" s="432" t="s">
        <v>51</v>
      </c>
    </row>
    <row r="780" spans="1:17">
      <c r="A780" s="509">
        <f t="shared" si="4"/>
        <v>779</v>
      </c>
      <c r="B780" s="432" t="s">
        <v>524</v>
      </c>
      <c r="C780" s="432" t="s">
        <v>44</v>
      </c>
      <c r="D780" s="432" t="s">
        <v>449</v>
      </c>
      <c r="E780" s="432" t="s">
        <v>1166</v>
      </c>
      <c r="F780" s="434" t="s">
        <v>491</v>
      </c>
      <c r="G780" s="434">
        <v>9848114287</v>
      </c>
      <c r="I780" s="434">
        <v>20</v>
      </c>
      <c r="J780" s="434" t="s">
        <v>433</v>
      </c>
      <c r="K780" s="434" t="s">
        <v>709</v>
      </c>
      <c r="M780" s="434" t="s">
        <v>431</v>
      </c>
      <c r="N780" s="730">
        <v>64887</v>
      </c>
      <c r="O780" s="459">
        <v>64888</v>
      </c>
      <c r="P780" s="459">
        <v>64902</v>
      </c>
      <c r="Q780" s="432" t="s">
        <v>51</v>
      </c>
    </row>
    <row r="781" spans="1:17">
      <c r="A781" s="509">
        <f t="shared" si="4"/>
        <v>780</v>
      </c>
      <c r="B781" s="432" t="s">
        <v>524</v>
      </c>
      <c r="C781" s="432" t="s">
        <v>44</v>
      </c>
      <c r="D781" s="432" t="s">
        <v>449</v>
      </c>
      <c r="E781" s="432" t="s">
        <v>1167</v>
      </c>
      <c r="F781" s="434" t="s">
        <v>502</v>
      </c>
      <c r="G781" s="434">
        <v>9844965511</v>
      </c>
      <c r="I781" s="434">
        <v>46</v>
      </c>
      <c r="J781" s="434" t="s">
        <v>433</v>
      </c>
      <c r="K781" s="434" t="s">
        <v>709</v>
      </c>
      <c r="M781" s="434" t="s">
        <v>431</v>
      </c>
      <c r="N781" s="730">
        <v>64888</v>
      </c>
      <c r="O781" s="459">
        <v>64889</v>
      </c>
      <c r="P781" s="459">
        <v>64903</v>
      </c>
      <c r="Q781" s="432" t="s">
        <v>51</v>
      </c>
    </row>
    <row r="782" spans="1:17">
      <c r="A782" s="509">
        <f t="shared" si="4"/>
        <v>781</v>
      </c>
      <c r="B782" s="432" t="s">
        <v>524</v>
      </c>
      <c r="C782" s="432" t="s">
        <v>44</v>
      </c>
      <c r="D782" s="432" t="s">
        <v>449</v>
      </c>
      <c r="E782" s="432" t="s">
        <v>1168</v>
      </c>
      <c r="F782" s="434" t="s">
        <v>491</v>
      </c>
      <c r="G782" s="434">
        <v>9847825712</v>
      </c>
      <c r="I782" s="434">
        <v>48</v>
      </c>
      <c r="J782" s="434" t="s">
        <v>404</v>
      </c>
      <c r="K782" s="434" t="s">
        <v>709</v>
      </c>
      <c r="M782" s="434" t="s">
        <v>431</v>
      </c>
      <c r="N782" s="730">
        <v>64888</v>
      </c>
      <c r="O782" s="459">
        <v>64889</v>
      </c>
      <c r="P782" s="459">
        <v>64903</v>
      </c>
      <c r="Q782" s="432" t="s">
        <v>51</v>
      </c>
    </row>
    <row r="783" spans="1:17">
      <c r="A783" s="509">
        <f t="shared" si="4"/>
        <v>782</v>
      </c>
      <c r="B783" s="432" t="s">
        <v>524</v>
      </c>
      <c r="C783" s="432" t="s">
        <v>44</v>
      </c>
      <c r="D783" s="432" t="s">
        <v>449</v>
      </c>
      <c r="E783" s="432" t="s">
        <v>1169</v>
      </c>
      <c r="F783" s="434" t="s">
        <v>502</v>
      </c>
      <c r="G783" s="434">
        <v>9822975655</v>
      </c>
      <c r="I783" s="434">
        <v>46</v>
      </c>
      <c r="J783" s="434" t="s">
        <v>404</v>
      </c>
      <c r="K783" s="434" t="s">
        <v>709</v>
      </c>
      <c r="M783" s="434" t="s">
        <v>431</v>
      </c>
      <c r="N783" s="730">
        <v>64888</v>
      </c>
      <c r="O783" s="459">
        <v>64889</v>
      </c>
      <c r="P783" s="459">
        <v>64903</v>
      </c>
      <c r="Q783" s="432" t="s">
        <v>51</v>
      </c>
    </row>
    <row r="784" spans="1:17">
      <c r="A784" s="509">
        <f t="shared" si="4"/>
        <v>783</v>
      </c>
      <c r="B784" s="432" t="s">
        <v>524</v>
      </c>
      <c r="C784" s="432" t="s">
        <v>44</v>
      </c>
      <c r="D784" s="432" t="s">
        <v>449</v>
      </c>
      <c r="E784" s="432" t="s">
        <v>1170</v>
      </c>
      <c r="F784" s="434" t="s">
        <v>491</v>
      </c>
      <c r="G784" s="434">
        <v>9847938541</v>
      </c>
      <c r="I784" s="434">
        <v>21</v>
      </c>
      <c r="J784" s="434" t="s">
        <v>404</v>
      </c>
      <c r="K784" s="434" t="s">
        <v>709</v>
      </c>
      <c r="M784" s="434" t="s">
        <v>431</v>
      </c>
      <c r="N784" s="730">
        <v>64888</v>
      </c>
      <c r="O784" s="459">
        <v>64889</v>
      </c>
      <c r="P784" s="459">
        <v>64903</v>
      </c>
      <c r="Q784" s="432" t="s">
        <v>51</v>
      </c>
    </row>
    <row r="785" spans="1:17">
      <c r="A785" s="509">
        <f t="shared" si="4"/>
        <v>784</v>
      </c>
      <c r="B785" s="432" t="s">
        <v>524</v>
      </c>
      <c r="C785" s="432" t="s">
        <v>44</v>
      </c>
      <c r="D785" s="432" t="s">
        <v>449</v>
      </c>
      <c r="E785" s="432" t="s">
        <v>1171</v>
      </c>
      <c r="F785" s="434" t="s">
        <v>491</v>
      </c>
      <c r="G785" s="434">
        <v>9847938541</v>
      </c>
      <c r="I785" s="434">
        <v>18</v>
      </c>
      <c r="J785" s="434" t="s">
        <v>433</v>
      </c>
      <c r="K785" s="434" t="s">
        <v>709</v>
      </c>
      <c r="M785" s="434" t="s">
        <v>431</v>
      </c>
      <c r="N785" s="730">
        <v>64888</v>
      </c>
      <c r="O785" s="459">
        <v>64889</v>
      </c>
      <c r="P785" s="459">
        <v>64903</v>
      </c>
      <c r="Q785" s="432" t="s">
        <v>51</v>
      </c>
    </row>
    <row r="786" spans="1:17">
      <c r="A786" s="509">
        <f t="shared" si="4"/>
        <v>785</v>
      </c>
      <c r="B786" s="432" t="s">
        <v>524</v>
      </c>
      <c r="C786" s="432" t="s">
        <v>44</v>
      </c>
      <c r="D786" s="432" t="s">
        <v>449</v>
      </c>
      <c r="E786" s="432" t="s">
        <v>1172</v>
      </c>
      <c r="F786" s="434" t="s">
        <v>1008</v>
      </c>
      <c r="I786" s="434">
        <v>56</v>
      </c>
      <c r="J786" s="434" t="s">
        <v>404</v>
      </c>
      <c r="K786" s="434" t="s">
        <v>709</v>
      </c>
      <c r="M786" s="434" t="s">
        <v>431</v>
      </c>
      <c r="N786" s="730">
        <v>64888</v>
      </c>
      <c r="O786" s="459">
        <v>64889</v>
      </c>
      <c r="P786" s="459">
        <v>64903</v>
      </c>
      <c r="Q786" s="432" t="s">
        <v>51</v>
      </c>
    </row>
    <row r="787" spans="1:17">
      <c r="A787" s="509">
        <f t="shared" si="4"/>
        <v>786</v>
      </c>
      <c r="B787" s="432" t="s">
        <v>524</v>
      </c>
      <c r="C787" s="432" t="s">
        <v>44</v>
      </c>
      <c r="D787" s="432" t="s">
        <v>449</v>
      </c>
      <c r="E787" s="432" t="s">
        <v>1175</v>
      </c>
      <c r="F787" s="434" t="s">
        <v>491</v>
      </c>
      <c r="G787" s="434">
        <v>9847993360</v>
      </c>
      <c r="I787" s="434">
        <v>38</v>
      </c>
      <c r="J787" s="434" t="s">
        <v>433</v>
      </c>
      <c r="K787" s="434" t="s">
        <v>709</v>
      </c>
      <c r="M787" s="434" t="s">
        <v>431</v>
      </c>
      <c r="N787" s="730">
        <v>64891</v>
      </c>
      <c r="O787" s="459">
        <v>64892</v>
      </c>
      <c r="P787" s="459">
        <v>64907</v>
      </c>
      <c r="Q787" s="432" t="s">
        <v>51</v>
      </c>
    </row>
    <row r="788" spans="1:17">
      <c r="A788" s="509">
        <f t="shared" si="4"/>
        <v>787</v>
      </c>
      <c r="B788" s="432" t="s">
        <v>524</v>
      </c>
      <c r="C788" s="432" t="s">
        <v>44</v>
      </c>
      <c r="D788" s="432" t="s">
        <v>449</v>
      </c>
      <c r="E788" s="432" t="s">
        <v>1176</v>
      </c>
      <c r="F788" s="434" t="s">
        <v>512</v>
      </c>
      <c r="G788" s="434">
        <v>9847845588</v>
      </c>
      <c r="I788" s="434">
        <v>55</v>
      </c>
      <c r="J788" s="434" t="s">
        <v>404</v>
      </c>
      <c r="K788" s="434" t="s">
        <v>709</v>
      </c>
      <c r="M788" s="434" t="s">
        <v>431</v>
      </c>
      <c r="N788" s="730">
        <v>64890</v>
      </c>
      <c r="O788" s="459">
        <v>64892</v>
      </c>
      <c r="P788" s="459">
        <v>64907</v>
      </c>
      <c r="Q788" s="432" t="s">
        <v>51</v>
      </c>
    </row>
    <row r="789" spans="1:17" s="163" customFormat="1">
      <c r="A789" s="509">
        <f t="shared" si="4"/>
        <v>788</v>
      </c>
      <c r="B789" s="436" t="s">
        <v>524</v>
      </c>
      <c r="C789" s="436" t="s">
        <v>44</v>
      </c>
      <c r="D789" s="436" t="s">
        <v>449</v>
      </c>
      <c r="E789" s="436" t="s">
        <v>1177</v>
      </c>
      <c r="F789" s="438" t="s">
        <v>491</v>
      </c>
      <c r="G789" s="438">
        <v>9847941383</v>
      </c>
      <c r="H789" s="436"/>
      <c r="I789" s="438">
        <v>53</v>
      </c>
      <c r="J789" s="438" t="s">
        <v>404</v>
      </c>
      <c r="K789" s="438" t="s">
        <v>709</v>
      </c>
      <c r="L789" s="438"/>
      <c r="M789" s="438" t="s">
        <v>489</v>
      </c>
      <c r="N789" s="731">
        <v>64892</v>
      </c>
      <c r="O789" s="465">
        <v>64894</v>
      </c>
      <c r="P789" s="465">
        <v>64908</v>
      </c>
      <c r="Q789" s="432" t="s">
        <v>51</v>
      </c>
    </row>
    <row r="790" spans="1:17">
      <c r="A790" s="509">
        <f t="shared" si="4"/>
        <v>789</v>
      </c>
      <c r="B790" s="432" t="s">
        <v>524</v>
      </c>
      <c r="C790" s="432" t="s">
        <v>44</v>
      </c>
      <c r="D790" s="432" t="s">
        <v>449</v>
      </c>
      <c r="E790" s="432" t="s">
        <v>1178</v>
      </c>
      <c r="F790" s="434" t="s">
        <v>491</v>
      </c>
      <c r="G790" s="434">
        <v>9860930162</v>
      </c>
      <c r="I790" s="434">
        <v>42</v>
      </c>
      <c r="J790" s="434" t="s">
        <v>433</v>
      </c>
      <c r="K790" s="434" t="s">
        <v>709</v>
      </c>
      <c r="M790" s="434" t="s">
        <v>431</v>
      </c>
      <c r="N790" s="730">
        <v>64894</v>
      </c>
      <c r="O790" s="459">
        <v>64895</v>
      </c>
      <c r="P790" s="459">
        <v>64908</v>
      </c>
      <c r="Q790" s="432" t="s">
        <v>51</v>
      </c>
    </row>
    <row r="791" spans="1:17">
      <c r="A791" s="509">
        <f t="shared" si="4"/>
        <v>790</v>
      </c>
      <c r="B791" s="432" t="s">
        <v>524</v>
      </c>
      <c r="C791" s="432" t="s">
        <v>44</v>
      </c>
      <c r="D791" s="432" t="s">
        <v>449</v>
      </c>
      <c r="E791" s="432" t="s">
        <v>1202</v>
      </c>
      <c r="F791" s="434" t="s">
        <v>510</v>
      </c>
      <c r="G791" s="949" t="s">
        <v>1203</v>
      </c>
      <c r="I791" s="434">
        <v>47</v>
      </c>
      <c r="J791" s="434" t="s">
        <v>404</v>
      </c>
      <c r="K791" s="490" t="s">
        <v>1193</v>
      </c>
      <c r="M791" s="434" t="s">
        <v>431</v>
      </c>
      <c r="N791" s="730">
        <v>64895</v>
      </c>
      <c r="O791" s="459">
        <v>64895</v>
      </c>
      <c r="P791" s="459">
        <v>64909</v>
      </c>
      <c r="Q791" s="432" t="s">
        <v>51</v>
      </c>
    </row>
    <row r="792" spans="1:17">
      <c r="A792" s="509">
        <f t="shared" si="4"/>
        <v>791</v>
      </c>
      <c r="B792" s="432" t="s">
        <v>524</v>
      </c>
      <c r="C792" s="432" t="s">
        <v>44</v>
      </c>
      <c r="D792" s="432" t="s">
        <v>449</v>
      </c>
      <c r="E792" s="432" t="s">
        <v>1179</v>
      </c>
      <c r="F792" s="434" t="s">
        <v>441</v>
      </c>
      <c r="G792" s="434">
        <v>9844937834</v>
      </c>
      <c r="I792" s="434">
        <v>46</v>
      </c>
      <c r="J792" s="434" t="s">
        <v>404</v>
      </c>
      <c r="K792" s="434" t="s">
        <v>709</v>
      </c>
      <c r="M792" s="434" t="s">
        <v>431</v>
      </c>
      <c r="N792" s="730">
        <v>64896</v>
      </c>
      <c r="O792" s="459">
        <v>64897</v>
      </c>
      <c r="P792" s="459">
        <v>64912</v>
      </c>
      <c r="Q792" s="432" t="s">
        <v>51</v>
      </c>
    </row>
    <row r="793" spans="1:17">
      <c r="A793" s="509">
        <f t="shared" si="4"/>
        <v>792</v>
      </c>
      <c r="B793" s="432" t="s">
        <v>524</v>
      </c>
      <c r="C793" s="432" t="s">
        <v>44</v>
      </c>
      <c r="D793" s="432" t="s">
        <v>449</v>
      </c>
      <c r="E793" s="432" t="s">
        <v>1190</v>
      </c>
      <c r="F793" s="434" t="s">
        <v>502</v>
      </c>
      <c r="G793" s="434">
        <v>9866734555</v>
      </c>
      <c r="I793" s="434">
        <v>28</v>
      </c>
      <c r="J793" s="434" t="s">
        <v>433</v>
      </c>
      <c r="K793" s="438" t="s">
        <v>1191</v>
      </c>
      <c r="M793" s="434" t="s">
        <v>1192</v>
      </c>
      <c r="N793" s="730">
        <v>64897</v>
      </c>
      <c r="O793" s="459">
        <v>64897</v>
      </c>
      <c r="P793" s="459">
        <v>64912</v>
      </c>
      <c r="Q793" s="432" t="s">
        <v>51</v>
      </c>
    </row>
    <row r="794" spans="1:17">
      <c r="A794" s="509">
        <f t="shared" ref="A794:A845" si="5">A793+1</f>
        <v>793</v>
      </c>
      <c r="B794" s="432" t="s">
        <v>524</v>
      </c>
      <c r="C794" s="432" t="s">
        <v>44</v>
      </c>
      <c r="D794" s="432" t="s">
        <v>449</v>
      </c>
      <c r="E794" s="432" t="s">
        <v>1180</v>
      </c>
      <c r="F794" s="434" t="s">
        <v>730</v>
      </c>
      <c r="I794" s="434">
        <v>37</v>
      </c>
      <c r="J794" s="434" t="s">
        <v>404</v>
      </c>
      <c r="K794" s="434" t="s">
        <v>709</v>
      </c>
      <c r="M794" s="434" t="s">
        <v>431</v>
      </c>
      <c r="N794" s="730">
        <v>64898</v>
      </c>
      <c r="O794" s="459">
        <v>64899</v>
      </c>
      <c r="P794" s="459">
        <v>64912</v>
      </c>
      <c r="Q794" s="432" t="s">
        <v>51</v>
      </c>
    </row>
    <row r="795" spans="1:17">
      <c r="A795" s="509">
        <f t="shared" si="5"/>
        <v>794</v>
      </c>
      <c r="B795" s="432" t="s">
        <v>524</v>
      </c>
      <c r="C795" s="432" t="s">
        <v>44</v>
      </c>
      <c r="D795" s="432" t="s">
        <v>449</v>
      </c>
      <c r="E795" s="432" t="s">
        <v>1100</v>
      </c>
      <c r="F795" s="434" t="s">
        <v>502</v>
      </c>
      <c r="I795" s="434">
        <v>64</v>
      </c>
      <c r="J795" s="434" t="s">
        <v>433</v>
      </c>
      <c r="K795" s="434" t="s">
        <v>709</v>
      </c>
      <c r="M795" s="434" t="s">
        <v>431</v>
      </c>
      <c r="N795" s="730">
        <v>64898</v>
      </c>
      <c r="O795" s="459">
        <v>64899</v>
      </c>
      <c r="P795" s="459">
        <v>64912</v>
      </c>
      <c r="Q795" s="432" t="s">
        <v>51</v>
      </c>
    </row>
    <row r="796" spans="1:17">
      <c r="A796" s="509">
        <f t="shared" si="5"/>
        <v>795</v>
      </c>
      <c r="B796" s="432" t="s">
        <v>524</v>
      </c>
      <c r="C796" s="432" t="s">
        <v>44</v>
      </c>
      <c r="D796" s="432" t="s">
        <v>449</v>
      </c>
      <c r="E796" s="432" t="s">
        <v>1181</v>
      </c>
      <c r="F796" s="434" t="s">
        <v>1009</v>
      </c>
      <c r="I796" s="434">
        <v>37</v>
      </c>
      <c r="J796" s="434" t="s">
        <v>433</v>
      </c>
      <c r="K796" s="434" t="s">
        <v>709</v>
      </c>
      <c r="M796" s="434" t="s">
        <v>431</v>
      </c>
      <c r="N796" s="730">
        <v>64898</v>
      </c>
      <c r="O796" s="459">
        <v>64899</v>
      </c>
      <c r="P796" s="459">
        <v>64912</v>
      </c>
      <c r="Q796" s="432" t="s">
        <v>51</v>
      </c>
    </row>
    <row r="797" spans="1:17">
      <c r="A797" s="509">
        <f t="shared" si="5"/>
        <v>796</v>
      </c>
      <c r="B797" s="432" t="s">
        <v>524</v>
      </c>
      <c r="C797" s="432" t="s">
        <v>44</v>
      </c>
      <c r="D797" s="432" t="s">
        <v>449</v>
      </c>
      <c r="E797" s="432" t="s">
        <v>1182</v>
      </c>
      <c r="F797" s="434" t="s">
        <v>1009</v>
      </c>
      <c r="I797" s="434">
        <v>4</v>
      </c>
      <c r="J797" s="434" t="s">
        <v>433</v>
      </c>
      <c r="K797" s="434" t="s">
        <v>709</v>
      </c>
      <c r="M797" s="434" t="s">
        <v>431</v>
      </c>
      <c r="N797" s="730">
        <v>64898</v>
      </c>
      <c r="O797" s="459">
        <v>64899</v>
      </c>
      <c r="P797" s="459">
        <v>64912</v>
      </c>
      <c r="Q797" s="432" t="s">
        <v>51</v>
      </c>
    </row>
    <row r="798" spans="1:17" s="163" customFormat="1">
      <c r="A798" s="509">
        <f t="shared" si="5"/>
        <v>797</v>
      </c>
      <c r="B798" s="436" t="s">
        <v>524</v>
      </c>
      <c r="C798" s="436" t="s">
        <v>44</v>
      </c>
      <c r="D798" s="436" t="s">
        <v>449</v>
      </c>
      <c r="E798" s="436" t="s">
        <v>1200</v>
      </c>
      <c r="F798" s="438" t="s">
        <v>502</v>
      </c>
      <c r="G798" s="550">
        <v>9866734555</v>
      </c>
      <c r="H798" s="436"/>
      <c r="I798" s="550">
        <v>72</v>
      </c>
      <c r="J798" s="438" t="s">
        <v>404</v>
      </c>
      <c r="K798" s="438" t="s">
        <v>1191</v>
      </c>
      <c r="L798" s="438"/>
      <c r="M798" s="438" t="s">
        <v>489</v>
      </c>
      <c r="N798" s="731">
        <v>64897</v>
      </c>
      <c r="O798" s="465">
        <v>64897</v>
      </c>
      <c r="P798" s="465">
        <v>64937</v>
      </c>
      <c r="Q798" s="432" t="s">
        <v>51</v>
      </c>
    </row>
    <row r="799" spans="1:17" s="163" customFormat="1">
      <c r="A799" s="509">
        <f t="shared" si="5"/>
        <v>798</v>
      </c>
      <c r="B799" s="436" t="s">
        <v>524</v>
      </c>
      <c r="C799" s="436" t="s">
        <v>44</v>
      </c>
      <c r="D799" s="436" t="s">
        <v>449</v>
      </c>
      <c r="E799" s="436" t="s">
        <v>1183</v>
      </c>
      <c r="F799" s="438" t="s">
        <v>1184</v>
      </c>
      <c r="G799" s="438"/>
      <c r="H799" s="436"/>
      <c r="I799" s="438">
        <v>56</v>
      </c>
      <c r="J799" s="438" t="s">
        <v>404</v>
      </c>
      <c r="K799" s="438" t="s">
        <v>709</v>
      </c>
      <c r="L799" s="438"/>
      <c r="M799" s="438" t="s">
        <v>489</v>
      </c>
      <c r="N799" s="731">
        <v>64901</v>
      </c>
      <c r="O799" s="465">
        <v>64902</v>
      </c>
      <c r="P799" s="465">
        <v>64919</v>
      </c>
      <c r="Q799" s="432" t="s">
        <v>51</v>
      </c>
    </row>
    <row r="800" spans="1:17" s="163" customFormat="1">
      <c r="A800" s="509">
        <f t="shared" si="5"/>
        <v>799</v>
      </c>
      <c r="B800" s="436" t="s">
        <v>524</v>
      </c>
      <c r="C800" s="436" t="s">
        <v>44</v>
      </c>
      <c r="D800" s="436" t="s">
        <v>449</v>
      </c>
      <c r="E800" s="436" t="s">
        <v>1185</v>
      </c>
      <c r="F800" s="438" t="s">
        <v>502</v>
      </c>
      <c r="G800" s="438"/>
      <c r="H800" s="436"/>
      <c r="I800" s="438">
        <v>46</v>
      </c>
      <c r="J800" s="438" t="s">
        <v>404</v>
      </c>
      <c r="K800" s="438" t="s">
        <v>1186</v>
      </c>
      <c r="L800" s="438"/>
      <c r="M800" s="438" t="s">
        <v>489</v>
      </c>
      <c r="N800" s="731">
        <v>64902</v>
      </c>
      <c r="O800" s="465">
        <v>64903</v>
      </c>
      <c r="P800" s="465">
        <v>64915</v>
      </c>
      <c r="Q800" s="432" t="s">
        <v>51</v>
      </c>
    </row>
    <row r="801" spans="1:17">
      <c r="A801" s="509">
        <f t="shared" si="5"/>
        <v>800</v>
      </c>
      <c r="B801" s="432" t="s">
        <v>524</v>
      </c>
      <c r="C801" s="432" t="s">
        <v>44</v>
      </c>
      <c r="D801" s="432" t="s">
        <v>449</v>
      </c>
      <c r="E801" s="432" t="s">
        <v>1187</v>
      </c>
      <c r="F801" s="434" t="s">
        <v>441</v>
      </c>
      <c r="G801" s="434">
        <v>9823353964</v>
      </c>
      <c r="I801" s="434">
        <v>22</v>
      </c>
      <c r="J801" s="434" t="s">
        <v>433</v>
      </c>
      <c r="K801" s="438" t="s">
        <v>709</v>
      </c>
      <c r="M801" s="434" t="s">
        <v>431</v>
      </c>
      <c r="N801" s="730">
        <v>64902</v>
      </c>
      <c r="O801" s="459">
        <v>64902</v>
      </c>
      <c r="P801" s="459">
        <v>64919</v>
      </c>
      <c r="Q801" s="432" t="s">
        <v>51</v>
      </c>
    </row>
    <row r="802" spans="1:17">
      <c r="A802" s="509">
        <f t="shared" si="5"/>
        <v>801</v>
      </c>
      <c r="B802" s="432" t="s">
        <v>524</v>
      </c>
      <c r="C802" s="432" t="s">
        <v>44</v>
      </c>
      <c r="D802" s="432" t="s">
        <v>449</v>
      </c>
      <c r="E802" s="432" t="s">
        <v>1188</v>
      </c>
      <c r="F802" s="434" t="s">
        <v>491</v>
      </c>
      <c r="G802" s="434">
        <v>9841509705</v>
      </c>
      <c r="I802" s="434">
        <v>35</v>
      </c>
      <c r="J802" s="490" t="s">
        <v>404</v>
      </c>
      <c r="K802" s="490" t="s">
        <v>709</v>
      </c>
      <c r="M802" s="434" t="s">
        <v>431</v>
      </c>
      <c r="N802" s="730">
        <v>64901</v>
      </c>
      <c r="O802" s="459">
        <v>64902</v>
      </c>
      <c r="P802" s="459">
        <v>64919</v>
      </c>
      <c r="Q802" s="432" t="s">
        <v>51</v>
      </c>
    </row>
    <row r="803" spans="1:17">
      <c r="A803" s="509">
        <f t="shared" si="5"/>
        <v>802</v>
      </c>
      <c r="B803" s="432" t="s">
        <v>524</v>
      </c>
      <c r="C803" s="432" t="s">
        <v>44</v>
      </c>
      <c r="D803" s="432" t="s">
        <v>449</v>
      </c>
      <c r="E803" s="432" t="s">
        <v>1189</v>
      </c>
      <c r="F803" s="434" t="s">
        <v>491</v>
      </c>
      <c r="I803" s="434">
        <v>35</v>
      </c>
      <c r="J803" s="434" t="s">
        <v>433</v>
      </c>
      <c r="K803" s="490" t="s">
        <v>1193</v>
      </c>
      <c r="M803" s="434" t="s">
        <v>431</v>
      </c>
      <c r="N803" s="730">
        <v>64903</v>
      </c>
      <c r="O803" s="459">
        <v>64904</v>
      </c>
      <c r="P803" s="459">
        <v>64919</v>
      </c>
      <c r="Q803" s="432" t="s">
        <v>51</v>
      </c>
    </row>
    <row r="804" spans="1:17">
      <c r="A804" s="509">
        <f t="shared" si="5"/>
        <v>803</v>
      </c>
      <c r="B804" s="432" t="s">
        <v>524</v>
      </c>
      <c r="C804" s="432" t="s">
        <v>44</v>
      </c>
      <c r="D804" s="432" t="s">
        <v>449</v>
      </c>
      <c r="E804" s="432" t="s">
        <v>1194</v>
      </c>
      <c r="F804" s="434" t="s">
        <v>491</v>
      </c>
      <c r="G804" s="515">
        <v>9809747690</v>
      </c>
      <c r="I804" s="515">
        <v>15</v>
      </c>
      <c r="J804" s="434" t="s">
        <v>433</v>
      </c>
      <c r="K804" s="434" t="s">
        <v>709</v>
      </c>
      <c r="M804" s="434" t="s">
        <v>431</v>
      </c>
      <c r="N804" s="730">
        <v>64907</v>
      </c>
      <c r="O804" s="459">
        <v>64907</v>
      </c>
      <c r="P804" s="459">
        <v>44209</v>
      </c>
      <c r="Q804" s="432" t="s">
        <v>51</v>
      </c>
    </row>
    <row r="805" spans="1:17">
      <c r="A805" s="509">
        <f t="shared" si="5"/>
        <v>804</v>
      </c>
      <c r="B805" s="432" t="s">
        <v>524</v>
      </c>
      <c r="C805" s="432" t="s">
        <v>44</v>
      </c>
      <c r="D805" s="432" t="s">
        <v>449</v>
      </c>
      <c r="E805" s="432" t="s">
        <v>1195</v>
      </c>
      <c r="F805" s="434" t="s">
        <v>502</v>
      </c>
      <c r="G805" s="515">
        <v>9849477516</v>
      </c>
      <c r="I805" s="515">
        <v>55</v>
      </c>
      <c r="J805" s="434" t="s">
        <v>433</v>
      </c>
      <c r="K805" s="434" t="s">
        <v>709</v>
      </c>
      <c r="M805" s="434" t="s">
        <v>431</v>
      </c>
      <c r="N805" s="730">
        <v>64907</v>
      </c>
      <c r="O805" s="459">
        <v>64907</v>
      </c>
      <c r="P805" s="459">
        <v>44209</v>
      </c>
      <c r="Q805" s="432" t="s">
        <v>51</v>
      </c>
    </row>
    <row r="806" spans="1:17">
      <c r="A806" s="509">
        <f t="shared" si="5"/>
        <v>805</v>
      </c>
      <c r="B806" s="432" t="s">
        <v>524</v>
      </c>
      <c r="C806" s="432" t="s">
        <v>44</v>
      </c>
      <c r="D806" s="432" t="s">
        <v>449</v>
      </c>
      <c r="E806" s="432" t="s">
        <v>1196</v>
      </c>
      <c r="F806" s="434" t="s">
        <v>1008</v>
      </c>
      <c r="G806" s="515">
        <v>9849565785</v>
      </c>
      <c r="I806" s="515">
        <v>24</v>
      </c>
      <c r="J806" s="434" t="s">
        <v>433</v>
      </c>
      <c r="K806" s="434" t="s">
        <v>709</v>
      </c>
      <c r="M806" s="434" t="s">
        <v>431</v>
      </c>
      <c r="N806" s="730">
        <v>64908</v>
      </c>
      <c r="O806" s="459">
        <v>64908</v>
      </c>
      <c r="P806" s="459">
        <v>44209</v>
      </c>
      <c r="Q806" s="432" t="s">
        <v>51</v>
      </c>
    </row>
    <row r="807" spans="1:17">
      <c r="A807" s="509">
        <f t="shared" si="5"/>
        <v>806</v>
      </c>
      <c r="B807" s="432" t="s">
        <v>524</v>
      </c>
      <c r="C807" s="432" t="s">
        <v>44</v>
      </c>
      <c r="D807" s="432" t="s">
        <v>449</v>
      </c>
      <c r="E807" s="432" t="s">
        <v>1197</v>
      </c>
      <c r="F807" s="434" t="s">
        <v>510</v>
      </c>
      <c r="G807" s="515">
        <v>9847947824</v>
      </c>
      <c r="I807" s="515">
        <v>83</v>
      </c>
      <c r="J807" s="434" t="s">
        <v>433</v>
      </c>
      <c r="K807" s="434" t="s">
        <v>709</v>
      </c>
      <c r="M807" s="434" t="s">
        <v>431</v>
      </c>
      <c r="N807" s="730">
        <v>64909</v>
      </c>
      <c r="O807" s="459">
        <v>64909</v>
      </c>
      <c r="P807" s="459">
        <v>64927</v>
      </c>
      <c r="Q807" s="432" t="s">
        <v>51</v>
      </c>
    </row>
    <row r="808" spans="1:17">
      <c r="A808" s="509">
        <f t="shared" si="5"/>
        <v>807</v>
      </c>
      <c r="B808" s="432" t="s">
        <v>524</v>
      </c>
      <c r="C808" s="432" t="s">
        <v>44</v>
      </c>
      <c r="D808" s="432" t="s">
        <v>449</v>
      </c>
      <c r="E808" s="432" t="s">
        <v>1198</v>
      </c>
      <c r="F808" s="434" t="s">
        <v>1009</v>
      </c>
      <c r="G808" s="515">
        <v>9809832080</v>
      </c>
      <c r="I808" s="515">
        <v>53</v>
      </c>
      <c r="J808" s="434" t="s">
        <v>404</v>
      </c>
      <c r="K808" s="434" t="s">
        <v>709</v>
      </c>
      <c r="M808" s="434" t="s">
        <v>431</v>
      </c>
      <c r="N808" s="730">
        <v>64909</v>
      </c>
      <c r="O808" s="459">
        <v>64909</v>
      </c>
      <c r="P808" s="459">
        <v>64927</v>
      </c>
      <c r="Q808" s="432" t="s">
        <v>51</v>
      </c>
    </row>
    <row r="809" spans="1:17">
      <c r="A809" s="509">
        <f t="shared" si="5"/>
        <v>808</v>
      </c>
      <c r="B809" s="432" t="s">
        <v>524</v>
      </c>
      <c r="C809" s="432" t="s">
        <v>44</v>
      </c>
      <c r="D809" s="432" t="s">
        <v>449</v>
      </c>
      <c r="E809" s="432" t="s">
        <v>1208</v>
      </c>
      <c r="F809" s="434" t="s">
        <v>502</v>
      </c>
      <c r="G809" s="515" t="s">
        <v>1209</v>
      </c>
      <c r="I809" s="515">
        <v>42</v>
      </c>
      <c r="J809" s="434" t="s">
        <v>404</v>
      </c>
      <c r="K809" s="490" t="s">
        <v>1193</v>
      </c>
      <c r="M809" s="434" t="s">
        <v>431</v>
      </c>
      <c r="N809" s="730">
        <v>64909</v>
      </c>
      <c r="O809" s="459">
        <v>64909</v>
      </c>
      <c r="P809" s="459">
        <v>64927</v>
      </c>
      <c r="Q809" s="432" t="s">
        <v>51</v>
      </c>
    </row>
    <row r="810" spans="1:17">
      <c r="A810" s="509">
        <f t="shared" si="5"/>
        <v>809</v>
      </c>
      <c r="B810" s="432" t="s">
        <v>524</v>
      </c>
      <c r="C810" s="432" t="s">
        <v>44</v>
      </c>
      <c r="D810" s="432" t="s">
        <v>449</v>
      </c>
      <c r="E810" s="432" t="s">
        <v>1210</v>
      </c>
      <c r="F810" s="434" t="s">
        <v>502</v>
      </c>
      <c r="G810" s="515" t="s">
        <v>1211</v>
      </c>
      <c r="I810" s="515">
        <v>78</v>
      </c>
      <c r="J810" s="434" t="s">
        <v>404</v>
      </c>
      <c r="K810" s="490" t="s">
        <v>1193</v>
      </c>
      <c r="M810" s="434" t="s">
        <v>431</v>
      </c>
      <c r="N810" s="730">
        <v>64905</v>
      </c>
      <c r="O810" s="459">
        <v>64905</v>
      </c>
      <c r="P810" s="459">
        <v>64920</v>
      </c>
      <c r="Q810" s="432" t="s">
        <v>51</v>
      </c>
    </row>
    <row r="811" spans="1:17">
      <c r="A811" s="509">
        <f t="shared" si="5"/>
        <v>810</v>
      </c>
      <c r="B811" s="432" t="s">
        <v>524</v>
      </c>
      <c r="C811" s="432" t="s">
        <v>44</v>
      </c>
      <c r="D811" s="432" t="s">
        <v>449</v>
      </c>
      <c r="E811" s="432" t="s">
        <v>1212</v>
      </c>
      <c r="F811" s="434" t="s">
        <v>441</v>
      </c>
      <c r="G811" s="515" t="s">
        <v>1213</v>
      </c>
      <c r="I811" s="515">
        <v>32</v>
      </c>
      <c r="J811" s="434" t="s">
        <v>404</v>
      </c>
      <c r="K811" s="490" t="s">
        <v>1193</v>
      </c>
      <c r="M811" s="434" t="s">
        <v>431</v>
      </c>
      <c r="N811" s="730">
        <v>64911</v>
      </c>
      <c r="O811" s="459">
        <v>64911</v>
      </c>
      <c r="P811" s="459">
        <v>64927</v>
      </c>
      <c r="Q811" s="432" t="s">
        <v>51</v>
      </c>
    </row>
    <row r="812" spans="1:17">
      <c r="A812" s="509">
        <f t="shared" si="5"/>
        <v>811</v>
      </c>
      <c r="B812" s="432" t="s">
        <v>524</v>
      </c>
      <c r="C812" s="432" t="s">
        <v>44</v>
      </c>
      <c r="D812" s="432" t="s">
        <v>449</v>
      </c>
      <c r="E812" s="432" t="s">
        <v>1199</v>
      </c>
      <c r="F812" s="434" t="s">
        <v>1008</v>
      </c>
      <c r="G812" s="515">
        <v>9847848704</v>
      </c>
      <c r="I812" s="515">
        <v>53</v>
      </c>
      <c r="J812" s="434" t="s">
        <v>404</v>
      </c>
      <c r="K812" s="434" t="s">
        <v>709</v>
      </c>
      <c r="M812" s="434" t="s">
        <v>431</v>
      </c>
      <c r="N812" s="730">
        <v>64910</v>
      </c>
      <c r="O812" s="459">
        <v>64910</v>
      </c>
      <c r="P812" s="459">
        <v>64927</v>
      </c>
      <c r="Q812" s="432" t="s">
        <v>51</v>
      </c>
    </row>
    <row r="813" spans="1:17">
      <c r="A813" s="509">
        <f t="shared" si="5"/>
        <v>812</v>
      </c>
      <c r="B813" s="432" t="s">
        <v>524</v>
      </c>
      <c r="C813" s="432" t="s">
        <v>44</v>
      </c>
      <c r="D813" s="432" t="s">
        <v>449</v>
      </c>
      <c r="E813" s="432" t="s">
        <v>1201</v>
      </c>
      <c r="F813" s="434" t="s">
        <v>124</v>
      </c>
      <c r="G813" s="515" t="s">
        <v>1207</v>
      </c>
      <c r="I813" s="515">
        <v>42</v>
      </c>
      <c r="J813" s="434" t="s">
        <v>404</v>
      </c>
      <c r="K813" s="490" t="s">
        <v>1193</v>
      </c>
      <c r="M813" s="434" t="s">
        <v>431</v>
      </c>
      <c r="N813" s="730">
        <v>64912</v>
      </c>
      <c r="O813" s="459">
        <v>64912</v>
      </c>
      <c r="P813" s="459">
        <v>64927</v>
      </c>
      <c r="Q813" s="432" t="s">
        <v>51</v>
      </c>
    </row>
    <row r="814" spans="1:17">
      <c r="A814" s="509">
        <f t="shared" si="5"/>
        <v>813</v>
      </c>
      <c r="B814" s="432" t="s">
        <v>524</v>
      </c>
      <c r="C814" s="432" t="s">
        <v>44</v>
      </c>
      <c r="D814" s="432" t="s">
        <v>449</v>
      </c>
      <c r="E814" s="432" t="s">
        <v>1206</v>
      </c>
      <c r="F814" s="434" t="s">
        <v>491</v>
      </c>
      <c r="I814" s="515">
        <v>42</v>
      </c>
      <c r="J814" s="434" t="s">
        <v>404</v>
      </c>
      <c r="K814" s="434" t="s">
        <v>709</v>
      </c>
      <c r="M814" s="434" t="s">
        <v>431</v>
      </c>
      <c r="N814" s="730">
        <v>64913</v>
      </c>
      <c r="O814" s="459">
        <v>64914</v>
      </c>
      <c r="P814" s="459">
        <v>64928</v>
      </c>
      <c r="Q814" s="432" t="s">
        <v>51</v>
      </c>
    </row>
    <row r="815" spans="1:17" s="163" customFormat="1">
      <c r="A815" s="509">
        <f t="shared" si="5"/>
        <v>814</v>
      </c>
      <c r="B815" s="436" t="s">
        <v>524</v>
      </c>
      <c r="C815" s="436" t="s">
        <v>44</v>
      </c>
      <c r="D815" s="436" t="s">
        <v>449</v>
      </c>
      <c r="E815" s="436" t="s">
        <v>1214</v>
      </c>
      <c r="F815" s="438" t="s">
        <v>491</v>
      </c>
      <c r="G815" s="438"/>
      <c r="H815" s="436"/>
      <c r="I815" s="550">
        <v>46</v>
      </c>
      <c r="J815" s="438" t="s">
        <v>404</v>
      </c>
      <c r="K815" s="438" t="s">
        <v>1193</v>
      </c>
      <c r="L815" s="438"/>
      <c r="M815" s="438" t="s">
        <v>1217</v>
      </c>
      <c r="N815" s="731">
        <v>64915</v>
      </c>
      <c r="O815" s="465">
        <v>64916</v>
      </c>
      <c r="P815" s="465">
        <v>64959</v>
      </c>
      <c r="Q815" s="436" t="s">
        <v>1222</v>
      </c>
    </row>
    <row r="816" spans="1:17">
      <c r="A816" s="509">
        <f t="shared" si="5"/>
        <v>815</v>
      </c>
      <c r="B816" s="432" t="s">
        <v>524</v>
      </c>
      <c r="C816" s="432" t="s">
        <v>44</v>
      </c>
      <c r="D816" s="432" t="s">
        <v>449</v>
      </c>
      <c r="E816" s="432" t="s">
        <v>1215</v>
      </c>
      <c r="F816" s="434" t="s">
        <v>491</v>
      </c>
      <c r="I816" s="515">
        <v>38</v>
      </c>
      <c r="J816" s="434" t="s">
        <v>433</v>
      </c>
      <c r="K816" s="490" t="s">
        <v>1193</v>
      </c>
      <c r="M816" s="434" t="s">
        <v>1192</v>
      </c>
      <c r="N816" s="730">
        <v>64915</v>
      </c>
      <c r="O816" s="459">
        <v>64916</v>
      </c>
      <c r="P816" s="459">
        <v>64931</v>
      </c>
      <c r="Q816" s="432" t="s">
        <v>51</v>
      </c>
    </row>
    <row r="817" spans="1:31">
      <c r="A817" s="509">
        <f t="shared" si="5"/>
        <v>816</v>
      </c>
      <c r="B817" s="432" t="s">
        <v>524</v>
      </c>
      <c r="C817" s="432" t="s">
        <v>44</v>
      </c>
      <c r="D817" s="432" t="s">
        <v>449</v>
      </c>
      <c r="E817" s="432" t="s">
        <v>1216</v>
      </c>
      <c r="F817" s="434" t="s">
        <v>502</v>
      </c>
      <c r="G817" s="434">
        <v>9849525216</v>
      </c>
      <c r="I817" s="515">
        <v>78</v>
      </c>
      <c r="J817" s="434" t="s">
        <v>404</v>
      </c>
      <c r="K817" s="490" t="s">
        <v>1193</v>
      </c>
      <c r="M817" s="434" t="s">
        <v>1192</v>
      </c>
      <c r="N817" s="730">
        <v>64919</v>
      </c>
      <c r="O817" s="459">
        <v>64919</v>
      </c>
      <c r="P817" s="511">
        <v>64937</v>
      </c>
      <c r="Q817" s="432" t="s">
        <v>51</v>
      </c>
    </row>
    <row r="818" spans="1:31">
      <c r="A818" s="509">
        <f t="shared" si="5"/>
        <v>817</v>
      </c>
      <c r="B818" s="432" t="s">
        <v>524</v>
      </c>
      <c r="C818" s="432" t="s">
        <v>44</v>
      </c>
      <c r="D818" s="432" t="s">
        <v>449</v>
      </c>
      <c r="E818" s="432" t="s">
        <v>1218</v>
      </c>
      <c r="F818" s="434" t="s">
        <v>1008</v>
      </c>
      <c r="G818" s="434">
        <v>9809597997</v>
      </c>
      <c r="I818" s="515">
        <v>39</v>
      </c>
      <c r="J818" s="434" t="s">
        <v>433</v>
      </c>
      <c r="K818" s="490" t="s">
        <v>1193</v>
      </c>
      <c r="M818" s="434" t="s">
        <v>1192</v>
      </c>
      <c r="N818" s="730">
        <v>64931</v>
      </c>
      <c r="O818" s="459">
        <v>64931</v>
      </c>
      <c r="P818" s="511">
        <v>64937</v>
      </c>
      <c r="Q818" s="432" t="s">
        <v>51</v>
      </c>
    </row>
    <row r="819" spans="1:31">
      <c r="A819" s="509">
        <f t="shared" si="5"/>
        <v>818</v>
      </c>
      <c r="B819" s="432" t="s">
        <v>524</v>
      </c>
      <c r="C819" s="432" t="s">
        <v>44</v>
      </c>
      <c r="D819" s="432" t="s">
        <v>449</v>
      </c>
      <c r="E819" s="432" t="s">
        <v>1219</v>
      </c>
      <c r="F819" s="434" t="s">
        <v>441</v>
      </c>
      <c r="G819" s="434">
        <v>98095955060</v>
      </c>
      <c r="I819" s="515">
        <v>66</v>
      </c>
      <c r="J819" s="434" t="s">
        <v>404</v>
      </c>
      <c r="K819" s="490" t="s">
        <v>613</v>
      </c>
      <c r="M819" s="490" t="s">
        <v>613</v>
      </c>
      <c r="N819" s="730">
        <v>64891</v>
      </c>
      <c r="O819" s="459">
        <v>64906</v>
      </c>
      <c r="Q819" s="432" t="s">
        <v>1222</v>
      </c>
    </row>
    <row r="820" spans="1:31">
      <c r="A820" s="509">
        <f t="shared" si="5"/>
        <v>819</v>
      </c>
      <c r="B820" s="432" t="s">
        <v>524</v>
      </c>
      <c r="C820" s="432" t="s">
        <v>44</v>
      </c>
      <c r="D820" s="432" t="s">
        <v>449</v>
      </c>
      <c r="E820" s="432" t="s">
        <v>1249</v>
      </c>
      <c r="F820" s="434" t="s">
        <v>791</v>
      </c>
      <c r="G820" s="434">
        <v>9810908433</v>
      </c>
      <c r="I820" s="515">
        <v>56</v>
      </c>
      <c r="J820" s="434" t="s">
        <v>404</v>
      </c>
      <c r="K820" s="434" t="s">
        <v>709</v>
      </c>
      <c r="M820" s="434" t="s">
        <v>1192</v>
      </c>
      <c r="N820" s="730">
        <v>64951</v>
      </c>
      <c r="O820" s="459">
        <v>64951</v>
      </c>
      <c r="P820" s="459">
        <v>64873</v>
      </c>
      <c r="Q820" s="432" t="s">
        <v>51</v>
      </c>
      <c r="S820" s="341"/>
      <c r="T820" s="341"/>
      <c r="U820" s="341"/>
      <c r="V820" s="341"/>
      <c r="W820" s="341"/>
      <c r="X820" s="341"/>
      <c r="Y820" s="341"/>
      <c r="Z820" s="342"/>
      <c r="AA820" s="341"/>
      <c r="AB820" s="341"/>
      <c r="AC820" s="341"/>
      <c r="AD820" s="341"/>
      <c r="AE820" s="343"/>
    </row>
    <row r="821" spans="1:31">
      <c r="A821" s="509">
        <f t="shared" si="5"/>
        <v>820</v>
      </c>
      <c r="B821" s="432" t="s">
        <v>524</v>
      </c>
      <c r="C821" s="432" t="s">
        <v>44</v>
      </c>
      <c r="D821" s="432" t="s">
        <v>449</v>
      </c>
      <c r="E821" s="432" t="s">
        <v>1250</v>
      </c>
      <c r="F821" s="434" t="s">
        <v>491</v>
      </c>
      <c r="G821" s="434">
        <v>9819501505</v>
      </c>
      <c r="I821" s="515">
        <v>23</v>
      </c>
      <c r="J821" s="434" t="s">
        <v>433</v>
      </c>
      <c r="K821" s="434" t="s">
        <v>709</v>
      </c>
      <c r="M821" s="434" t="s">
        <v>1192</v>
      </c>
      <c r="N821" s="730">
        <v>64953</v>
      </c>
      <c r="O821" s="459">
        <v>64953</v>
      </c>
      <c r="P821" s="459">
        <v>64934</v>
      </c>
      <c r="Q821" s="432" t="s">
        <v>51</v>
      </c>
      <c r="S821" s="341"/>
      <c r="T821" s="341"/>
      <c r="U821" s="341"/>
      <c r="V821" s="341"/>
      <c r="W821" s="341"/>
      <c r="X821" s="341"/>
      <c r="Y821" s="341"/>
      <c r="Z821" s="342"/>
      <c r="AA821" s="341"/>
      <c r="AB821" s="341"/>
      <c r="AC821" s="341"/>
      <c r="AD821" s="341"/>
      <c r="AE821" s="343"/>
    </row>
    <row r="822" spans="1:31">
      <c r="A822" s="509">
        <f t="shared" si="5"/>
        <v>821</v>
      </c>
      <c r="B822" s="432" t="s">
        <v>524</v>
      </c>
      <c r="C822" s="432" t="s">
        <v>44</v>
      </c>
      <c r="D822" s="432" t="s">
        <v>449</v>
      </c>
      <c r="E822" s="432" t="s">
        <v>1251</v>
      </c>
      <c r="F822" s="434" t="s">
        <v>469</v>
      </c>
      <c r="G822" s="434">
        <v>9861223575</v>
      </c>
      <c r="I822" s="515">
        <v>40</v>
      </c>
      <c r="J822" s="434" t="s">
        <v>404</v>
      </c>
      <c r="K822" s="434" t="s">
        <v>709</v>
      </c>
      <c r="M822" s="434" t="s">
        <v>1192</v>
      </c>
      <c r="N822" s="730">
        <v>64957</v>
      </c>
      <c r="O822" s="459">
        <v>64957</v>
      </c>
      <c r="P822" s="489" t="s">
        <v>1262</v>
      </c>
      <c r="Q822" s="432" t="s">
        <v>51</v>
      </c>
      <c r="S822" s="341"/>
      <c r="T822" s="341"/>
      <c r="U822" s="341"/>
      <c r="V822" s="341"/>
      <c r="W822" s="341"/>
      <c r="X822" s="341"/>
      <c r="Y822" s="341"/>
      <c r="Z822" s="342"/>
      <c r="AA822" s="341"/>
      <c r="AB822" s="341"/>
      <c r="AC822" s="341"/>
      <c r="AD822" s="341"/>
      <c r="AE822" s="343"/>
    </row>
    <row r="823" spans="1:31">
      <c r="A823" s="509">
        <f t="shared" si="5"/>
        <v>822</v>
      </c>
      <c r="B823" s="432" t="s">
        <v>524</v>
      </c>
      <c r="C823" s="432" t="s">
        <v>44</v>
      </c>
      <c r="D823" s="432" t="s">
        <v>449</v>
      </c>
      <c r="E823" s="432" t="s">
        <v>1252</v>
      </c>
      <c r="F823" s="434" t="s">
        <v>557</v>
      </c>
      <c r="G823" s="434">
        <v>9847958318</v>
      </c>
      <c r="I823" s="515">
        <v>23</v>
      </c>
      <c r="J823" s="434" t="s">
        <v>404</v>
      </c>
      <c r="K823" s="434" t="s">
        <v>709</v>
      </c>
      <c r="M823" s="434" t="s">
        <v>1192</v>
      </c>
      <c r="N823" s="730">
        <v>64961</v>
      </c>
      <c r="O823" s="459">
        <v>64961</v>
      </c>
      <c r="P823" s="489" t="s">
        <v>1263</v>
      </c>
      <c r="Q823" s="432" t="s">
        <v>51</v>
      </c>
      <c r="S823" s="341"/>
      <c r="T823" s="341"/>
      <c r="U823" s="341"/>
      <c r="V823" s="341"/>
      <c r="W823" s="341"/>
      <c r="X823" s="341"/>
      <c r="Y823" s="341"/>
      <c r="Z823" s="342"/>
      <c r="AA823" s="341"/>
      <c r="AB823" s="341"/>
      <c r="AC823" s="341"/>
      <c r="AD823" s="341"/>
      <c r="AE823" s="343"/>
    </row>
    <row r="824" spans="1:31">
      <c r="A824" s="509">
        <f t="shared" si="5"/>
        <v>823</v>
      </c>
      <c r="B824" s="432" t="s">
        <v>524</v>
      </c>
      <c r="C824" s="432" t="s">
        <v>44</v>
      </c>
      <c r="D824" s="432" t="s">
        <v>449</v>
      </c>
      <c r="E824" s="432" t="s">
        <v>1253</v>
      </c>
      <c r="F824" s="434" t="s">
        <v>730</v>
      </c>
      <c r="G824" s="434">
        <v>9847821551</v>
      </c>
      <c r="I824" s="515">
        <v>40</v>
      </c>
      <c r="J824" s="434" t="s">
        <v>404</v>
      </c>
      <c r="K824" s="434" t="s">
        <v>709</v>
      </c>
      <c r="M824" s="434" t="s">
        <v>1192</v>
      </c>
      <c r="N824" s="730">
        <v>64961</v>
      </c>
      <c r="O824" s="459">
        <v>64961</v>
      </c>
      <c r="P824" s="489" t="s">
        <v>1263</v>
      </c>
      <c r="Q824" s="432" t="s">
        <v>51</v>
      </c>
      <c r="S824" s="341"/>
      <c r="T824" s="341"/>
      <c r="U824" s="341"/>
      <c r="V824" s="341"/>
      <c r="W824" s="341"/>
      <c r="X824" s="341"/>
      <c r="Y824" s="341"/>
      <c r="Z824" s="342"/>
      <c r="AA824" s="341"/>
      <c r="AB824" s="341"/>
      <c r="AC824" s="341"/>
      <c r="AD824" s="341"/>
      <c r="AE824" s="343"/>
    </row>
    <row r="825" spans="1:31">
      <c r="A825" s="509">
        <f t="shared" si="5"/>
        <v>824</v>
      </c>
      <c r="B825" s="432" t="s">
        <v>524</v>
      </c>
      <c r="C825" s="432" t="s">
        <v>44</v>
      </c>
      <c r="D825" s="432" t="s">
        <v>449</v>
      </c>
      <c r="E825" s="432" t="s">
        <v>1254</v>
      </c>
      <c r="F825" s="434" t="s">
        <v>491</v>
      </c>
      <c r="G825" s="434">
        <v>9857820350</v>
      </c>
      <c r="I825" s="515">
        <v>45</v>
      </c>
      <c r="J825" s="434" t="s">
        <v>404</v>
      </c>
      <c r="K825" s="434" t="s">
        <v>709</v>
      </c>
      <c r="M825" s="434" t="s">
        <v>1192</v>
      </c>
      <c r="N825" s="730">
        <v>64963</v>
      </c>
      <c r="O825" s="459">
        <v>64963</v>
      </c>
      <c r="P825" s="489" t="s">
        <v>1264</v>
      </c>
      <c r="Q825" s="432" t="s">
        <v>51</v>
      </c>
      <c r="S825" s="341"/>
      <c r="T825" s="341"/>
      <c r="U825" s="341"/>
      <c r="V825" s="341"/>
      <c r="W825" s="341"/>
      <c r="X825" s="341"/>
      <c r="Y825" s="341"/>
      <c r="Z825" s="342"/>
      <c r="AA825" s="341"/>
      <c r="AB825" s="341"/>
      <c r="AC825" s="341"/>
      <c r="AD825" s="341"/>
      <c r="AE825" s="343"/>
    </row>
    <row r="826" spans="1:31">
      <c r="A826" s="509">
        <f t="shared" si="5"/>
        <v>825</v>
      </c>
      <c r="B826" s="432" t="s">
        <v>524</v>
      </c>
      <c r="C826" s="432" t="s">
        <v>44</v>
      </c>
      <c r="D826" s="432" t="s">
        <v>449</v>
      </c>
      <c r="E826" s="432" t="s">
        <v>1249</v>
      </c>
      <c r="F826" s="434" t="s">
        <v>791</v>
      </c>
      <c r="G826" s="434">
        <v>9810908433</v>
      </c>
      <c r="I826" s="515">
        <v>56</v>
      </c>
      <c r="J826" s="434" t="s">
        <v>404</v>
      </c>
      <c r="K826" s="434" t="s">
        <v>709</v>
      </c>
      <c r="M826" s="434" t="s">
        <v>1192</v>
      </c>
      <c r="N826" s="730">
        <v>64967</v>
      </c>
      <c r="O826" s="459">
        <v>64967</v>
      </c>
      <c r="P826" s="489" t="s">
        <v>1265</v>
      </c>
      <c r="Q826" s="432" t="s">
        <v>51</v>
      </c>
      <c r="S826" s="341"/>
      <c r="T826" s="341"/>
      <c r="U826" s="341"/>
      <c r="V826" s="341"/>
      <c r="W826" s="341"/>
      <c r="X826" s="341"/>
      <c r="Y826" s="341"/>
      <c r="Z826" s="342"/>
      <c r="AA826" s="341"/>
      <c r="AB826" s="341"/>
      <c r="AC826" s="341"/>
      <c r="AD826" s="341"/>
      <c r="AE826" s="343"/>
    </row>
    <row r="827" spans="1:31">
      <c r="A827" s="509">
        <f t="shared" si="5"/>
        <v>826</v>
      </c>
      <c r="B827" s="432" t="s">
        <v>524</v>
      </c>
      <c r="C827" s="432" t="s">
        <v>44</v>
      </c>
      <c r="D827" s="432" t="s">
        <v>449</v>
      </c>
      <c r="E827" s="432" t="s">
        <v>1255</v>
      </c>
      <c r="F827" s="434" t="s">
        <v>730</v>
      </c>
      <c r="G827" s="434">
        <v>9810907473</v>
      </c>
      <c r="I827" s="515">
        <v>19</v>
      </c>
      <c r="J827" s="434" t="s">
        <v>404</v>
      </c>
      <c r="K827" s="434" t="s">
        <v>709</v>
      </c>
      <c r="M827" s="434" t="s">
        <v>1192</v>
      </c>
      <c r="N827" s="730">
        <v>64971</v>
      </c>
      <c r="O827" s="459">
        <v>64971</v>
      </c>
      <c r="P827" s="489" t="s">
        <v>1266</v>
      </c>
      <c r="Q827" s="432" t="s">
        <v>51</v>
      </c>
      <c r="S827" s="341"/>
      <c r="T827" s="341"/>
      <c r="U827" s="341"/>
      <c r="V827" s="341"/>
      <c r="W827" s="341"/>
      <c r="X827" s="341"/>
      <c r="Y827" s="341"/>
      <c r="Z827" s="342"/>
      <c r="AA827" s="341"/>
      <c r="AB827" s="341"/>
      <c r="AC827" s="341"/>
      <c r="AD827" s="341"/>
      <c r="AE827" s="343"/>
    </row>
    <row r="828" spans="1:31">
      <c r="A828" s="509">
        <f t="shared" si="5"/>
        <v>827</v>
      </c>
      <c r="B828" s="432" t="s">
        <v>524</v>
      </c>
      <c r="C828" s="432" t="s">
        <v>44</v>
      </c>
      <c r="D828" s="432" t="s">
        <v>449</v>
      </c>
      <c r="E828" s="432" t="s">
        <v>1256</v>
      </c>
      <c r="F828" s="434" t="s">
        <v>510</v>
      </c>
      <c r="G828" s="434">
        <v>9847881307</v>
      </c>
      <c r="I828" s="515">
        <v>28</v>
      </c>
      <c r="J828" s="434" t="s">
        <v>404</v>
      </c>
      <c r="K828" s="434" t="s">
        <v>709</v>
      </c>
      <c r="M828" s="434" t="s">
        <v>1192</v>
      </c>
      <c r="N828" s="730">
        <v>64979</v>
      </c>
      <c r="O828" s="459">
        <v>64979</v>
      </c>
      <c r="P828" s="459">
        <v>64782</v>
      </c>
      <c r="Q828" s="432" t="s">
        <v>51</v>
      </c>
      <c r="S828" s="341"/>
      <c r="T828" s="341"/>
      <c r="U828" s="341"/>
      <c r="V828" s="341"/>
      <c r="W828" s="341"/>
      <c r="X828" s="341"/>
      <c r="Y828" s="341"/>
      <c r="Z828" s="342"/>
      <c r="AA828" s="341"/>
      <c r="AB828" s="341"/>
      <c r="AC828" s="341"/>
      <c r="AD828" s="341"/>
      <c r="AE828" s="343"/>
    </row>
    <row r="829" spans="1:31">
      <c r="A829" s="509">
        <f t="shared" si="5"/>
        <v>828</v>
      </c>
      <c r="B829" s="432" t="s">
        <v>524</v>
      </c>
      <c r="C829" s="432" t="s">
        <v>44</v>
      </c>
      <c r="D829" s="432" t="s">
        <v>449</v>
      </c>
      <c r="E829" s="432" t="s">
        <v>1257</v>
      </c>
      <c r="F829" s="434" t="s">
        <v>491</v>
      </c>
      <c r="G829" s="434">
        <v>9847955683</v>
      </c>
      <c r="I829" s="515">
        <v>34</v>
      </c>
      <c r="J829" s="434" t="s">
        <v>433</v>
      </c>
      <c r="K829" s="434" t="s">
        <v>709</v>
      </c>
      <c r="M829" s="434" t="s">
        <v>1192</v>
      </c>
      <c r="N829" s="730">
        <v>64979</v>
      </c>
      <c r="O829" s="459">
        <v>64979</v>
      </c>
      <c r="P829" s="459">
        <v>64782</v>
      </c>
      <c r="Q829" s="432" t="s">
        <v>51</v>
      </c>
      <c r="S829" s="341"/>
      <c r="T829" s="341"/>
      <c r="U829" s="341"/>
      <c r="V829" s="341"/>
      <c r="W829" s="341"/>
      <c r="X829" s="341"/>
      <c r="Y829" s="341"/>
      <c r="Z829" s="342"/>
      <c r="AA829" s="341"/>
      <c r="AB829" s="341"/>
      <c r="AC829" s="341"/>
      <c r="AD829" s="341"/>
      <c r="AE829" s="343"/>
    </row>
    <row r="830" spans="1:31">
      <c r="A830" s="509">
        <f t="shared" si="5"/>
        <v>829</v>
      </c>
      <c r="B830" s="432" t="s">
        <v>524</v>
      </c>
      <c r="C830" s="432" t="s">
        <v>44</v>
      </c>
      <c r="D830" s="432" t="s">
        <v>449</v>
      </c>
      <c r="E830" s="432" t="s">
        <v>1258</v>
      </c>
      <c r="F830" s="434" t="s">
        <v>502</v>
      </c>
      <c r="G830" s="434">
        <v>9866980170</v>
      </c>
      <c r="I830" s="515">
        <v>50</v>
      </c>
      <c r="J830" s="434" t="s">
        <v>433</v>
      </c>
      <c r="K830" s="434" t="s">
        <v>709</v>
      </c>
      <c r="M830" s="434" t="s">
        <v>1192</v>
      </c>
      <c r="N830" s="730">
        <v>64979</v>
      </c>
      <c r="O830" s="459">
        <v>64979</v>
      </c>
      <c r="P830" s="459">
        <v>64782</v>
      </c>
      <c r="Q830" s="432" t="s">
        <v>51</v>
      </c>
      <c r="S830" s="341"/>
      <c r="T830" s="341"/>
      <c r="U830" s="341"/>
      <c r="V830" s="341"/>
      <c r="W830" s="341"/>
      <c r="X830" s="341"/>
      <c r="Y830" s="341"/>
      <c r="Z830" s="342"/>
      <c r="AA830" s="341"/>
      <c r="AB830" s="341"/>
      <c r="AC830" s="341"/>
      <c r="AD830" s="341"/>
      <c r="AE830" s="343"/>
    </row>
    <row r="831" spans="1:31">
      <c r="A831" s="509">
        <f t="shared" si="5"/>
        <v>830</v>
      </c>
      <c r="B831" s="432" t="s">
        <v>524</v>
      </c>
      <c r="C831" s="432" t="s">
        <v>44</v>
      </c>
      <c r="D831" s="432" t="s">
        <v>449</v>
      </c>
      <c r="E831" s="432" t="s">
        <v>1259</v>
      </c>
      <c r="F831" s="434" t="s">
        <v>491</v>
      </c>
      <c r="G831" s="434">
        <v>9866838093</v>
      </c>
      <c r="I831" s="515">
        <v>50</v>
      </c>
      <c r="J831" s="434" t="s">
        <v>433</v>
      </c>
      <c r="K831" s="434" t="s">
        <v>709</v>
      </c>
      <c r="M831" s="434" t="s">
        <v>1192</v>
      </c>
      <c r="N831" s="730">
        <v>64979</v>
      </c>
      <c r="O831" s="459">
        <v>64979</v>
      </c>
      <c r="P831" s="459">
        <v>64782</v>
      </c>
      <c r="Q831" s="432" t="s">
        <v>51</v>
      </c>
      <c r="S831" s="341"/>
      <c r="T831" s="341"/>
      <c r="U831" s="341"/>
      <c r="V831" s="341"/>
      <c r="W831" s="341"/>
      <c r="X831" s="341"/>
      <c r="Y831" s="341"/>
      <c r="Z831" s="342"/>
      <c r="AA831" s="341"/>
      <c r="AB831" s="341"/>
      <c r="AC831" s="341"/>
      <c r="AD831" s="341"/>
      <c r="AE831" s="343"/>
    </row>
    <row r="832" spans="1:31">
      <c r="A832" s="509">
        <f t="shared" si="5"/>
        <v>831</v>
      </c>
      <c r="B832" s="432" t="s">
        <v>524</v>
      </c>
      <c r="C832" s="432" t="s">
        <v>44</v>
      </c>
      <c r="D832" s="432" t="s">
        <v>449</v>
      </c>
      <c r="E832" s="432" t="s">
        <v>1260</v>
      </c>
      <c r="F832" s="434" t="s">
        <v>124</v>
      </c>
      <c r="G832" s="434">
        <v>9866941437</v>
      </c>
      <c r="I832" s="515">
        <v>57</v>
      </c>
      <c r="J832" s="434" t="s">
        <v>433</v>
      </c>
      <c r="K832" s="434" t="s">
        <v>709</v>
      </c>
      <c r="M832" s="434" t="s">
        <v>1192</v>
      </c>
      <c r="N832" s="730">
        <v>64979</v>
      </c>
      <c r="O832" s="459">
        <v>64979</v>
      </c>
      <c r="P832" s="459">
        <v>64782</v>
      </c>
      <c r="Q832" s="432" t="s">
        <v>51</v>
      </c>
      <c r="S832" s="341"/>
      <c r="T832" s="341"/>
      <c r="U832" s="341"/>
      <c r="V832" s="341"/>
      <c r="W832" s="341"/>
      <c r="X832" s="341"/>
      <c r="Y832" s="341"/>
      <c r="Z832" s="342"/>
      <c r="AA832" s="341"/>
      <c r="AB832" s="341"/>
      <c r="AC832" s="341"/>
      <c r="AD832" s="341"/>
      <c r="AE832" s="343"/>
    </row>
    <row r="833" spans="1:31">
      <c r="A833" s="509">
        <f t="shared" si="5"/>
        <v>832</v>
      </c>
      <c r="B833" s="432" t="s">
        <v>524</v>
      </c>
      <c r="C833" s="432" t="s">
        <v>44</v>
      </c>
      <c r="D833" s="432" t="s">
        <v>449</v>
      </c>
      <c r="E833" s="432" t="s">
        <v>1261</v>
      </c>
      <c r="F833" s="434" t="s">
        <v>491</v>
      </c>
      <c r="G833" s="434">
        <v>9847842209</v>
      </c>
      <c r="I833" s="515">
        <v>63</v>
      </c>
      <c r="J833" s="434" t="s">
        <v>433</v>
      </c>
      <c r="K833" s="434" t="s">
        <v>709</v>
      </c>
      <c r="M833" s="434" t="s">
        <v>1192</v>
      </c>
      <c r="N833" s="730">
        <v>64979</v>
      </c>
      <c r="O833" s="459">
        <v>64979</v>
      </c>
      <c r="P833" s="459">
        <v>64782</v>
      </c>
      <c r="Q833" s="432" t="s">
        <v>51</v>
      </c>
      <c r="S833" s="341"/>
      <c r="T833" s="341"/>
      <c r="U833" s="341"/>
      <c r="V833" s="341"/>
      <c r="W833" s="341"/>
      <c r="X833" s="341"/>
      <c r="Y833" s="341"/>
      <c r="Z833" s="342"/>
      <c r="AA833" s="341"/>
      <c r="AB833" s="341"/>
      <c r="AC833" s="341"/>
      <c r="AD833" s="341"/>
      <c r="AE833" s="343"/>
    </row>
    <row r="834" spans="1:31">
      <c r="A834" s="509">
        <f t="shared" si="5"/>
        <v>833</v>
      </c>
      <c r="B834" s="432" t="s">
        <v>524</v>
      </c>
      <c r="C834" s="432" t="s">
        <v>44</v>
      </c>
      <c r="D834" s="432" t="s">
        <v>449</v>
      </c>
      <c r="E834" s="432" t="s">
        <v>1251</v>
      </c>
      <c r="F834" s="434" t="s">
        <v>469</v>
      </c>
      <c r="G834" s="434">
        <v>9861223575</v>
      </c>
      <c r="I834" s="515">
        <v>40</v>
      </c>
      <c r="J834" s="434" t="s">
        <v>404</v>
      </c>
      <c r="K834" s="434" t="s">
        <v>709</v>
      </c>
      <c r="M834" s="434" t="s">
        <v>1192</v>
      </c>
      <c r="N834" s="730">
        <v>64982</v>
      </c>
      <c r="O834" s="459">
        <v>64982</v>
      </c>
      <c r="P834" s="459">
        <v>64874</v>
      </c>
      <c r="Q834" s="432" t="s">
        <v>51</v>
      </c>
      <c r="S834" s="341"/>
      <c r="T834" s="341"/>
      <c r="U834" s="341"/>
      <c r="V834" s="341"/>
      <c r="W834" s="341"/>
      <c r="X834" s="341"/>
      <c r="Y834" s="341"/>
      <c r="Z834" s="342"/>
      <c r="AA834" s="341"/>
      <c r="AB834" s="341"/>
      <c r="AC834" s="341"/>
      <c r="AD834" s="341"/>
      <c r="AE834" s="343"/>
    </row>
    <row r="835" spans="1:31" s="344" customFormat="1">
      <c r="A835" s="512">
        <f t="shared" si="5"/>
        <v>834</v>
      </c>
      <c r="B835" s="512" t="s">
        <v>524</v>
      </c>
      <c r="C835" s="512" t="s">
        <v>44</v>
      </c>
      <c r="D835" s="512" t="s">
        <v>449</v>
      </c>
      <c r="E835" s="512" t="s">
        <v>1240</v>
      </c>
      <c r="F835" s="513" t="s">
        <v>730</v>
      </c>
      <c r="G835" s="513">
        <v>9847979546</v>
      </c>
      <c r="H835" s="512"/>
      <c r="I835" s="519">
        <v>49</v>
      </c>
      <c r="J835" s="513" t="s">
        <v>404</v>
      </c>
      <c r="K835" s="513" t="s">
        <v>709</v>
      </c>
      <c r="L835" s="513"/>
      <c r="M835" s="513" t="s">
        <v>1192</v>
      </c>
      <c r="N835" s="732">
        <v>64985</v>
      </c>
      <c r="O835" s="514">
        <v>64985</v>
      </c>
      <c r="P835" s="514">
        <v>65028</v>
      </c>
      <c r="Q835" s="512" t="s">
        <v>51</v>
      </c>
      <c r="S835" s="345"/>
      <c r="T835" s="345"/>
      <c r="U835" s="345"/>
      <c r="V835" s="345"/>
      <c r="W835" s="345"/>
      <c r="X835" s="345"/>
      <c r="Y835" s="345"/>
      <c r="Z835" s="346"/>
      <c r="AA835" s="345"/>
      <c r="AB835" s="345"/>
      <c r="AC835" s="345"/>
      <c r="AD835" s="345"/>
      <c r="AE835" s="347"/>
    </row>
    <row r="836" spans="1:31">
      <c r="A836" s="509">
        <f t="shared" si="5"/>
        <v>835</v>
      </c>
      <c r="B836" s="432" t="s">
        <v>524</v>
      </c>
      <c r="C836" s="432" t="s">
        <v>44</v>
      </c>
      <c r="D836" s="432" t="s">
        <v>449</v>
      </c>
      <c r="E836" s="432" t="s">
        <v>1232</v>
      </c>
      <c r="F836" s="434" t="s">
        <v>124</v>
      </c>
      <c r="I836" s="515">
        <v>28</v>
      </c>
      <c r="J836" s="434" t="s">
        <v>404</v>
      </c>
      <c r="K836" s="434" t="s">
        <v>709</v>
      </c>
      <c r="M836" s="434" t="s">
        <v>1192</v>
      </c>
      <c r="Q836" s="432" t="s">
        <v>51</v>
      </c>
    </row>
    <row r="837" spans="1:31">
      <c r="A837" s="509">
        <f t="shared" si="5"/>
        <v>836</v>
      </c>
      <c r="B837" s="432" t="s">
        <v>524</v>
      </c>
      <c r="C837" s="432" t="s">
        <v>44</v>
      </c>
      <c r="D837" s="432" t="s">
        <v>449</v>
      </c>
      <c r="E837" s="432" t="s">
        <v>1231</v>
      </c>
      <c r="F837" s="434" t="s">
        <v>124</v>
      </c>
      <c r="G837" s="434">
        <v>9847940922</v>
      </c>
      <c r="I837" s="515">
        <v>55</v>
      </c>
      <c r="J837" s="434" t="s">
        <v>433</v>
      </c>
      <c r="K837" s="434" t="s">
        <v>709</v>
      </c>
      <c r="L837" s="515"/>
      <c r="M837" s="434" t="s">
        <v>1192</v>
      </c>
      <c r="N837" s="734">
        <v>64980</v>
      </c>
      <c r="O837" s="516">
        <v>64980</v>
      </c>
      <c r="P837" s="517">
        <v>64992</v>
      </c>
      <c r="Q837" s="432" t="s">
        <v>51</v>
      </c>
      <c r="R837" s="348"/>
      <c r="S837" s="348"/>
      <c r="T837" s="1617"/>
      <c r="U837" s="1617"/>
    </row>
    <row r="838" spans="1:31">
      <c r="A838" s="509">
        <f t="shared" si="5"/>
        <v>837</v>
      </c>
      <c r="B838" s="432" t="s">
        <v>524</v>
      </c>
      <c r="C838" s="432" t="s">
        <v>44</v>
      </c>
      <c r="D838" s="432" t="s">
        <v>449</v>
      </c>
      <c r="E838" s="432" t="s">
        <v>1233</v>
      </c>
      <c r="F838" s="434" t="s">
        <v>510</v>
      </c>
      <c r="G838" s="434">
        <v>9809703073</v>
      </c>
      <c r="H838" s="518"/>
      <c r="I838" s="515">
        <v>21</v>
      </c>
      <c r="J838" s="434" t="s">
        <v>433</v>
      </c>
      <c r="K838" s="434" t="s">
        <v>709</v>
      </c>
      <c r="L838" s="515"/>
      <c r="M838" s="434" t="s">
        <v>1192</v>
      </c>
      <c r="N838" s="734">
        <v>64995</v>
      </c>
      <c r="O838" s="516">
        <v>64995</v>
      </c>
      <c r="P838" s="517">
        <v>65011</v>
      </c>
      <c r="Q838" s="432" t="s">
        <v>51</v>
      </c>
      <c r="R838" s="348"/>
      <c r="S838" s="348"/>
      <c r="T838" s="1617"/>
      <c r="U838" s="1617"/>
    </row>
    <row r="839" spans="1:31">
      <c r="A839" s="509">
        <f t="shared" si="5"/>
        <v>838</v>
      </c>
      <c r="B839" s="432" t="s">
        <v>524</v>
      </c>
      <c r="C839" s="432" t="s">
        <v>44</v>
      </c>
      <c r="D839" s="432" t="s">
        <v>449</v>
      </c>
      <c r="E839" s="432" t="s">
        <v>1234</v>
      </c>
      <c r="F839" s="434" t="s">
        <v>730</v>
      </c>
      <c r="G839" s="434">
        <v>9809703073</v>
      </c>
      <c r="H839" s="518"/>
      <c r="I839" s="515">
        <v>21</v>
      </c>
      <c r="J839" s="434" t="s">
        <v>433</v>
      </c>
      <c r="K839" s="434" t="s">
        <v>709</v>
      </c>
      <c r="L839" s="515"/>
      <c r="M839" s="434" t="s">
        <v>1192</v>
      </c>
      <c r="N839" s="734">
        <v>64995</v>
      </c>
      <c r="O839" s="516">
        <v>64995</v>
      </c>
      <c r="P839" s="517">
        <v>65011</v>
      </c>
      <c r="Q839" s="432" t="s">
        <v>51</v>
      </c>
      <c r="R839" s="348"/>
      <c r="S839" s="348"/>
      <c r="T839" s="1617"/>
      <c r="U839" s="1617"/>
    </row>
    <row r="840" spans="1:31" s="344" customFormat="1">
      <c r="A840" s="509">
        <f t="shared" si="5"/>
        <v>839</v>
      </c>
      <c r="B840" s="512" t="s">
        <v>524</v>
      </c>
      <c r="C840" s="512" t="s">
        <v>44</v>
      </c>
      <c r="D840" s="512" t="s">
        <v>449</v>
      </c>
      <c r="E840" s="519" t="s">
        <v>1235</v>
      </c>
      <c r="F840" s="519" t="s">
        <v>124</v>
      </c>
      <c r="G840" s="513">
        <v>9812840330</v>
      </c>
      <c r="H840" s="520"/>
      <c r="I840" s="519">
        <v>25</v>
      </c>
      <c r="J840" s="513" t="s">
        <v>404</v>
      </c>
      <c r="K840" s="513" t="s">
        <v>709</v>
      </c>
      <c r="L840" s="519"/>
      <c r="M840" s="513" t="s">
        <v>1192</v>
      </c>
      <c r="N840" s="735">
        <v>65002</v>
      </c>
      <c r="O840" s="521">
        <v>65002</v>
      </c>
      <c r="P840" s="511">
        <v>65167</v>
      </c>
      <c r="Q840" s="509" t="s">
        <v>51</v>
      </c>
      <c r="R840" s="349"/>
      <c r="S840" s="349"/>
      <c r="T840" s="1617"/>
      <c r="U840" s="1617"/>
    </row>
    <row r="841" spans="1:31" s="344" customFormat="1">
      <c r="A841" s="509">
        <f t="shared" si="5"/>
        <v>840</v>
      </c>
      <c r="B841" s="512" t="s">
        <v>524</v>
      </c>
      <c r="C841" s="512" t="s">
        <v>44</v>
      </c>
      <c r="D841" s="512" t="s">
        <v>449</v>
      </c>
      <c r="E841" s="512" t="s">
        <v>1236</v>
      </c>
      <c r="F841" s="513" t="s">
        <v>512</v>
      </c>
      <c r="G841" s="513">
        <v>9847826411</v>
      </c>
      <c r="H841" s="520"/>
      <c r="I841" s="519">
        <v>42</v>
      </c>
      <c r="J841" s="513" t="s">
        <v>404</v>
      </c>
      <c r="K841" s="513" t="s">
        <v>709</v>
      </c>
      <c r="L841" s="519"/>
      <c r="M841" s="513" t="s">
        <v>1192</v>
      </c>
      <c r="N841" s="735">
        <v>65002</v>
      </c>
      <c r="O841" s="521">
        <v>65002</v>
      </c>
      <c r="P841" s="511">
        <v>65167</v>
      </c>
      <c r="Q841" s="509" t="s">
        <v>51</v>
      </c>
      <c r="R841" s="349"/>
      <c r="S841" s="349"/>
      <c r="T841" s="1617"/>
      <c r="U841" s="1617"/>
    </row>
    <row r="842" spans="1:31" s="344" customFormat="1">
      <c r="A842" s="512">
        <f t="shared" si="5"/>
        <v>841</v>
      </c>
      <c r="B842" s="512" t="s">
        <v>524</v>
      </c>
      <c r="C842" s="512" t="s">
        <v>44</v>
      </c>
      <c r="D842" s="512" t="s">
        <v>449</v>
      </c>
      <c r="E842" s="519" t="s">
        <v>1237</v>
      </c>
      <c r="F842" s="513" t="s">
        <v>441</v>
      </c>
      <c r="G842" s="513">
        <v>9843694992</v>
      </c>
      <c r="H842" s="520"/>
      <c r="I842" s="519">
        <v>60</v>
      </c>
      <c r="J842" s="513" t="s">
        <v>404</v>
      </c>
      <c r="K842" s="513" t="s">
        <v>709</v>
      </c>
      <c r="L842" s="519"/>
      <c r="M842" s="513" t="s">
        <v>489</v>
      </c>
      <c r="N842" s="735">
        <v>65004</v>
      </c>
      <c r="O842" s="521">
        <v>65004</v>
      </c>
      <c r="P842" s="514">
        <v>65028</v>
      </c>
      <c r="Q842" s="512" t="s">
        <v>51</v>
      </c>
      <c r="R842" s="349"/>
      <c r="S842" s="349"/>
      <c r="T842" s="1617"/>
      <c r="U842" s="1617"/>
    </row>
    <row r="843" spans="1:31">
      <c r="A843" s="512">
        <f t="shared" si="5"/>
        <v>842</v>
      </c>
      <c r="B843" s="512" t="s">
        <v>524</v>
      </c>
      <c r="C843" s="512" t="s">
        <v>44</v>
      </c>
      <c r="D843" s="512" t="s">
        <v>449</v>
      </c>
      <c r="E843" s="519" t="s">
        <v>1239</v>
      </c>
      <c r="F843" s="513" t="s">
        <v>441</v>
      </c>
      <c r="G843" s="513">
        <v>9843694992</v>
      </c>
      <c r="H843" s="512"/>
      <c r="I843" s="519">
        <v>20</v>
      </c>
      <c r="J843" s="513" t="s">
        <v>433</v>
      </c>
      <c r="K843" s="513" t="s">
        <v>709</v>
      </c>
      <c r="L843" s="513"/>
      <c r="M843" s="513" t="s">
        <v>1192</v>
      </c>
      <c r="N843" s="735">
        <v>65007</v>
      </c>
      <c r="O843" s="521">
        <v>65007</v>
      </c>
      <c r="P843" s="514">
        <v>65028</v>
      </c>
      <c r="Q843" s="512" t="s">
        <v>51</v>
      </c>
    </row>
    <row r="844" spans="1:31" s="344" customFormat="1">
      <c r="A844" s="512">
        <f t="shared" si="5"/>
        <v>843</v>
      </c>
      <c r="B844" s="512" t="s">
        <v>524</v>
      </c>
      <c r="C844" s="512" t="s">
        <v>44</v>
      </c>
      <c r="D844" s="512" t="s">
        <v>449</v>
      </c>
      <c r="E844" s="512" t="s">
        <v>1242</v>
      </c>
      <c r="F844" s="513" t="s">
        <v>502</v>
      </c>
      <c r="G844" s="513">
        <v>9847837867</v>
      </c>
      <c r="H844" s="512"/>
      <c r="I844" s="513">
        <v>36</v>
      </c>
      <c r="J844" s="513" t="s">
        <v>433</v>
      </c>
      <c r="K844" s="513" t="s">
        <v>613</v>
      </c>
      <c r="L844" s="513"/>
      <c r="M844" s="513" t="s">
        <v>1243</v>
      </c>
      <c r="N844" s="735">
        <v>65007</v>
      </c>
      <c r="O844" s="521">
        <v>65007</v>
      </c>
      <c r="P844" s="511">
        <v>65167</v>
      </c>
      <c r="Q844" s="509" t="s">
        <v>51</v>
      </c>
    </row>
    <row r="845" spans="1:31">
      <c r="A845" s="512">
        <f t="shared" si="5"/>
        <v>844</v>
      </c>
      <c r="B845" s="513" t="s">
        <v>524</v>
      </c>
      <c r="C845" s="513" t="s">
        <v>44</v>
      </c>
      <c r="D845" s="513" t="s">
        <v>449</v>
      </c>
      <c r="E845" s="519" t="s">
        <v>1267</v>
      </c>
      <c r="F845" s="513" t="s">
        <v>124</v>
      </c>
      <c r="G845" s="513">
        <v>9866921058</v>
      </c>
      <c r="H845" s="522"/>
      <c r="I845" s="513">
        <v>56</v>
      </c>
      <c r="J845" s="513" t="s">
        <v>404</v>
      </c>
      <c r="K845" s="513" t="s">
        <v>709</v>
      </c>
      <c r="L845" s="523"/>
      <c r="M845" s="513" t="s">
        <v>1192</v>
      </c>
      <c r="N845" s="736">
        <v>65009</v>
      </c>
      <c r="O845" s="524">
        <v>65009</v>
      </c>
      <c r="P845" s="514">
        <v>65028</v>
      </c>
      <c r="Q845" s="512" t="s">
        <v>51</v>
      </c>
      <c r="R845" s="341"/>
      <c r="S845" s="341"/>
      <c r="T845" s="341"/>
      <c r="U845" s="343"/>
    </row>
    <row r="846" spans="1:31" s="163" customFormat="1">
      <c r="A846" s="509">
        <f>A845+1</f>
        <v>845</v>
      </c>
      <c r="B846" s="438" t="s">
        <v>524</v>
      </c>
      <c r="C846" s="438" t="s">
        <v>44</v>
      </c>
      <c r="D846" s="438" t="s">
        <v>449</v>
      </c>
      <c r="E846" s="141" t="s">
        <v>1269</v>
      </c>
      <c r="F846" s="525" t="s">
        <v>469</v>
      </c>
      <c r="G846" s="525">
        <v>9865544020</v>
      </c>
      <c r="H846" s="141"/>
      <c r="I846" s="525">
        <v>34</v>
      </c>
      <c r="J846" s="438" t="s">
        <v>404</v>
      </c>
      <c r="K846" s="438" t="s">
        <v>709</v>
      </c>
      <c r="L846" s="438"/>
      <c r="M846" s="438" t="s">
        <v>489</v>
      </c>
      <c r="N846" s="737">
        <v>65008</v>
      </c>
      <c r="O846" s="526">
        <v>65008</v>
      </c>
      <c r="P846" s="511">
        <v>65167</v>
      </c>
      <c r="Q846" s="509" t="s">
        <v>51</v>
      </c>
      <c r="R846" s="350"/>
      <c r="S846" s="350"/>
      <c r="T846" s="350"/>
      <c r="U846" s="351"/>
    </row>
    <row r="847" spans="1:31" s="163" customFormat="1">
      <c r="A847" s="509"/>
      <c r="B847" s="438"/>
      <c r="C847" s="438"/>
      <c r="D847" s="438"/>
      <c r="E847" s="141"/>
      <c r="F847" s="525"/>
      <c r="G847" s="525"/>
      <c r="H847" s="141"/>
      <c r="I847" s="525"/>
      <c r="J847" s="438"/>
      <c r="K847" s="438"/>
      <c r="L847" s="438"/>
      <c r="M847" s="438"/>
      <c r="N847" s="737"/>
      <c r="O847" s="526"/>
      <c r="P847" s="511"/>
      <c r="Q847" s="509"/>
      <c r="R847" s="350"/>
      <c r="S847" s="350"/>
      <c r="T847" s="350"/>
      <c r="U847" s="351"/>
    </row>
    <row r="848" spans="1:31" s="326" customFormat="1">
      <c r="A848" s="527">
        <v>1</v>
      </c>
      <c r="B848" s="472" t="s">
        <v>524</v>
      </c>
      <c r="C848" s="472" t="s">
        <v>44</v>
      </c>
      <c r="D848" s="472" t="s">
        <v>449</v>
      </c>
      <c r="E848" s="528" t="s">
        <v>1238</v>
      </c>
      <c r="F848" s="474" t="s">
        <v>512</v>
      </c>
      <c r="G848" s="474">
        <v>9843694992</v>
      </c>
      <c r="H848" s="472"/>
      <c r="I848" s="528">
        <v>55</v>
      </c>
      <c r="J848" s="423" t="s">
        <v>433</v>
      </c>
      <c r="K848" s="474" t="s">
        <v>709</v>
      </c>
      <c r="L848" s="474"/>
      <c r="M848" s="474" t="s">
        <v>489</v>
      </c>
      <c r="N848" s="738">
        <v>65007</v>
      </c>
      <c r="O848" s="529">
        <v>65007</v>
      </c>
      <c r="P848" s="476">
        <v>65047</v>
      </c>
      <c r="Q848" s="422" t="s">
        <v>940</v>
      </c>
      <c r="T848" s="350"/>
      <c r="U848" s="351"/>
    </row>
    <row r="849" spans="1:31" s="326" customFormat="1">
      <c r="A849" s="512">
        <f>A848+1</f>
        <v>2</v>
      </c>
      <c r="B849" s="513" t="s">
        <v>524</v>
      </c>
      <c r="C849" s="513" t="s">
        <v>44</v>
      </c>
      <c r="D849" s="513" t="s">
        <v>449</v>
      </c>
      <c r="E849" s="530" t="s">
        <v>1335</v>
      </c>
      <c r="F849" s="523" t="s">
        <v>491</v>
      </c>
      <c r="G849" s="513">
        <v>9857823924</v>
      </c>
      <c r="H849" s="530"/>
      <c r="I849" s="513">
        <v>26</v>
      </c>
      <c r="J849" s="513" t="s">
        <v>404</v>
      </c>
      <c r="K849" s="513" t="s">
        <v>709</v>
      </c>
      <c r="L849" s="513"/>
      <c r="M849" s="513" t="s">
        <v>1192</v>
      </c>
      <c r="N849" s="736">
        <v>65009</v>
      </c>
      <c r="O849" s="524">
        <v>65009</v>
      </c>
      <c r="P849" s="514">
        <v>65167</v>
      </c>
      <c r="Q849" s="512" t="s">
        <v>51</v>
      </c>
      <c r="R849" s="344"/>
      <c r="S849" s="344"/>
    </row>
    <row r="850" spans="1:31" s="352" customFormat="1">
      <c r="A850" s="512">
        <f t="shared" ref="A850:A913" si="6">A849+1</f>
        <v>3</v>
      </c>
      <c r="B850" s="531" t="s">
        <v>524</v>
      </c>
      <c r="C850" s="531" t="s">
        <v>44</v>
      </c>
      <c r="D850" s="531" t="s">
        <v>449</v>
      </c>
      <c r="E850" s="532" t="s">
        <v>1268</v>
      </c>
      <c r="F850" s="531" t="s">
        <v>491</v>
      </c>
      <c r="G850" s="531">
        <v>9847819548</v>
      </c>
      <c r="H850" s="534"/>
      <c r="I850" s="531">
        <v>60</v>
      </c>
      <c r="J850" s="531" t="s">
        <v>433</v>
      </c>
      <c r="K850" s="531" t="s">
        <v>709</v>
      </c>
      <c r="L850" s="535"/>
      <c r="M850" s="531" t="s">
        <v>489</v>
      </c>
      <c r="N850" s="739">
        <v>65009</v>
      </c>
      <c r="O850" s="536">
        <v>65009</v>
      </c>
      <c r="P850" s="537">
        <v>65043</v>
      </c>
      <c r="Q850" s="535" t="s">
        <v>51</v>
      </c>
      <c r="R850" s="353"/>
      <c r="S850" s="353"/>
    </row>
    <row r="851" spans="1:31">
      <c r="A851" s="512">
        <f t="shared" si="6"/>
        <v>4</v>
      </c>
      <c r="B851" s="513" t="s">
        <v>524</v>
      </c>
      <c r="C851" s="513" t="s">
        <v>44</v>
      </c>
      <c r="D851" s="513" t="s">
        <v>449</v>
      </c>
      <c r="E851" s="519" t="s">
        <v>1290</v>
      </c>
      <c r="F851" s="513" t="s">
        <v>491</v>
      </c>
      <c r="G851" s="513">
        <v>9845536477</v>
      </c>
      <c r="H851" s="522"/>
      <c r="I851" s="513">
        <v>26</v>
      </c>
      <c r="J851" s="513" t="s">
        <v>404</v>
      </c>
      <c r="K851" s="513" t="s">
        <v>709</v>
      </c>
      <c r="L851" s="523"/>
      <c r="M851" s="513" t="s">
        <v>1192</v>
      </c>
      <c r="N851" s="736">
        <v>65009</v>
      </c>
      <c r="O851" s="524">
        <v>65009</v>
      </c>
      <c r="P851" s="514">
        <v>65028</v>
      </c>
      <c r="Q851" s="512" t="s">
        <v>51</v>
      </c>
      <c r="T851" s="345"/>
      <c r="U851" s="347"/>
      <c r="V851" s="344"/>
      <c r="W851" s="344"/>
      <c r="X851" s="344"/>
      <c r="Y851" s="344"/>
      <c r="Z851" s="344"/>
      <c r="AA851" s="344"/>
      <c r="AB851" s="344"/>
      <c r="AC851" s="344"/>
      <c r="AD851" s="344"/>
      <c r="AE851" s="344"/>
    </row>
    <row r="852" spans="1:31" s="344" customFormat="1">
      <c r="A852" s="512">
        <f t="shared" si="6"/>
        <v>5</v>
      </c>
      <c r="B852" s="422" t="s">
        <v>524</v>
      </c>
      <c r="C852" s="422" t="s">
        <v>44</v>
      </c>
      <c r="D852" s="422" t="s">
        <v>449</v>
      </c>
      <c r="E852" s="422" t="s">
        <v>1244</v>
      </c>
      <c r="F852" s="423" t="s">
        <v>502</v>
      </c>
      <c r="G852" s="423">
        <v>9847899472</v>
      </c>
      <c r="H852" s="422"/>
      <c r="I852" s="423">
        <v>72</v>
      </c>
      <c r="J852" s="423" t="s">
        <v>404</v>
      </c>
      <c r="K852" s="423" t="s">
        <v>1245</v>
      </c>
      <c r="L852" s="423"/>
      <c r="M852" s="423" t="s">
        <v>1229</v>
      </c>
      <c r="N852" s="726">
        <v>65009</v>
      </c>
      <c r="O852" s="422"/>
      <c r="P852" s="476">
        <v>65009</v>
      </c>
      <c r="Q852" s="422" t="s">
        <v>1222</v>
      </c>
      <c r="R852" s="326"/>
      <c r="S852" s="326"/>
      <c r="T852" s="322"/>
      <c r="U852" s="322"/>
      <c r="V852" s="322"/>
      <c r="W852" s="322"/>
      <c r="X852" s="322"/>
      <c r="Y852" s="322"/>
      <c r="Z852" s="322"/>
      <c r="AA852" s="322"/>
      <c r="AB852" s="322"/>
      <c r="AC852" s="322"/>
      <c r="AD852" s="322"/>
      <c r="AE852" s="322"/>
    </row>
    <row r="853" spans="1:31" s="352" customFormat="1">
      <c r="A853" s="512">
        <f t="shared" si="6"/>
        <v>6</v>
      </c>
      <c r="B853" s="531" t="s">
        <v>524</v>
      </c>
      <c r="C853" s="531" t="s">
        <v>44</v>
      </c>
      <c r="D853" s="531" t="s">
        <v>449</v>
      </c>
      <c r="E853" s="532" t="s">
        <v>1280</v>
      </c>
      <c r="F853" s="535" t="s">
        <v>491</v>
      </c>
      <c r="G853" s="531"/>
      <c r="H853" s="538"/>
      <c r="I853" s="535">
        <v>63</v>
      </c>
      <c r="J853" s="531" t="s">
        <v>404</v>
      </c>
      <c r="K853" s="539" t="s">
        <v>1285</v>
      </c>
      <c r="L853" s="535"/>
      <c r="M853" s="535" t="s">
        <v>1288</v>
      </c>
      <c r="N853" s="740">
        <v>65012</v>
      </c>
      <c r="O853" s="540">
        <v>65012</v>
      </c>
      <c r="P853" s="541">
        <v>65043</v>
      </c>
      <c r="Q853" s="535" t="s">
        <v>51</v>
      </c>
    </row>
    <row r="854" spans="1:31">
      <c r="A854" s="512">
        <f t="shared" si="6"/>
        <v>7</v>
      </c>
      <c r="B854" s="513" t="s">
        <v>524</v>
      </c>
      <c r="C854" s="513" t="s">
        <v>44</v>
      </c>
      <c r="D854" s="513" t="s">
        <v>449</v>
      </c>
      <c r="E854" s="542" t="s">
        <v>1458</v>
      </c>
      <c r="F854" s="543" t="s">
        <v>1046</v>
      </c>
      <c r="G854" s="543">
        <v>9840568649</v>
      </c>
      <c r="H854" s="512"/>
      <c r="I854" s="543">
        <v>35</v>
      </c>
      <c r="J854" s="513" t="s">
        <v>90</v>
      </c>
      <c r="K854" s="513" t="s">
        <v>1459</v>
      </c>
      <c r="L854" s="513"/>
      <c r="M854" s="513" t="s">
        <v>1459</v>
      </c>
      <c r="N854" s="732">
        <v>65013</v>
      </c>
      <c r="O854" s="514">
        <v>65013</v>
      </c>
      <c r="P854" s="514">
        <v>65028</v>
      </c>
      <c r="Q854" s="512" t="s">
        <v>51</v>
      </c>
    </row>
    <row r="855" spans="1:31">
      <c r="A855" s="512">
        <f t="shared" si="6"/>
        <v>8</v>
      </c>
      <c r="B855" s="513" t="s">
        <v>524</v>
      </c>
      <c r="C855" s="513" t="s">
        <v>44</v>
      </c>
      <c r="D855" s="513" t="s">
        <v>449</v>
      </c>
      <c r="E855" s="519" t="s">
        <v>1282</v>
      </c>
      <c r="F855" s="519" t="s">
        <v>441</v>
      </c>
      <c r="G855" s="519"/>
      <c r="H855" s="519"/>
      <c r="I855" s="519">
        <v>32</v>
      </c>
      <c r="J855" s="513" t="s">
        <v>433</v>
      </c>
      <c r="K855" s="513" t="s">
        <v>709</v>
      </c>
      <c r="L855" s="513"/>
      <c r="M855" s="513" t="s">
        <v>1192</v>
      </c>
      <c r="N855" s="736">
        <v>65013</v>
      </c>
      <c r="O855" s="524">
        <v>65013</v>
      </c>
      <c r="P855" s="514">
        <v>65032</v>
      </c>
      <c r="Q855" s="512" t="s">
        <v>51</v>
      </c>
      <c r="R855" s="344"/>
      <c r="S855" s="344"/>
      <c r="T855" s="344"/>
      <c r="U855" s="344"/>
      <c r="V855" s="344"/>
      <c r="W855" s="344"/>
      <c r="X855" s="344"/>
      <c r="Y855" s="344"/>
      <c r="Z855" s="344"/>
      <c r="AA855" s="344"/>
      <c r="AB855" s="344"/>
      <c r="AC855" s="344"/>
      <c r="AD855" s="344"/>
      <c r="AE855" s="344"/>
    </row>
    <row r="856" spans="1:31" s="163" customFormat="1">
      <c r="A856" s="512">
        <f t="shared" si="6"/>
        <v>9</v>
      </c>
      <c r="B856" s="513" t="s">
        <v>524</v>
      </c>
      <c r="C856" s="513" t="s">
        <v>44</v>
      </c>
      <c r="D856" s="513" t="s">
        <v>449</v>
      </c>
      <c r="E856" s="542" t="s">
        <v>1460</v>
      </c>
      <c r="F856" s="543" t="s">
        <v>791</v>
      </c>
      <c r="G856" s="543">
        <v>9857825812</v>
      </c>
      <c r="H856" s="512"/>
      <c r="I856" s="543">
        <v>64</v>
      </c>
      <c r="J856" s="513" t="s">
        <v>48</v>
      </c>
      <c r="K856" s="513" t="s">
        <v>53</v>
      </c>
      <c r="L856" s="513"/>
      <c r="M856" s="513" t="s">
        <v>54</v>
      </c>
      <c r="N856" s="732">
        <v>65013</v>
      </c>
      <c r="O856" s="514">
        <v>65013</v>
      </c>
      <c r="P856" s="514">
        <v>65028</v>
      </c>
      <c r="Q856" s="512" t="s">
        <v>51</v>
      </c>
      <c r="R856" s="322"/>
      <c r="S856" s="322"/>
      <c r="T856" s="322"/>
      <c r="U856" s="322"/>
      <c r="V856" s="322"/>
      <c r="W856" s="322"/>
      <c r="X856" s="322"/>
      <c r="Y856" s="322"/>
      <c r="Z856" s="322"/>
      <c r="AA856" s="322"/>
      <c r="AB856" s="322"/>
      <c r="AC856" s="322"/>
      <c r="AD856" s="322"/>
      <c r="AE856" s="322"/>
    </row>
    <row r="857" spans="1:31" s="352" customFormat="1">
      <c r="A857" s="512">
        <f t="shared" si="6"/>
        <v>10</v>
      </c>
      <c r="B857" s="531" t="s">
        <v>524</v>
      </c>
      <c r="C857" s="531" t="s">
        <v>44</v>
      </c>
      <c r="D857" s="531" t="s">
        <v>449</v>
      </c>
      <c r="E857" s="538" t="s">
        <v>1307</v>
      </c>
      <c r="F857" s="535" t="s">
        <v>636</v>
      </c>
      <c r="G857" s="531"/>
      <c r="H857" s="538"/>
      <c r="I857" s="535">
        <v>32</v>
      </c>
      <c r="J857" s="531" t="s">
        <v>404</v>
      </c>
      <c r="K857" s="539" t="s">
        <v>1308</v>
      </c>
      <c r="L857" s="535"/>
      <c r="M857" s="535" t="s">
        <v>1289</v>
      </c>
      <c r="N857" s="739">
        <v>65013</v>
      </c>
      <c r="O857" s="536">
        <v>65013</v>
      </c>
      <c r="P857" s="541">
        <v>65043</v>
      </c>
      <c r="Q857" s="535" t="s">
        <v>51</v>
      </c>
    </row>
    <row r="858" spans="1:31" s="163" customFormat="1">
      <c r="A858" s="512">
        <f t="shared" si="6"/>
        <v>11</v>
      </c>
      <c r="B858" s="513" t="s">
        <v>524</v>
      </c>
      <c r="C858" s="513" t="s">
        <v>44</v>
      </c>
      <c r="D858" s="513" t="s">
        <v>449</v>
      </c>
      <c r="E858" s="542" t="s">
        <v>1461</v>
      </c>
      <c r="F858" s="544" t="s">
        <v>502</v>
      </c>
      <c r="G858" s="543"/>
      <c r="H858" s="512"/>
      <c r="I858" s="543">
        <v>32</v>
      </c>
      <c r="J858" s="513" t="s">
        <v>48</v>
      </c>
      <c r="K858" s="513" t="s">
        <v>1459</v>
      </c>
      <c r="L858" s="513"/>
      <c r="M858" s="513" t="s">
        <v>1459</v>
      </c>
      <c r="N858" s="732">
        <v>65013</v>
      </c>
      <c r="O858" s="514">
        <v>65013</v>
      </c>
      <c r="P858" s="514">
        <v>65028</v>
      </c>
      <c r="Q858" s="512" t="s">
        <v>51</v>
      </c>
    </row>
    <row r="859" spans="1:31">
      <c r="A859" s="512">
        <f t="shared" si="6"/>
        <v>12</v>
      </c>
      <c r="B859" s="513" t="s">
        <v>524</v>
      </c>
      <c r="C859" s="513" t="s">
        <v>44</v>
      </c>
      <c r="D859" s="513" t="s">
        <v>449</v>
      </c>
      <c r="E859" s="519" t="s">
        <v>1276</v>
      </c>
      <c r="F859" s="523" t="s">
        <v>512</v>
      </c>
      <c r="G859" s="513">
        <v>9847826411</v>
      </c>
      <c r="H859" s="530"/>
      <c r="I859" s="523">
        <v>42</v>
      </c>
      <c r="J859" s="513" t="s">
        <v>404</v>
      </c>
      <c r="K859" s="513" t="s">
        <v>709</v>
      </c>
      <c r="L859" s="523"/>
      <c r="M859" s="513" t="s">
        <v>1192</v>
      </c>
      <c r="N859" s="741">
        <v>65014</v>
      </c>
      <c r="O859" s="545">
        <v>65014</v>
      </c>
      <c r="P859" s="514">
        <v>65032</v>
      </c>
      <c r="Q859" s="512" t="s">
        <v>51</v>
      </c>
      <c r="R859" s="344"/>
      <c r="S859" s="344"/>
      <c r="T859" s="344"/>
      <c r="U859" s="344"/>
      <c r="V859" s="344"/>
      <c r="W859" s="344"/>
      <c r="X859" s="344"/>
      <c r="Y859" s="344"/>
      <c r="Z859" s="344"/>
      <c r="AA859" s="344"/>
      <c r="AB859" s="344"/>
      <c r="AC859" s="344"/>
      <c r="AD859" s="344"/>
      <c r="AE859" s="344"/>
    </row>
    <row r="860" spans="1:31">
      <c r="A860" s="512">
        <f t="shared" si="6"/>
        <v>13</v>
      </c>
      <c r="B860" s="474" t="s">
        <v>524</v>
      </c>
      <c r="C860" s="474" t="s">
        <v>44</v>
      </c>
      <c r="D860" s="474" t="s">
        <v>449</v>
      </c>
      <c r="E860" s="546" t="s">
        <v>4924</v>
      </c>
      <c r="F860" s="547" t="s">
        <v>491</v>
      </c>
      <c r="G860" s="474"/>
      <c r="H860" s="546"/>
      <c r="I860" s="547">
        <v>20</v>
      </c>
      <c r="J860" s="474" t="s">
        <v>433</v>
      </c>
      <c r="K860" s="548" t="s">
        <v>1245</v>
      </c>
      <c r="L860" s="547"/>
      <c r="M860" s="547" t="s">
        <v>1289</v>
      </c>
      <c r="N860" s="729">
        <v>65014</v>
      </c>
      <c r="O860" s="475">
        <v>65014</v>
      </c>
      <c r="P860" s="475">
        <v>65021</v>
      </c>
      <c r="Q860" s="472" t="s">
        <v>1222</v>
      </c>
      <c r="R860" s="326"/>
      <c r="S860" s="326"/>
      <c r="T860" s="326"/>
      <c r="U860" s="326"/>
      <c r="V860" s="326"/>
      <c r="W860" s="326"/>
      <c r="X860" s="326"/>
      <c r="Y860" s="326"/>
      <c r="Z860" s="326"/>
      <c r="AA860" s="326"/>
      <c r="AB860" s="326"/>
      <c r="AC860" s="326"/>
      <c r="AD860" s="326"/>
      <c r="AE860" s="326"/>
    </row>
    <row r="861" spans="1:31" s="352" customFormat="1">
      <c r="A861" s="512">
        <f t="shared" si="6"/>
        <v>14</v>
      </c>
      <c r="B861" s="531" t="s">
        <v>524</v>
      </c>
      <c r="C861" s="531" t="s">
        <v>44</v>
      </c>
      <c r="D861" s="531" t="s">
        <v>449</v>
      </c>
      <c r="E861" s="538" t="s">
        <v>1281</v>
      </c>
      <c r="F861" s="535" t="s">
        <v>636</v>
      </c>
      <c r="G861" s="531"/>
      <c r="H861" s="538"/>
      <c r="I861" s="535">
        <v>37</v>
      </c>
      <c r="J861" s="531" t="s">
        <v>404</v>
      </c>
      <c r="K861" s="539" t="s">
        <v>1245</v>
      </c>
      <c r="L861" s="535"/>
      <c r="M861" s="535" t="s">
        <v>1289</v>
      </c>
      <c r="N861" s="740">
        <v>65014</v>
      </c>
      <c r="O861" s="540">
        <v>65014</v>
      </c>
      <c r="P861" s="541">
        <v>65043</v>
      </c>
      <c r="Q861" s="535" t="s">
        <v>51</v>
      </c>
    </row>
    <row r="862" spans="1:31" s="344" customFormat="1">
      <c r="A862" s="512">
        <f t="shared" si="6"/>
        <v>15</v>
      </c>
      <c r="B862" s="513" t="s">
        <v>524</v>
      </c>
      <c r="C862" s="513" t="s">
        <v>44</v>
      </c>
      <c r="D862" s="513" t="s">
        <v>449</v>
      </c>
      <c r="E862" s="542" t="s">
        <v>1462</v>
      </c>
      <c r="F862" s="549" t="s">
        <v>491</v>
      </c>
      <c r="G862" s="543"/>
      <c r="H862" s="512"/>
      <c r="I862" s="543">
        <v>43</v>
      </c>
      <c r="J862" s="513" t="s">
        <v>90</v>
      </c>
      <c r="K862" s="513" t="s">
        <v>345</v>
      </c>
      <c r="L862" s="513"/>
      <c r="M862" s="513" t="s">
        <v>119</v>
      </c>
      <c r="N862" s="732">
        <v>65014</v>
      </c>
      <c r="O862" s="514">
        <v>65014</v>
      </c>
      <c r="P862" s="514">
        <v>65028</v>
      </c>
      <c r="Q862" s="512" t="s">
        <v>51</v>
      </c>
      <c r="R862" s="322"/>
      <c r="S862" s="322"/>
      <c r="T862" s="322"/>
      <c r="U862" s="322"/>
      <c r="V862" s="322"/>
      <c r="W862" s="322"/>
      <c r="X862" s="322"/>
      <c r="Y862" s="322"/>
      <c r="Z862" s="322"/>
      <c r="AA862" s="322"/>
      <c r="AB862" s="322"/>
      <c r="AC862" s="322"/>
      <c r="AD862" s="322"/>
      <c r="AE862" s="322"/>
    </row>
    <row r="863" spans="1:31" s="344" customFormat="1">
      <c r="A863" s="512">
        <f t="shared" si="6"/>
        <v>16</v>
      </c>
      <c r="B863" s="438" t="s">
        <v>524</v>
      </c>
      <c r="C863" s="438" t="s">
        <v>44</v>
      </c>
      <c r="D863" s="438" t="s">
        <v>449</v>
      </c>
      <c r="E863" s="550" t="s">
        <v>1274</v>
      </c>
      <c r="F863" s="438" t="s">
        <v>491</v>
      </c>
      <c r="G863" s="438">
        <v>9847832440</v>
      </c>
      <c r="H863" s="141"/>
      <c r="I863" s="525">
        <v>65</v>
      </c>
      <c r="J863" s="438" t="s">
        <v>433</v>
      </c>
      <c r="K863" s="438" t="s">
        <v>709</v>
      </c>
      <c r="L863" s="525"/>
      <c r="M863" s="438" t="s">
        <v>489</v>
      </c>
      <c r="N863" s="731">
        <v>65014</v>
      </c>
      <c r="O863" s="465">
        <v>65014</v>
      </c>
      <c r="P863" s="541">
        <v>65043</v>
      </c>
      <c r="Q863" s="535" t="s">
        <v>51</v>
      </c>
      <c r="R863" s="322"/>
      <c r="S863" s="322"/>
      <c r="T863" s="322"/>
      <c r="U863" s="322"/>
      <c r="V863" s="322"/>
      <c r="W863" s="322"/>
      <c r="X863" s="322"/>
      <c r="Y863" s="322"/>
      <c r="Z863" s="322"/>
      <c r="AA863" s="322"/>
      <c r="AB863" s="322"/>
      <c r="AC863" s="322"/>
      <c r="AD863" s="322"/>
      <c r="AE863" s="322"/>
    </row>
    <row r="864" spans="1:31">
      <c r="A864" s="512">
        <f t="shared" si="6"/>
        <v>17</v>
      </c>
      <c r="B864" s="513" t="s">
        <v>524</v>
      </c>
      <c r="C864" s="513" t="s">
        <v>44</v>
      </c>
      <c r="D864" s="513" t="s">
        <v>449</v>
      </c>
      <c r="E864" s="519" t="s">
        <v>1272</v>
      </c>
      <c r="F864" s="513" t="s">
        <v>1046</v>
      </c>
      <c r="G864" s="513">
        <v>9847920558</v>
      </c>
      <c r="H864" s="512"/>
      <c r="I864" s="513">
        <v>65</v>
      </c>
      <c r="J864" s="513" t="s">
        <v>404</v>
      </c>
      <c r="K864" s="513" t="s">
        <v>709</v>
      </c>
      <c r="L864" s="513"/>
      <c r="M864" s="513" t="s">
        <v>1192</v>
      </c>
      <c r="N864" s="741">
        <v>65014</v>
      </c>
      <c r="O864" s="545">
        <v>65014</v>
      </c>
      <c r="P864" s="514">
        <v>65032</v>
      </c>
      <c r="Q864" s="512" t="s">
        <v>51</v>
      </c>
      <c r="R864" s="344"/>
      <c r="S864" s="344"/>
      <c r="T864" s="344"/>
      <c r="U864" s="344"/>
      <c r="V864" s="344"/>
      <c r="W864" s="344"/>
      <c r="X864" s="344"/>
      <c r="Y864" s="344"/>
      <c r="Z864" s="344"/>
      <c r="AA864" s="344"/>
      <c r="AB864" s="344"/>
      <c r="AC864" s="344"/>
      <c r="AD864" s="344"/>
      <c r="AE864" s="344"/>
    </row>
    <row r="865" spans="1:31" s="352" customFormat="1">
      <c r="A865" s="512">
        <f t="shared" si="6"/>
        <v>18</v>
      </c>
      <c r="B865" s="531" t="s">
        <v>524</v>
      </c>
      <c r="C865" s="531" t="s">
        <v>44</v>
      </c>
      <c r="D865" s="531" t="s">
        <v>449</v>
      </c>
      <c r="E865" s="532" t="s">
        <v>1279</v>
      </c>
      <c r="F865" s="535" t="s">
        <v>791</v>
      </c>
      <c r="G865" s="531"/>
      <c r="H865" s="538"/>
      <c r="I865" s="535">
        <v>32</v>
      </c>
      <c r="J865" s="531" t="s">
        <v>404</v>
      </c>
      <c r="K865" s="539" t="s">
        <v>1284</v>
      </c>
      <c r="L865" s="535"/>
      <c r="M865" s="535" t="s">
        <v>1287</v>
      </c>
      <c r="N865" s="740">
        <v>65014</v>
      </c>
      <c r="O865" s="540">
        <v>65014</v>
      </c>
      <c r="P865" s="541">
        <v>65043</v>
      </c>
      <c r="Q865" s="535" t="s">
        <v>51</v>
      </c>
    </row>
    <row r="866" spans="1:31" s="163" customFormat="1">
      <c r="A866" s="512">
        <f t="shared" si="6"/>
        <v>19</v>
      </c>
      <c r="B866" s="513" t="s">
        <v>524</v>
      </c>
      <c r="C866" s="513" t="s">
        <v>44</v>
      </c>
      <c r="D866" s="513" t="s">
        <v>449</v>
      </c>
      <c r="E866" s="542" t="s">
        <v>1463</v>
      </c>
      <c r="F866" s="543" t="s">
        <v>441</v>
      </c>
      <c r="G866" s="543"/>
      <c r="H866" s="512"/>
      <c r="I866" s="543">
        <v>36</v>
      </c>
      <c r="J866" s="513" t="s">
        <v>90</v>
      </c>
      <c r="K866" s="513" t="s">
        <v>345</v>
      </c>
      <c r="L866" s="513"/>
      <c r="M866" s="513" t="s">
        <v>119</v>
      </c>
      <c r="N866" s="732">
        <v>65014</v>
      </c>
      <c r="O866" s="514">
        <v>65014</v>
      </c>
      <c r="P866" s="514">
        <v>65028</v>
      </c>
      <c r="Q866" s="512" t="s">
        <v>51</v>
      </c>
      <c r="R866" s="322"/>
      <c r="S866" s="322"/>
      <c r="T866" s="322"/>
      <c r="U866" s="322"/>
      <c r="V866" s="322"/>
      <c r="W866" s="322"/>
      <c r="X866" s="322"/>
      <c r="Y866" s="322"/>
      <c r="Z866" s="322"/>
      <c r="AA866" s="322"/>
      <c r="AB866" s="322"/>
      <c r="AC866" s="322"/>
      <c r="AD866" s="322"/>
      <c r="AE866" s="322"/>
    </row>
    <row r="867" spans="1:31" s="352" customFormat="1">
      <c r="A867" s="512">
        <f t="shared" si="6"/>
        <v>20</v>
      </c>
      <c r="B867" s="531" t="s">
        <v>524</v>
      </c>
      <c r="C867" s="531" t="s">
        <v>44</v>
      </c>
      <c r="D867" s="531" t="s">
        <v>449</v>
      </c>
      <c r="E867" s="532" t="s">
        <v>1273</v>
      </c>
      <c r="F867" s="531" t="s">
        <v>491</v>
      </c>
      <c r="G867" s="531">
        <v>9847832440</v>
      </c>
      <c r="H867" s="533"/>
      <c r="I867" s="531">
        <v>21</v>
      </c>
      <c r="J867" s="531" t="s">
        <v>404</v>
      </c>
      <c r="K867" s="531" t="s">
        <v>709</v>
      </c>
      <c r="L867" s="531"/>
      <c r="M867" s="531" t="s">
        <v>489</v>
      </c>
      <c r="N867" s="711">
        <v>65014</v>
      </c>
      <c r="O867" s="541">
        <v>65014</v>
      </c>
      <c r="P867" s="541">
        <v>65043</v>
      </c>
      <c r="Q867" s="535" t="s">
        <v>51</v>
      </c>
    </row>
    <row r="868" spans="1:31" s="352" customFormat="1">
      <c r="A868" s="512">
        <f t="shared" si="6"/>
        <v>21</v>
      </c>
      <c r="B868" s="531" t="s">
        <v>524</v>
      </c>
      <c r="C868" s="531" t="s">
        <v>44</v>
      </c>
      <c r="D868" s="531" t="s">
        <v>449</v>
      </c>
      <c r="E868" s="532" t="s">
        <v>1275</v>
      </c>
      <c r="F868" s="535" t="s">
        <v>491</v>
      </c>
      <c r="G868" s="531">
        <v>9847832440</v>
      </c>
      <c r="H868" s="538"/>
      <c r="I868" s="535">
        <v>45</v>
      </c>
      <c r="J868" s="531" t="s">
        <v>433</v>
      </c>
      <c r="K868" s="531" t="s">
        <v>709</v>
      </c>
      <c r="L868" s="535"/>
      <c r="M868" s="531" t="s">
        <v>489</v>
      </c>
      <c r="N868" s="711">
        <v>65014</v>
      </c>
      <c r="O868" s="541">
        <v>65014</v>
      </c>
      <c r="P868" s="541">
        <v>65043</v>
      </c>
      <c r="Q868" s="535" t="s">
        <v>51</v>
      </c>
    </row>
    <row r="869" spans="1:31">
      <c r="A869" s="512">
        <f t="shared" si="6"/>
        <v>22</v>
      </c>
      <c r="B869" s="513" t="s">
        <v>524</v>
      </c>
      <c r="C869" s="513" t="s">
        <v>44</v>
      </c>
      <c r="D869" s="513" t="s">
        <v>449</v>
      </c>
      <c r="E869" s="542" t="s">
        <v>1464</v>
      </c>
      <c r="F869" s="549" t="s">
        <v>491</v>
      </c>
      <c r="G869" s="543"/>
      <c r="H869" s="512"/>
      <c r="I869" s="543">
        <v>22</v>
      </c>
      <c r="J869" s="513" t="s">
        <v>90</v>
      </c>
      <c r="K869" s="513" t="s">
        <v>345</v>
      </c>
      <c r="L869" s="513"/>
      <c r="M869" s="513" t="s">
        <v>119</v>
      </c>
      <c r="N869" s="732">
        <v>65014</v>
      </c>
      <c r="O869" s="514">
        <v>65014</v>
      </c>
      <c r="P869" s="514">
        <v>65028</v>
      </c>
      <c r="Q869" s="512" t="s">
        <v>51</v>
      </c>
    </row>
    <row r="870" spans="1:31" s="352" customFormat="1">
      <c r="A870" s="512">
        <f t="shared" si="6"/>
        <v>23</v>
      </c>
      <c r="B870" s="531" t="s">
        <v>524</v>
      </c>
      <c r="C870" s="531" t="s">
        <v>44</v>
      </c>
      <c r="D870" s="531" t="s">
        <v>449</v>
      </c>
      <c r="E870" s="532" t="s">
        <v>1277</v>
      </c>
      <c r="F870" s="535" t="s">
        <v>488</v>
      </c>
      <c r="G870" s="531"/>
      <c r="H870" s="538"/>
      <c r="I870" s="535">
        <v>27</v>
      </c>
      <c r="J870" s="531" t="s">
        <v>433</v>
      </c>
      <c r="K870" s="531" t="s">
        <v>613</v>
      </c>
      <c r="L870" s="535"/>
      <c r="M870" s="535" t="s">
        <v>1286</v>
      </c>
      <c r="N870" s="740">
        <v>65014</v>
      </c>
      <c r="O870" s="540">
        <v>65014</v>
      </c>
      <c r="P870" s="541">
        <v>65043</v>
      </c>
      <c r="Q870" s="535" t="s">
        <v>51</v>
      </c>
    </row>
    <row r="871" spans="1:31" s="352" customFormat="1">
      <c r="A871" s="512">
        <f t="shared" si="6"/>
        <v>24</v>
      </c>
      <c r="B871" s="531" t="s">
        <v>524</v>
      </c>
      <c r="C871" s="531" t="s">
        <v>44</v>
      </c>
      <c r="D871" s="531" t="s">
        <v>449</v>
      </c>
      <c r="E871" s="532" t="s">
        <v>1278</v>
      </c>
      <c r="F871" s="535" t="s">
        <v>488</v>
      </c>
      <c r="G871" s="531"/>
      <c r="H871" s="538"/>
      <c r="I871" s="535">
        <v>57</v>
      </c>
      <c r="J871" s="531" t="s">
        <v>433</v>
      </c>
      <c r="K871" s="531" t="s">
        <v>613</v>
      </c>
      <c r="L871" s="535"/>
      <c r="M871" s="535" t="s">
        <v>1286</v>
      </c>
      <c r="N871" s="740">
        <v>65014</v>
      </c>
      <c r="O871" s="540">
        <v>65014</v>
      </c>
      <c r="P871" s="541">
        <v>65043</v>
      </c>
      <c r="Q871" s="535" t="s">
        <v>51</v>
      </c>
    </row>
    <row r="872" spans="1:31" s="326" customFormat="1">
      <c r="A872" s="512">
        <f t="shared" si="6"/>
        <v>25</v>
      </c>
      <c r="B872" s="513" t="s">
        <v>524</v>
      </c>
      <c r="C872" s="513" t="s">
        <v>44</v>
      </c>
      <c r="D872" s="513" t="s">
        <v>449</v>
      </c>
      <c r="E872" s="519" t="s">
        <v>1270</v>
      </c>
      <c r="F872" s="513" t="s">
        <v>491</v>
      </c>
      <c r="G872" s="513">
        <v>9847649332</v>
      </c>
      <c r="H872" s="512"/>
      <c r="I872" s="513">
        <v>32</v>
      </c>
      <c r="J872" s="513" t="s">
        <v>404</v>
      </c>
      <c r="K872" s="513" t="s">
        <v>709</v>
      </c>
      <c r="L872" s="513"/>
      <c r="M872" s="513" t="s">
        <v>1192</v>
      </c>
      <c r="N872" s="741">
        <v>65014</v>
      </c>
      <c r="O872" s="545">
        <v>65014</v>
      </c>
      <c r="P872" s="514">
        <v>65032</v>
      </c>
      <c r="Q872" s="512" t="s">
        <v>51</v>
      </c>
      <c r="R872" s="344"/>
      <c r="S872" s="344"/>
      <c r="T872" s="344"/>
      <c r="U872" s="344"/>
      <c r="V872" s="344"/>
      <c r="W872" s="344"/>
      <c r="X872" s="344"/>
      <c r="Y872" s="344"/>
      <c r="Z872" s="344"/>
      <c r="AA872" s="344"/>
      <c r="AB872" s="344"/>
      <c r="AC872" s="344"/>
      <c r="AD872" s="344"/>
      <c r="AE872" s="344"/>
    </row>
    <row r="873" spans="1:31">
      <c r="A873" s="512">
        <f t="shared" si="6"/>
        <v>26</v>
      </c>
      <c r="B873" s="513" t="s">
        <v>524</v>
      </c>
      <c r="C873" s="513" t="s">
        <v>44</v>
      </c>
      <c r="D873" s="513" t="s">
        <v>449</v>
      </c>
      <c r="E873" s="542" t="s">
        <v>1465</v>
      </c>
      <c r="F873" s="543" t="s">
        <v>441</v>
      </c>
      <c r="G873" s="543">
        <v>9868103783</v>
      </c>
      <c r="H873" s="512"/>
      <c r="I873" s="543">
        <v>38</v>
      </c>
      <c r="J873" s="513" t="s">
        <v>48</v>
      </c>
      <c r="K873" s="513" t="s">
        <v>53</v>
      </c>
      <c r="L873" s="513"/>
      <c r="M873" s="513" t="s">
        <v>119</v>
      </c>
      <c r="N873" s="732">
        <v>65015</v>
      </c>
      <c r="O873" s="514">
        <v>65015</v>
      </c>
      <c r="P873" s="514">
        <v>65028</v>
      </c>
      <c r="Q873" s="512" t="s">
        <v>51</v>
      </c>
    </row>
    <row r="874" spans="1:31" s="344" customFormat="1">
      <c r="A874" s="512">
        <f t="shared" si="6"/>
        <v>27</v>
      </c>
      <c r="B874" s="513" t="s">
        <v>524</v>
      </c>
      <c r="C874" s="513" t="s">
        <v>44</v>
      </c>
      <c r="D874" s="513" t="s">
        <v>449</v>
      </c>
      <c r="E874" s="530" t="s">
        <v>1291</v>
      </c>
      <c r="F874" s="523" t="s">
        <v>617</v>
      </c>
      <c r="G874" s="513">
        <v>9822853533</v>
      </c>
      <c r="H874" s="530"/>
      <c r="I874" s="523">
        <v>80</v>
      </c>
      <c r="J874" s="513" t="s">
        <v>404</v>
      </c>
      <c r="K874" s="513" t="s">
        <v>709</v>
      </c>
      <c r="L874" s="523"/>
      <c r="M874" s="513" t="s">
        <v>1192</v>
      </c>
      <c r="N874" s="736">
        <v>65015</v>
      </c>
      <c r="O874" s="524">
        <v>65015</v>
      </c>
      <c r="P874" s="514">
        <v>65032</v>
      </c>
      <c r="Q874" s="512" t="s">
        <v>51</v>
      </c>
    </row>
    <row r="875" spans="1:31">
      <c r="A875" s="512">
        <f t="shared" si="6"/>
        <v>28</v>
      </c>
      <c r="B875" s="513" t="s">
        <v>524</v>
      </c>
      <c r="C875" s="513" t="s">
        <v>44</v>
      </c>
      <c r="D875" s="513" t="s">
        <v>449</v>
      </c>
      <c r="E875" s="194" t="s">
        <v>1296</v>
      </c>
      <c r="F875" s="551" t="s">
        <v>491</v>
      </c>
      <c r="G875" s="513">
        <v>9857823765</v>
      </c>
      <c r="H875" s="512"/>
      <c r="I875" s="551">
        <v>12</v>
      </c>
      <c r="J875" s="513" t="s">
        <v>404</v>
      </c>
      <c r="K875" s="513" t="s">
        <v>709</v>
      </c>
      <c r="L875" s="513"/>
      <c r="M875" s="513" t="s">
        <v>1192</v>
      </c>
      <c r="N875" s="736">
        <v>65017</v>
      </c>
      <c r="O875" s="524">
        <v>65017</v>
      </c>
      <c r="P875" s="514">
        <v>65032</v>
      </c>
      <c r="Q875" s="512" t="s">
        <v>51</v>
      </c>
      <c r="R875" s="344"/>
      <c r="S875" s="344"/>
      <c r="T875" s="344"/>
      <c r="U875" s="344"/>
      <c r="V875" s="344"/>
      <c r="W875" s="344"/>
      <c r="X875" s="344"/>
      <c r="Y875" s="344"/>
      <c r="Z875" s="344"/>
      <c r="AA875" s="344"/>
      <c r="AB875" s="344"/>
      <c r="AC875" s="344"/>
      <c r="AD875" s="344"/>
      <c r="AE875" s="344"/>
    </row>
    <row r="876" spans="1:31">
      <c r="A876" s="512">
        <f t="shared" si="6"/>
        <v>29</v>
      </c>
      <c r="B876" s="513" t="s">
        <v>524</v>
      </c>
      <c r="C876" s="513" t="s">
        <v>44</v>
      </c>
      <c r="D876" s="513" t="s">
        <v>449</v>
      </c>
      <c r="E876" s="194" t="s">
        <v>1301</v>
      </c>
      <c r="F876" s="552" t="s">
        <v>491</v>
      </c>
      <c r="G876" s="513">
        <v>9847954832</v>
      </c>
      <c r="H876" s="553"/>
      <c r="I876" s="551">
        <v>40</v>
      </c>
      <c r="J876" s="513" t="s">
        <v>404</v>
      </c>
      <c r="K876" s="513" t="s">
        <v>709</v>
      </c>
      <c r="L876" s="552"/>
      <c r="M876" s="513" t="s">
        <v>1192</v>
      </c>
      <c r="N876" s="736">
        <v>65017</v>
      </c>
      <c r="O876" s="524">
        <v>65017</v>
      </c>
      <c r="P876" s="514">
        <v>65032</v>
      </c>
      <c r="Q876" s="512" t="s">
        <v>51</v>
      </c>
      <c r="R876" s="344"/>
      <c r="S876" s="344"/>
      <c r="T876" s="344"/>
      <c r="U876" s="344"/>
      <c r="V876" s="344"/>
      <c r="W876" s="344"/>
      <c r="X876" s="344"/>
      <c r="Y876" s="344"/>
      <c r="Z876" s="344"/>
      <c r="AA876" s="344"/>
      <c r="AB876" s="344"/>
      <c r="AC876" s="344"/>
      <c r="AD876" s="344"/>
      <c r="AE876" s="344"/>
    </row>
    <row r="877" spans="1:31" s="163" customFormat="1">
      <c r="A877" s="512">
        <f t="shared" si="6"/>
        <v>30</v>
      </c>
      <c r="B877" s="513" t="s">
        <v>524</v>
      </c>
      <c r="C877" s="513" t="s">
        <v>44</v>
      </c>
      <c r="D877" s="513" t="s">
        <v>449</v>
      </c>
      <c r="E877" s="194" t="s">
        <v>1299</v>
      </c>
      <c r="F877" s="551" t="s">
        <v>730</v>
      </c>
      <c r="G877" s="513">
        <v>9857825401</v>
      </c>
      <c r="H877" s="512"/>
      <c r="I877" s="551">
        <v>42</v>
      </c>
      <c r="J877" s="513" t="s">
        <v>404</v>
      </c>
      <c r="K877" s="513" t="s">
        <v>709</v>
      </c>
      <c r="L877" s="513"/>
      <c r="M877" s="513" t="s">
        <v>1192</v>
      </c>
      <c r="N877" s="736">
        <v>65017</v>
      </c>
      <c r="O877" s="524">
        <v>65017</v>
      </c>
      <c r="P877" s="514">
        <v>65032</v>
      </c>
      <c r="Q877" s="512" t="s">
        <v>51</v>
      </c>
      <c r="R877" s="344"/>
      <c r="S877" s="344"/>
      <c r="T877" s="344"/>
      <c r="U877" s="344"/>
      <c r="V877" s="344"/>
      <c r="W877" s="344"/>
      <c r="X877" s="344"/>
      <c r="Y877" s="344"/>
      <c r="Z877" s="344"/>
      <c r="AA877" s="344"/>
      <c r="AB877" s="344"/>
      <c r="AC877" s="344"/>
      <c r="AD877" s="344"/>
      <c r="AE877" s="344"/>
    </row>
    <row r="878" spans="1:31" s="352" customFormat="1">
      <c r="A878" s="512">
        <f t="shared" si="6"/>
        <v>31</v>
      </c>
      <c r="B878" s="531" t="s">
        <v>524</v>
      </c>
      <c r="C878" s="531" t="s">
        <v>44</v>
      </c>
      <c r="D878" s="531" t="s">
        <v>449</v>
      </c>
      <c r="E878" s="554" t="s">
        <v>1298</v>
      </c>
      <c r="F878" s="555" t="s">
        <v>491</v>
      </c>
      <c r="G878" s="531">
        <v>9847908668</v>
      </c>
      <c r="H878" s="533"/>
      <c r="I878" s="555">
        <v>35</v>
      </c>
      <c r="J878" s="531" t="s">
        <v>433</v>
      </c>
      <c r="K878" s="531" t="s">
        <v>709</v>
      </c>
      <c r="L878" s="531"/>
      <c r="M878" s="531" t="s">
        <v>489</v>
      </c>
      <c r="N878" s="739">
        <v>65017</v>
      </c>
      <c r="O878" s="536">
        <v>65017</v>
      </c>
      <c r="P878" s="541">
        <v>65043</v>
      </c>
      <c r="Q878" s="535" t="s">
        <v>51</v>
      </c>
    </row>
    <row r="879" spans="1:31" s="344" customFormat="1">
      <c r="A879" s="512">
        <f t="shared" si="6"/>
        <v>32</v>
      </c>
      <c r="B879" s="513" t="s">
        <v>524</v>
      </c>
      <c r="C879" s="513" t="s">
        <v>44</v>
      </c>
      <c r="D879" s="513" t="s">
        <v>449</v>
      </c>
      <c r="E879" s="553" t="s">
        <v>1303</v>
      </c>
      <c r="F879" s="552" t="s">
        <v>491</v>
      </c>
      <c r="G879" s="552">
        <v>9869035720</v>
      </c>
      <c r="H879" s="553"/>
      <c r="I879" s="552"/>
      <c r="J879" s="513" t="s">
        <v>404</v>
      </c>
      <c r="K879" s="513" t="s">
        <v>709</v>
      </c>
      <c r="L879" s="552"/>
      <c r="M879" s="513" t="s">
        <v>1192</v>
      </c>
      <c r="N879" s="736">
        <v>65017</v>
      </c>
      <c r="O879" s="524">
        <v>65017</v>
      </c>
      <c r="P879" s="514">
        <v>65027</v>
      </c>
      <c r="Q879" s="512" t="s">
        <v>1550</v>
      </c>
      <c r="R879" s="322"/>
      <c r="S879" s="322"/>
      <c r="T879" s="322"/>
      <c r="U879" s="322"/>
      <c r="V879" s="322"/>
      <c r="W879" s="322"/>
      <c r="X879" s="322"/>
      <c r="Y879" s="322"/>
      <c r="Z879" s="322"/>
      <c r="AA879" s="322"/>
      <c r="AB879" s="322"/>
      <c r="AC879" s="322"/>
      <c r="AD879" s="322"/>
      <c r="AE879" s="322"/>
    </row>
    <row r="880" spans="1:31" s="344" customFormat="1">
      <c r="A880" s="512">
        <f t="shared" si="6"/>
        <v>33</v>
      </c>
      <c r="B880" s="513" t="s">
        <v>524</v>
      </c>
      <c r="C880" s="513" t="s">
        <v>44</v>
      </c>
      <c r="D880" s="513" t="s">
        <v>449</v>
      </c>
      <c r="E880" s="553" t="s">
        <v>1302</v>
      </c>
      <c r="F880" s="552" t="s">
        <v>491</v>
      </c>
      <c r="G880" s="552">
        <v>9863171515</v>
      </c>
      <c r="H880" s="553"/>
      <c r="I880" s="552"/>
      <c r="J880" s="513" t="s">
        <v>433</v>
      </c>
      <c r="K880" s="513" t="s">
        <v>709</v>
      </c>
      <c r="L880" s="552"/>
      <c r="M880" s="513" t="s">
        <v>1192</v>
      </c>
      <c r="N880" s="736">
        <v>65017</v>
      </c>
      <c r="O880" s="524">
        <v>65017</v>
      </c>
      <c r="P880" s="514">
        <v>65027</v>
      </c>
      <c r="Q880" s="512" t="s">
        <v>1550</v>
      </c>
      <c r="R880" s="322"/>
      <c r="S880" s="322"/>
      <c r="T880" s="322"/>
      <c r="U880" s="322"/>
      <c r="V880" s="322"/>
      <c r="W880" s="322"/>
      <c r="X880" s="322"/>
      <c r="Y880" s="322"/>
      <c r="Z880" s="322"/>
      <c r="AA880" s="322"/>
      <c r="AB880" s="322"/>
      <c r="AC880" s="322"/>
      <c r="AD880" s="322"/>
      <c r="AE880" s="322"/>
    </row>
    <row r="881" spans="1:31" s="344" customFormat="1">
      <c r="A881" s="512">
        <f t="shared" si="6"/>
        <v>34</v>
      </c>
      <c r="B881" s="513" t="s">
        <v>524</v>
      </c>
      <c r="C881" s="513" t="s">
        <v>44</v>
      </c>
      <c r="D881" s="513" t="s">
        <v>449</v>
      </c>
      <c r="E881" s="542" t="s">
        <v>1466</v>
      </c>
      <c r="F881" s="549" t="s">
        <v>491</v>
      </c>
      <c r="G881" s="543">
        <v>9866828904</v>
      </c>
      <c r="H881" s="512"/>
      <c r="I881" s="543"/>
      <c r="J881" s="513" t="s">
        <v>48</v>
      </c>
      <c r="K881" s="513" t="s">
        <v>1459</v>
      </c>
      <c r="L881" s="513"/>
      <c r="M881" s="513" t="s">
        <v>1459</v>
      </c>
      <c r="N881" s="732">
        <v>65017</v>
      </c>
      <c r="O881" s="514">
        <v>65017</v>
      </c>
      <c r="P881" s="514">
        <v>65028</v>
      </c>
      <c r="Q881" s="512" t="s">
        <v>51</v>
      </c>
      <c r="R881" s="322"/>
      <c r="S881" s="322"/>
      <c r="T881" s="322"/>
      <c r="U881" s="322"/>
      <c r="V881" s="322"/>
      <c r="W881" s="322"/>
      <c r="X881" s="322"/>
      <c r="Y881" s="322"/>
      <c r="Z881" s="322"/>
      <c r="AA881" s="322"/>
      <c r="AB881" s="322"/>
      <c r="AC881" s="322"/>
      <c r="AD881" s="322"/>
      <c r="AE881" s="322"/>
    </row>
    <row r="882" spans="1:31" s="344" customFormat="1">
      <c r="A882" s="512">
        <f t="shared" si="6"/>
        <v>35</v>
      </c>
      <c r="B882" s="513" t="s">
        <v>524</v>
      </c>
      <c r="C882" s="513" t="s">
        <v>44</v>
      </c>
      <c r="D882" s="513" t="s">
        <v>449</v>
      </c>
      <c r="E882" s="194" t="s">
        <v>1297</v>
      </c>
      <c r="F882" s="551" t="s">
        <v>124</v>
      </c>
      <c r="G882" s="513">
        <v>9847885702</v>
      </c>
      <c r="H882" s="512"/>
      <c r="I882" s="551">
        <v>42</v>
      </c>
      <c r="J882" s="513" t="s">
        <v>404</v>
      </c>
      <c r="K882" s="513" t="s">
        <v>709</v>
      </c>
      <c r="L882" s="513"/>
      <c r="M882" s="513" t="s">
        <v>1192</v>
      </c>
      <c r="N882" s="736">
        <v>65017</v>
      </c>
      <c r="O882" s="524">
        <v>65017</v>
      </c>
      <c r="P882" s="514">
        <v>65032</v>
      </c>
      <c r="Q882" s="512" t="s">
        <v>51</v>
      </c>
    </row>
    <row r="883" spans="1:31" s="344" customFormat="1">
      <c r="A883" s="512">
        <f t="shared" si="6"/>
        <v>36</v>
      </c>
      <c r="B883" s="513" t="s">
        <v>524</v>
      </c>
      <c r="C883" s="513" t="s">
        <v>44</v>
      </c>
      <c r="D883" s="513" t="s">
        <v>449</v>
      </c>
      <c r="E883" s="542" t="s">
        <v>1467</v>
      </c>
      <c r="F883" s="549" t="s">
        <v>491</v>
      </c>
      <c r="G883" s="543">
        <v>9866828904</v>
      </c>
      <c r="H883" s="512"/>
      <c r="I883" s="543">
        <v>38</v>
      </c>
      <c r="J883" s="513" t="s">
        <v>90</v>
      </c>
      <c r="K883" s="513" t="s">
        <v>1468</v>
      </c>
      <c r="L883" s="513"/>
      <c r="M883" s="513" t="s">
        <v>119</v>
      </c>
      <c r="N883" s="732">
        <v>65017</v>
      </c>
      <c r="O883" s="514">
        <v>65017</v>
      </c>
      <c r="P883" s="514">
        <v>65028</v>
      </c>
      <c r="Q883" s="512" t="s">
        <v>51</v>
      </c>
      <c r="R883" s="322"/>
      <c r="S883" s="322"/>
      <c r="T883" s="322"/>
      <c r="U883" s="322"/>
      <c r="V883" s="322"/>
      <c r="W883" s="322"/>
      <c r="X883" s="322"/>
      <c r="Y883" s="322"/>
      <c r="Z883" s="322"/>
      <c r="AA883" s="322"/>
      <c r="AB883" s="322"/>
      <c r="AC883" s="322"/>
      <c r="AD883" s="322"/>
      <c r="AE883" s="322"/>
    </row>
    <row r="884" spans="1:31" s="344" customFormat="1">
      <c r="A884" s="512">
        <f t="shared" si="6"/>
        <v>37</v>
      </c>
      <c r="B884" s="513" t="s">
        <v>524</v>
      </c>
      <c r="C884" s="513" t="s">
        <v>44</v>
      </c>
      <c r="D884" s="513" t="s">
        <v>449</v>
      </c>
      <c r="E884" s="512" t="s">
        <v>1457</v>
      </c>
      <c r="F884" s="513" t="s">
        <v>124</v>
      </c>
      <c r="G884" s="549">
        <v>9847875634</v>
      </c>
      <c r="H884" s="530"/>
      <c r="I884" s="513">
        <v>36</v>
      </c>
      <c r="J884" s="513" t="s">
        <v>404</v>
      </c>
      <c r="K884" s="556" t="s">
        <v>1245</v>
      </c>
      <c r="L884" s="523"/>
      <c r="M884" s="523" t="s">
        <v>1289</v>
      </c>
      <c r="N884" s="736">
        <v>65017</v>
      </c>
      <c r="O884" s="524">
        <v>65017</v>
      </c>
      <c r="P884" s="514">
        <v>65032</v>
      </c>
      <c r="Q884" s="512" t="s">
        <v>51</v>
      </c>
    </row>
    <row r="885" spans="1:31" s="344" customFormat="1">
      <c r="A885" s="512">
        <f t="shared" si="6"/>
        <v>38</v>
      </c>
      <c r="B885" s="513" t="s">
        <v>524</v>
      </c>
      <c r="C885" s="513" t="s">
        <v>44</v>
      </c>
      <c r="D885" s="513" t="s">
        <v>449</v>
      </c>
      <c r="E885" s="194" t="s">
        <v>1294</v>
      </c>
      <c r="F885" s="551" t="s">
        <v>491</v>
      </c>
      <c r="G885" s="513">
        <v>9849439307</v>
      </c>
      <c r="H885" s="512"/>
      <c r="I885" s="551">
        <v>60</v>
      </c>
      <c r="J885" s="513" t="s">
        <v>433</v>
      </c>
      <c r="K885" s="513" t="s">
        <v>709</v>
      </c>
      <c r="L885" s="513"/>
      <c r="M885" s="513" t="s">
        <v>1192</v>
      </c>
      <c r="N885" s="736">
        <v>65017</v>
      </c>
      <c r="O885" s="524">
        <v>65017</v>
      </c>
      <c r="P885" s="514">
        <v>65032</v>
      </c>
      <c r="Q885" s="512" t="s">
        <v>51</v>
      </c>
    </row>
    <row r="886" spans="1:31">
      <c r="A886" s="512">
        <f t="shared" si="6"/>
        <v>39</v>
      </c>
      <c r="B886" s="423" t="s">
        <v>524</v>
      </c>
      <c r="C886" s="423" t="s">
        <v>44</v>
      </c>
      <c r="D886" s="423" t="s">
        <v>449</v>
      </c>
      <c r="E886" s="267" t="s">
        <v>1748</v>
      </c>
      <c r="F886" s="402" t="s">
        <v>491</v>
      </c>
      <c r="G886" s="423">
        <v>9809580885</v>
      </c>
      <c r="H886" s="557"/>
      <c r="I886" s="595">
        <v>37</v>
      </c>
      <c r="J886" s="423" t="s">
        <v>433</v>
      </c>
      <c r="K886" s="434" t="s">
        <v>709</v>
      </c>
      <c r="L886" s="402"/>
      <c r="M886" s="513" t="s">
        <v>262</v>
      </c>
      <c r="N886" s="742">
        <v>65017</v>
      </c>
      <c r="O886" s="558">
        <v>65019</v>
      </c>
      <c r="P886" s="559">
        <v>65029</v>
      </c>
      <c r="Q886" s="422" t="s">
        <v>940</v>
      </c>
      <c r="R886" s="326"/>
      <c r="S886" s="326"/>
      <c r="T886" s="326"/>
      <c r="U886" s="326"/>
      <c r="V886" s="326"/>
      <c r="W886" s="326"/>
      <c r="X886" s="326"/>
      <c r="Y886" s="326"/>
      <c r="Z886" s="326"/>
      <c r="AA886" s="326"/>
      <c r="AB886" s="326"/>
      <c r="AC886" s="326"/>
      <c r="AD886" s="326"/>
      <c r="AE886" s="326"/>
    </row>
    <row r="887" spans="1:31">
      <c r="A887" s="512">
        <f t="shared" si="6"/>
        <v>40</v>
      </c>
      <c r="B887" s="513" t="s">
        <v>524</v>
      </c>
      <c r="C887" s="513" t="s">
        <v>44</v>
      </c>
      <c r="D887" s="513" t="s">
        <v>449</v>
      </c>
      <c r="E887" s="530" t="s">
        <v>1292</v>
      </c>
      <c r="F887" s="523" t="s">
        <v>510</v>
      </c>
      <c r="G887" s="513">
        <v>9847860359</v>
      </c>
      <c r="H887" s="530"/>
      <c r="I887" s="513">
        <v>40</v>
      </c>
      <c r="J887" s="513" t="s">
        <v>404</v>
      </c>
      <c r="K887" s="513" t="s">
        <v>709</v>
      </c>
      <c r="L887" s="523"/>
      <c r="M887" s="513" t="s">
        <v>1192</v>
      </c>
      <c r="N887" s="736">
        <v>65017</v>
      </c>
      <c r="O887" s="524">
        <v>65017</v>
      </c>
      <c r="P887" s="514">
        <v>65032</v>
      </c>
      <c r="Q887" s="512" t="s">
        <v>51</v>
      </c>
      <c r="R887" s="344"/>
      <c r="S887" s="344"/>
      <c r="T887" s="344"/>
      <c r="U887" s="344"/>
      <c r="V887" s="344"/>
      <c r="W887" s="344"/>
      <c r="X887" s="344"/>
      <c r="Y887" s="344"/>
      <c r="Z887" s="344"/>
      <c r="AA887" s="344"/>
      <c r="AB887" s="344"/>
      <c r="AC887" s="344"/>
      <c r="AD887" s="344"/>
      <c r="AE887" s="344"/>
    </row>
    <row r="888" spans="1:31">
      <c r="A888" s="512">
        <f t="shared" si="6"/>
        <v>41</v>
      </c>
      <c r="B888" s="513" t="s">
        <v>524</v>
      </c>
      <c r="C888" s="513" t="s">
        <v>44</v>
      </c>
      <c r="D888" s="513" t="s">
        <v>449</v>
      </c>
      <c r="E888" s="512" t="s">
        <v>1456</v>
      </c>
      <c r="F888" s="513" t="s">
        <v>441</v>
      </c>
      <c r="G888" s="549">
        <v>9866204013</v>
      </c>
      <c r="H888" s="530"/>
      <c r="I888" s="513">
        <v>23</v>
      </c>
      <c r="J888" s="513" t="s">
        <v>404</v>
      </c>
      <c r="K888" s="556" t="s">
        <v>1245</v>
      </c>
      <c r="L888" s="523"/>
      <c r="M888" s="523" t="s">
        <v>1289</v>
      </c>
      <c r="N888" s="736">
        <v>65017</v>
      </c>
      <c r="O888" s="524">
        <v>65017</v>
      </c>
      <c r="P888" s="514">
        <v>65032</v>
      </c>
      <c r="Q888" s="512" t="s">
        <v>51</v>
      </c>
      <c r="R888" s="344"/>
      <c r="S888" s="344"/>
      <c r="T888" s="344"/>
      <c r="U888" s="344"/>
      <c r="V888" s="344"/>
      <c r="W888" s="344"/>
      <c r="X888" s="344"/>
      <c r="Y888" s="344"/>
      <c r="Z888" s="344"/>
      <c r="AA888" s="344"/>
      <c r="AB888" s="344"/>
      <c r="AC888" s="344"/>
      <c r="AD888" s="344"/>
      <c r="AE888" s="344"/>
    </row>
    <row r="889" spans="1:31" s="344" customFormat="1">
      <c r="A889" s="512">
        <f t="shared" si="6"/>
        <v>42</v>
      </c>
      <c r="B889" s="513" t="s">
        <v>524</v>
      </c>
      <c r="C889" s="513" t="s">
        <v>44</v>
      </c>
      <c r="D889" s="513" t="s">
        <v>449</v>
      </c>
      <c r="E889" s="542" t="s">
        <v>1469</v>
      </c>
      <c r="F889" s="549" t="s">
        <v>491</v>
      </c>
      <c r="G889" s="543">
        <v>9848027019</v>
      </c>
      <c r="H889" s="512"/>
      <c r="I889" s="543">
        <v>42</v>
      </c>
      <c r="J889" s="513" t="s">
        <v>48</v>
      </c>
      <c r="K889" s="513" t="s">
        <v>1468</v>
      </c>
      <c r="L889" s="513"/>
      <c r="M889" s="513" t="s">
        <v>119</v>
      </c>
      <c r="N889" s="732">
        <v>65017</v>
      </c>
      <c r="O889" s="514">
        <v>65017</v>
      </c>
      <c r="P889" s="514">
        <v>65028</v>
      </c>
      <c r="Q889" s="512" t="s">
        <v>51</v>
      </c>
      <c r="R889" s="163"/>
      <c r="S889" s="163"/>
      <c r="T889" s="163"/>
      <c r="U889" s="163"/>
      <c r="V889" s="163"/>
      <c r="W889" s="163"/>
      <c r="X889" s="163"/>
      <c r="Y889" s="163"/>
      <c r="Z889" s="163"/>
      <c r="AA889" s="163"/>
      <c r="AB889" s="163"/>
      <c r="AC889" s="163"/>
      <c r="AD889" s="163"/>
      <c r="AE889" s="163"/>
    </row>
    <row r="890" spans="1:31" s="344" customFormat="1">
      <c r="A890" s="512">
        <f t="shared" si="6"/>
        <v>43</v>
      </c>
      <c r="B890" s="513" t="s">
        <v>524</v>
      </c>
      <c r="C890" s="513" t="s">
        <v>44</v>
      </c>
      <c r="D890" s="513" t="s">
        <v>449</v>
      </c>
      <c r="E890" s="194" t="s">
        <v>1300</v>
      </c>
      <c r="F890" s="551" t="s">
        <v>502</v>
      </c>
      <c r="G890" s="513">
        <v>9810912716</v>
      </c>
      <c r="H890" s="512"/>
      <c r="I890" s="551">
        <v>22</v>
      </c>
      <c r="J890" s="513" t="s">
        <v>433</v>
      </c>
      <c r="K890" s="513" t="s">
        <v>709</v>
      </c>
      <c r="L890" s="513"/>
      <c r="M890" s="513" t="s">
        <v>1192</v>
      </c>
      <c r="N890" s="736">
        <v>65017</v>
      </c>
      <c r="O890" s="524">
        <v>65017</v>
      </c>
      <c r="P890" s="514">
        <v>65032</v>
      </c>
      <c r="Q890" s="512" t="s">
        <v>51</v>
      </c>
    </row>
    <row r="891" spans="1:31" s="344" customFormat="1">
      <c r="A891" s="512">
        <f t="shared" si="6"/>
        <v>44</v>
      </c>
      <c r="B891" s="513" t="s">
        <v>524</v>
      </c>
      <c r="C891" s="513" t="s">
        <v>44</v>
      </c>
      <c r="D891" s="513" t="s">
        <v>449</v>
      </c>
      <c r="E891" s="194" t="s">
        <v>1295</v>
      </c>
      <c r="F891" s="551" t="s">
        <v>491</v>
      </c>
      <c r="G891" s="513">
        <v>9857823350</v>
      </c>
      <c r="H891" s="512"/>
      <c r="I891" s="551">
        <v>36</v>
      </c>
      <c r="J891" s="513" t="s">
        <v>404</v>
      </c>
      <c r="K891" s="513" t="s">
        <v>709</v>
      </c>
      <c r="L891" s="513"/>
      <c r="M891" s="513" t="s">
        <v>1192</v>
      </c>
      <c r="N891" s="736">
        <v>65017</v>
      </c>
      <c r="O891" s="524">
        <v>65017</v>
      </c>
      <c r="P891" s="514">
        <v>65032</v>
      </c>
      <c r="Q891" s="512" t="s">
        <v>51</v>
      </c>
    </row>
    <row r="892" spans="1:31" s="326" customFormat="1">
      <c r="A892" s="512">
        <f t="shared" si="6"/>
        <v>45</v>
      </c>
      <c r="B892" s="513" t="s">
        <v>524</v>
      </c>
      <c r="C892" s="513" t="s">
        <v>44</v>
      </c>
      <c r="D892" s="513" t="s">
        <v>449</v>
      </c>
      <c r="E892" s="530" t="s">
        <v>1293</v>
      </c>
      <c r="F892" s="513" t="s">
        <v>502</v>
      </c>
      <c r="G892" s="513">
        <v>9857821026</v>
      </c>
      <c r="H892" s="512"/>
      <c r="I892" s="513">
        <v>30</v>
      </c>
      <c r="J892" s="513" t="s">
        <v>404</v>
      </c>
      <c r="K892" s="513" t="s">
        <v>709</v>
      </c>
      <c r="L892" s="513"/>
      <c r="M892" s="513" t="s">
        <v>1192</v>
      </c>
      <c r="N892" s="736">
        <v>65017</v>
      </c>
      <c r="O892" s="524">
        <v>65017</v>
      </c>
      <c r="P892" s="514">
        <v>65032</v>
      </c>
      <c r="Q892" s="512" t="s">
        <v>51</v>
      </c>
      <c r="R892" s="344"/>
      <c r="S892" s="344"/>
      <c r="T892" s="344"/>
      <c r="U892" s="344"/>
      <c r="V892" s="344"/>
      <c r="W892" s="344"/>
      <c r="X892" s="344"/>
      <c r="Y892" s="344"/>
      <c r="Z892" s="344"/>
      <c r="AA892" s="344"/>
      <c r="AB892" s="344"/>
      <c r="AC892" s="344"/>
      <c r="AD892" s="344"/>
      <c r="AE892" s="344"/>
    </row>
    <row r="893" spans="1:31">
      <c r="A893" s="512">
        <f t="shared" si="6"/>
        <v>46</v>
      </c>
      <c r="B893" s="513" t="s">
        <v>524</v>
      </c>
      <c r="C893" s="513" t="s">
        <v>44</v>
      </c>
      <c r="D893" s="513" t="s">
        <v>449</v>
      </c>
      <c r="E893" s="194" t="s">
        <v>1296</v>
      </c>
      <c r="F893" s="551" t="s">
        <v>491</v>
      </c>
      <c r="G893" s="513">
        <v>9857823765</v>
      </c>
      <c r="H893" s="512"/>
      <c r="I893" s="551">
        <v>12</v>
      </c>
      <c r="J893" s="513" t="s">
        <v>48</v>
      </c>
      <c r="K893" s="513" t="s">
        <v>1480</v>
      </c>
      <c r="L893" s="513"/>
      <c r="M893" s="544" t="s">
        <v>119</v>
      </c>
      <c r="N893" s="732">
        <v>65018</v>
      </c>
      <c r="O893" s="514">
        <v>65018</v>
      </c>
      <c r="P893" s="514">
        <v>65032</v>
      </c>
      <c r="Q893" s="512" t="s">
        <v>51</v>
      </c>
      <c r="R893" s="344"/>
      <c r="S893" s="344"/>
      <c r="T893" s="344"/>
      <c r="U893" s="344"/>
      <c r="V893" s="344"/>
      <c r="W893" s="344"/>
      <c r="X893" s="344"/>
      <c r="Y893" s="344"/>
      <c r="Z893" s="344"/>
      <c r="AA893" s="344"/>
      <c r="AB893" s="344"/>
      <c r="AC893" s="344"/>
      <c r="AD893" s="344"/>
      <c r="AE893" s="344"/>
    </row>
    <row r="894" spans="1:31">
      <c r="A894" s="512">
        <f t="shared" si="6"/>
        <v>47</v>
      </c>
      <c r="B894" s="513" t="s">
        <v>524</v>
      </c>
      <c r="C894" s="513" t="s">
        <v>44</v>
      </c>
      <c r="D894" s="513" t="s">
        <v>449</v>
      </c>
      <c r="E894" s="553" t="s">
        <v>1310</v>
      </c>
      <c r="F894" s="513" t="s">
        <v>491</v>
      </c>
      <c r="G894" s="552">
        <v>9866921835</v>
      </c>
      <c r="H894" s="512"/>
      <c r="I894" s="551">
        <v>30</v>
      </c>
      <c r="J894" s="513" t="s">
        <v>433</v>
      </c>
      <c r="K894" s="513" t="s">
        <v>709</v>
      </c>
      <c r="L894" s="513"/>
      <c r="M894" s="513" t="s">
        <v>1192</v>
      </c>
      <c r="N894" s="732">
        <v>65018</v>
      </c>
      <c r="O894" s="514">
        <v>65018</v>
      </c>
      <c r="P894" s="514">
        <v>65032</v>
      </c>
      <c r="Q894" s="512" t="s">
        <v>51</v>
      </c>
      <c r="R894" s="344"/>
      <c r="S894" s="344"/>
      <c r="T894" s="344"/>
      <c r="U894" s="344"/>
      <c r="V894" s="344"/>
      <c r="W894" s="344"/>
      <c r="X894" s="344"/>
      <c r="Y894" s="344"/>
      <c r="Z894" s="344"/>
      <c r="AA894" s="344"/>
      <c r="AB894" s="344"/>
      <c r="AC894" s="344"/>
      <c r="AD894" s="344"/>
      <c r="AE894" s="344"/>
    </row>
    <row r="895" spans="1:31">
      <c r="A895" s="512">
        <f t="shared" si="6"/>
        <v>48</v>
      </c>
      <c r="B895" s="513" t="s">
        <v>524</v>
      </c>
      <c r="C895" s="513" t="s">
        <v>44</v>
      </c>
      <c r="D895" s="513" t="s">
        <v>449</v>
      </c>
      <c r="E895" s="553" t="s">
        <v>1312</v>
      </c>
      <c r="F895" s="513" t="s">
        <v>1009</v>
      </c>
      <c r="G895" s="552">
        <v>9844932724</v>
      </c>
      <c r="H895" s="512"/>
      <c r="I895" s="551">
        <v>27</v>
      </c>
      <c r="J895" s="513" t="s">
        <v>433</v>
      </c>
      <c r="K895" s="513" t="s">
        <v>709</v>
      </c>
      <c r="L895" s="513"/>
      <c r="M895" s="513" t="s">
        <v>1192</v>
      </c>
      <c r="N895" s="732">
        <v>65018</v>
      </c>
      <c r="O895" s="514">
        <v>65018</v>
      </c>
      <c r="P895" s="514">
        <v>65032</v>
      </c>
      <c r="Q895" s="512" t="s">
        <v>51</v>
      </c>
      <c r="R895" s="344"/>
      <c r="S895" s="344"/>
      <c r="T895" s="344"/>
      <c r="U895" s="344"/>
      <c r="V895" s="344"/>
      <c r="W895" s="344"/>
      <c r="X895" s="344"/>
      <c r="Y895" s="344"/>
      <c r="Z895" s="344"/>
      <c r="AA895" s="344"/>
      <c r="AB895" s="344"/>
      <c r="AC895" s="344"/>
      <c r="AD895" s="344"/>
      <c r="AE895" s="344"/>
    </row>
    <row r="896" spans="1:31" s="344" customFormat="1">
      <c r="A896" s="512">
        <f t="shared" si="6"/>
        <v>49</v>
      </c>
      <c r="B896" s="513" t="s">
        <v>524</v>
      </c>
      <c r="C896" s="513" t="s">
        <v>44</v>
      </c>
      <c r="D896" s="513" t="s">
        <v>449</v>
      </c>
      <c r="E896" s="542" t="s">
        <v>1471</v>
      </c>
      <c r="F896" s="549" t="s">
        <v>502</v>
      </c>
      <c r="G896" s="543">
        <v>9866204013</v>
      </c>
      <c r="H896" s="512"/>
      <c r="I896" s="543">
        <v>36</v>
      </c>
      <c r="J896" s="513" t="s">
        <v>48</v>
      </c>
      <c r="K896" s="513" t="s">
        <v>262</v>
      </c>
      <c r="L896" s="513"/>
      <c r="M896" s="513" t="s">
        <v>262</v>
      </c>
      <c r="N896" s="732">
        <v>65018</v>
      </c>
      <c r="O896" s="514">
        <v>65018</v>
      </c>
      <c r="P896" s="514">
        <v>65028</v>
      </c>
      <c r="Q896" s="512" t="s">
        <v>51</v>
      </c>
      <c r="R896" s="322"/>
      <c r="S896" s="322"/>
      <c r="T896" s="322"/>
      <c r="U896" s="322"/>
      <c r="V896" s="322"/>
      <c r="W896" s="322"/>
      <c r="X896" s="322"/>
      <c r="Y896" s="322"/>
      <c r="Z896" s="322"/>
      <c r="AA896" s="322"/>
      <c r="AB896" s="322"/>
      <c r="AC896" s="322"/>
      <c r="AD896" s="322"/>
      <c r="AE896" s="322"/>
    </row>
    <row r="897" spans="1:31" s="344" customFormat="1">
      <c r="A897" s="512">
        <f t="shared" si="6"/>
        <v>50</v>
      </c>
      <c r="B897" s="513" t="s">
        <v>524</v>
      </c>
      <c r="C897" s="513" t="s">
        <v>44</v>
      </c>
      <c r="D897" s="513" t="s">
        <v>449</v>
      </c>
      <c r="E897" s="194" t="s">
        <v>1294</v>
      </c>
      <c r="F897" s="551" t="s">
        <v>491</v>
      </c>
      <c r="G897" s="513">
        <v>9849439307</v>
      </c>
      <c r="H897" s="512"/>
      <c r="I897" s="551">
        <v>60</v>
      </c>
      <c r="J897" s="513" t="s">
        <v>90</v>
      </c>
      <c r="K897" s="513" t="s">
        <v>1480</v>
      </c>
      <c r="L897" s="513"/>
      <c r="M897" s="544" t="s">
        <v>119</v>
      </c>
      <c r="N897" s="732">
        <v>65018</v>
      </c>
      <c r="O897" s="514">
        <v>65018</v>
      </c>
      <c r="P897" s="514">
        <v>65032</v>
      </c>
      <c r="Q897" s="512" t="s">
        <v>51</v>
      </c>
    </row>
    <row r="898" spans="1:31" s="344" customFormat="1">
      <c r="A898" s="512">
        <f t="shared" si="6"/>
        <v>51</v>
      </c>
      <c r="B898" s="513" t="s">
        <v>524</v>
      </c>
      <c r="C898" s="513" t="s">
        <v>44</v>
      </c>
      <c r="D898" s="513" t="s">
        <v>449</v>
      </c>
      <c r="E898" s="553" t="s">
        <v>1309</v>
      </c>
      <c r="F898" s="513" t="s">
        <v>730</v>
      </c>
      <c r="G898" s="552">
        <v>9866901293</v>
      </c>
      <c r="H898" s="512"/>
      <c r="I898" s="551">
        <v>57</v>
      </c>
      <c r="J898" s="513" t="s">
        <v>433</v>
      </c>
      <c r="K898" s="513" t="s">
        <v>709</v>
      </c>
      <c r="L898" s="513"/>
      <c r="M898" s="513" t="s">
        <v>1192</v>
      </c>
      <c r="N898" s="732">
        <v>65018</v>
      </c>
      <c r="O898" s="514">
        <v>65018</v>
      </c>
      <c r="P898" s="514">
        <v>65032</v>
      </c>
      <c r="Q898" s="512" t="s">
        <v>51</v>
      </c>
    </row>
    <row r="899" spans="1:31" s="344" customFormat="1">
      <c r="A899" s="512">
        <f t="shared" si="6"/>
        <v>52</v>
      </c>
      <c r="B899" s="513" t="s">
        <v>524</v>
      </c>
      <c r="C899" s="513" t="s">
        <v>44</v>
      </c>
      <c r="D899" s="513" t="s">
        <v>449</v>
      </c>
      <c r="E899" s="542" t="s">
        <v>1470</v>
      </c>
      <c r="F899" s="549" t="s">
        <v>510</v>
      </c>
      <c r="G899" s="543">
        <v>9847875634</v>
      </c>
      <c r="H899" s="512"/>
      <c r="I899" s="543">
        <v>42</v>
      </c>
      <c r="J899" s="513" t="s">
        <v>90</v>
      </c>
      <c r="K899" s="513" t="s">
        <v>262</v>
      </c>
      <c r="L899" s="513"/>
      <c r="M899" s="513" t="s">
        <v>262</v>
      </c>
      <c r="N899" s="732">
        <v>65018</v>
      </c>
      <c r="O899" s="514">
        <v>65018</v>
      </c>
      <c r="P899" s="514">
        <v>65028</v>
      </c>
      <c r="Q899" s="512" t="s">
        <v>51</v>
      </c>
      <c r="R899" s="322"/>
      <c r="S899" s="322"/>
      <c r="T899" s="322"/>
      <c r="U899" s="322"/>
      <c r="V899" s="322"/>
      <c r="W899" s="322"/>
      <c r="X899" s="322"/>
      <c r="Y899" s="322"/>
      <c r="Z899" s="322"/>
      <c r="AA899" s="322"/>
      <c r="AB899" s="322"/>
      <c r="AC899" s="322"/>
      <c r="AD899" s="322"/>
      <c r="AE899" s="322"/>
    </row>
    <row r="900" spans="1:31" s="352" customFormat="1">
      <c r="A900" s="512">
        <f t="shared" si="6"/>
        <v>53</v>
      </c>
      <c r="B900" s="531" t="s">
        <v>524</v>
      </c>
      <c r="C900" s="531" t="s">
        <v>44</v>
      </c>
      <c r="D900" s="531" t="s">
        <v>449</v>
      </c>
      <c r="E900" s="554" t="s">
        <v>1551</v>
      </c>
      <c r="F900" s="555" t="s">
        <v>502</v>
      </c>
      <c r="G900" s="531"/>
      <c r="H900" s="533"/>
      <c r="I900" s="555">
        <v>40</v>
      </c>
      <c r="J900" s="531" t="s">
        <v>48</v>
      </c>
      <c r="K900" s="531" t="s">
        <v>1459</v>
      </c>
      <c r="L900" s="531"/>
      <c r="M900" s="560" t="s">
        <v>1459</v>
      </c>
      <c r="N900" s="711">
        <v>65018</v>
      </c>
      <c r="O900" s="541">
        <v>65018</v>
      </c>
      <c r="P900" s="541">
        <v>65043</v>
      </c>
      <c r="Q900" s="535" t="s">
        <v>51</v>
      </c>
    </row>
    <row r="901" spans="1:31" s="344" customFormat="1">
      <c r="A901" s="512">
        <f t="shared" si="6"/>
        <v>54</v>
      </c>
      <c r="B901" s="513" t="s">
        <v>524</v>
      </c>
      <c r="C901" s="513" t="s">
        <v>44</v>
      </c>
      <c r="D901" s="513" t="s">
        <v>449</v>
      </c>
      <c r="E901" s="542" t="s">
        <v>1472</v>
      </c>
      <c r="F901" s="543" t="s">
        <v>441</v>
      </c>
      <c r="G901" s="543">
        <v>9822851829</v>
      </c>
      <c r="H901" s="512"/>
      <c r="I901" s="543">
        <v>23</v>
      </c>
      <c r="J901" s="513" t="s">
        <v>48</v>
      </c>
      <c r="K901" s="513" t="s">
        <v>262</v>
      </c>
      <c r="L901" s="513"/>
      <c r="M901" s="513" t="s">
        <v>262</v>
      </c>
      <c r="N901" s="732">
        <v>65018</v>
      </c>
      <c r="O901" s="514">
        <v>65018</v>
      </c>
      <c r="P901" s="514">
        <v>65028</v>
      </c>
      <c r="Q901" s="512" t="s">
        <v>51</v>
      </c>
      <c r="R901" s="322"/>
      <c r="S901" s="322"/>
      <c r="T901" s="322"/>
      <c r="U901" s="322"/>
      <c r="V901" s="322"/>
      <c r="W901" s="322"/>
      <c r="X901" s="322"/>
      <c r="Y901" s="322"/>
      <c r="Z901" s="322"/>
      <c r="AA901" s="322"/>
      <c r="AB901" s="322"/>
      <c r="AC901" s="322"/>
      <c r="AD901" s="322"/>
      <c r="AE901" s="322"/>
    </row>
    <row r="902" spans="1:31" s="344" customFormat="1">
      <c r="A902" s="512">
        <f t="shared" si="6"/>
        <v>55</v>
      </c>
      <c r="B902" s="513" t="s">
        <v>524</v>
      </c>
      <c r="C902" s="513" t="s">
        <v>44</v>
      </c>
      <c r="D902" s="513" t="s">
        <v>449</v>
      </c>
      <c r="E902" s="194" t="s">
        <v>1295</v>
      </c>
      <c r="F902" s="551" t="s">
        <v>491</v>
      </c>
      <c r="G902" s="513">
        <v>9857823350</v>
      </c>
      <c r="H902" s="512"/>
      <c r="I902" s="551">
        <v>36</v>
      </c>
      <c r="J902" s="513" t="s">
        <v>48</v>
      </c>
      <c r="K902" s="513" t="s">
        <v>1480</v>
      </c>
      <c r="L902" s="513"/>
      <c r="M902" s="544" t="s">
        <v>119</v>
      </c>
      <c r="N902" s="732">
        <v>65018</v>
      </c>
      <c r="O902" s="514">
        <v>65018</v>
      </c>
      <c r="P902" s="514">
        <v>65032</v>
      </c>
      <c r="Q902" s="512" t="s">
        <v>51</v>
      </c>
    </row>
    <row r="903" spans="1:31">
      <c r="A903" s="512">
        <f t="shared" si="6"/>
        <v>56</v>
      </c>
      <c r="B903" s="513" t="s">
        <v>524</v>
      </c>
      <c r="C903" s="513" t="s">
        <v>44</v>
      </c>
      <c r="D903" s="513" t="s">
        <v>449</v>
      </c>
      <c r="E903" s="553" t="s">
        <v>1311</v>
      </c>
      <c r="F903" s="513" t="s">
        <v>1009</v>
      </c>
      <c r="G903" s="552">
        <v>9860297817</v>
      </c>
      <c r="H903" s="512"/>
      <c r="I903" s="551">
        <v>32</v>
      </c>
      <c r="J903" s="513" t="s">
        <v>404</v>
      </c>
      <c r="K903" s="513" t="s">
        <v>709</v>
      </c>
      <c r="L903" s="513"/>
      <c r="M903" s="513" t="s">
        <v>1192</v>
      </c>
      <c r="N903" s="732">
        <v>65018</v>
      </c>
      <c r="O903" s="514">
        <v>65018</v>
      </c>
      <c r="P903" s="514">
        <v>65032</v>
      </c>
      <c r="Q903" s="512" t="s">
        <v>51</v>
      </c>
      <c r="R903" s="344"/>
      <c r="S903" s="344"/>
      <c r="T903" s="344"/>
      <c r="U903" s="344"/>
      <c r="V903" s="344"/>
      <c r="W903" s="344"/>
      <c r="X903" s="344"/>
      <c r="Y903" s="344"/>
      <c r="Z903" s="344"/>
      <c r="AA903" s="344"/>
      <c r="AB903" s="344"/>
      <c r="AC903" s="344"/>
      <c r="AD903" s="344"/>
      <c r="AE903" s="344"/>
    </row>
    <row r="904" spans="1:31" s="344" customFormat="1">
      <c r="A904" s="512">
        <f t="shared" si="6"/>
        <v>57</v>
      </c>
      <c r="B904" s="513" t="s">
        <v>524</v>
      </c>
      <c r="C904" s="513" t="s">
        <v>44</v>
      </c>
      <c r="D904" s="513" t="s">
        <v>449</v>
      </c>
      <c r="E904" s="553" t="s">
        <v>1313</v>
      </c>
      <c r="F904" s="552" t="s">
        <v>491</v>
      </c>
      <c r="G904" s="552">
        <v>9857824305</v>
      </c>
      <c r="H904" s="553"/>
      <c r="I904" s="551">
        <v>40</v>
      </c>
      <c r="J904" s="513" t="s">
        <v>404</v>
      </c>
      <c r="K904" s="513" t="s">
        <v>709</v>
      </c>
      <c r="L904" s="552"/>
      <c r="M904" s="513" t="s">
        <v>1192</v>
      </c>
      <c r="N904" s="732">
        <v>65018</v>
      </c>
      <c r="O904" s="514">
        <v>65018</v>
      </c>
      <c r="P904" s="514">
        <v>65032</v>
      </c>
      <c r="Q904" s="512" t="s">
        <v>51</v>
      </c>
    </row>
    <row r="905" spans="1:31" s="344" customFormat="1">
      <c r="A905" s="512">
        <f t="shared" si="6"/>
        <v>58</v>
      </c>
      <c r="B905" s="513" t="s">
        <v>524</v>
      </c>
      <c r="C905" s="513" t="s">
        <v>44</v>
      </c>
      <c r="D905" s="513" t="s">
        <v>449</v>
      </c>
      <c r="E905" s="561" t="s">
        <v>1314</v>
      </c>
      <c r="F905" s="562" t="s">
        <v>502</v>
      </c>
      <c r="G905" s="562"/>
      <c r="H905" s="561"/>
      <c r="I905" s="562">
        <v>6</v>
      </c>
      <c r="J905" s="513" t="s">
        <v>433</v>
      </c>
      <c r="K905" s="513" t="s">
        <v>1193</v>
      </c>
      <c r="L905" s="562"/>
      <c r="M905" s="513" t="s">
        <v>1192</v>
      </c>
      <c r="N905" s="743">
        <v>65019</v>
      </c>
      <c r="O905" s="563">
        <v>65019</v>
      </c>
      <c r="P905" s="514">
        <v>65032</v>
      </c>
      <c r="Q905" s="512" t="s">
        <v>51</v>
      </c>
    </row>
    <row r="906" spans="1:31" s="344" customFormat="1">
      <c r="A906" s="512">
        <f t="shared" si="6"/>
        <v>59</v>
      </c>
      <c r="B906" s="513" t="s">
        <v>524</v>
      </c>
      <c r="C906" s="513" t="s">
        <v>44</v>
      </c>
      <c r="D906" s="513" t="s">
        <v>449</v>
      </c>
      <c r="E906" s="542" t="s">
        <v>1454</v>
      </c>
      <c r="F906" s="562" t="s">
        <v>1009</v>
      </c>
      <c r="G906" s="513"/>
      <c r="H906" s="512"/>
      <c r="I906" s="543">
        <v>6</v>
      </c>
      <c r="J906" s="513" t="s">
        <v>433</v>
      </c>
      <c r="K906" s="513" t="s">
        <v>709</v>
      </c>
      <c r="L906" s="513"/>
      <c r="M906" s="513" t="s">
        <v>1192</v>
      </c>
      <c r="N906" s="743">
        <v>65019</v>
      </c>
      <c r="O906" s="563">
        <v>65019</v>
      </c>
      <c r="P906" s="514">
        <v>65032</v>
      </c>
      <c r="Q906" s="512" t="s">
        <v>51</v>
      </c>
    </row>
    <row r="907" spans="1:31" s="344" customFormat="1">
      <c r="A907" s="512">
        <f t="shared" si="6"/>
        <v>60</v>
      </c>
      <c r="B907" s="513" t="s">
        <v>524</v>
      </c>
      <c r="C907" s="513" t="s">
        <v>44</v>
      </c>
      <c r="D907" s="513" t="s">
        <v>449</v>
      </c>
      <c r="E907" s="561" t="s">
        <v>1337</v>
      </c>
      <c r="F907" s="562" t="s">
        <v>1009</v>
      </c>
      <c r="G907" s="562"/>
      <c r="H907" s="561"/>
      <c r="I907" s="562">
        <v>11</v>
      </c>
      <c r="J907" s="513" t="s">
        <v>433</v>
      </c>
      <c r="K907" s="513" t="s">
        <v>709</v>
      </c>
      <c r="L907" s="562"/>
      <c r="M907" s="513" t="s">
        <v>1192</v>
      </c>
      <c r="N907" s="743">
        <v>65019</v>
      </c>
      <c r="O907" s="563">
        <v>65019</v>
      </c>
      <c r="P907" s="514">
        <v>65032</v>
      </c>
      <c r="Q907" s="512" t="s">
        <v>51</v>
      </c>
    </row>
    <row r="908" spans="1:31" s="344" customFormat="1">
      <c r="A908" s="512">
        <f t="shared" si="6"/>
        <v>61</v>
      </c>
      <c r="B908" s="513" t="s">
        <v>524</v>
      </c>
      <c r="C908" s="513" t="s">
        <v>44</v>
      </c>
      <c r="D908" s="513" t="s">
        <v>449</v>
      </c>
      <c r="E908" s="542" t="s">
        <v>1318</v>
      </c>
      <c r="F908" s="562" t="s">
        <v>502</v>
      </c>
      <c r="G908" s="562"/>
      <c r="H908" s="561"/>
      <c r="I908" s="562">
        <v>39</v>
      </c>
      <c r="J908" s="513" t="s">
        <v>433</v>
      </c>
      <c r="K908" s="513" t="s">
        <v>1193</v>
      </c>
      <c r="L908" s="562"/>
      <c r="M908" s="513" t="s">
        <v>1192</v>
      </c>
      <c r="N908" s="743">
        <v>65019</v>
      </c>
      <c r="O908" s="563">
        <v>65019</v>
      </c>
      <c r="P908" s="514">
        <v>65032</v>
      </c>
      <c r="Q908" s="512" t="s">
        <v>51</v>
      </c>
    </row>
    <row r="909" spans="1:31" s="344" customFormat="1">
      <c r="A909" s="512">
        <f t="shared" si="6"/>
        <v>62</v>
      </c>
      <c r="B909" s="513" t="s">
        <v>524</v>
      </c>
      <c r="C909" s="513" t="s">
        <v>44</v>
      </c>
      <c r="D909" s="513" t="s">
        <v>449</v>
      </c>
      <c r="E909" s="542" t="s">
        <v>1455</v>
      </c>
      <c r="F909" s="562" t="s">
        <v>1009</v>
      </c>
      <c r="G909" s="513"/>
      <c r="H909" s="512"/>
      <c r="I909" s="543">
        <v>27</v>
      </c>
      <c r="J909" s="513" t="s">
        <v>433</v>
      </c>
      <c r="K909" s="513" t="s">
        <v>709</v>
      </c>
      <c r="L909" s="513"/>
      <c r="M909" s="513" t="s">
        <v>1192</v>
      </c>
      <c r="N909" s="743">
        <v>65019</v>
      </c>
      <c r="O909" s="563">
        <v>65019</v>
      </c>
      <c r="P909" s="514">
        <v>65032</v>
      </c>
      <c r="Q909" s="512" t="s">
        <v>51</v>
      </c>
    </row>
    <row r="910" spans="1:31">
      <c r="A910" s="512">
        <f t="shared" si="6"/>
        <v>63</v>
      </c>
      <c r="B910" s="513" t="s">
        <v>524</v>
      </c>
      <c r="C910" s="513" t="s">
        <v>44</v>
      </c>
      <c r="D910" s="513" t="s">
        <v>449</v>
      </c>
      <c r="E910" s="561" t="s">
        <v>1316</v>
      </c>
      <c r="F910" s="562" t="s">
        <v>502</v>
      </c>
      <c r="G910" s="562"/>
      <c r="H910" s="561"/>
      <c r="I910" s="562">
        <v>32</v>
      </c>
      <c r="J910" s="513" t="s">
        <v>404</v>
      </c>
      <c r="K910" s="513" t="s">
        <v>1193</v>
      </c>
      <c r="L910" s="562"/>
      <c r="M910" s="513" t="s">
        <v>1192</v>
      </c>
      <c r="N910" s="743">
        <v>65019</v>
      </c>
      <c r="O910" s="563">
        <v>65019</v>
      </c>
      <c r="P910" s="514">
        <v>65032</v>
      </c>
      <c r="Q910" s="512" t="s">
        <v>51</v>
      </c>
      <c r="R910" s="344"/>
      <c r="S910" s="344"/>
      <c r="T910" s="344"/>
      <c r="U910" s="344"/>
      <c r="V910" s="344"/>
      <c r="W910" s="344"/>
      <c r="X910" s="344"/>
      <c r="Y910" s="344"/>
      <c r="Z910" s="344"/>
      <c r="AA910" s="344"/>
      <c r="AB910" s="344"/>
      <c r="AC910" s="344"/>
      <c r="AD910" s="344"/>
      <c r="AE910" s="344"/>
    </row>
    <row r="911" spans="1:31" s="344" customFormat="1">
      <c r="A911" s="512">
        <f t="shared" si="6"/>
        <v>64</v>
      </c>
      <c r="B911" s="513" t="s">
        <v>524</v>
      </c>
      <c r="C911" s="513" t="s">
        <v>44</v>
      </c>
      <c r="D911" s="513" t="s">
        <v>449</v>
      </c>
      <c r="E911" s="561" t="s">
        <v>1317</v>
      </c>
      <c r="F911" s="562" t="s">
        <v>502</v>
      </c>
      <c r="G911" s="562"/>
      <c r="H911" s="561"/>
      <c r="I911" s="562">
        <v>28</v>
      </c>
      <c r="J911" s="513" t="s">
        <v>404</v>
      </c>
      <c r="K911" s="513" t="s">
        <v>1193</v>
      </c>
      <c r="L911" s="562"/>
      <c r="M911" s="513" t="s">
        <v>1192</v>
      </c>
      <c r="N911" s="743">
        <v>65019</v>
      </c>
      <c r="O911" s="563">
        <v>65019</v>
      </c>
      <c r="P911" s="514">
        <v>65032</v>
      </c>
      <c r="Q911" s="512" t="s">
        <v>51</v>
      </c>
    </row>
    <row r="912" spans="1:31" s="344" customFormat="1">
      <c r="A912" s="512">
        <f t="shared" si="6"/>
        <v>65</v>
      </c>
      <c r="B912" s="513" t="s">
        <v>524</v>
      </c>
      <c r="C912" s="513" t="s">
        <v>44</v>
      </c>
      <c r="D912" s="513" t="s">
        <v>449</v>
      </c>
      <c r="E912" s="561" t="s">
        <v>1315</v>
      </c>
      <c r="F912" s="562" t="s">
        <v>502</v>
      </c>
      <c r="G912" s="562"/>
      <c r="H912" s="561"/>
      <c r="I912" s="562">
        <v>33</v>
      </c>
      <c r="J912" s="513" t="s">
        <v>404</v>
      </c>
      <c r="K912" s="513" t="s">
        <v>1193</v>
      </c>
      <c r="L912" s="562"/>
      <c r="M912" s="513" t="s">
        <v>1192</v>
      </c>
      <c r="N912" s="743">
        <v>65019</v>
      </c>
      <c r="O912" s="563">
        <v>65019</v>
      </c>
      <c r="P912" s="514">
        <v>65032</v>
      </c>
      <c r="Q912" s="512" t="s">
        <v>51</v>
      </c>
    </row>
    <row r="913" spans="1:31" s="352" customFormat="1">
      <c r="A913" s="512">
        <f t="shared" si="6"/>
        <v>66</v>
      </c>
      <c r="B913" s="531" t="s">
        <v>524</v>
      </c>
      <c r="C913" s="531" t="s">
        <v>44</v>
      </c>
      <c r="D913" s="531" t="s">
        <v>449</v>
      </c>
      <c r="E913" s="564" t="s">
        <v>1336</v>
      </c>
      <c r="F913" s="565" t="s">
        <v>1009</v>
      </c>
      <c r="G913" s="565"/>
      <c r="H913" s="566"/>
      <c r="I913" s="565">
        <v>37</v>
      </c>
      <c r="J913" s="531" t="s">
        <v>404</v>
      </c>
      <c r="K913" s="531" t="s">
        <v>709</v>
      </c>
      <c r="L913" s="565"/>
      <c r="M913" s="565" t="s">
        <v>1338</v>
      </c>
      <c r="N913" s="744">
        <v>65019</v>
      </c>
      <c r="O913" s="567">
        <v>65019</v>
      </c>
      <c r="P913" s="541">
        <v>65043</v>
      </c>
      <c r="Q913" s="535" t="s">
        <v>51</v>
      </c>
    </row>
    <row r="914" spans="1:31" s="163" customFormat="1">
      <c r="A914" s="512">
        <f t="shared" ref="A914:A977" si="7">A913+1</f>
        <v>67</v>
      </c>
      <c r="B914" s="438" t="s">
        <v>524</v>
      </c>
      <c r="C914" s="438" t="s">
        <v>44</v>
      </c>
      <c r="D914" s="438" t="s">
        <v>449</v>
      </c>
      <c r="E914" s="568" t="s">
        <v>1325</v>
      </c>
      <c r="F914" s="569" t="s">
        <v>1046</v>
      </c>
      <c r="G914" s="950">
        <v>9857823768</v>
      </c>
      <c r="H914" s="436"/>
      <c r="I914" s="950">
        <v>36</v>
      </c>
      <c r="J914" s="438" t="s">
        <v>404</v>
      </c>
      <c r="K914" s="438" t="s">
        <v>709</v>
      </c>
      <c r="L914" s="438"/>
      <c r="M914" s="438" t="s">
        <v>489</v>
      </c>
      <c r="N914" s="731">
        <v>65020</v>
      </c>
      <c r="O914" s="465">
        <v>65020</v>
      </c>
      <c r="P914" s="514">
        <v>65032</v>
      </c>
      <c r="Q914" s="436" t="s">
        <v>51</v>
      </c>
      <c r="R914" s="322"/>
      <c r="S914" s="322"/>
      <c r="T914" s="322"/>
      <c r="U914" s="322"/>
      <c r="V914" s="322"/>
      <c r="W914" s="322"/>
      <c r="X914" s="322"/>
      <c r="Y914" s="322"/>
      <c r="Z914" s="322"/>
      <c r="AA914" s="322"/>
      <c r="AB914" s="322"/>
      <c r="AC914" s="322"/>
      <c r="AD914" s="322"/>
      <c r="AE914" s="322"/>
    </row>
    <row r="915" spans="1:31" s="356" customFormat="1">
      <c r="A915" s="512">
        <f t="shared" si="7"/>
        <v>68</v>
      </c>
      <c r="B915" s="434" t="s">
        <v>524</v>
      </c>
      <c r="C915" s="434" t="s">
        <v>44</v>
      </c>
      <c r="D915" s="434" t="s">
        <v>449</v>
      </c>
      <c r="E915" s="139" t="s">
        <v>1698</v>
      </c>
      <c r="F915" s="570" t="s">
        <v>1737</v>
      </c>
      <c r="G915" s="434">
        <v>9857823768</v>
      </c>
      <c r="H915" s="432"/>
      <c r="I915" s="570">
        <v>36</v>
      </c>
      <c r="J915" s="434" t="s">
        <v>48</v>
      </c>
      <c r="K915" s="434" t="s">
        <v>53</v>
      </c>
      <c r="L915" s="434"/>
      <c r="M915" s="571" t="s">
        <v>54</v>
      </c>
      <c r="N915" s="745">
        <v>65020</v>
      </c>
      <c r="O915" s="572">
        <v>65020</v>
      </c>
      <c r="P915" s="514">
        <v>65032</v>
      </c>
      <c r="Q915" s="512" t="s">
        <v>51</v>
      </c>
      <c r="R915" s="322"/>
      <c r="S915" s="322"/>
      <c r="T915" s="322"/>
      <c r="U915" s="322"/>
      <c r="V915" s="322"/>
      <c r="W915" s="322"/>
      <c r="X915" s="322"/>
      <c r="Y915" s="322"/>
      <c r="Z915" s="322"/>
      <c r="AA915" s="322"/>
      <c r="AB915" s="322"/>
      <c r="AC915" s="322"/>
      <c r="AD915" s="322"/>
      <c r="AE915" s="322"/>
    </row>
    <row r="916" spans="1:31" s="344" customFormat="1">
      <c r="A916" s="512">
        <f t="shared" si="7"/>
        <v>69</v>
      </c>
      <c r="B916" s="513" t="s">
        <v>524</v>
      </c>
      <c r="C916" s="513" t="s">
        <v>44</v>
      </c>
      <c r="D916" s="513" t="s">
        <v>449</v>
      </c>
      <c r="E916" s="542" t="s">
        <v>1319</v>
      </c>
      <c r="F916" s="513" t="s">
        <v>502</v>
      </c>
      <c r="G916" s="552">
        <v>9847824302</v>
      </c>
      <c r="H916" s="512"/>
      <c r="I916" s="552">
        <v>42</v>
      </c>
      <c r="J916" s="513" t="s">
        <v>433</v>
      </c>
      <c r="K916" s="513" t="s">
        <v>709</v>
      </c>
      <c r="L916" s="513"/>
      <c r="M916" s="513" t="s">
        <v>1192</v>
      </c>
      <c r="N916" s="732">
        <v>65020</v>
      </c>
      <c r="O916" s="514">
        <v>65020</v>
      </c>
      <c r="P916" s="514">
        <v>65032</v>
      </c>
      <c r="Q916" s="512" t="s">
        <v>51</v>
      </c>
    </row>
    <row r="917" spans="1:31" s="344" customFormat="1">
      <c r="A917" s="512">
        <f t="shared" si="7"/>
        <v>70</v>
      </c>
      <c r="B917" s="513" t="s">
        <v>524</v>
      </c>
      <c r="C917" s="513" t="s">
        <v>44</v>
      </c>
      <c r="D917" s="513" t="s">
        <v>449</v>
      </c>
      <c r="E917" s="542" t="s">
        <v>1327</v>
      </c>
      <c r="F917" s="573" t="s">
        <v>598</v>
      </c>
      <c r="G917" s="552">
        <v>9857825086</v>
      </c>
      <c r="H917" s="512"/>
      <c r="I917" s="552">
        <v>29</v>
      </c>
      <c r="J917" s="513" t="s">
        <v>404</v>
      </c>
      <c r="K917" s="513" t="s">
        <v>709</v>
      </c>
      <c r="L917" s="513"/>
      <c r="M917" s="513" t="s">
        <v>1192</v>
      </c>
      <c r="N917" s="732">
        <v>65020</v>
      </c>
      <c r="O917" s="514">
        <v>65020</v>
      </c>
      <c r="P917" s="514">
        <v>65032</v>
      </c>
      <c r="Q917" s="512" t="s">
        <v>51</v>
      </c>
    </row>
    <row r="918" spans="1:31" s="344" customFormat="1">
      <c r="A918" s="512">
        <f t="shared" si="7"/>
        <v>71</v>
      </c>
      <c r="B918" s="513" t="s">
        <v>524</v>
      </c>
      <c r="C918" s="513" t="s">
        <v>44</v>
      </c>
      <c r="D918" s="513" t="s">
        <v>449</v>
      </c>
      <c r="E918" s="542" t="s">
        <v>1328</v>
      </c>
      <c r="F918" s="573" t="s">
        <v>502</v>
      </c>
      <c r="G918" s="552">
        <v>9857820432</v>
      </c>
      <c r="H918" s="512"/>
      <c r="I918" s="552">
        <v>45</v>
      </c>
      <c r="J918" s="513" t="s">
        <v>404</v>
      </c>
      <c r="K918" s="513" t="s">
        <v>709</v>
      </c>
      <c r="L918" s="513"/>
      <c r="M918" s="513" t="s">
        <v>1192</v>
      </c>
      <c r="N918" s="732">
        <v>65020</v>
      </c>
      <c r="O918" s="514">
        <v>65020</v>
      </c>
      <c r="P918" s="514">
        <v>65032</v>
      </c>
      <c r="Q918" s="512" t="s">
        <v>51</v>
      </c>
    </row>
    <row r="919" spans="1:31" s="344" customFormat="1">
      <c r="A919" s="512">
        <f t="shared" si="7"/>
        <v>72</v>
      </c>
      <c r="B919" s="513" t="s">
        <v>524</v>
      </c>
      <c r="C919" s="513" t="s">
        <v>44</v>
      </c>
      <c r="D919" s="513" t="s">
        <v>449</v>
      </c>
      <c r="E919" s="542" t="s">
        <v>1331</v>
      </c>
      <c r="F919" s="573" t="s">
        <v>124</v>
      </c>
      <c r="G919" s="552">
        <v>9864728520</v>
      </c>
      <c r="H919" s="512"/>
      <c r="I919" s="552">
        <v>23</v>
      </c>
      <c r="J919" s="513" t="s">
        <v>404</v>
      </c>
      <c r="K919" s="513" t="s">
        <v>709</v>
      </c>
      <c r="L919" s="513"/>
      <c r="M919" s="513" t="s">
        <v>1192</v>
      </c>
      <c r="N919" s="732">
        <v>65020</v>
      </c>
      <c r="O919" s="514">
        <v>65020</v>
      </c>
      <c r="P919" s="514">
        <v>65032</v>
      </c>
      <c r="Q919" s="512" t="s">
        <v>51</v>
      </c>
    </row>
    <row r="920" spans="1:31" s="344" customFormat="1">
      <c r="A920" s="512">
        <f t="shared" si="7"/>
        <v>73</v>
      </c>
      <c r="B920" s="513" t="s">
        <v>524</v>
      </c>
      <c r="C920" s="513" t="s">
        <v>44</v>
      </c>
      <c r="D920" s="513" t="s">
        <v>449</v>
      </c>
      <c r="E920" s="542" t="s">
        <v>1334</v>
      </c>
      <c r="F920" s="573" t="s">
        <v>1046</v>
      </c>
      <c r="G920" s="552">
        <v>9847910385</v>
      </c>
      <c r="H920" s="512"/>
      <c r="I920" s="552">
        <v>30</v>
      </c>
      <c r="J920" s="513" t="s">
        <v>404</v>
      </c>
      <c r="K920" s="513" t="s">
        <v>709</v>
      </c>
      <c r="L920" s="513"/>
      <c r="M920" s="513" t="s">
        <v>1192</v>
      </c>
      <c r="N920" s="732">
        <v>65020</v>
      </c>
      <c r="O920" s="514">
        <v>65020</v>
      </c>
      <c r="P920" s="514">
        <v>65032</v>
      </c>
      <c r="Q920" s="512" t="s">
        <v>51</v>
      </c>
    </row>
    <row r="921" spans="1:31">
      <c r="A921" s="512">
        <f t="shared" si="7"/>
        <v>74</v>
      </c>
      <c r="B921" s="474" t="s">
        <v>524</v>
      </c>
      <c r="C921" s="474" t="s">
        <v>44</v>
      </c>
      <c r="D921" s="474" t="s">
        <v>449</v>
      </c>
      <c r="E921" s="574" t="s">
        <v>1323</v>
      </c>
      <c r="F921" s="474" t="s">
        <v>491</v>
      </c>
      <c r="G921" s="470">
        <v>9829811523</v>
      </c>
      <c r="H921" s="472"/>
      <c r="I921" s="470">
        <v>46</v>
      </c>
      <c r="J921" s="474" t="s">
        <v>404</v>
      </c>
      <c r="K921" s="474" t="s">
        <v>709</v>
      </c>
      <c r="L921" s="474"/>
      <c r="M921" s="474" t="s">
        <v>1192</v>
      </c>
      <c r="N921" s="729">
        <v>65020</v>
      </c>
      <c r="O921" s="475">
        <v>65020</v>
      </c>
      <c r="P921" s="472"/>
      <c r="Q921" s="422" t="s">
        <v>940</v>
      </c>
    </row>
    <row r="922" spans="1:31" s="344" customFormat="1">
      <c r="A922" s="512">
        <f t="shared" si="7"/>
        <v>75</v>
      </c>
      <c r="B922" s="531" t="s">
        <v>524</v>
      </c>
      <c r="C922" s="531" t="s">
        <v>44</v>
      </c>
      <c r="D922" s="531" t="s">
        <v>449</v>
      </c>
      <c r="E922" s="564" t="s">
        <v>1473</v>
      </c>
      <c r="F922" s="575" t="s">
        <v>636</v>
      </c>
      <c r="G922" s="601">
        <v>9812894604</v>
      </c>
      <c r="H922" s="533"/>
      <c r="I922" s="601">
        <v>49</v>
      </c>
      <c r="J922" s="531" t="s">
        <v>90</v>
      </c>
      <c r="K922" s="531" t="s">
        <v>262</v>
      </c>
      <c r="L922" s="531"/>
      <c r="M922" s="531" t="s">
        <v>262</v>
      </c>
      <c r="N922" s="711">
        <v>65020</v>
      </c>
      <c r="O922" s="541">
        <v>65020</v>
      </c>
      <c r="P922" s="541">
        <v>65043</v>
      </c>
      <c r="Q922" s="533" t="s">
        <v>51</v>
      </c>
      <c r="R922" s="163"/>
      <c r="S922" s="163"/>
      <c r="T922" s="163"/>
      <c r="U922" s="163"/>
      <c r="V922" s="163"/>
      <c r="W922" s="163"/>
      <c r="X922" s="163"/>
      <c r="Y922" s="163"/>
      <c r="Z922" s="163"/>
      <c r="AA922" s="163"/>
      <c r="AB922" s="163"/>
      <c r="AC922" s="163"/>
      <c r="AD922" s="163"/>
      <c r="AE922" s="163"/>
    </row>
    <row r="923" spans="1:31" s="352" customFormat="1">
      <c r="A923" s="512">
        <f t="shared" si="7"/>
        <v>76</v>
      </c>
      <c r="B923" s="531" t="s">
        <v>524</v>
      </c>
      <c r="C923" s="531" t="s">
        <v>44</v>
      </c>
      <c r="D923" s="531" t="s">
        <v>449</v>
      </c>
      <c r="E923" s="564" t="s">
        <v>1326</v>
      </c>
      <c r="F923" s="576" t="s">
        <v>1046</v>
      </c>
      <c r="G923" s="951">
        <v>9847849665</v>
      </c>
      <c r="H923" s="533"/>
      <c r="I923" s="951">
        <v>51</v>
      </c>
      <c r="J923" s="531" t="s">
        <v>404</v>
      </c>
      <c r="K923" s="531" t="s">
        <v>709</v>
      </c>
      <c r="L923" s="531"/>
      <c r="M923" s="531" t="s">
        <v>489</v>
      </c>
      <c r="N923" s="711">
        <v>65020</v>
      </c>
      <c r="O923" s="541">
        <v>65020</v>
      </c>
      <c r="P923" s="541">
        <v>65043</v>
      </c>
      <c r="Q923" s="533" t="s">
        <v>51</v>
      </c>
    </row>
    <row r="924" spans="1:31" s="352" customFormat="1">
      <c r="A924" s="512">
        <f t="shared" si="7"/>
        <v>77</v>
      </c>
      <c r="B924" s="531" t="s">
        <v>524</v>
      </c>
      <c r="C924" s="531" t="s">
        <v>44</v>
      </c>
      <c r="D924" s="531" t="s">
        <v>449</v>
      </c>
      <c r="E924" s="564" t="s">
        <v>1330</v>
      </c>
      <c r="F924" s="576" t="s">
        <v>598</v>
      </c>
      <c r="G924" s="951">
        <v>9864722536</v>
      </c>
      <c r="H924" s="533"/>
      <c r="I924" s="951">
        <v>22</v>
      </c>
      <c r="J924" s="531" t="s">
        <v>404</v>
      </c>
      <c r="K924" s="531" t="s">
        <v>709</v>
      </c>
      <c r="L924" s="531"/>
      <c r="M924" s="531" t="s">
        <v>489</v>
      </c>
      <c r="N924" s="711">
        <v>65020</v>
      </c>
      <c r="O924" s="541">
        <v>65020</v>
      </c>
      <c r="P924" s="541">
        <v>65043</v>
      </c>
      <c r="Q924" s="533" t="s">
        <v>51</v>
      </c>
    </row>
    <row r="925" spans="1:31" s="344" customFormat="1">
      <c r="A925" s="512">
        <f t="shared" si="7"/>
        <v>78</v>
      </c>
      <c r="B925" s="513" t="s">
        <v>524</v>
      </c>
      <c r="C925" s="513" t="s">
        <v>44</v>
      </c>
      <c r="D925" s="513" t="s">
        <v>449</v>
      </c>
      <c r="E925" s="542" t="s">
        <v>1321</v>
      </c>
      <c r="F925" s="513" t="s">
        <v>502</v>
      </c>
      <c r="G925" s="552">
        <v>9857823302</v>
      </c>
      <c r="H925" s="512"/>
      <c r="I925" s="552">
        <v>18</v>
      </c>
      <c r="J925" s="513" t="s">
        <v>404</v>
      </c>
      <c r="K925" s="513" t="s">
        <v>709</v>
      </c>
      <c r="L925" s="513"/>
      <c r="M925" s="513" t="s">
        <v>1192</v>
      </c>
      <c r="N925" s="732">
        <v>65020</v>
      </c>
      <c r="O925" s="514">
        <v>65020</v>
      </c>
      <c r="P925" s="514">
        <v>65032</v>
      </c>
      <c r="Q925" s="512" t="s">
        <v>51</v>
      </c>
    </row>
    <row r="926" spans="1:31" s="344" customFormat="1">
      <c r="A926" s="512">
        <f t="shared" si="7"/>
        <v>79</v>
      </c>
      <c r="B926" s="513" t="s">
        <v>524</v>
      </c>
      <c r="C926" s="513" t="s">
        <v>44</v>
      </c>
      <c r="D926" s="513" t="s">
        <v>449</v>
      </c>
      <c r="E926" s="542" t="s">
        <v>1324</v>
      </c>
      <c r="F926" s="513" t="s">
        <v>491</v>
      </c>
      <c r="G926" s="552">
        <v>9829811528</v>
      </c>
      <c r="H926" s="512"/>
      <c r="I926" s="552">
        <v>65</v>
      </c>
      <c r="J926" s="513" t="s">
        <v>433</v>
      </c>
      <c r="K926" s="513" t="s">
        <v>709</v>
      </c>
      <c r="L926" s="513"/>
      <c r="M926" s="513" t="s">
        <v>1192</v>
      </c>
      <c r="N926" s="732">
        <v>65020</v>
      </c>
      <c r="O926" s="514">
        <v>65020</v>
      </c>
      <c r="P926" s="514">
        <v>65032</v>
      </c>
      <c r="Q926" s="512" t="s">
        <v>51</v>
      </c>
    </row>
    <row r="927" spans="1:31" s="344" customFormat="1">
      <c r="A927" s="512">
        <f t="shared" si="7"/>
        <v>80</v>
      </c>
      <c r="B927" s="513" t="s">
        <v>524</v>
      </c>
      <c r="C927" s="513" t="s">
        <v>44</v>
      </c>
      <c r="D927" s="513" t="s">
        <v>449</v>
      </c>
      <c r="E927" s="542" t="s">
        <v>1320</v>
      </c>
      <c r="F927" s="513" t="s">
        <v>502</v>
      </c>
      <c r="G927" s="552">
        <v>9857823302</v>
      </c>
      <c r="H927" s="512"/>
      <c r="I927" s="552">
        <v>53</v>
      </c>
      <c r="J927" s="513" t="s">
        <v>404</v>
      </c>
      <c r="K927" s="513" t="s">
        <v>709</v>
      </c>
      <c r="L927" s="513"/>
      <c r="M927" s="513" t="s">
        <v>1192</v>
      </c>
      <c r="N927" s="732">
        <v>65020</v>
      </c>
      <c r="O927" s="514">
        <v>65020</v>
      </c>
      <c r="P927" s="514">
        <v>65032</v>
      </c>
      <c r="Q927" s="512" t="s">
        <v>51</v>
      </c>
    </row>
    <row r="928" spans="1:31">
      <c r="A928" s="512">
        <f t="shared" si="7"/>
        <v>81</v>
      </c>
      <c r="B928" s="513" t="s">
        <v>524</v>
      </c>
      <c r="C928" s="513" t="s">
        <v>44</v>
      </c>
      <c r="D928" s="513" t="s">
        <v>449</v>
      </c>
      <c r="E928" s="194" t="s">
        <v>1552</v>
      </c>
      <c r="F928" s="551" t="s">
        <v>491</v>
      </c>
      <c r="G928" s="513">
        <v>9849601289</v>
      </c>
      <c r="H928" s="512"/>
      <c r="I928" s="551">
        <v>39</v>
      </c>
      <c r="J928" s="513" t="s">
        <v>90</v>
      </c>
      <c r="K928" s="513" t="s">
        <v>1480</v>
      </c>
      <c r="L928" s="513"/>
      <c r="M928" s="544" t="s">
        <v>119</v>
      </c>
      <c r="N928" s="732">
        <v>65020</v>
      </c>
      <c r="O928" s="514">
        <v>65020</v>
      </c>
      <c r="P928" s="514">
        <v>65032</v>
      </c>
      <c r="Q928" s="512" t="s">
        <v>51</v>
      </c>
      <c r="R928" s="344"/>
      <c r="S928" s="344"/>
      <c r="T928" s="344"/>
      <c r="U928" s="344"/>
      <c r="V928" s="344"/>
      <c r="W928" s="344"/>
      <c r="X928" s="344"/>
      <c r="Y928" s="344"/>
      <c r="Z928" s="344"/>
      <c r="AA928" s="344"/>
      <c r="AB928" s="344"/>
      <c r="AC928" s="344"/>
      <c r="AD928" s="344"/>
      <c r="AE928" s="344"/>
    </row>
    <row r="929" spans="1:31" s="344" customFormat="1">
      <c r="A929" s="512">
        <f t="shared" si="7"/>
        <v>82</v>
      </c>
      <c r="B929" s="513" t="s">
        <v>524</v>
      </c>
      <c r="C929" s="513" t="s">
        <v>44</v>
      </c>
      <c r="D929" s="513" t="s">
        <v>449</v>
      </c>
      <c r="E929" s="542" t="s">
        <v>1332</v>
      </c>
      <c r="F929" s="573" t="s">
        <v>502</v>
      </c>
      <c r="G929" s="552">
        <v>9861384323</v>
      </c>
      <c r="H929" s="512"/>
      <c r="I929" s="552">
        <v>34</v>
      </c>
      <c r="J929" s="513" t="s">
        <v>404</v>
      </c>
      <c r="K929" s="513" t="s">
        <v>709</v>
      </c>
      <c r="L929" s="513"/>
      <c r="M929" s="513" t="s">
        <v>1192</v>
      </c>
      <c r="N929" s="732">
        <v>65020</v>
      </c>
      <c r="O929" s="514">
        <v>65020</v>
      </c>
      <c r="P929" s="514">
        <v>65032</v>
      </c>
      <c r="Q929" s="512" t="s">
        <v>51</v>
      </c>
    </row>
    <row r="930" spans="1:31" s="344" customFormat="1">
      <c r="A930" s="512">
        <f t="shared" si="7"/>
        <v>83</v>
      </c>
      <c r="B930" s="513" t="s">
        <v>524</v>
      </c>
      <c r="C930" s="513" t="s">
        <v>44</v>
      </c>
      <c r="D930" s="513" t="s">
        <v>449</v>
      </c>
      <c r="E930" s="542" t="s">
        <v>1322</v>
      </c>
      <c r="F930" s="513" t="s">
        <v>491</v>
      </c>
      <c r="G930" s="552">
        <v>9829811528</v>
      </c>
      <c r="H930" s="512"/>
      <c r="I930" s="552">
        <v>21</v>
      </c>
      <c r="J930" s="513" t="s">
        <v>404</v>
      </c>
      <c r="K930" s="513" t="s">
        <v>709</v>
      </c>
      <c r="L930" s="513"/>
      <c r="M930" s="513" t="s">
        <v>1192</v>
      </c>
      <c r="N930" s="732">
        <v>65020</v>
      </c>
      <c r="O930" s="514">
        <v>65020</v>
      </c>
      <c r="P930" s="514">
        <v>65032</v>
      </c>
      <c r="Q930" s="512" t="s">
        <v>51</v>
      </c>
    </row>
    <row r="931" spans="1:31" s="344" customFormat="1">
      <c r="A931" s="512">
        <f t="shared" si="7"/>
        <v>84</v>
      </c>
      <c r="B931" s="513" t="s">
        <v>524</v>
      </c>
      <c r="C931" s="513" t="s">
        <v>44</v>
      </c>
      <c r="D931" s="513" t="s">
        <v>449</v>
      </c>
      <c r="E931" s="542" t="s">
        <v>1474</v>
      </c>
      <c r="F931" s="549" t="s">
        <v>512</v>
      </c>
      <c r="G931" s="543">
        <v>9866831309</v>
      </c>
      <c r="H931" s="512"/>
      <c r="I931" s="543">
        <v>22</v>
      </c>
      <c r="J931" s="513" t="s">
        <v>90</v>
      </c>
      <c r="K931" s="513" t="s">
        <v>345</v>
      </c>
      <c r="L931" s="513"/>
      <c r="M931" s="513" t="s">
        <v>119</v>
      </c>
      <c r="N931" s="732">
        <v>65020</v>
      </c>
      <c r="O931" s="514">
        <v>65020</v>
      </c>
      <c r="P931" s="514">
        <v>65032</v>
      </c>
      <c r="Q931" s="512" t="s">
        <v>51</v>
      </c>
      <c r="R931" s="356"/>
      <c r="S931" s="356"/>
      <c r="T931" s="356"/>
      <c r="U931" s="356"/>
      <c r="V931" s="356"/>
      <c r="W931" s="356"/>
      <c r="X931" s="356"/>
      <c r="Y931" s="356"/>
      <c r="Z931" s="356"/>
      <c r="AA931" s="356"/>
      <c r="AB931" s="356"/>
      <c r="AC931" s="356"/>
      <c r="AD931" s="356"/>
      <c r="AE931" s="356"/>
    </row>
    <row r="932" spans="1:31" s="344" customFormat="1">
      <c r="A932" s="512">
        <f t="shared" si="7"/>
        <v>85</v>
      </c>
      <c r="B932" s="513" t="s">
        <v>524</v>
      </c>
      <c r="C932" s="513" t="s">
        <v>44</v>
      </c>
      <c r="D932" s="513" t="s">
        <v>449</v>
      </c>
      <c r="E932" s="542" t="s">
        <v>1475</v>
      </c>
      <c r="F932" s="549" t="s">
        <v>124</v>
      </c>
      <c r="G932" s="543">
        <v>9814575661</v>
      </c>
      <c r="H932" s="512"/>
      <c r="I932" s="543">
        <v>24</v>
      </c>
      <c r="J932" s="513" t="s">
        <v>90</v>
      </c>
      <c r="K932" s="513" t="s">
        <v>1459</v>
      </c>
      <c r="L932" s="513"/>
      <c r="M932" s="513" t="s">
        <v>119</v>
      </c>
      <c r="N932" s="732">
        <v>65020</v>
      </c>
      <c r="O932" s="514">
        <v>65020</v>
      </c>
      <c r="P932" s="514">
        <v>65032</v>
      </c>
      <c r="Q932" s="512" t="s">
        <v>51</v>
      </c>
    </row>
    <row r="933" spans="1:31" s="344" customFormat="1">
      <c r="A933" s="512">
        <f t="shared" si="7"/>
        <v>86</v>
      </c>
      <c r="B933" s="513" t="s">
        <v>524</v>
      </c>
      <c r="C933" s="513" t="s">
        <v>44</v>
      </c>
      <c r="D933" s="513" t="s">
        <v>449</v>
      </c>
      <c r="E933" s="542" t="s">
        <v>1329</v>
      </c>
      <c r="F933" s="573" t="s">
        <v>1008</v>
      </c>
      <c r="G933" s="552">
        <v>9809880437</v>
      </c>
      <c r="H933" s="512"/>
      <c r="I933" s="552">
        <v>26</v>
      </c>
      <c r="J933" s="513" t="s">
        <v>404</v>
      </c>
      <c r="K933" s="513" t="s">
        <v>709</v>
      </c>
      <c r="L933" s="513"/>
      <c r="M933" s="513" t="s">
        <v>1192</v>
      </c>
      <c r="N933" s="732">
        <v>65020</v>
      </c>
      <c r="O933" s="514">
        <v>65020</v>
      </c>
      <c r="P933" s="514">
        <v>65032</v>
      </c>
      <c r="Q933" s="512" t="s">
        <v>51</v>
      </c>
    </row>
    <row r="934" spans="1:31">
      <c r="A934" s="512">
        <f t="shared" si="7"/>
        <v>87</v>
      </c>
      <c r="B934" s="513" t="s">
        <v>524</v>
      </c>
      <c r="C934" s="513" t="s">
        <v>44</v>
      </c>
      <c r="D934" s="513" t="s">
        <v>449</v>
      </c>
      <c r="E934" s="542" t="s">
        <v>1333</v>
      </c>
      <c r="F934" s="573" t="s">
        <v>491</v>
      </c>
      <c r="G934" s="552">
        <v>9847944675</v>
      </c>
      <c r="H934" s="512"/>
      <c r="I934" s="552">
        <v>45</v>
      </c>
      <c r="J934" s="513" t="s">
        <v>433</v>
      </c>
      <c r="K934" s="513" t="s">
        <v>709</v>
      </c>
      <c r="L934" s="513"/>
      <c r="M934" s="513" t="s">
        <v>1192</v>
      </c>
      <c r="N934" s="732">
        <v>65020</v>
      </c>
      <c r="O934" s="514">
        <v>65020</v>
      </c>
      <c r="P934" s="514">
        <v>65032</v>
      </c>
      <c r="Q934" s="512" t="s">
        <v>51</v>
      </c>
      <c r="R934" s="344"/>
      <c r="S934" s="344"/>
      <c r="T934" s="344"/>
      <c r="U934" s="344"/>
      <c r="V934" s="344"/>
      <c r="W934" s="344"/>
      <c r="X934" s="344"/>
      <c r="Y934" s="344"/>
      <c r="Z934" s="344"/>
      <c r="AA934" s="344"/>
      <c r="AB934" s="344"/>
      <c r="AC934" s="344"/>
      <c r="AD934" s="344"/>
      <c r="AE934" s="344"/>
    </row>
    <row r="935" spans="1:31">
      <c r="A935" s="512">
        <f t="shared" si="7"/>
        <v>88</v>
      </c>
      <c r="B935" s="513" t="s">
        <v>524</v>
      </c>
      <c r="C935" s="513" t="s">
        <v>44</v>
      </c>
      <c r="D935" s="513" t="s">
        <v>449</v>
      </c>
      <c r="E935" s="542" t="s">
        <v>1362</v>
      </c>
      <c r="F935" s="573" t="s">
        <v>529</v>
      </c>
      <c r="G935" s="552">
        <v>9810923030</v>
      </c>
      <c r="H935" s="512"/>
      <c r="I935" s="552">
        <v>21</v>
      </c>
      <c r="J935" s="513" t="s">
        <v>433</v>
      </c>
      <c r="K935" s="513" t="s">
        <v>709</v>
      </c>
      <c r="L935" s="513"/>
      <c r="M935" s="513" t="s">
        <v>1192</v>
      </c>
      <c r="N935" s="732">
        <v>65021</v>
      </c>
      <c r="O935" s="514">
        <v>65021</v>
      </c>
      <c r="P935" s="514">
        <v>65032</v>
      </c>
      <c r="Q935" s="512" t="s">
        <v>51</v>
      </c>
      <c r="R935" s="344"/>
      <c r="S935" s="344"/>
      <c r="T935" s="344"/>
      <c r="U935" s="344"/>
      <c r="V935" s="344"/>
      <c r="W935" s="344"/>
      <c r="X935" s="344"/>
      <c r="Y935" s="344"/>
      <c r="Z935" s="344"/>
      <c r="AA935" s="344"/>
      <c r="AB935" s="344"/>
      <c r="AC935" s="344"/>
      <c r="AD935" s="344"/>
      <c r="AE935" s="344"/>
    </row>
    <row r="936" spans="1:31" s="344" customFormat="1">
      <c r="A936" s="512">
        <f t="shared" si="7"/>
        <v>89</v>
      </c>
      <c r="B936" s="513" t="s">
        <v>524</v>
      </c>
      <c r="C936" s="513" t="s">
        <v>44</v>
      </c>
      <c r="D936" s="513" t="s">
        <v>449</v>
      </c>
      <c r="E936" s="542" t="s">
        <v>1364</v>
      </c>
      <c r="F936" s="573" t="s">
        <v>1009</v>
      </c>
      <c r="G936" s="552">
        <v>9800000000</v>
      </c>
      <c r="H936" s="512"/>
      <c r="I936" s="552">
        <v>43</v>
      </c>
      <c r="J936" s="513" t="s">
        <v>404</v>
      </c>
      <c r="K936" s="513" t="s">
        <v>709</v>
      </c>
      <c r="L936" s="513"/>
      <c r="M936" s="513" t="s">
        <v>1192</v>
      </c>
      <c r="N936" s="732">
        <v>65021</v>
      </c>
      <c r="O936" s="514">
        <v>65021</v>
      </c>
      <c r="P936" s="514">
        <v>65032</v>
      </c>
      <c r="Q936" s="512" t="s">
        <v>51</v>
      </c>
    </row>
    <row r="937" spans="1:31" s="344" customFormat="1">
      <c r="A937" s="512">
        <f t="shared" si="7"/>
        <v>90</v>
      </c>
      <c r="B937" s="434" t="s">
        <v>524</v>
      </c>
      <c r="C937" s="434" t="s">
        <v>44</v>
      </c>
      <c r="D937" s="434" t="s">
        <v>449</v>
      </c>
      <c r="E937" s="383" t="s">
        <v>1476</v>
      </c>
      <c r="F937" s="577" t="s">
        <v>502</v>
      </c>
      <c r="G937" s="433"/>
      <c r="H937" s="432"/>
      <c r="I937" s="433">
        <v>68</v>
      </c>
      <c r="J937" s="434" t="s">
        <v>48</v>
      </c>
      <c r="K937" s="434" t="s">
        <v>262</v>
      </c>
      <c r="L937" s="434"/>
      <c r="M937" s="434" t="s">
        <v>262</v>
      </c>
      <c r="N937" s="730">
        <v>65021</v>
      </c>
      <c r="O937" s="459">
        <v>65021</v>
      </c>
      <c r="P937" s="459">
        <v>65027</v>
      </c>
      <c r="Q937" s="432" t="s">
        <v>51</v>
      </c>
      <c r="R937" s="322"/>
      <c r="S937" s="322"/>
      <c r="T937" s="322"/>
      <c r="U937" s="322"/>
      <c r="V937" s="322"/>
      <c r="W937" s="322"/>
      <c r="X937" s="322"/>
      <c r="Y937" s="322"/>
      <c r="Z937" s="322"/>
      <c r="AA937" s="322"/>
      <c r="AB937" s="322"/>
      <c r="AC937" s="322"/>
      <c r="AD937" s="322"/>
      <c r="AE937" s="322"/>
    </row>
    <row r="938" spans="1:31" s="344" customFormat="1">
      <c r="A938" s="512">
        <f t="shared" si="7"/>
        <v>91</v>
      </c>
      <c r="B938" s="513" t="s">
        <v>524</v>
      </c>
      <c r="C938" s="513" t="s">
        <v>44</v>
      </c>
      <c r="D938" s="513" t="s">
        <v>449</v>
      </c>
      <c r="E938" s="542" t="s">
        <v>1477</v>
      </c>
      <c r="F938" s="549" t="s">
        <v>491</v>
      </c>
      <c r="G938" s="543">
        <v>9847906650</v>
      </c>
      <c r="H938" s="512"/>
      <c r="I938" s="543">
        <v>22</v>
      </c>
      <c r="J938" s="513" t="s">
        <v>90</v>
      </c>
      <c r="K938" s="513" t="s">
        <v>345</v>
      </c>
      <c r="L938" s="513"/>
      <c r="M938" s="513" t="s">
        <v>119</v>
      </c>
      <c r="N938" s="732">
        <v>65021</v>
      </c>
      <c r="O938" s="514">
        <v>65021</v>
      </c>
      <c r="P938" s="514">
        <v>65032</v>
      </c>
      <c r="Q938" s="512" t="s">
        <v>51</v>
      </c>
    </row>
    <row r="939" spans="1:31">
      <c r="A939" s="512">
        <f t="shared" si="7"/>
        <v>92</v>
      </c>
      <c r="B939" s="513" t="s">
        <v>524</v>
      </c>
      <c r="C939" s="513" t="s">
        <v>44</v>
      </c>
      <c r="D939" s="513" t="s">
        <v>449</v>
      </c>
      <c r="E939" s="542" t="s">
        <v>1478</v>
      </c>
      <c r="F939" s="549" t="s">
        <v>491</v>
      </c>
      <c r="G939" s="433">
        <v>9847906650</v>
      </c>
      <c r="H939" s="512"/>
      <c r="I939" s="543">
        <v>25</v>
      </c>
      <c r="J939" s="513" t="s">
        <v>48</v>
      </c>
      <c r="K939" s="513" t="s">
        <v>345</v>
      </c>
      <c r="L939" s="513"/>
      <c r="M939" s="513" t="s">
        <v>119</v>
      </c>
      <c r="N939" s="732">
        <v>65021</v>
      </c>
      <c r="O939" s="514">
        <v>65021</v>
      </c>
      <c r="P939" s="514">
        <v>65058</v>
      </c>
      <c r="Q939" s="512" t="s">
        <v>51</v>
      </c>
      <c r="R939" s="344"/>
      <c r="S939" s="344"/>
      <c r="T939" s="344"/>
      <c r="U939" s="344"/>
      <c r="V939" s="344"/>
      <c r="W939" s="344"/>
      <c r="X939" s="344"/>
      <c r="Y939" s="344"/>
      <c r="Z939" s="344"/>
      <c r="AA939" s="344"/>
      <c r="AB939" s="344"/>
      <c r="AC939" s="344"/>
      <c r="AD939" s="344"/>
      <c r="AE939" s="344"/>
    </row>
    <row r="940" spans="1:31" s="344" customFormat="1">
      <c r="A940" s="512">
        <f t="shared" si="7"/>
        <v>93</v>
      </c>
      <c r="B940" s="513" t="s">
        <v>524</v>
      </c>
      <c r="C940" s="513" t="s">
        <v>44</v>
      </c>
      <c r="D940" s="513" t="s">
        <v>449</v>
      </c>
      <c r="E940" s="542" t="s">
        <v>1367</v>
      </c>
      <c r="F940" s="573" t="s">
        <v>491</v>
      </c>
      <c r="G940" s="552">
        <v>9857821091</v>
      </c>
      <c r="H940" s="512"/>
      <c r="I940" s="552">
        <v>58</v>
      </c>
      <c r="J940" s="513" t="s">
        <v>404</v>
      </c>
      <c r="K940" s="513" t="s">
        <v>709</v>
      </c>
      <c r="L940" s="513"/>
      <c r="M940" s="513" t="s">
        <v>1192</v>
      </c>
      <c r="N940" s="732">
        <v>65021</v>
      </c>
      <c r="O940" s="514">
        <v>65021</v>
      </c>
      <c r="P940" s="514">
        <v>65032</v>
      </c>
      <c r="Q940" s="512" t="s">
        <v>51</v>
      </c>
    </row>
    <row r="941" spans="1:31">
      <c r="A941" s="512">
        <f t="shared" si="7"/>
        <v>94</v>
      </c>
      <c r="B941" s="513" t="s">
        <v>524</v>
      </c>
      <c r="C941" s="513" t="s">
        <v>44</v>
      </c>
      <c r="D941" s="513" t="s">
        <v>449</v>
      </c>
      <c r="E941" s="542" t="s">
        <v>1365</v>
      </c>
      <c r="F941" s="573" t="s">
        <v>491</v>
      </c>
      <c r="G941" s="552">
        <v>9847890198</v>
      </c>
      <c r="H941" s="512"/>
      <c r="I941" s="552">
        <v>29</v>
      </c>
      <c r="J941" s="513" t="s">
        <v>404</v>
      </c>
      <c r="K941" s="513" t="s">
        <v>709</v>
      </c>
      <c r="L941" s="513"/>
      <c r="M941" s="513" t="s">
        <v>1192</v>
      </c>
      <c r="N941" s="732">
        <v>65021</v>
      </c>
      <c r="O941" s="514">
        <v>65021</v>
      </c>
      <c r="P941" s="514">
        <v>65032</v>
      </c>
      <c r="Q941" s="512" t="s">
        <v>51</v>
      </c>
      <c r="R941" s="344"/>
      <c r="S941" s="344"/>
      <c r="T941" s="344"/>
      <c r="U941" s="344"/>
      <c r="V941" s="344"/>
      <c r="W941" s="344"/>
      <c r="X941" s="344"/>
      <c r="Y941" s="344"/>
      <c r="Z941" s="344"/>
      <c r="AA941" s="344"/>
      <c r="AB941" s="344"/>
      <c r="AC941" s="344"/>
      <c r="AD941" s="344"/>
      <c r="AE941" s="344"/>
    </row>
    <row r="942" spans="1:31" s="344" customFormat="1">
      <c r="A942" s="512">
        <f t="shared" si="7"/>
        <v>95</v>
      </c>
      <c r="B942" s="438" t="s">
        <v>524</v>
      </c>
      <c r="C942" s="438" t="s">
        <v>44</v>
      </c>
      <c r="D942" s="438" t="s">
        <v>449</v>
      </c>
      <c r="E942" s="568" t="s">
        <v>1363</v>
      </c>
      <c r="F942" s="569" t="s">
        <v>502</v>
      </c>
      <c r="G942" s="950">
        <v>9868094050</v>
      </c>
      <c r="H942" s="436"/>
      <c r="I942" s="950">
        <v>25</v>
      </c>
      <c r="J942" s="438" t="s">
        <v>404</v>
      </c>
      <c r="K942" s="438" t="s">
        <v>709</v>
      </c>
      <c r="L942" s="438"/>
      <c r="M942" s="438" t="s">
        <v>489</v>
      </c>
      <c r="N942" s="731">
        <v>65021</v>
      </c>
      <c r="O942" s="465">
        <v>65021</v>
      </c>
      <c r="P942" s="459">
        <v>65027</v>
      </c>
      <c r="Q942" s="432" t="s">
        <v>51</v>
      </c>
      <c r="R942" s="322"/>
      <c r="S942" s="322"/>
      <c r="T942" s="322"/>
      <c r="U942" s="322"/>
      <c r="V942" s="322"/>
      <c r="W942" s="322"/>
      <c r="X942" s="322"/>
      <c r="Y942" s="322"/>
      <c r="Z942" s="322"/>
      <c r="AA942" s="322"/>
      <c r="AB942" s="322"/>
      <c r="AC942" s="322"/>
      <c r="AD942" s="322"/>
      <c r="AE942" s="322"/>
    </row>
    <row r="943" spans="1:31" s="344" customFormat="1">
      <c r="A943" s="512">
        <f t="shared" si="7"/>
        <v>96</v>
      </c>
      <c r="B943" s="513" t="s">
        <v>524</v>
      </c>
      <c r="C943" s="513" t="s">
        <v>44</v>
      </c>
      <c r="D943" s="513" t="s">
        <v>449</v>
      </c>
      <c r="E943" s="542" t="s">
        <v>1366</v>
      </c>
      <c r="F943" s="573" t="s">
        <v>441</v>
      </c>
      <c r="G943" s="552">
        <v>9847836872</v>
      </c>
      <c r="H943" s="512"/>
      <c r="I943" s="552">
        <v>55</v>
      </c>
      <c r="J943" s="513" t="s">
        <v>433</v>
      </c>
      <c r="K943" s="513" t="s">
        <v>709</v>
      </c>
      <c r="L943" s="513"/>
      <c r="M943" s="513" t="s">
        <v>1192</v>
      </c>
      <c r="N943" s="732">
        <v>65021</v>
      </c>
      <c r="O943" s="514">
        <v>65021</v>
      </c>
      <c r="P943" s="514">
        <v>65032</v>
      </c>
      <c r="Q943" s="512" t="s">
        <v>51</v>
      </c>
    </row>
    <row r="944" spans="1:31" s="344" customFormat="1">
      <c r="A944" s="512">
        <f t="shared" si="7"/>
        <v>97</v>
      </c>
      <c r="B944" s="438" t="s">
        <v>524</v>
      </c>
      <c r="C944" s="438" t="s">
        <v>44</v>
      </c>
      <c r="D944" s="438" t="s">
        <v>449</v>
      </c>
      <c r="E944" s="568" t="s">
        <v>1361</v>
      </c>
      <c r="F944" s="569" t="s">
        <v>502</v>
      </c>
      <c r="G944" s="950">
        <v>9847890314</v>
      </c>
      <c r="H944" s="436"/>
      <c r="I944" s="950">
        <v>58</v>
      </c>
      <c r="J944" s="438" t="s">
        <v>404</v>
      </c>
      <c r="K944" s="438" t="s">
        <v>709</v>
      </c>
      <c r="L944" s="438"/>
      <c r="M944" s="438" t="s">
        <v>489</v>
      </c>
      <c r="N944" s="731">
        <v>65021</v>
      </c>
      <c r="O944" s="465">
        <v>65021</v>
      </c>
      <c r="P944" s="459">
        <v>65027</v>
      </c>
      <c r="Q944" s="432" t="s">
        <v>51</v>
      </c>
      <c r="R944" s="322"/>
      <c r="S944" s="322"/>
      <c r="T944" s="322"/>
      <c r="U944" s="322"/>
      <c r="V944" s="322"/>
      <c r="W944" s="322"/>
      <c r="X944" s="322"/>
      <c r="Y944" s="322"/>
      <c r="Z944" s="322"/>
      <c r="AA944" s="322"/>
      <c r="AB944" s="322"/>
      <c r="AC944" s="322"/>
      <c r="AD944" s="322"/>
      <c r="AE944" s="322"/>
    </row>
    <row r="945" spans="1:31" s="344" customFormat="1">
      <c r="A945" s="512">
        <f t="shared" si="7"/>
        <v>98</v>
      </c>
      <c r="B945" s="513" t="s">
        <v>524</v>
      </c>
      <c r="C945" s="513" t="s">
        <v>44</v>
      </c>
      <c r="D945" s="513" t="s">
        <v>449</v>
      </c>
      <c r="E945" s="542" t="s">
        <v>1479</v>
      </c>
      <c r="F945" s="549" t="s">
        <v>124</v>
      </c>
      <c r="G945" s="543">
        <v>9861703138</v>
      </c>
      <c r="H945" s="512"/>
      <c r="I945" s="543">
        <v>60</v>
      </c>
      <c r="J945" s="513" t="s">
        <v>48</v>
      </c>
      <c r="K945" s="513" t="s">
        <v>345</v>
      </c>
      <c r="L945" s="513"/>
      <c r="M945" s="513" t="s">
        <v>119</v>
      </c>
      <c r="N945" s="732">
        <v>65021</v>
      </c>
      <c r="O945" s="514">
        <v>65021</v>
      </c>
      <c r="P945" s="514">
        <v>65032</v>
      </c>
      <c r="Q945" s="512" t="s">
        <v>51</v>
      </c>
    </row>
    <row r="946" spans="1:31">
      <c r="A946" s="512">
        <f t="shared" si="7"/>
        <v>99</v>
      </c>
      <c r="B946" s="579" t="s">
        <v>524</v>
      </c>
      <c r="C946" s="579" t="s">
        <v>44</v>
      </c>
      <c r="D946" s="579" t="s">
        <v>449</v>
      </c>
      <c r="E946" s="580" t="s">
        <v>1357</v>
      </c>
      <c r="F946" s="581" t="s">
        <v>502</v>
      </c>
      <c r="G946" s="581">
        <v>9846897415</v>
      </c>
      <c r="H946" s="578"/>
      <c r="I946" s="581">
        <v>22</v>
      </c>
      <c r="J946" s="579" t="s">
        <v>433</v>
      </c>
      <c r="K946" s="579" t="s">
        <v>709</v>
      </c>
      <c r="L946" s="579"/>
      <c r="M946" s="579" t="s">
        <v>1192</v>
      </c>
      <c r="N946" s="746">
        <v>65022</v>
      </c>
      <c r="O946" s="582">
        <v>65022</v>
      </c>
      <c r="P946" s="459">
        <v>65035</v>
      </c>
      <c r="Q946" s="512" t="s">
        <v>51</v>
      </c>
    </row>
    <row r="947" spans="1:31">
      <c r="A947" s="512">
        <f t="shared" si="7"/>
        <v>100</v>
      </c>
      <c r="B947" s="579" t="s">
        <v>524</v>
      </c>
      <c r="C947" s="579" t="s">
        <v>44</v>
      </c>
      <c r="D947" s="579" t="s">
        <v>449</v>
      </c>
      <c r="E947" s="580" t="s">
        <v>1350</v>
      </c>
      <c r="F947" s="581" t="s">
        <v>491</v>
      </c>
      <c r="G947" s="581">
        <v>9857824981</v>
      </c>
      <c r="H947" s="578"/>
      <c r="I947" s="581">
        <v>22</v>
      </c>
      <c r="J947" s="579" t="s">
        <v>404</v>
      </c>
      <c r="K947" s="579" t="s">
        <v>709</v>
      </c>
      <c r="L947" s="579"/>
      <c r="M947" s="579" t="s">
        <v>1192</v>
      </c>
      <c r="N947" s="746">
        <v>65022</v>
      </c>
      <c r="O947" s="582">
        <v>65022</v>
      </c>
      <c r="P947" s="459">
        <v>65035</v>
      </c>
      <c r="Q947" s="582" t="s">
        <v>51</v>
      </c>
    </row>
    <row r="948" spans="1:31">
      <c r="A948" s="512">
        <f t="shared" si="7"/>
        <v>101</v>
      </c>
      <c r="B948" s="579" t="s">
        <v>524</v>
      </c>
      <c r="C948" s="579" t="s">
        <v>44</v>
      </c>
      <c r="D948" s="579" t="s">
        <v>449</v>
      </c>
      <c r="E948" s="580" t="s">
        <v>1351</v>
      </c>
      <c r="F948" s="581" t="s">
        <v>491</v>
      </c>
      <c r="G948" s="581">
        <v>9857823980</v>
      </c>
      <c r="H948" s="578"/>
      <c r="I948" s="581">
        <v>49</v>
      </c>
      <c r="J948" s="579" t="s">
        <v>404</v>
      </c>
      <c r="K948" s="579" t="s">
        <v>709</v>
      </c>
      <c r="L948" s="579"/>
      <c r="M948" s="579" t="s">
        <v>1192</v>
      </c>
      <c r="N948" s="746">
        <v>65022</v>
      </c>
      <c r="O948" s="582">
        <v>65022</v>
      </c>
      <c r="P948" s="459">
        <v>65035</v>
      </c>
      <c r="Q948" s="582" t="s">
        <v>51</v>
      </c>
    </row>
    <row r="949" spans="1:31" s="163" customFormat="1">
      <c r="A949" s="512">
        <f t="shared" si="7"/>
        <v>102</v>
      </c>
      <c r="B949" s="579" t="s">
        <v>524</v>
      </c>
      <c r="C949" s="579" t="s">
        <v>44</v>
      </c>
      <c r="D949" s="579" t="s">
        <v>449</v>
      </c>
      <c r="E949" s="580" t="s">
        <v>1358</v>
      </c>
      <c r="F949" s="581" t="s">
        <v>502</v>
      </c>
      <c r="G949" s="581">
        <v>9860450356</v>
      </c>
      <c r="H949" s="578"/>
      <c r="I949" s="581">
        <v>24</v>
      </c>
      <c r="J949" s="579" t="s">
        <v>433</v>
      </c>
      <c r="K949" s="579" t="s">
        <v>709</v>
      </c>
      <c r="L949" s="579"/>
      <c r="M949" s="579" t="s">
        <v>1192</v>
      </c>
      <c r="N949" s="746">
        <v>65022</v>
      </c>
      <c r="O949" s="582">
        <v>65022</v>
      </c>
      <c r="P949" s="459">
        <v>65035</v>
      </c>
      <c r="Q949" s="582" t="s">
        <v>51</v>
      </c>
      <c r="R949" s="322"/>
      <c r="S949" s="322"/>
      <c r="T949" s="322"/>
      <c r="U949" s="322"/>
      <c r="V949" s="322"/>
      <c r="W949" s="322"/>
      <c r="X949" s="322"/>
      <c r="Y949" s="322"/>
      <c r="Z949" s="322"/>
      <c r="AA949" s="322"/>
      <c r="AB949" s="322"/>
      <c r="AC949" s="322"/>
      <c r="AD949" s="322"/>
      <c r="AE949" s="322"/>
    </row>
    <row r="950" spans="1:31">
      <c r="A950" s="512">
        <f t="shared" si="7"/>
        <v>103</v>
      </c>
      <c r="B950" s="579" t="s">
        <v>524</v>
      </c>
      <c r="C950" s="579" t="s">
        <v>44</v>
      </c>
      <c r="D950" s="579" t="s">
        <v>449</v>
      </c>
      <c r="E950" s="580" t="s">
        <v>1360</v>
      </c>
      <c r="F950" s="581" t="s">
        <v>491</v>
      </c>
      <c r="G950" s="581">
        <v>9844983383</v>
      </c>
      <c r="H950" s="578"/>
      <c r="I950" s="581">
        <v>78</v>
      </c>
      <c r="J950" s="579" t="s">
        <v>404</v>
      </c>
      <c r="K950" s="579" t="s">
        <v>709</v>
      </c>
      <c r="L950" s="579"/>
      <c r="M950" s="579" t="s">
        <v>1192</v>
      </c>
      <c r="N950" s="746">
        <v>65022</v>
      </c>
      <c r="O950" s="582">
        <v>65022</v>
      </c>
      <c r="P950" s="459">
        <v>65035</v>
      </c>
      <c r="Q950" s="582" t="s">
        <v>51</v>
      </c>
    </row>
    <row r="951" spans="1:31">
      <c r="A951" s="512">
        <f t="shared" si="7"/>
        <v>104</v>
      </c>
      <c r="B951" s="579" t="s">
        <v>524</v>
      </c>
      <c r="C951" s="579" t="s">
        <v>44</v>
      </c>
      <c r="D951" s="579" t="s">
        <v>449</v>
      </c>
      <c r="E951" s="580" t="s">
        <v>1347</v>
      </c>
      <c r="F951" s="581" t="s">
        <v>512</v>
      </c>
      <c r="G951" s="581">
        <v>9857823774</v>
      </c>
      <c r="H951" s="578"/>
      <c r="I951" s="581">
        <v>40</v>
      </c>
      <c r="J951" s="579" t="s">
        <v>404</v>
      </c>
      <c r="K951" s="579" t="s">
        <v>709</v>
      </c>
      <c r="L951" s="579"/>
      <c r="M951" s="579" t="s">
        <v>1192</v>
      </c>
      <c r="N951" s="746">
        <v>65022</v>
      </c>
      <c r="O951" s="582">
        <v>65022</v>
      </c>
      <c r="P951" s="459">
        <v>65035</v>
      </c>
      <c r="Q951" s="582" t="s">
        <v>51</v>
      </c>
    </row>
    <row r="952" spans="1:31">
      <c r="A952" s="512">
        <f t="shared" si="7"/>
        <v>105</v>
      </c>
      <c r="B952" s="438" t="s">
        <v>524</v>
      </c>
      <c r="C952" s="438" t="s">
        <v>44</v>
      </c>
      <c r="D952" s="438" t="s">
        <v>449</v>
      </c>
      <c r="E952" s="568" t="s">
        <v>1368</v>
      </c>
      <c r="F952" s="437" t="s">
        <v>636</v>
      </c>
      <c r="G952" s="438"/>
      <c r="H952" s="436"/>
      <c r="I952" s="437">
        <v>39</v>
      </c>
      <c r="J952" s="438" t="s">
        <v>404</v>
      </c>
      <c r="K952" s="438" t="s">
        <v>1245</v>
      </c>
      <c r="L952" s="438"/>
      <c r="M952" s="438" t="s">
        <v>1289</v>
      </c>
      <c r="N952" s="731">
        <v>65022</v>
      </c>
      <c r="O952" s="465">
        <v>65022</v>
      </c>
      <c r="P952" s="459">
        <v>65027</v>
      </c>
      <c r="Q952" s="432" t="s">
        <v>51</v>
      </c>
      <c r="R952" s="163"/>
      <c r="S952" s="163"/>
      <c r="T952" s="163"/>
      <c r="U952" s="163"/>
      <c r="V952" s="163"/>
      <c r="W952" s="163"/>
      <c r="X952" s="163"/>
      <c r="Y952" s="163"/>
      <c r="Z952" s="163"/>
      <c r="AA952" s="163"/>
      <c r="AB952" s="163"/>
      <c r="AC952" s="163"/>
      <c r="AD952" s="163"/>
      <c r="AE952" s="163"/>
    </row>
    <row r="953" spans="1:31">
      <c r="A953" s="512">
        <f t="shared" si="7"/>
        <v>106</v>
      </c>
      <c r="B953" s="579" t="s">
        <v>524</v>
      </c>
      <c r="C953" s="579" t="s">
        <v>44</v>
      </c>
      <c r="D953" s="579" t="s">
        <v>449</v>
      </c>
      <c r="E953" s="580" t="s">
        <v>1372</v>
      </c>
      <c r="F953" s="581" t="s">
        <v>491</v>
      </c>
      <c r="G953" s="581">
        <v>9847831960</v>
      </c>
      <c r="H953" s="578"/>
      <c r="I953" s="581">
        <v>48</v>
      </c>
      <c r="J953" s="579" t="s">
        <v>404</v>
      </c>
      <c r="K953" s="579" t="s">
        <v>1193</v>
      </c>
      <c r="L953" s="579"/>
      <c r="M953" s="579" t="s">
        <v>1192</v>
      </c>
      <c r="N953" s="746">
        <v>65022</v>
      </c>
      <c r="O953" s="582">
        <v>65022</v>
      </c>
      <c r="P953" s="459">
        <v>65035</v>
      </c>
      <c r="Q953" s="582" t="s">
        <v>51</v>
      </c>
    </row>
    <row r="954" spans="1:31">
      <c r="A954" s="512">
        <f t="shared" si="7"/>
        <v>107</v>
      </c>
      <c r="B954" s="579" t="s">
        <v>524</v>
      </c>
      <c r="C954" s="579" t="s">
        <v>44</v>
      </c>
      <c r="D954" s="579" t="s">
        <v>449</v>
      </c>
      <c r="E954" s="580" t="s">
        <v>1359</v>
      </c>
      <c r="F954" s="581" t="s">
        <v>491</v>
      </c>
      <c r="G954" s="581">
        <v>9847947684</v>
      </c>
      <c r="H954" s="578"/>
      <c r="I954" s="581">
        <v>26</v>
      </c>
      <c r="J954" s="579" t="s">
        <v>404</v>
      </c>
      <c r="K954" s="579" t="s">
        <v>709</v>
      </c>
      <c r="L954" s="579"/>
      <c r="M954" s="579" t="s">
        <v>1192</v>
      </c>
      <c r="N954" s="746">
        <v>65022</v>
      </c>
      <c r="O954" s="582">
        <v>65022</v>
      </c>
      <c r="P954" s="459">
        <v>65035</v>
      </c>
      <c r="Q954" s="582" t="s">
        <v>51</v>
      </c>
    </row>
    <row r="955" spans="1:31">
      <c r="A955" s="512">
        <f t="shared" si="7"/>
        <v>108</v>
      </c>
      <c r="B955" s="579" t="s">
        <v>524</v>
      </c>
      <c r="C955" s="579" t="s">
        <v>44</v>
      </c>
      <c r="D955" s="579" t="s">
        <v>449</v>
      </c>
      <c r="E955" s="580" t="s">
        <v>1370</v>
      </c>
      <c r="F955" s="581" t="s">
        <v>491</v>
      </c>
      <c r="G955" s="579">
        <v>9861703138</v>
      </c>
      <c r="H955" s="578"/>
      <c r="I955" s="581">
        <v>40</v>
      </c>
      <c r="J955" s="579" t="s">
        <v>404</v>
      </c>
      <c r="K955" s="579" t="s">
        <v>1193</v>
      </c>
      <c r="L955" s="579"/>
      <c r="M955" s="579" t="s">
        <v>1192</v>
      </c>
      <c r="N955" s="746">
        <v>65022</v>
      </c>
      <c r="O955" s="582">
        <v>65022</v>
      </c>
      <c r="P955" s="459">
        <v>65035</v>
      </c>
      <c r="Q955" s="582" t="s">
        <v>51</v>
      </c>
    </row>
    <row r="956" spans="1:31">
      <c r="A956" s="512">
        <f t="shared" si="7"/>
        <v>109</v>
      </c>
      <c r="B956" s="579" t="s">
        <v>524</v>
      </c>
      <c r="C956" s="579" t="s">
        <v>44</v>
      </c>
      <c r="D956" s="579" t="s">
        <v>449</v>
      </c>
      <c r="E956" s="580" t="s">
        <v>1745</v>
      </c>
      <c r="F956" s="583" t="s">
        <v>491</v>
      </c>
      <c r="G956" s="581">
        <v>9857852600</v>
      </c>
      <c r="H956" s="578"/>
      <c r="I956" s="581">
        <v>40</v>
      </c>
      <c r="J956" s="579" t="s">
        <v>48</v>
      </c>
      <c r="K956" s="579" t="s">
        <v>1480</v>
      </c>
      <c r="L956" s="579"/>
      <c r="M956" s="579" t="s">
        <v>119</v>
      </c>
      <c r="N956" s="746">
        <v>65022</v>
      </c>
      <c r="O956" s="582">
        <v>65022</v>
      </c>
      <c r="P956" s="459">
        <v>65035</v>
      </c>
      <c r="Q956" s="582" t="s">
        <v>51</v>
      </c>
    </row>
    <row r="957" spans="1:31">
      <c r="A957" s="512">
        <f t="shared" si="7"/>
        <v>110</v>
      </c>
      <c r="B957" s="579" t="s">
        <v>524</v>
      </c>
      <c r="C957" s="579" t="s">
        <v>44</v>
      </c>
      <c r="D957" s="579" t="s">
        <v>449</v>
      </c>
      <c r="E957" s="580" t="s">
        <v>1342</v>
      </c>
      <c r="F957" s="581" t="s">
        <v>791</v>
      </c>
      <c r="G957" s="581">
        <v>9847939406</v>
      </c>
      <c r="H957" s="578"/>
      <c r="I957" s="581">
        <v>33</v>
      </c>
      <c r="J957" s="579" t="s">
        <v>404</v>
      </c>
      <c r="K957" s="579" t="s">
        <v>709</v>
      </c>
      <c r="L957" s="579"/>
      <c r="M957" s="579" t="s">
        <v>1192</v>
      </c>
      <c r="N957" s="746">
        <v>65022</v>
      </c>
      <c r="O957" s="582">
        <v>65022</v>
      </c>
      <c r="P957" s="459">
        <v>65035</v>
      </c>
      <c r="Q957" s="582" t="s">
        <v>51</v>
      </c>
    </row>
    <row r="958" spans="1:31">
      <c r="A958" s="512">
        <f t="shared" si="7"/>
        <v>111</v>
      </c>
      <c r="B958" s="579" t="s">
        <v>524</v>
      </c>
      <c r="C958" s="579" t="s">
        <v>44</v>
      </c>
      <c r="D958" s="579" t="s">
        <v>449</v>
      </c>
      <c r="E958" s="580" t="s">
        <v>1344</v>
      </c>
      <c r="F958" s="581" t="s">
        <v>491</v>
      </c>
      <c r="G958" s="581">
        <v>9801943629</v>
      </c>
      <c r="H958" s="578"/>
      <c r="I958" s="581">
        <v>36</v>
      </c>
      <c r="J958" s="579" t="s">
        <v>404</v>
      </c>
      <c r="K958" s="579" t="s">
        <v>709</v>
      </c>
      <c r="L958" s="579"/>
      <c r="M958" s="579" t="s">
        <v>1192</v>
      </c>
      <c r="N958" s="746">
        <v>65022</v>
      </c>
      <c r="O958" s="582">
        <v>65022</v>
      </c>
      <c r="P958" s="459">
        <v>65035</v>
      </c>
      <c r="Q958" s="582" t="s">
        <v>51</v>
      </c>
    </row>
    <row r="959" spans="1:31">
      <c r="A959" s="512">
        <f t="shared" si="7"/>
        <v>112</v>
      </c>
      <c r="B959" s="579" t="s">
        <v>524</v>
      </c>
      <c r="C959" s="579" t="s">
        <v>44</v>
      </c>
      <c r="D959" s="579" t="s">
        <v>449</v>
      </c>
      <c r="E959" s="580" t="s">
        <v>1369</v>
      </c>
      <c r="F959" s="581" t="s">
        <v>730</v>
      </c>
      <c r="G959" s="579">
        <v>9857852600</v>
      </c>
      <c r="H959" s="578"/>
      <c r="I959" s="581">
        <v>24</v>
      </c>
      <c r="J959" s="579" t="s">
        <v>433</v>
      </c>
      <c r="K959" s="579" t="s">
        <v>1193</v>
      </c>
      <c r="L959" s="579"/>
      <c r="M959" s="579" t="s">
        <v>1192</v>
      </c>
      <c r="N959" s="746">
        <v>65022</v>
      </c>
      <c r="O959" s="582">
        <v>65022</v>
      </c>
      <c r="P959" s="459">
        <v>65035</v>
      </c>
      <c r="Q959" s="582" t="s">
        <v>51</v>
      </c>
    </row>
    <row r="960" spans="1:31">
      <c r="A960" s="512">
        <f t="shared" si="7"/>
        <v>113</v>
      </c>
      <c r="B960" s="579" t="s">
        <v>524</v>
      </c>
      <c r="C960" s="579" t="s">
        <v>44</v>
      </c>
      <c r="D960" s="579" t="s">
        <v>449</v>
      </c>
      <c r="E960" s="580" t="s">
        <v>1746</v>
      </c>
      <c r="F960" s="583" t="s">
        <v>730</v>
      </c>
      <c r="G960" s="581">
        <v>9866918461</v>
      </c>
      <c r="H960" s="578"/>
      <c r="I960" s="581">
        <v>24</v>
      </c>
      <c r="J960" s="579" t="s">
        <v>90</v>
      </c>
      <c r="K960" s="579" t="s">
        <v>1480</v>
      </c>
      <c r="L960" s="579"/>
      <c r="M960" s="579" t="s">
        <v>119</v>
      </c>
      <c r="N960" s="746">
        <v>65022</v>
      </c>
      <c r="O960" s="582">
        <v>65022</v>
      </c>
      <c r="P960" s="459">
        <v>65035</v>
      </c>
      <c r="Q960" s="582" t="s">
        <v>51</v>
      </c>
      <c r="R960" s="163"/>
      <c r="S960" s="163"/>
      <c r="T960" s="163"/>
      <c r="U960" s="163"/>
      <c r="V960" s="163"/>
      <c r="W960" s="163"/>
      <c r="X960" s="163"/>
      <c r="Y960" s="163"/>
      <c r="Z960" s="163"/>
      <c r="AA960" s="163"/>
      <c r="AB960" s="163"/>
      <c r="AC960" s="163"/>
      <c r="AD960" s="163"/>
      <c r="AE960" s="163"/>
    </row>
    <row r="961" spans="1:31">
      <c r="A961" s="512">
        <f t="shared" si="7"/>
        <v>114</v>
      </c>
      <c r="B961" s="579" t="s">
        <v>524</v>
      </c>
      <c r="C961" s="579" t="s">
        <v>44</v>
      </c>
      <c r="D961" s="579" t="s">
        <v>449</v>
      </c>
      <c r="E961" s="580" t="s">
        <v>1349</v>
      </c>
      <c r="F961" s="581" t="s">
        <v>1008</v>
      </c>
      <c r="G961" s="581">
        <v>9844964440</v>
      </c>
      <c r="H961" s="578"/>
      <c r="I961" s="581">
        <v>40</v>
      </c>
      <c r="J961" s="579" t="s">
        <v>404</v>
      </c>
      <c r="K961" s="579" t="s">
        <v>709</v>
      </c>
      <c r="L961" s="579"/>
      <c r="M961" s="579" t="s">
        <v>1192</v>
      </c>
      <c r="N961" s="746">
        <v>65022</v>
      </c>
      <c r="O961" s="582">
        <v>65022</v>
      </c>
      <c r="P961" s="459">
        <v>65035</v>
      </c>
      <c r="Q961" s="582" t="s">
        <v>51</v>
      </c>
    </row>
    <row r="962" spans="1:31">
      <c r="A962" s="512">
        <f t="shared" si="7"/>
        <v>115</v>
      </c>
      <c r="B962" s="579" t="s">
        <v>524</v>
      </c>
      <c r="C962" s="579" t="s">
        <v>44</v>
      </c>
      <c r="D962" s="579" t="s">
        <v>449</v>
      </c>
      <c r="E962" s="584" t="s">
        <v>1553</v>
      </c>
      <c r="F962" s="585" t="s">
        <v>502</v>
      </c>
      <c r="G962" s="579"/>
      <c r="H962" s="578"/>
      <c r="I962" s="585">
        <v>35</v>
      </c>
      <c r="J962" s="579" t="s">
        <v>48</v>
      </c>
      <c r="K962" s="579" t="s">
        <v>1459</v>
      </c>
      <c r="L962" s="579"/>
      <c r="M962" s="586" t="s">
        <v>1459</v>
      </c>
      <c r="N962" s="746">
        <v>65022</v>
      </c>
      <c r="O962" s="582">
        <v>65022</v>
      </c>
      <c r="P962" s="459">
        <v>65035</v>
      </c>
      <c r="Q962" s="582" t="s">
        <v>51</v>
      </c>
    </row>
    <row r="963" spans="1:31">
      <c r="A963" s="512">
        <f t="shared" si="7"/>
        <v>116</v>
      </c>
      <c r="B963" s="438" t="s">
        <v>524</v>
      </c>
      <c r="C963" s="438" t="s">
        <v>44</v>
      </c>
      <c r="D963" s="438" t="s">
        <v>449</v>
      </c>
      <c r="E963" s="568" t="s">
        <v>1346</v>
      </c>
      <c r="F963" s="437" t="s">
        <v>491</v>
      </c>
      <c r="G963" s="437">
        <v>9847824917</v>
      </c>
      <c r="H963" s="436"/>
      <c r="I963" s="437">
        <v>46</v>
      </c>
      <c r="J963" s="438" t="s">
        <v>404</v>
      </c>
      <c r="K963" s="438" t="s">
        <v>709</v>
      </c>
      <c r="L963" s="438"/>
      <c r="M963" s="438" t="s">
        <v>489</v>
      </c>
      <c r="N963" s="731">
        <v>65022</v>
      </c>
      <c r="O963" s="465">
        <v>65022</v>
      </c>
      <c r="P963" s="459">
        <v>65027</v>
      </c>
      <c r="Q963" s="432" t="s">
        <v>51</v>
      </c>
    </row>
    <row r="964" spans="1:31">
      <c r="A964" s="512">
        <f t="shared" si="7"/>
        <v>117</v>
      </c>
      <c r="B964" s="579" t="s">
        <v>524</v>
      </c>
      <c r="C964" s="579" t="s">
        <v>44</v>
      </c>
      <c r="D964" s="579" t="s">
        <v>449</v>
      </c>
      <c r="E964" s="580" t="s">
        <v>1356</v>
      </c>
      <c r="F964" s="581" t="s">
        <v>491</v>
      </c>
      <c r="G964" s="581">
        <v>9822941079</v>
      </c>
      <c r="H964" s="578"/>
      <c r="I964" s="581">
        <v>70</v>
      </c>
      <c r="J964" s="579" t="s">
        <v>404</v>
      </c>
      <c r="K964" s="579" t="s">
        <v>709</v>
      </c>
      <c r="L964" s="579"/>
      <c r="M964" s="579" t="s">
        <v>1192</v>
      </c>
      <c r="N964" s="746">
        <v>65022</v>
      </c>
      <c r="O964" s="582">
        <v>65022</v>
      </c>
      <c r="P964" s="459">
        <v>65035</v>
      </c>
      <c r="Q964" s="582" t="s">
        <v>51</v>
      </c>
    </row>
    <row r="965" spans="1:31">
      <c r="A965" s="512">
        <f t="shared" si="7"/>
        <v>118</v>
      </c>
      <c r="B965" s="579" t="s">
        <v>524</v>
      </c>
      <c r="C965" s="579" t="s">
        <v>44</v>
      </c>
      <c r="D965" s="579" t="s">
        <v>449</v>
      </c>
      <c r="E965" s="580" t="s">
        <v>1371</v>
      </c>
      <c r="F965" s="581" t="s">
        <v>491</v>
      </c>
      <c r="G965" s="581">
        <v>9866918461</v>
      </c>
      <c r="H965" s="578"/>
      <c r="I965" s="581">
        <v>42</v>
      </c>
      <c r="J965" s="579" t="s">
        <v>433</v>
      </c>
      <c r="K965" s="579" t="s">
        <v>1193</v>
      </c>
      <c r="L965" s="579"/>
      <c r="M965" s="579" t="s">
        <v>1192</v>
      </c>
      <c r="N965" s="746">
        <v>65022</v>
      </c>
      <c r="O965" s="582">
        <v>65022</v>
      </c>
      <c r="P965" s="459">
        <v>65035</v>
      </c>
      <c r="Q965" s="582" t="s">
        <v>51</v>
      </c>
    </row>
    <row r="966" spans="1:31">
      <c r="A966" s="512">
        <f t="shared" si="7"/>
        <v>119</v>
      </c>
      <c r="B966" s="579" t="s">
        <v>524</v>
      </c>
      <c r="C966" s="579" t="s">
        <v>44</v>
      </c>
      <c r="D966" s="579" t="s">
        <v>449</v>
      </c>
      <c r="E966" s="580" t="s">
        <v>1747</v>
      </c>
      <c r="F966" s="583" t="s">
        <v>491</v>
      </c>
      <c r="G966" s="581">
        <v>9866854470</v>
      </c>
      <c r="H966" s="578"/>
      <c r="I966" s="581">
        <v>42</v>
      </c>
      <c r="J966" s="579" t="s">
        <v>90</v>
      </c>
      <c r="K966" s="579" t="s">
        <v>1480</v>
      </c>
      <c r="L966" s="579"/>
      <c r="M966" s="579" t="s">
        <v>119</v>
      </c>
      <c r="N966" s="746">
        <v>65022</v>
      </c>
      <c r="O966" s="582">
        <v>65022</v>
      </c>
      <c r="P966" s="459">
        <v>65035</v>
      </c>
      <c r="Q966" s="582" t="s">
        <v>51</v>
      </c>
    </row>
    <row r="967" spans="1:31">
      <c r="A967" s="512">
        <f t="shared" si="7"/>
        <v>120</v>
      </c>
      <c r="B967" s="579" t="s">
        <v>524</v>
      </c>
      <c r="C967" s="579" t="s">
        <v>44</v>
      </c>
      <c r="D967" s="579" t="s">
        <v>449</v>
      </c>
      <c r="E967" s="580" t="s">
        <v>1481</v>
      </c>
      <c r="F967" s="583" t="s">
        <v>491</v>
      </c>
      <c r="G967" s="581">
        <v>9822865288</v>
      </c>
      <c r="H967" s="578"/>
      <c r="I967" s="581">
        <v>71</v>
      </c>
      <c r="J967" s="579" t="s">
        <v>48</v>
      </c>
      <c r="K967" s="579" t="s">
        <v>345</v>
      </c>
      <c r="L967" s="579"/>
      <c r="M967" s="579" t="s">
        <v>119</v>
      </c>
      <c r="N967" s="746">
        <v>65022</v>
      </c>
      <c r="O967" s="582">
        <v>65022</v>
      </c>
      <c r="P967" s="459">
        <v>65035</v>
      </c>
      <c r="Q967" s="582" t="s">
        <v>51</v>
      </c>
      <c r="R967" s="163"/>
      <c r="S967" s="163"/>
      <c r="T967" s="163"/>
      <c r="U967" s="163"/>
      <c r="V967" s="163"/>
      <c r="W967" s="163"/>
      <c r="X967" s="163"/>
      <c r="Y967" s="163"/>
      <c r="Z967" s="163"/>
      <c r="AA967" s="163"/>
      <c r="AB967" s="163"/>
      <c r="AC967" s="163"/>
      <c r="AD967" s="163"/>
      <c r="AE967" s="163"/>
    </row>
    <row r="968" spans="1:31">
      <c r="A968" s="512">
        <f t="shared" si="7"/>
        <v>121</v>
      </c>
      <c r="B968" s="579" t="s">
        <v>524</v>
      </c>
      <c r="C968" s="579" t="s">
        <v>44</v>
      </c>
      <c r="D968" s="579" t="s">
        <v>449</v>
      </c>
      <c r="E968" s="580" t="s">
        <v>1354</v>
      </c>
      <c r="F968" s="581" t="s">
        <v>557</v>
      </c>
      <c r="G968" s="581">
        <v>9827490688</v>
      </c>
      <c r="H968" s="578"/>
      <c r="I968" s="581">
        <v>45</v>
      </c>
      <c r="J968" s="579" t="s">
        <v>404</v>
      </c>
      <c r="K968" s="579" t="s">
        <v>709</v>
      </c>
      <c r="L968" s="579"/>
      <c r="M968" s="579" t="s">
        <v>1192</v>
      </c>
      <c r="N968" s="746">
        <v>65022</v>
      </c>
      <c r="O968" s="582">
        <v>65022</v>
      </c>
      <c r="P968" s="459">
        <v>65035</v>
      </c>
      <c r="Q968" s="582" t="s">
        <v>51</v>
      </c>
    </row>
    <row r="969" spans="1:31" s="163" customFormat="1">
      <c r="A969" s="512">
        <f t="shared" si="7"/>
        <v>122</v>
      </c>
      <c r="B969" s="579" t="s">
        <v>524</v>
      </c>
      <c r="C969" s="579" t="s">
        <v>44</v>
      </c>
      <c r="D969" s="579" t="s">
        <v>449</v>
      </c>
      <c r="E969" s="580" t="s">
        <v>1352</v>
      </c>
      <c r="F969" s="581" t="s">
        <v>491</v>
      </c>
      <c r="G969" s="581">
        <v>9849388619</v>
      </c>
      <c r="H969" s="578"/>
      <c r="I969" s="581">
        <v>30</v>
      </c>
      <c r="J969" s="579" t="s">
        <v>404</v>
      </c>
      <c r="K969" s="579" t="s">
        <v>709</v>
      </c>
      <c r="L969" s="579"/>
      <c r="M969" s="579" t="s">
        <v>1192</v>
      </c>
      <c r="N969" s="746">
        <v>65022</v>
      </c>
      <c r="O969" s="582">
        <v>65022</v>
      </c>
      <c r="P969" s="459">
        <v>65035</v>
      </c>
      <c r="Q969" s="582" t="s">
        <v>51</v>
      </c>
      <c r="R969" s="322"/>
      <c r="S969" s="322"/>
      <c r="T969" s="322"/>
      <c r="U969" s="322"/>
      <c r="V969" s="322"/>
      <c r="W969" s="322"/>
      <c r="X969" s="322"/>
      <c r="Y969" s="322"/>
      <c r="Z969" s="322"/>
      <c r="AA969" s="322"/>
      <c r="AB969" s="322"/>
      <c r="AC969" s="322"/>
      <c r="AD969" s="322"/>
      <c r="AE969" s="322"/>
    </row>
    <row r="970" spans="1:31" s="163" customFormat="1">
      <c r="A970" s="512">
        <f t="shared" si="7"/>
        <v>123</v>
      </c>
      <c r="B970" s="579" t="s">
        <v>524</v>
      </c>
      <c r="C970" s="579" t="s">
        <v>44</v>
      </c>
      <c r="D970" s="579" t="s">
        <v>449</v>
      </c>
      <c r="E970" s="580" t="s">
        <v>1343</v>
      </c>
      <c r="F970" s="581" t="s">
        <v>557</v>
      </c>
      <c r="G970" s="581">
        <v>9847879760</v>
      </c>
      <c r="H970" s="578"/>
      <c r="I970" s="581">
        <v>34</v>
      </c>
      <c r="J970" s="579" t="s">
        <v>433</v>
      </c>
      <c r="K970" s="579" t="s">
        <v>709</v>
      </c>
      <c r="L970" s="579"/>
      <c r="M970" s="579" t="s">
        <v>1192</v>
      </c>
      <c r="N970" s="746">
        <v>65022</v>
      </c>
      <c r="O970" s="582">
        <v>65022</v>
      </c>
      <c r="P970" s="459">
        <v>65035</v>
      </c>
      <c r="Q970" s="582" t="s">
        <v>51</v>
      </c>
      <c r="R970" s="322"/>
      <c r="S970" s="322"/>
      <c r="T970" s="322"/>
      <c r="U970" s="322"/>
      <c r="V970" s="322"/>
      <c r="W970" s="322"/>
      <c r="X970" s="322"/>
      <c r="Y970" s="322"/>
      <c r="Z970" s="322"/>
      <c r="AA970" s="322"/>
      <c r="AB970" s="322"/>
      <c r="AC970" s="322"/>
      <c r="AD970" s="322"/>
      <c r="AE970" s="322"/>
    </row>
    <row r="971" spans="1:31">
      <c r="A971" s="512">
        <f t="shared" si="7"/>
        <v>124</v>
      </c>
      <c r="B971" s="438" t="s">
        <v>524</v>
      </c>
      <c r="C971" s="438" t="s">
        <v>44</v>
      </c>
      <c r="D971" s="438" t="s">
        <v>449</v>
      </c>
      <c r="E971" s="568" t="s">
        <v>1348</v>
      </c>
      <c r="F971" s="437" t="s">
        <v>491</v>
      </c>
      <c r="G971" s="437">
        <v>9857821227</v>
      </c>
      <c r="H971" s="436"/>
      <c r="I971" s="437">
        <v>38</v>
      </c>
      <c r="J971" s="438" t="s">
        <v>404</v>
      </c>
      <c r="K971" s="438" t="s">
        <v>709</v>
      </c>
      <c r="L971" s="438"/>
      <c r="M971" s="438" t="s">
        <v>489</v>
      </c>
      <c r="N971" s="731">
        <v>65022</v>
      </c>
      <c r="O971" s="465">
        <v>65022</v>
      </c>
      <c r="P971" s="459">
        <v>65027</v>
      </c>
      <c r="Q971" s="432" t="s">
        <v>51</v>
      </c>
    </row>
    <row r="972" spans="1:31">
      <c r="A972" s="512">
        <f t="shared" si="7"/>
        <v>125</v>
      </c>
      <c r="B972" s="579" t="s">
        <v>524</v>
      </c>
      <c r="C972" s="579" t="s">
        <v>44</v>
      </c>
      <c r="D972" s="579" t="s">
        <v>449</v>
      </c>
      <c r="E972" s="580" t="s">
        <v>1345</v>
      </c>
      <c r="F972" s="581" t="s">
        <v>1204</v>
      </c>
      <c r="G972" s="581">
        <v>9844939381</v>
      </c>
      <c r="H972" s="578"/>
      <c r="I972" s="581">
        <v>23</v>
      </c>
      <c r="J972" s="579" t="s">
        <v>404</v>
      </c>
      <c r="K972" s="579" t="s">
        <v>709</v>
      </c>
      <c r="L972" s="579"/>
      <c r="M972" s="579" t="s">
        <v>1192</v>
      </c>
      <c r="N972" s="746">
        <v>65022</v>
      </c>
      <c r="O972" s="582">
        <v>65022</v>
      </c>
      <c r="P972" s="459">
        <v>65035</v>
      </c>
      <c r="Q972" s="582" t="s">
        <v>51</v>
      </c>
    </row>
    <row r="973" spans="1:31">
      <c r="A973" s="512">
        <f t="shared" si="7"/>
        <v>126</v>
      </c>
      <c r="B973" s="579" t="s">
        <v>524</v>
      </c>
      <c r="C973" s="579" t="s">
        <v>44</v>
      </c>
      <c r="D973" s="579" t="s">
        <v>449</v>
      </c>
      <c r="E973" s="580" t="s">
        <v>1482</v>
      </c>
      <c r="F973" s="583" t="s">
        <v>512</v>
      </c>
      <c r="G973" s="581">
        <v>9847950114</v>
      </c>
      <c r="H973" s="578"/>
      <c r="I973" s="581">
        <v>22</v>
      </c>
      <c r="J973" s="579" t="s">
        <v>48</v>
      </c>
      <c r="K973" s="579" t="s">
        <v>345</v>
      </c>
      <c r="L973" s="579"/>
      <c r="M973" s="579" t="s">
        <v>119</v>
      </c>
      <c r="N973" s="746">
        <v>65022</v>
      </c>
      <c r="O973" s="582">
        <v>65022</v>
      </c>
      <c r="P973" s="459">
        <v>65035</v>
      </c>
      <c r="Q973" s="582" t="s">
        <v>51</v>
      </c>
    </row>
    <row r="974" spans="1:31">
      <c r="A974" s="512">
        <f t="shared" si="7"/>
        <v>127</v>
      </c>
      <c r="B974" s="579" t="s">
        <v>524</v>
      </c>
      <c r="C974" s="579" t="s">
        <v>44</v>
      </c>
      <c r="D974" s="579" t="s">
        <v>449</v>
      </c>
      <c r="E974" s="580" t="s">
        <v>1355</v>
      </c>
      <c r="F974" s="581" t="s">
        <v>491</v>
      </c>
      <c r="G974" s="581">
        <v>9844996177</v>
      </c>
      <c r="H974" s="578"/>
      <c r="I974" s="581">
        <v>27</v>
      </c>
      <c r="J974" s="579" t="s">
        <v>404</v>
      </c>
      <c r="K974" s="579" t="s">
        <v>709</v>
      </c>
      <c r="L974" s="579"/>
      <c r="M974" s="579" t="s">
        <v>1192</v>
      </c>
      <c r="N974" s="746">
        <v>65022</v>
      </c>
      <c r="O974" s="582">
        <v>65022</v>
      </c>
      <c r="P974" s="459">
        <v>65035</v>
      </c>
      <c r="Q974" s="582" t="s">
        <v>51</v>
      </c>
    </row>
    <row r="975" spans="1:31">
      <c r="A975" s="512">
        <f t="shared" si="7"/>
        <v>128</v>
      </c>
      <c r="B975" s="579" t="s">
        <v>524</v>
      </c>
      <c r="C975" s="579" t="s">
        <v>44</v>
      </c>
      <c r="D975" s="579" t="s">
        <v>449</v>
      </c>
      <c r="E975" s="580" t="s">
        <v>1353</v>
      </c>
      <c r="F975" s="581" t="s">
        <v>491</v>
      </c>
      <c r="G975" s="581">
        <v>9847828800</v>
      </c>
      <c r="H975" s="578"/>
      <c r="I975" s="581">
        <v>44</v>
      </c>
      <c r="J975" s="579" t="s">
        <v>404</v>
      </c>
      <c r="K975" s="579" t="s">
        <v>709</v>
      </c>
      <c r="L975" s="579"/>
      <c r="M975" s="579" t="s">
        <v>1192</v>
      </c>
      <c r="N975" s="746">
        <v>65022</v>
      </c>
      <c r="O975" s="582">
        <v>65022</v>
      </c>
      <c r="P975" s="459">
        <v>65035</v>
      </c>
      <c r="Q975" s="582" t="s">
        <v>51</v>
      </c>
    </row>
    <row r="976" spans="1:31" s="338" customFormat="1">
      <c r="A976" s="512">
        <f t="shared" si="7"/>
        <v>129</v>
      </c>
      <c r="B976" s="493" t="s">
        <v>524</v>
      </c>
      <c r="C976" s="493" t="s">
        <v>44</v>
      </c>
      <c r="D976" s="493" t="s">
        <v>449</v>
      </c>
      <c r="E976" s="587" t="s">
        <v>1388</v>
      </c>
      <c r="F976" s="494" t="s">
        <v>491</v>
      </c>
      <c r="G976" s="494">
        <v>9869595035</v>
      </c>
      <c r="H976" s="491"/>
      <c r="I976" s="494">
        <v>29</v>
      </c>
      <c r="J976" s="493" t="s">
        <v>404</v>
      </c>
      <c r="K976" s="493" t="s">
        <v>709</v>
      </c>
      <c r="L976" s="493"/>
      <c r="M976" s="493" t="s">
        <v>1192</v>
      </c>
      <c r="N976" s="747">
        <v>65023</v>
      </c>
      <c r="O976" s="496">
        <v>65024</v>
      </c>
      <c r="P976" s="496">
        <v>65040</v>
      </c>
      <c r="Q976" s="491" t="s">
        <v>51</v>
      </c>
    </row>
    <row r="977" spans="1:17" s="338" customFormat="1">
      <c r="A977" s="512">
        <f t="shared" si="7"/>
        <v>130</v>
      </c>
      <c r="B977" s="493" t="s">
        <v>524</v>
      </c>
      <c r="C977" s="493" t="s">
        <v>44</v>
      </c>
      <c r="D977" s="493" t="s">
        <v>449</v>
      </c>
      <c r="E977" s="587" t="s">
        <v>1377</v>
      </c>
      <c r="F977" s="494" t="s">
        <v>491</v>
      </c>
      <c r="G977" s="494">
        <v>9847865544</v>
      </c>
      <c r="H977" s="491"/>
      <c r="I977" s="494">
        <v>25</v>
      </c>
      <c r="J977" s="493" t="s">
        <v>433</v>
      </c>
      <c r="K977" s="493" t="s">
        <v>709</v>
      </c>
      <c r="L977" s="493"/>
      <c r="M977" s="493" t="s">
        <v>1192</v>
      </c>
      <c r="N977" s="747">
        <v>65023</v>
      </c>
      <c r="O977" s="496">
        <v>65024</v>
      </c>
      <c r="P977" s="496">
        <v>65040</v>
      </c>
      <c r="Q977" s="491" t="s">
        <v>51</v>
      </c>
    </row>
    <row r="978" spans="1:17" s="338" customFormat="1">
      <c r="A978" s="512">
        <f t="shared" ref="A978:A1041" si="8">A977+1</f>
        <v>131</v>
      </c>
      <c r="B978" s="493" t="s">
        <v>524</v>
      </c>
      <c r="C978" s="493" t="s">
        <v>44</v>
      </c>
      <c r="D978" s="493" t="s">
        <v>449</v>
      </c>
      <c r="E978" s="587" t="s">
        <v>1406</v>
      </c>
      <c r="F978" s="494" t="s">
        <v>1008</v>
      </c>
      <c r="G978" s="494">
        <v>9857824603</v>
      </c>
      <c r="H978" s="491"/>
      <c r="I978" s="494">
        <v>32</v>
      </c>
      <c r="J978" s="493" t="s">
        <v>404</v>
      </c>
      <c r="K978" s="493" t="s">
        <v>709</v>
      </c>
      <c r="L978" s="493"/>
      <c r="M978" s="493" t="s">
        <v>1192</v>
      </c>
      <c r="N978" s="747">
        <v>65023</v>
      </c>
      <c r="O978" s="496">
        <v>65024</v>
      </c>
      <c r="P978" s="496">
        <v>65040</v>
      </c>
      <c r="Q978" s="491" t="s">
        <v>51</v>
      </c>
    </row>
    <row r="979" spans="1:17" s="338" customFormat="1">
      <c r="A979" s="512">
        <f t="shared" si="8"/>
        <v>132</v>
      </c>
      <c r="B979" s="493" t="s">
        <v>524</v>
      </c>
      <c r="C979" s="493" t="s">
        <v>44</v>
      </c>
      <c r="D979" s="493" t="s">
        <v>449</v>
      </c>
      <c r="E979" s="587" t="s">
        <v>1384</v>
      </c>
      <c r="F979" s="494" t="s">
        <v>502</v>
      </c>
      <c r="G979" s="494">
        <v>9847814802</v>
      </c>
      <c r="H979" s="491"/>
      <c r="I979" s="494">
        <v>42</v>
      </c>
      <c r="J979" s="493" t="s">
        <v>404</v>
      </c>
      <c r="K979" s="493" t="s">
        <v>709</v>
      </c>
      <c r="L979" s="493"/>
      <c r="M979" s="493" t="s">
        <v>1192</v>
      </c>
      <c r="N979" s="747">
        <v>65023</v>
      </c>
      <c r="O979" s="496">
        <v>65024</v>
      </c>
      <c r="P979" s="496">
        <v>65040</v>
      </c>
      <c r="Q979" s="491" t="s">
        <v>51</v>
      </c>
    </row>
    <row r="980" spans="1:17" s="338" customFormat="1">
      <c r="A980" s="512">
        <f t="shared" si="8"/>
        <v>133</v>
      </c>
      <c r="B980" s="493" t="s">
        <v>524</v>
      </c>
      <c r="C980" s="493" t="s">
        <v>44</v>
      </c>
      <c r="D980" s="493" t="s">
        <v>449</v>
      </c>
      <c r="E980" s="587" t="s">
        <v>1394</v>
      </c>
      <c r="F980" s="494" t="s">
        <v>491</v>
      </c>
      <c r="G980" s="494">
        <v>9847908358</v>
      </c>
      <c r="H980" s="491"/>
      <c r="I980" s="494">
        <v>28</v>
      </c>
      <c r="J980" s="493" t="s">
        <v>433</v>
      </c>
      <c r="K980" s="493" t="s">
        <v>709</v>
      </c>
      <c r="L980" s="493"/>
      <c r="M980" s="493" t="s">
        <v>1192</v>
      </c>
      <c r="N980" s="747">
        <v>65023</v>
      </c>
      <c r="O980" s="496">
        <v>65024</v>
      </c>
      <c r="P980" s="496">
        <v>65040</v>
      </c>
      <c r="Q980" s="491" t="s">
        <v>51</v>
      </c>
    </row>
    <row r="981" spans="1:17" s="338" customFormat="1">
      <c r="A981" s="512">
        <f t="shared" si="8"/>
        <v>134</v>
      </c>
      <c r="B981" s="493" t="s">
        <v>524</v>
      </c>
      <c r="C981" s="493" t="s">
        <v>44</v>
      </c>
      <c r="D981" s="493" t="s">
        <v>449</v>
      </c>
      <c r="E981" s="587" t="s">
        <v>1375</v>
      </c>
      <c r="F981" s="494" t="s">
        <v>491</v>
      </c>
      <c r="G981" s="494">
        <v>9847884396</v>
      </c>
      <c r="H981" s="491"/>
      <c r="I981" s="494">
        <v>35</v>
      </c>
      <c r="J981" s="493" t="s">
        <v>433</v>
      </c>
      <c r="K981" s="493" t="s">
        <v>709</v>
      </c>
      <c r="L981" s="493"/>
      <c r="M981" s="493" t="s">
        <v>1192</v>
      </c>
      <c r="N981" s="747">
        <v>65023</v>
      </c>
      <c r="O981" s="496">
        <v>65024</v>
      </c>
      <c r="P981" s="496">
        <v>65040</v>
      </c>
      <c r="Q981" s="491" t="s">
        <v>51</v>
      </c>
    </row>
    <row r="982" spans="1:17" s="338" customFormat="1">
      <c r="A982" s="512">
        <f t="shared" si="8"/>
        <v>135</v>
      </c>
      <c r="B982" s="493" t="s">
        <v>524</v>
      </c>
      <c r="C982" s="493" t="s">
        <v>44</v>
      </c>
      <c r="D982" s="493" t="s">
        <v>449</v>
      </c>
      <c r="E982" s="587" t="s">
        <v>1395</v>
      </c>
      <c r="F982" s="494" t="s">
        <v>441</v>
      </c>
      <c r="G982" s="494">
        <v>9809501443</v>
      </c>
      <c r="H982" s="491"/>
      <c r="I982" s="494">
        <v>20</v>
      </c>
      <c r="J982" s="493" t="s">
        <v>404</v>
      </c>
      <c r="K982" s="493" t="s">
        <v>709</v>
      </c>
      <c r="L982" s="493"/>
      <c r="M982" s="493" t="s">
        <v>1192</v>
      </c>
      <c r="N982" s="747">
        <v>65023</v>
      </c>
      <c r="O982" s="496">
        <v>65024</v>
      </c>
      <c r="P982" s="496">
        <v>65040</v>
      </c>
      <c r="Q982" s="491" t="s">
        <v>51</v>
      </c>
    </row>
    <row r="983" spans="1:17" s="338" customFormat="1">
      <c r="A983" s="512">
        <f t="shared" si="8"/>
        <v>136</v>
      </c>
      <c r="B983" s="493" t="s">
        <v>524</v>
      </c>
      <c r="C983" s="493" t="s">
        <v>44</v>
      </c>
      <c r="D983" s="493" t="s">
        <v>449</v>
      </c>
      <c r="E983" s="587" t="s">
        <v>1407</v>
      </c>
      <c r="F983" s="494" t="s">
        <v>491</v>
      </c>
      <c r="G983" s="494">
        <v>9841069011</v>
      </c>
      <c r="H983" s="491"/>
      <c r="I983" s="494">
        <v>34</v>
      </c>
      <c r="J983" s="493" t="s">
        <v>404</v>
      </c>
      <c r="K983" s="493" t="s">
        <v>1193</v>
      </c>
      <c r="L983" s="493"/>
      <c r="M983" s="493" t="s">
        <v>1192</v>
      </c>
      <c r="N983" s="747">
        <v>65023</v>
      </c>
      <c r="O983" s="496">
        <v>65024</v>
      </c>
      <c r="P983" s="496">
        <v>65040</v>
      </c>
      <c r="Q983" s="491" t="s">
        <v>51</v>
      </c>
    </row>
    <row r="984" spans="1:17" s="338" customFormat="1">
      <c r="A984" s="512">
        <f t="shared" si="8"/>
        <v>137</v>
      </c>
      <c r="B984" s="493" t="s">
        <v>524</v>
      </c>
      <c r="C984" s="493" t="s">
        <v>44</v>
      </c>
      <c r="D984" s="493" t="s">
        <v>449</v>
      </c>
      <c r="E984" s="587" t="s">
        <v>1405</v>
      </c>
      <c r="F984" s="494" t="s">
        <v>1008</v>
      </c>
      <c r="G984" s="494">
        <v>9844996177</v>
      </c>
      <c r="H984" s="491"/>
      <c r="I984" s="494">
        <v>61</v>
      </c>
      <c r="J984" s="493" t="s">
        <v>433</v>
      </c>
      <c r="K984" s="493" t="s">
        <v>709</v>
      </c>
      <c r="L984" s="493"/>
      <c r="M984" s="493" t="s">
        <v>1192</v>
      </c>
      <c r="N984" s="747">
        <v>65023</v>
      </c>
      <c r="O984" s="496">
        <v>65024</v>
      </c>
      <c r="P984" s="496">
        <v>65040</v>
      </c>
      <c r="Q984" s="491" t="s">
        <v>51</v>
      </c>
    </row>
    <row r="985" spans="1:17" s="338" customFormat="1">
      <c r="A985" s="512">
        <f t="shared" si="8"/>
        <v>138</v>
      </c>
      <c r="B985" s="493" t="s">
        <v>524</v>
      </c>
      <c r="C985" s="493" t="s">
        <v>44</v>
      </c>
      <c r="D985" s="493" t="s">
        <v>449</v>
      </c>
      <c r="E985" s="587" t="s">
        <v>1403</v>
      </c>
      <c r="F985" s="494" t="s">
        <v>557</v>
      </c>
      <c r="G985" s="494">
        <v>9847879760</v>
      </c>
      <c r="H985" s="491"/>
      <c r="I985" s="494">
        <v>33</v>
      </c>
      <c r="J985" s="493" t="s">
        <v>404</v>
      </c>
      <c r="K985" s="493" t="s">
        <v>709</v>
      </c>
      <c r="L985" s="493"/>
      <c r="M985" s="493" t="s">
        <v>1192</v>
      </c>
      <c r="N985" s="747">
        <v>65023</v>
      </c>
      <c r="O985" s="496">
        <v>65024</v>
      </c>
      <c r="P985" s="496">
        <v>65040</v>
      </c>
      <c r="Q985" s="491" t="s">
        <v>51</v>
      </c>
    </row>
    <row r="986" spans="1:17" s="338" customFormat="1">
      <c r="A986" s="512">
        <f t="shared" si="8"/>
        <v>139</v>
      </c>
      <c r="B986" s="493" t="s">
        <v>524</v>
      </c>
      <c r="C986" s="493" t="s">
        <v>44</v>
      </c>
      <c r="D986" s="493" t="s">
        <v>449</v>
      </c>
      <c r="E986" s="587" t="s">
        <v>1402</v>
      </c>
      <c r="F986" s="494" t="s">
        <v>791</v>
      </c>
      <c r="G986" s="494">
        <v>9841601389</v>
      </c>
      <c r="H986" s="491"/>
      <c r="I986" s="494">
        <v>44</v>
      </c>
      <c r="J986" s="493" t="s">
        <v>433</v>
      </c>
      <c r="K986" s="493" t="s">
        <v>709</v>
      </c>
      <c r="L986" s="493"/>
      <c r="M986" s="493" t="s">
        <v>1192</v>
      </c>
      <c r="N986" s="747">
        <v>65023</v>
      </c>
      <c r="O986" s="496">
        <v>65024</v>
      </c>
      <c r="P986" s="496">
        <v>65040</v>
      </c>
      <c r="Q986" s="491" t="s">
        <v>51</v>
      </c>
    </row>
    <row r="987" spans="1:17" s="338" customFormat="1">
      <c r="A987" s="512">
        <f t="shared" si="8"/>
        <v>140</v>
      </c>
      <c r="B987" s="493" t="s">
        <v>524</v>
      </c>
      <c r="C987" s="493" t="s">
        <v>44</v>
      </c>
      <c r="D987" s="493" t="s">
        <v>449</v>
      </c>
      <c r="E987" s="587" t="s">
        <v>1483</v>
      </c>
      <c r="F987" s="588" t="s">
        <v>124</v>
      </c>
      <c r="G987" s="494">
        <v>9847937806</v>
      </c>
      <c r="H987" s="491"/>
      <c r="I987" s="494">
        <v>48</v>
      </c>
      <c r="J987" s="493" t="s">
        <v>48</v>
      </c>
      <c r="K987" s="493" t="s">
        <v>1459</v>
      </c>
      <c r="L987" s="493"/>
      <c r="M987" s="493" t="s">
        <v>119</v>
      </c>
      <c r="N987" s="747">
        <v>65023</v>
      </c>
      <c r="O987" s="496">
        <v>65023</v>
      </c>
      <c r="P987" s="496">
        <v>65040</v>
      </c>
      <c r="Q987" s="491" t="s">
        <v>51</v>
      </c>
    </row>
    <row r="988" spans="1:17" s="338" customFormat="1">
      <c r="A988" s="512">
        <f t="shared" si="8"/>
        <v>141</v>
      </c>
      <c r="B988" s="493" t="s">
        <v>524</v>
      </c>
      <c r="C988" s="493" t="s">
        <v>44</v>
      </c>
      <c r="D988" s="493" t="s">
        <v>449</v>
      </c>
      <c r="E988" s="587" t="s">
        <v>1390</v>
      </c>
      <c r="F988" s="494" t="s">
        <v>491</v>
      </c>
      <c r="G988" s="494">
        <v>9857823718</v>
      </c>
      <c r="H988" s="491"/>
      <c r="I988" s="494">
        <v>60</v>
      </c>
      <c r="J988" s="493" t="s">
        <v>404</v>
      </c>
      <c r="K988" s="493" t="s">
        <v>709</v>
      </c>
      <c r="L988" s="493"/>
      <c r="M988" s="493" t="s">
        <v>1192</v>
      </c>
      <c r="N988" s="747">
        <v>65023</v>
      </c>
      <c r="O988" s="496">
        <v>65024</v>
      </c>
      <c r="P988" s="496">
        <v>65040</v>
      </c>
      <c r="Q988" s="491" t="s">
        <v>51</v>
      </c>
    </row>
    <row r="989" spans="1:17">
      <c r="A989" s="512">
        <f t="shared" si="8"/>
        <v>142</v>
      </c>
      <c r="B989" s="438" t="s">
        <v>524</v>
      </c>
      <c r="C989" s="438" t="s">
        <v>44</v>
      </c>
      <c r="D989" s="438" t="s">
        <v>449</v>
      </c>
      <c r="E989" s="568" t="s">
        <v>1379</v>
      </c>
      <c r="F989" s="437" t="s">
        <v>730</v>
      </c>
      <c r="G989" s="437">
        <v>9847823221</v>
      </c>
      <c r="H989" s="436"/>
      <c r="I989" s="437">
        <v>59</v>
      </c>
      <c r="J989" s="438" t="s">
        <v>404</v>
      </c>
      <c r="K989" s="438" t="s">
        <v>709</v>
      </c>
      <c r="L989" s="438"/>
      <c r="M989" s="438" t="s">
        <v>489</v>
      </c>
      <c r="N989" s="731">
        <v>65023</v>
      </c>
      <c r="O989" s="465">
        <v>65024</v>
      </c>
      <c r="P989" s="459">
        <v>65027</v>
      </c>
      <c r="Q989" s="432" t="s">
        <v>51</v>
      </c>
    </row>
    <row r="990" spans="1:17" s="338" customFormat="1">
      <c r="A990" s="512">
        <f t="shared" si="8"/>
        <v>143</v>
      </c>
      <c r="B990" s="493" t="s">
        <v>524</v>
      </c>
      <c r="C990" s="493" t="s">
        <v>44</v>
      </c>
      <c r="D990" s="493" t="s">
        <v>449</v>
      </c>
      <c r="E990" s="587" t="s">
        <v>1408</v>
      </c>
      <c r="F990" s="494" t="s">
        <v>598</v>
      </c>
      <c r="G990" s="494">
        <v>9847875759</v>
      </c>
      <c r="H990" s="491"/>
      <c r="I990" s="494">
        <v>50</v>
      </c>
      <c r="J990" s="493" t="s">
        <v>433</v>
      </c>
      <c r="K990" s="493" t="s">
        <v>1193</v>
      </c>
      <c r="L990" s="493"/>
      <c r="M990" s="493" t="s">
        <v>1192</v>
      </c>
      <c r="N990" s="747">
        <v>65023</v>
      </c>
      <c r="O990" s="496">
        <v>65024</v>
      </c>
      <c r="P990" s="496">
        <v>65040</v>
      </c>
      <c r="Q990" s="491" t="s">
        <v>51</v>
      </c>
    </row>
    <row r="991" spans="1:17" s="338" customFormat="1">
      <c r="A991" s="512">
        <f t="shared" si="8"/>
        <v>144</v>
      </c>
      <c r="B991" s="493" t="s">
        <v>524</v>
      </c>
      <c r="C991" s="493" t="s">
        <v>44</v>
      </c>
      <c r="D991" s="493" t="s">
        <v>449</v>
      </c>
      <c r="E991" s="587" t="s">
        <v>1383</v>
      </c>
      <c r="F991" s="494" t="s">
        <v>510</v>
      </c>
      <c r="G991" s="494">
        <v>9847846393</v>
      </c>
      <c r="H991" s="491"/>
      <c r="I991" s="494">
        <v>65</v>
      </c>
      <c r="J991" s="493" t="s">
        <v>404</v>
      </c>
      <c r="K991" s="493" t="s">
        <v>709</v>
      </c>
      <c r="L991" s="493"/>
      <c r="M991" s="493" t="s">
        <v>1192</v>
      </c>
      <c r="N991" s="747">
        <v>65023</v>
      </c>
      <c r="O991" s="496">
        <v>65024</v>
      </c>
      <c r="P991" s="496">
        <v>65040</v>
      </c>
      <c r="Q991" s="491" t="s">
        <v>51</v>
      </c>
    </row>
    <row r="992" spans="1:17" s="338" customFormat="1">
      <c r="A992" s="512">
        <f t="shared" si="8"/>
        <v>145</v>
      </c>
      <c r="B992" s="493" t="s">
        <v>524</v>
      </c>
      <c r="C992" s="493" t="s">
        <v>44</v>
      </c>
      <c r="D992" s="493" t="s">
        <v>449</v>
      </c>
      <c r="E992" s="587" t="s">
        <v>1484</v>
      </c>
      <c r="F992" s="588" t="s">
        <v>512</v>
      </c>
      <c r="G992" s="494"/>
      <c r="H992" s="491"/>
      <c r="I992" s="494">
        <v>55</v>
      </c>
      <c r="J992" s="493" t="s">
        <v>90</v>
      </c>
      <c r="K992" s="493" t="s">
        <v>1459</v>
      </c>
      <c r="L992" s="493"/>
      <c r="M992" s="493" t="s">
        <v>119</v>
      </c>
      <c r="N992" s="747">
        <v>65023</v>
      </c>
      <c r="O992" s="496">
        <v>65023</v>
      </c>
      <c r="P992" s="496">
        <v>65040</v>
      </c>
      <c r="Q992" s="491" t="s">
        <v>51</v>
      </c>
    </row>
    <row r="993" spans="1:31" s="338" customFormat="1">
      <c r="A993" s="512">
        <f t="shared" si="8"/>
        <v>146</v>
      </c>
      <c r="B993" s="493" t="s">
        <v>524</v>
      </c>
      <c r="C993" s="493" t="s">
        <v>44</v>
      </c>
      <c r="D993" s="493" t="s">
        <v>449</v>
      </c>
      <c r="E993" s="587" t="s">
        <v>1404</v>
      </c>
      <c r="F993" s="494" t="s">
        <v>1008</v>
      </c>
      <c r="G993" s="494">
        <v>9867671500</v>
      </c>
      <c r="H993" s="491"/>
      <c r="I993" s="494">
        <v>40</v>
      </c>
      <c r="J993" s="493" t="s">
        <v>404</v>
      </c>
      <c r="K993" s="493" t="s">
        <v>709</v>
      </c>
      <c r="L993" s="493"/>
      <c r="M993" s="493" t="s">
        <v>1192</v>
      </c>
      <c r="N993" s="747">
        <v>65023</v>
      </c>
      <c r="O993" s="496">
        <v>65024</v>
      </c>
      <c r="P993" s="496">
        <v>65040</v>
      </c>
      <c r="Q993" s="491" t="s">
        <v>51</v>
      </c>
    </row>
    <row r="994" spans="1:31" s="338" customFormat="1">
      <c r="A994" s="512">
        <f t="shared" si="8"/>
        <v>147</v>
      </c>
      <c r="B994" s="493" t="s">
        <v>524</v>
      </c>
      <c r="C994" s="493" t="s">
        <v>44</v>
      </c>
      <c r="D994" s="493" t="s">
        <v>449</v>
      </c>
      <c r="E994" s="587" t="s">
        <v>1374</v>
      </c>
      <c r="F994" s="494" t="s">
        <v>491</v>
      </c>
      <c r="G994" s="494">
        <v>9857825396</v>
      </c>
      <c r="H994" s="491"/>
      <c r="I994" s="494">
        <v>38</v>
      </c>
      <c r="J994" s="493" t="s">
        <v>404</v>
      </c>
      <c r="K994" s="493" t="s">
        <v>709</v>
      </c>
      <c r="L994" s="493"/>
      <c r="M994" s="493" t="s">
        <v>1192</v>
      </c>
      <c r="N994" s="747">
        <v>65023</v>
      </c>
      <c r="O994" s="496">
        <v>65024</v>
      </c>
      <c r="P994" s="496">
        <v>65040</v>
      </c>
      <c r="Q994" s="491" t="s">
        <v>51</v>
      </c>
    </row>
    <row r="995" spans="1:31" s="338" customFormat="1">
      <c r="A995" s="512">
        <f t="shared" si="8"/>
        <v>148</v>
      </c>
      <c r="B995" s="493" t="s">
        <v>524</v>
      </c>
      <c r="C995" s="493" t="s">
        <v>44</v>
      </c>
      <c r="D995" s="493" t="s">
        <v>449</v>
      </c>
      <c r="E995" s="587" t="s">
        <v>1386</v>
      </c>
      <c r="F995" s="494" t="s">
        <v>491</v>
      </c>
      <c r="G995" s="494">
        <v>9844967449</v>
      </c>
      <c r="H995" s="491"/>
      <c r="I995" s="494">
        <v>43</v>
      </c>
      <c r="J995" s="493" t="s">
        <v>433</v>
      </c>
      <c r="K995" s="493" t="s">
        <v>709</v>
      </c>
      <c r="L995" s="493"/>
      <c r="M995" s="493" t="s">
        <v>1192</v>
      </c>
      <c r="N995" s="747">
        <v>65023</v>
      </c>
      <c r="O995" s="496">
        <v>65024</v>
      </c>
      <c r="P995" s="496">
        <v>65040</v>
      </c>
      <c r="Q995" s="491" t="s">
        <v>51</v>
      </c>
    </row>
    <row r="996" spans="1:31" s="338" customFormat="1">
      <c r="A996" s="512">
        <f t="shared" si="8"/>
        <v>149</v>
      </c>
      <c r="B996" s="493" t="s">
        <v>524</v>
      </c>
      <c r="C996" s="493" t="s">
        <v>44</v>
      </c>
      <c r="D996" s="493" t="s">
        <v>449</v>
      </c>
      <c r="E996" s="587" t="s">
        <v>1387</v>
      </c>
      <c r="F996" s="494" t="s">
        <v>491</v>
      </c>
      <c r="G996" s="494">
        <v>9851118273</v>
      </c>
      <c r="H996" s="491"/>
      <c r="I996" s="494">
        <v>67</v>
      </c>
      <c r="J996" s="493" t="s">
        <v>433</v>
      </c>
      <c r="K996" s="493" t="s">
        <v>709</v>
      </c>
      <c r="L996" s="493"/>
      <c r="M996" s="493" t="s">
        <v>1192</v>
      </c>
      <c r="N996" s="747">
        <v>65023</v>
      </c>
      <c r="O996" s="496">
        <v>65024</v>
      </c>
      <c r="P996" s="496">
        <v>65040</v>
      </c>
      <c r="Q996" s="491" t="s">
        <v>51</v>
      </c>
    </row>
    <row r="997" spans="1:31" s="338" customFormat="1">
      <c r="A997" s="512">
        <f t="shared" si="8"/>
        <v>150</v>
      </c>
      <c r="B997" s="493" t="s">
        <v>524</v>
      </c>
      <c r="C997" s="493" t="s">
        <v>44</v>
      </c>
      <c r="D997" s="493" t="s">
        <v>449</v>
      </c>
      <c r="E997" s="587" t="s">
        <v>1401</v>
      </c>
      <c r="F997" s="494" t="s">
        <v>791</v>
      </c>
      <c r="G997" s="494">
        <v>9841601389</v>
      </c>
      <c r="H997" s="491"/>
      <c r="I997" s="494">
        <v>55</v>
      </c>
      <c r="J997" s="493" t="s">
        <v>404</v>
      </c>
      <c r="K997" s="493" t="s">
        <v>709</v>
      </c>
      <c r="L997" s="493"/>
      <c r="M997" s="493" t="s">
        <v>1192</v>
      </c>
      <c r="N997" s="747">
        <v>65023</v>
      </c>
      <c r="O997" s="496">
        <v>65024</v>
      </c>
      <c r="P997" s="496">
        <v>65040</v>
      </c>
      <c r="Q997" s="491" t="s">
        <v>51</v>
      </c>
    </row>
    <row r="998" spans="1:31" s="163" customFormat="1">
      <c r="A998" s="512">
        <f t="shared" si="8"/>
        <v>151</v>
      </c>
      <c r="B998" s="438" t="s">
        <v>524</v>
      </c>
      <c r="C998" s="438" t="s">
        <v>44</v>
      </c>
      <c r="D998" s="438" t="s">
        <v>449</v>
      </c>
      <c r="E998" s="568" t="s">
        <v>1400</v>
      </c>
      <c r="F998" s="437" t="s">
        <v>791</v>
      </c>
      <c r="G998" s="437">
        <v>9857824000</v>
      </c>
      <c r="H998" s="436"/>
      <c r="I998" s="437">
        <v>67</v>
      </c>
      <c r="J998" s="438" t="s">
        <v>404</v>
      </c>
      <c r="K998" s="438" t="s">
        <v>709</v>
      </c>
      <c r="L998" s="438"/>
      <c r="M998" s="438" t="s">
        <v>489</v>
      </c>
      <c r="N998" s="731">
        <v>65023</v>
      </c>
      <c r="O998" s="465">
        <v>65024</v>
      </c>
      <c r="P998" s="459">
        <v>65046</v>
      </c>
      <c r="Q998" s="491" t="s">
        <v>51</v>
      </c>
      <c r="R998" s="322"/>
      <c r="S998" s="322"/>
      <c r="T998" s="322"/>
      <c r="U998" s="322"/>
      <c r="V998" s="322"/>
      <c r="W998" s="322"/>
      <c r="X998" s="322"/>
      <c r="Y998" s="322"/>
      <c r="Z998" s="322"/>
      <c r="AA998" s="322"/>
      <c r="AB998" s="322"/>
      <c r="AC998" s="322"/>
      <c r="AD998" s="322"/>
      <c r="AE998" s="322"/>
    </row>
    <row r="999" spans="1:31" s="338" customFormat="1">
      <c r="A999" s="512">
        <f t="shared" si="8"/>
        <v>152</v>
      </c>
      <c r="B999" s="493" t="s">
        <v>524</v>
      </c>
      <c r="C999" s="493" t="s">
        <v>44</v>
      </c>
      <c r="D999" s="493" t="s">
        <v>449</v>
      </c>
      <c r="E999" s="587" t="s">
        <v>1376</v>
      </c>
      <c r="F999" s="494" t="s">
        <v>491</v>
      </c>
      <c r="G999" s="494">
        <v>9813252143</v>
      </c>
      <c r="H999" s="491"/>
      <c r="I999" s="494">
        <v>60</v>
      </c>
      <c r="J999" s="493" t="s">
        <v>433</v>
      </c>
      <c r="K999" s="493" t="s">
        <v>709</v>
      </c>
      <c r="L999" s="493"/>
      <c r="M999" s="493" t="s">
        <v>1192</v>
      </c>
      <c r="N999" s="747">
        <v>65023</v>
      </c>
      <c r="O999" s="496">
        <v>65024</v>
      </c>
      <c r="P999" s="496">
        <v>65040</v>
      </c>
      <c r="Q999" s="491" t="s">
        <v>51</v>
      </c>
    </row>
    <row r="1000" spans="1:31" s="338" customFormat="1">
      <c r="A1000" s="512">
        <f t="shared" si="8"/>
        <v>153</v>
      </c>
      <c r="B1000" s="493" t="s">
        <v>524</v>
      </c>
      <c r="C1000" s="493" t="s">
        <v>44</v>
      </c>
      <c r="D1000" s="493" t="s">
        <v>449</v>
      </c>
      <c r="E1000" s="587" t="s">
        <v>1392</v>
      </c>
      <c r="F1000" s="494" t="s">
        <v>491</v>
      </c>
      <c r="G1000" s="494">
        <v>9857820566</v>
      </c>
      <c r="H1000" s="491"/>
      <c r="I1000" s="494">
        <v>40</v>
      </c>
      <c r="J1000" s="493" t="s">
        <v>404</v>
      </c>
      <c r="K1000" s="493" t="s">
        <v>709</v>
      </c>
      <c r="L1000" s="493"/>
      <c r="M1000" s="493" t="s">
        <v>1192</v>
      </c>
      <c r="N1000" s="747">
        <v>65023</v>
      </c>
      <c r="O1000" s="496">
        <v>65024</v>
      </c>
      <c r="P1000" s="496">
        <v>65040</v>
      </c>
      <c r="Q1000" s="491" t="s">
        <v>51</v>
      </c>
    </row>
    <row r="1001" spans="1:31" s="338" customFormat="1">
      <c r="A1001" s="512">
        <f t="shared" si="8"/>
        <v>154</v>
      </c>
      <c r="B1001" s="493" t="s">
        <v>524</v>
      </c>
      <c r="C1001" s="493" t="s">
        <v>44</v>
      </c>
      <c r="D1001" s="493" t="s">
        <v>449</v>
      </c>
      <c r="E1001" s="587" t="s">
        <v>1399</v>
      </c>
      <c r="F1001" s="494" t="s">
        <v>124</v>
      </c>
      <c r="G1001" s="494">
        <v>9847901611</v>
      </c>
      <c r="H1001" s="491"/>
      <c r="I1001" s="494">
        <v>28</v>
      </c>
      <c r="J1001" s="493" t="s">
        <v>404</v>
      </c>
      <c r="K1001" s="493" t="s">
        <v>709</v>
      </c>
      <c r="L1001" s="493"/>
      <c r="M1001" s="493" t="s">
        <v>1192</v>
      </c>
      <c r="N1001" s="747">
        <v>65023</v>
      </c>
      <c r="O1001" s="496">
        <v>65024</v>
      </c>
      <c r="P1001" s="496">
        <v>65040</v>
      </c>
      <c r="Q1001" s="491" t="s">
        <v>51</v>
      </c>
    </row>
    <row r="1002" spans="1:31" s="338" customFormat="1">
      <c r="A1002" s="512">
        <f t="shared" si="8"/>
        <v>155</v>
      </c>
      <c r="B1002" s="493" t="s">
        <v>524</v>
      </c>
      <c r="C1002" s="493" t="s">
        <v>44</v>
      </c>
      <c r="D1002" s="493" t="s">
        <v>449</v>
      </c>
      <c r="E1002" s="587" t="s">
        <v>1381</v>
      </c>
      <c r="F1002" s="494" t="s">
        <v>598</v>
      </c>
      <c r="G1002" s="494">
        <v>9857823038</v>
      </c>
      <c r="H1002" s="491"/>
      <c r="I1002" s="494">
        <v>31</v>
      </c>
      <c r="J1002" s="493" t="s">
        <v>404</v>
      </c>
      <c r="K1002" s="493" t="s">
        <v>709</v>
      </c>
      <c r="L1002" s="493"/>
      <c r="M1002" s="493" t="s">
        <v>1192</v>
      </c>
      <c r="N1002" s="747">
        <v>65023</v>
      </c>
      <c r="O1002" s="496">
        <v>65024</v>
      </c>
      <c r="P1002" s="496">
        <v>65040</v>
      </c>
      <c r="Q1002" s="491" t="s">
        <v>51</v>
      </c>
    </row>
    <row r="1003" spans="1:31" s="338" customFormat="1">
      <c r="A1003" s="512">
        <f t="shared" si="8"/>
        <v>156</v>
      </c>
      <c r="B1003" s="493" t="s">
        <v>524</v>
      </c>
      <c r="C1003" s="493" t="s">
        <v>44</v>
      </c>
      <c r="D1003" s="493" t="s">
        <v>449</v>
      </c>
      <c r="E1003" s="587" t="s">
        <v>1410</v>
      </c>
      <c r="F1003" s="494" t="s">
        <v>491</v>
      </c>
      <c r="G1003" s="494">
        <v>9847887097</v>
      </c>
      <c r="H1003" s="491"/>
      <c r="I1003" s="494">
        <v>58</v>
      </c>
      <c r="J1003" s="493" t="s">
        <v>433</v>
      </c>
      <c r="K1003" s="493" t="s">
        <v>1193</v>
      </c>
      <c r="L1003" s="493"/>
      <c r="M1003" s="493" t="s">
        <v>1192</v>
      </c>
      <c r="N1003" s="747">
        <v>65023</v>
      </c>
      <c r="O1003" s="496">
        <v>65024</v>
      </c>
      <c r="P1003" s="496">
        <v>65040</v>
      </c>
      <c r="Q1003" s="491" t="s">
        <v>51</v>
      </c>
    </row>
    <row r="1004" spans="1:31" s="338" customFormat="1">
      <c r="A1004" s="512">
        <f t="shared" si="8"/>
        <v>157</v>
      </c>
      <c r="B1004" s="493" t="s">
        <v>524</v>
      </c>
      <c r="C1004" s="493" t="s">
        <v>44</v>
      </c>
      <c r="D1004" s="493" t="s">
        <v>449</v>
      </c>
      <c r="E1004" s="587" t="s">
        <v>1398</v>
      </c>
      <c r="F1004" s="494" t="s">
        <v>124</v>
      </c>
      <c r="G1004" s="494">
        <v>9843774982</v>
      </c>
      <c r="H1004" s="491"/>
      <c r="I1004" s="494">
        <v>25</v>
      </c>
      <c r="J1004" s="493" t="s">
        <v>404</v>
      </c>
      <c r="K1004" s="493" t="s">
        <v>709</v>
      </c>
      <c r="L1004" s="493"/>
      <c r="M1004" s="493" t="s">
        <v>1192</v>
      </c>
      <c r="N1004" s="747">
        <v>65023</v>
      </c>
      <c r="O1004" s="496">
        <v>65024</v>
      </c>
      <c r="P1004" s="496">
        <v>65040</v>
      </c>
      <c r="Q1004" s="491" t="s">
        <v>51</v>
      </c>
    </row>
    <row r="1005" spans="1:31" s="338" customFormat="1">
      <c r="A1005" s="512">
        <f t="shared" si="8"/>
        <v>158</v>
      </c>
      <c r="B1005" s="493" t="s">
        <v>524</v>
      </c>
      <c r="C1005" s="493" t="s">
        <v>44</v>
      </c>
      <c r="D1005" s="493" t="s">
        <v>449</v>
      </c>
      <c r="E1005" s="587" t="s">
        <v>1409</v>
      </c>
      <c r="F1005" s="494" t="s">
        <v>598</v>
      </c>
      <c r="G1005" s="494">
        <v>9847875759</v>
      </c>
      <c r="H1005" s="491"/>
      <c r="I1005" s="494">
        <v>22</v>
      </c>
      <c r="J1005" s="493" t="s">
        <v>433</v>
      </c>
      <c r="K1005" s="493" t="s">
        <v>1193</v>
      </c>
      <c r="L1005" s="493"/>
      <c r="M1005" s="493" t="s">
        <v>1192</v>
      </c>
      <c r="N1005" s="747">
        <v>65023</v>
      </c>
      <c r="O1005" s="496">
        <v>65024</v>
      </c>
      <c r="P1005" s="496">
        <v>65040</v>
      </c>
      <c r="Q1005" s="491" t="s">
        <v>51</v>
      </c>
    </row>
    <row r="1006" spans="1:31" s="338" customFormat="1">
      <c r="A1006" s="512">
        <f t="shared" si="8"/>
        <v>159</v>
      </c>
      <c r="B1006" s="493" t="s">
        <v>524</v>
      </c>
      <c r="C1006" s="493" t="s">
        <v>44</v>
      </c>
      <c r="D1006" s="493" t="s">
        <v>449</v>
      </c>
      <c r="E1006" s="587" t="s">
        <v>1382</v>
      </c>
      <c r="F1006" s="494" t="s">
        <v>598</v>
      </c>
      <c r="G1006" s="494">
        <v>9857823038</v>
      </c>
      <c r="H1006" s="491"/>
      <c r="I1006" s="494">
        <v>22</v>
      </c>
      <c r="J1006" s="493" t="s">
        <v>433</v>
      </c>
      <c r="K1006" s="493" t="s">
        <v>709</v>
      </c>
      <c r="L1006" s="493"/>
      <c r="M1006" s="493" t="s">
        <v>1192</v>
      </c>
      <c r="N1006" s="747">
        <v>65023</v>
      </c>
      <c r="O1006" s="496">
        <v>65024</v>
      </c>
      <c r="P1006" s="496">
        <v>65040</v>
      </c>
      <c r="Q1006" s="491" t="s">
        <v>51</v>
      </c>
    </row>
    <row r="1007" spans="1:31" s="338" customFormat="1">
      <c r="A1007" s="512">
        <f t="shared" si="8"/>
        <v>160</v>
      </c>
      <c r="B1007" s="493" t="s">
        <v>524</v>
      </c>
      <c r="C1007" s="493" t="s">
        <v>44</v>
      </c>
      <c r="D1007" s="493" t="s">
        <v>449</v>
      </c>
      <c r="E1007" s="587" t="s">
        <v>1397</v>
      </c>
      <c r="F1007" s="494" t="s">
        <v>124</v>
      </c>
      <c r="G1007" s="494">
        <v>9810978844</v>
      </c>
      <c r="H1007" s="491"/>
      <c r="I1007" s="494">
        <v>46</v>
      </c>
      <c r="J1007" s="493" t="s">
        <v>404</v>
      </c>
      <c r="K1007" s="493" t="s">
        <v>709</v>
      </c>
      <c r="L1007" s="493"/>
      <c r="M1007" s="493" t="s">
        <v>1192</v>
      </c>
      <c r="N1007" s="747">
        <v>65023</v>
      </c>
      <c r="O1007" s="496">
        <v>65024</v>
      </c>
      <c r="P1007" s="496">
        <v>65040</v>
      </c>
      <c r="Q1007" s="491" t="s">
        <v>51</v>
      </c>
    </row>
    <row r="1008" spans="1:31" s="338" customFormat="1">
      <c r="A1008" s="512">
        <f t="shared" si="8"/>
        <v>161</v>
      </c>
      <c r="B1008" s="493" t="s">
        <v>524</v>
      </c>
      <c r="C1008" s="493" t="s">
        <v>44</v>
      </c>
      <c r="D1008" s="493" t="s">
        <v>449</v>
      </c>
      <c r="E1008" s="587" t="s">
        <v>1391</v>
      </c>
      <c r="F1008" s="494" t="s">
        <v>491</v>
      </c>
      <c r="G1008" s="494">
        <v>9810844138</v>
      </c>
      <c r="H1008" s="491"/>
      <c r="I1008" s="494">
        <v>18</v>
      </c>
      <c r="J1008" s="493" t="s">
        <v>433</v>
      </c>
      <c r="K1008" s="493" t="s">
        <v>709</v>
      </c>
      <c r="L1008" s="493"/>
      <c r="M1008" s="493" t="s">
        <v>1192</v>
      </c>
      <c r="N1008" s="747">
        <v>65023</v>
      </c>
      <c r="O1008" s="496">
        <v>65024</v>
      </c>
      <c r="P1008" s="496">
        <v>65040</v>
      </c>
      <c r="Q1008" s="491" t="s">
        <v>51</v>
      </c>
    </row>
    <row r="1009" spans="1:17" s="338" customFormat="1">
      <c r="A1009" s="512">
        <f t="shared" si="8"/>
        <v>162</v>
      </c>
      <c r="B1009" s="493" t="s">
        <v>524</v>
      </c>
      <c r="C1009" s="493" t="s">
        <v>44</v>
      </c>
      <c r="D1009" s="493" t="s">
        <v>449</v>
      </c>
      <c r="E1009" s="587" t="s">
        <v>1385</v>
      </c>
      <c r="F1009" s="494" t="s">
        <v>491</v>
      </c>
      <c r="G1009" s="494">
        <v>9869879411</v>
      </c>
      <c r="H1009" s="491"/>
      <c r="I1009" s="494">
        <v>42</v>
      </c>
      <c r="J1009" s="493" t="s">
        <v>433</v>
      </c>
      <c r="K1009" s="493" t="s">
        <v>709</v>
      </c>
      <c r="L1009" s="493"/>
      <c r="M1009" s="493" t="s">
        <v>1192</v>
      </c>
      <c r="N1009" s="747">
        <v>65023</v>
      </c>
      <c r="O1009" s="496">
        <v>65024</v>
      </c>
      <c r="P1009" s="496">
        <v>65040</v>
      </c>
      <c r="Q1009" s="491" t="s">
        <v>51</v>
      </c>
    </row>
    <row r="1010" spans="1:17">
      <c r="A1010" s="512">
        <f t="shared" si="8"/>
        <v>163</v>
      </c>
      <c r="B1010" s="438" t="s">
        <v>524</v>
      </c>
      <c r="C1010" s="438" t="s">
        <v>44</v>
      </c>
      <c r="D1010" s="438" t="s">
        <v>449</v>
      </c>
      <c r="E1010" s="568" t="s">
        <v>1378</v>
      </c>
      <c r="F1010" s="437" t="s">
        <v>502</v>
      </c>
      <c r="G1010" s="437">
        <v>9809803514</v>
      </c>
      <c r="H1010" s="436"/>
      <c r="I1010" s="437">
        <v>34</v>
      </c>
      <c r="J1010" s="438" t="s">
        <v>433</v>
      </c>
      <c r="K1010" s="438" t="s">
        <v>709</v>
      </c>
      <c r="L1010" s="438"/>
      <c r="M1010" s="438" t="s">
        <v>489</v>
      </c>
      <c r="N1010" s="731">
        <v>65023</v>
      </c>
      <c r="O1010" s="465">
        <v>65024</v>
      </c>
      <c r="P1010" s="459">
        <v>65027</v>
      </c>
      <c r="Q1010" s="432" t="s">
        <v>51</v>
      </c>
    </row>
    <row r="1011" spans="1:17" s="338" customFormat="1">
      <c r="A1011" s="512">
        <f t="shared" si="8"/>
        <v>164</v>
      </c>
      <c r="B1011" s="493" t="s">
        <v>524</v>
      </c>
      <c r="C1011" s="493" t="s">
        <v>44</v>
      </c>
      <c r="D1011" s="493" t="s">
        <v>449</v>
      </c>
      <c r="E1011" s="587" t="s">
        <v>1396</v>
      </c>
      <c r="F1011" s="494" t="s">
        <v>441</v>
      </c>
      <c r="G1011" s="494">
        <v>9822843956</v>
      </c>
      <c r="H1011" s="491"/>
      <c r="I1011" s="494">
        <v>52</v>
      </c>
      <c r="J1011" s="493" t="s">
        <v>404</v>
      </c>
      <c r="K1011" s="493" t="s">
        <v>709</v>
      </c>
      <c r="L1011" s="493"/>
      <c r="M1011" s="493" t="s">
        <v>1192</v>
      </c>
      <c r="N1011" s="747">
        <v>65023</v>
      </c>
      <c r="O1011" s="496">
        <v>65024</v>
      </c>
      <c r="P1011" s="496">
        <v>65040</v>
      </c>
      <c r="Q1011" s="491" t="s">
        <v>51</v>
      </c>
    </row>
    <row r="1012" spans="1:17" s="338" customFormat="1">
      <c r="A1012" s="512">
        <f t="shared" si="8"/>
        <v>165</v>
      </c>
      <c r="B1012" s="493" t="s">
        <v>524</v>
      </c>
      <c r="C1012" s="493" t="s">
        <v>44</v>
      </c>
      <c r="D1012" s="493" t="s">
        <v>449</v>
      </c>
      <c r="E1012" s="587" t="s">
        <v>1373</v>
      </c>
      <c r="F1012" s="494" t="s">
        <v>1204</v>
      </c>
      <c r="G1012" s="494">
        <v>9847834265</v>
      </c>
      <c r="H1012" s="491"/>
      <c r="I1012" s="494">
        <v>57</v>
      </c>
      <c r="J1012" s="493" t="s">
        <v>404</v>
      </c>
      <c r="K1012" s="493" t="s">
        <v>709</v>
      </c>
      <c r="L1012" s="493"/>
      <c r="M1012" s="493" t="s">
        <v>1192</v>
      </c>
      <c r="N1012" s="747">
        <v>65023</v>
      </c>
      <c r="O1012" s="496">
        <v>65024</v>
      </c>
      <c r="P1012" s="496">
        <v>65040</v>
      </c>
      <c r="Q1012" s="491" t="s">
        <v>51</v>
      </c>
    </row>
    <row r="1013" spans="1:17" s="338" customFormat="1">
      <c r="A1013" s="512">
        <f t="shared" si="8"/>
        <v>166</v>
      </c>
      <c r="B1013" s="493" t="s">
        <v>524</v>
      </c>
      <c r="C1013" s="493" t="s">
        <v>44</v>
      </c>
      <c r="D1013" s="493" t="s">
        <v>449</v>
      </c>
      <c r="E1013" s="587" t="s">
        <v>1393</v>
      </c>
      <c r="F1013" s="494" t="s">
        <v>491</v>
      </c>
      <c r="G1013" s="494">
        <v>9844981414</v>
      </c>
      <c r="H1013" s="491"/>
      <c r="I1013" s="494">
        <v>62</v>
      </c>
      <c r="J1013" s="493" t="s">
        <v>433</v>
      </c>
      <c r="K1013" s="493" t="s">
        <v>709</v>
      </c>
      <c r="L1013" s="493"/>
      <c r="M1013" s="493" t="s">
        <v>1192</v>
      </c>
      <c r="N1013" s="747">
        <v>65023</v>
      </c>
      <c r="O1013" s="496">
        <v>65024</v>
      </c>
      <c r="P1013" s="496">
        <v>65040</v>
      </c>
      <c r="Q1013" s="491" t="s">
        <v>51</v>
      </c>
    </row>
    <row r="1014" spans="1:17">
      <c r="A1014" s="512">
        <f t="shared" si="8"/>
        <v>167</v>
      </c>
      <c r="B1014" s="438" t="s">
        <v>524</v>
      </c>
      <c r="C1014" s="438" t="s">
        <v>44</v>
      </c>
      <c r="D1014" s="438" t="s">
        <v>449</v>
      </c>
      <c r="E1014" s="568" t="s">
        <v>1380</v>
      </c>
      <c r="F1014" s="437" t="s">
        <v>730</v>
      </c>
      <c r="G1014" s="437">
        <v>9847823221</v>
      </c>
      <c r="H1014" s="436"/>
      <c r="I1014" s="437">
        <v>55</v>
      </c>
      <c r="J1014" s="438" t="s">
        <v>433</v>
      </c>
      <c r="K1014" s="438" t="s">
        <v>709</v>
      </c>
      <c r="L1014" s="438"/>
      <c r="M1014" s="438" t="s">
        <v>489</v>
      </c>
      <c r="N1014" s="731">
        <v>65023</v>
      </c>
      <c r="O1014" s="465">
        <v>65024</v>
      </c>
      <c r="P1014" s="459">
        <v>65027</v>
      </c>
      <c r="Q1014" s="432" t="s">
        <v>51</v>
      </c>
    </row>
    <row r="1015" spans="1:17" s="338" customFormat="1">
      <c r="A1015" s="512">
        <f t="shared" si="8"/>
        <v>168</v>
      </c>
      <c r="B1015" s="493" t="s">
        <v>524</v>
      </c>
      <c r="C1015" s="493" t="s">
        <v>44</v>
      </c>
      <c r="D1015" s="493" t="s">
        <v>449</v>
      </c>
      <c r="E1015" s="587" t="s">
        <v>1389</v>
      </c>
      <c r="F1015" s="494" t="s">
        <v>491</v>
      </c>
      <c r="G1015" s="494">
        <v>9857823682</v>
      </c>
      <c r="H1015" s="491"/>
      <c r="I1015" s="494">
        <v>35</v>
      </c>
      <c r="J1015" s="493" t="s">
        <v>433</v>
      </c>
      <c r="K1015" s="493" t="s">
        <v>709</v>
      </c>
      <c r="L1015" s="493"/>
      <c r="M1015" s="493" t="s">
        <v>1192</v>
      </c>
      <c r="N1015" s="747">
        <v>65023</v>
      </c>
      <c r="O1015" s="496">
        <v>65024</v>
      </c>
      <c r="P1015" s="496">
        <v>65040</v>
      </c>
      <c r="Q1015" s="491" t="s">
        <v>51</v>
      </c>
    </row>
    <row r="1016" spans="1:17" s="338" customFormat="1">
      <c r="A1016" s="512">
        <f t="shared" si="8"/>
        <v>169</v>
      </c>
      <c r="B1016" s="493" t="s">
        <v>524</v>
      </c>
      <c r="C1016" s="493" t="s">
        <v>44</v>
      </c>
      <c r="D1016" s="493" t="s">
        <v>449</v>
      </c>
      <c r="E1016" s="587" t="s">
        <v>1426</v>
      </c>
      <c r="F1016" s="494" t="s">
        <v>491</v>
      </c>
      <c r="G1016" s="494">
        <v>9857824123</v>
      </c>
      <c r="H1016" s="491"/>
      <c r="I1016" s="494">
        <v>38</v>
      </c>
      <c r="J1016" s="493" t="s">
        <v>433</v>
      </c>
      <c r="K1016" s="493" t="s">
        <v>709</v>
      </c>
      <c r="L1016" s="493"/>
      <c r="M1016" s="493" t="s">
        <v>1192</v>
      </c>
      <c r="N1016" s="747">
        <v>65024</v>
      </c>
      <c r="O1016" s="496">
        <v>65024</v>
      </c>
      <c r="P1016" s="496">
        <v>65040</v>
      </c>
      <c r="Q1016" s="491" t="s">
        <v>51</v>
      </c>
    </row>
    <row r="1017" spans="1:17" s="338" customFormat="1">
      <c r="A1017" s="512">
        <f t="shared" si="8"/>
        <v>170</v>
      </c>
      <c r="B1017" s="493" t="s">
        <v>524</v>
      </c>
      <c r="C1017" s="493" t="s">
        <v>44</v>
      </c>
      <c r="D1017" s="493" t="s">
        <v>449</v>
      </c>
      <c r="E1017" s="587" t="s">
        <v>1433</v>
      </c>
      <c r="F1017" s="494" t="s">
        <v>491</v>
      </c>
      <c r="G1017" s="494">
        <v>9807945641</v>
      </c>
      <c r="H1017" s="491"/>
      <c r="I1017" s="494">
        <v>23</v>
      </c>
      <c r="J1017" s="493" t="s">
        <v>404</v>
      </c>
      <c r="K1017" s="493" t="s">
        <v>709</v>
      </c>
      <c r="L1017" s="493"/>
      <c r="M1017" s="493" t="s">
        <v>1192</v>
      </c>
      <c r="N1017" s="747">
        <v>65024</v>
      </c>
      <c r="O1017" s="496">
        <v>65024</v>
      </c>
      <c r="P1017" s="496">
        <v>65040</v>
      </c>
      <c r="Q1017" s="491" t="s">
        <v>51</v>
      </c>
    </row>
    <row r="1018" spans="1:17" s="338" customFormat="1">
      <c r="A1018" s="512">
        <f t="shared" si="8"/>
        <v>171</v>
      </c>
      <c r="B1018" s="493" t="s">
        <v>524</v>
      </c>
      <c r="C1018" s="493" t="s">
        <v>44</v>
      </c>
      <c r="D1018" s="493" t="s">
        <v>449</v>
      </c>
      <c r="E1018" s="587" t="s">
        <v>1439</v>
      </c>
      <c r="F1018" s="494" t="s">
        <v>491</v>
      </c>
      <c r="G1018" s="494">
        <v>9847938663</v>
      </c>
      <c r="H1018" s="491"/>
      <c r="I1018" s="494">
        <v>35</v>
      </c>
      <c r="J1018" s="493" t="s">
        <v>433</v>
      </c>
      <c r="K1018" s="493" t="s">
        <v>709</v>
      </c>
      <c r="L1018" s="493"/>
      <c r="M1018" s="493" t="s">
        <v>1192</v>
      </c>
      <c r="N1018" s="747">
        <v>65024</v>
      </c>
      <c r="O1018" s="496">
        <v>65024</v>
      </c>
      <c r="P1018" s="496">
        <v>65040</v>
      </c>
      <c r="Q1018" s="491" t="s">
        <v>51</v>
      </c>
    </row>
    <row r="1019" spans="1:17" s="338" customFormat="1">
      <c r="A1019" s="512">
        <f t="shared" si="8"/>
        <v>172</v>
      </c>
      <c r="B1019" s="493" t="s">
        <v>524</v>
      </c>
      <c r="C1019" s="493" t="s">
        <v>44</v>
      </c>
      <c r="D1019" s="493" t="s">
        <v>449</v>
      </c>
      <c r="E1019" s="587" t="s">
        <v>1425</v>
      </c>
      <c r="F1019" s="494" t="s">
        <v>491</v>
      </c>
      <c r="G1019" s="494">
        <v>9857824123</v>
      </c>
      <c r="H1019" s="491"/>
      <c r="I1019" s="494">
        <v>18</v>
      </c>
      <c r="J1019" s="493" t="s">
        <v>433</v>
      </c>
      <c r="K1019" s="493" t="s">
        <v>709</v>
      </c>
      <c r="L1019" s="493"/>
      <c r="M1019" s="493" t="s">
        <v>1192</v>
      </c>
      <c r="N1019" s="747">
        <v>65024</v>
      </c>
      <c r="O1019" s="496">
        <v>65024</v>
      </c>
      <c r="P1019" s="496">
        <v>65040</v>
      </c>
      <c r="Q1019" s="491" t="s">
        <v>51</v>
      </c>
    </row>
    <row r="1020" spans="1:17" s="338" customFormat="1">
      <c r="A1020" s="512">
        <f t="shared" si="8"/>
        <v>173</v>
      </c>
      <c r="B1020" s="493" t="s">
        <v>524</v>
      </c>
      <c r="C1020" s="493" t="s">
        <v>44</v>
      </c>
      <c r="D1020" s="493" t="s">
        <v>449</v>
      </c>
      <c r="E1020" s="587" t="s">
        <v>1427</v>
      </c>
      <c r="F1020" s="494" t="s">
        <v>491</v>
      </c>
      <c r="G1020" s="494">
        <v>9857824123</v>
      </c>
      <c r="H1020" s="491"/>
      <c r="I1020" s="494">
        <v>13</v>
      </c>
      <c r="J1020" s="493" t="s">
        <v>404</v>
      </c>
      <c r="K1020" s="493" t="s">
        <v>709</v>
      </c>
      <c r="L1020" s="493"/>
      <c r="M1020" s="493" t="s">
        <v>1192</v>
      </c>
      <c r="N1020" s="747">
        <v>65024</v>
      </c>
      <c r="O1020" s="496">
        <v>65024</v>
      </c>
      <c r="P1020" s="496">
        <v>65040</v>
      </c>
      <c r="Q1020" s="491" t="s">
        <v>51</v>
      </c>
    </row>
    <row r="1021" spans="1:17" s="338" customFormat="1">
      <c r="A1021" s="512">
        <f t="shared" si="8"/>
        <v>174</v>
      </c>
      <c r="B1021" s="493" t="s">
        <v>524</v>
      </c>
      <c r="C1021" s="493" t="s">
        <v>44</v>
      </c>
      <c r="D1021" s="493" t="s">
        <v>449</v>
      </c>
      <c r="E1021" s="587" t="s">
        <v>1432</v>
      </c>
      <c r="F1021" s="494" t="s">
        <v>636</v>
      </c>
      <c r="G1021" s="494">
        <v>9857823595</v>
      </c>
      <c r="H1021" s="491"/>
      <c r="I1021" s="494">
        <v>33</v>
      </c>
      <c r="J1021" s="493" t="s">
        <v>404</v>
      </c>
      <c r="K1021" s="493" t="s">
        <v>709</v>
      </c>
      <c r="L1021" s="493"/>
      <c r="M1021" s="493" t="s">
        <v>1192</v>
      </c>
      <c r="N1021" s="747">
        <v>65024</v>
      </c>
      <c r="O1021" s="496">
        <v>65024</v>
      </c>
      <c r="P1021" s="496">
        <v>65040</v>
      </c>
      <c r="Q1021" s="491" t="s">
        <v>51</v>
      </c>
    </row>
    <row r="1022" spans="1:17" s="338" customFormat="1">
      <c r="A1022" s="512">
        <f t="shared" si="8"/>
        <v>175</v>
      </c>
      <c r="B1022" s="493" t="s">
        <v>524</v>
      </c>
      <c r="C1022" s="493" t="s">
        <v>44</v>
      </c>
      <c r="D1022" s="493" t="s">
        <v>449</v>
      </c>
      <c r="E1022" s="587" t="s">
        <v>1430</v>
      </c>
      <c r="F1022" s="494" t="s">
        <v>730</v>
      </c>
      <c r="G1022" s="494">
        <v>9868630994</v>
      </c>
      <c r="H1022" s="491"/>
      <c r="I1022" s="494">
        <v>44</v>
      </c>
      <c r="J1022" s="493" t="s">
        <v>404</v>
      </c>
      <c r="K1022" s="493" t="s">
        <v>709</v>
      </c>
      <c r="L1022" s="493"/>
      <c r="M1022" s="493" t="s">
        <v>1192</v>
      </c>
      <c r="N1022" s="747">
        <v>65024</v>
      </c>
      <c r="O1022" s="496">
        <v>65024</v>
      </c>
      <c r="P1022" s="496">
        <v>65040</v>
      </c>
      <c r="Q1022" s="491" t="s">
        <v>51</v>
      </c>
    </row>
    <row r="1023" spans="1:17" s="338" customFormat="1">
      <c r="A1023" s="512">
        <f t="shared" si="8"/>
        <v>176</v>
      </c>
      <c r="B1023" s="493" t="s">
        <v>524</v>
      </c>
      <c r="C1023" s="493" t="s">
        <v>44</v>
      </c>
      <c r="D1023" s="493" t="s">
        <v>449</v>
      </c>
      <c r="E1023" s="587" t="s">
        <v>1435</v>
      </c>
      <c r="F1023" s="494" t="s">
        <v>1009</v>
      </c>
      <c r="G1023" s="494">
        <v>9810839642</v>
      </c>
      <c r="H1023" s="491"/>
      <c r="I1023" s="494">
        <v>18</v>
      </c>
      <c r="J1023" s="493" t="s">
        <v>404</v>
      </c>
      <c r="K1023" s="493" t="s">
        <v>709</v>
      </c>
      <c r="L1023" s="493"/>
      <c r="M1023" s="493" t="s">
        <v>1192</v>
      </c>
      <c r="N1023" s="747">
        <v>65024</v>
      </c>
      <c r="O1023" s="496">
        <v>65024</v>
      </c>
      <c r="P1023" s="496">
        <v>65040</v>
      </c>
      <c r="Q1023" s="491" t="s">
        <v>51</v>
      </c>
    </row>
    <row r="1024" spans="1:17" s="338" customFormat="1">
      <c r="A1024" s="512">
        <f t="shared" si="8"/>
        <v>177</v>
      </c>
      <c r="B1024" s="493" t="s">
        <v>524</v>
      </c>
      <c r="C1024" s="493" t="s">
        <v>44</v>
      </c>
      <c r="D1024" s="493" t="s">
        <v>449</v>
      </c>
      <c r="E1024" s="587" t="s">
        <v>1448</v>
      </c>
      <c r="F1024" s="494" t="s">
        <v>491</v>
      </c>
      <c r="G1024" s="494">
        <v>9847537517</v>
      </c>
      <c r="H1024" s="491"/>
      <c r="I1024" s="494">
        <v>38</v>
      </c>
      <c r="J1024" s="493" t="s">
        <v>404</v>
      </c>
      <c r="K1024" s="493" t="s">
        <v>709</v>
      </c>
      <c r="L1024" s="493"/>
      <c r="M1024" s="493" t="s">
        <v>1192</v>
      </c>
      <c r="N1024" s="747">
        <v>65024</v>
      </c>
      <c r="O1024" s="496">
        <v>65024</v>
      </c>
      <c r="P1024" s="496">
        <v>65040</v>
      </c>
      <c r="Q1024" s="491" t="s">
        <v>51</v>
      </c>
    </row>
    <row r="1025" spans="1:18" s="338" customFormat="1">
      <c r="A1025" s="512">
        <f t="shared" si="8"/>
        <v>178</v>
      </c>
      <c r="B1025" s="493" t="s">
        <v>524</v>
      </c>
      <c r="C1025" s="493" t="s">
        <v>44</v>
      </c>
      <c r="D1025" s="493" t="s">
        <v>449</v>
      </c>
      <c r="E1025" s="587" t="s">
        <v>1438</v>
      </c>
      <c r="F1025" s="494" t="s">
        <v>491</v>
      </c>
      <c r="G1025" s="494">
        <v>9847938663</v>
      </c>
      <c r="H1025" s="491"/>
      <c r="I1025" s="494">
        <v>12</v>
      </c>
      <c r="J1025" s="493" t="s">
        <v>433</v>
      </c>
      <c r="K1025" s="493" t="s">
        <v>709</v>
      </c>
      <c r="L1025" s="493"/>
      <c r="M1025" s="493" t="s">
        <v>1192</v>
      </c>
      <c r="N1025" s="747">
        <v>65024</v>
      </c>
      <c r="O1025" s="496">
        <v>65024</v>
      </c>
      <c r="P1025" s="496">
        <v>65040</v>
      </c>
      <c r="Q1025" s="491" t="s">
        <v>51</v>
      </c>
    </row>
    <row r="1026" spans="1:18" s="338" customFormat="1">
      <c r="A1026" s="512">
        <f t="shared" si="8"/>
        <v>179</v>
      </c>
      <c r="B1026" s="493" t="s">
        <v>524</v>
      </c>
      <c r="C1026" s="493" t="s">
        <v>44</v>
      </c>
      <c r="D1026" s="493" t="s">
        <v>449</v>
      </c>
      <c r="E1026" s="161" t="s">
        <v>1554</v>
      </c>
      <c r="F1026" s="589" t="s">
        <v>441</v>
      </c>
      <c r="G1026" s="493">
        <v>9847978942</v>
      </c>
      <c r="H1026" s="491"/>
      <c r="I1026" s="589">
        <v>40</v>
      </c>
      <c r="J1026" s="493" t="s">
        <v>48</v>
      </c>
      <c r="K1026" s="493" t="s">
        <v>1459</v>
      </c>
      <c r="L1026" s="493"/>
      <c r="M1026" s="588" t="s">
        <v>119</v>
      </c>
      <c r="N1026" s="747">
        <v>65024</v>
      </c>
      <c r="O1026" s="496">
        <v>65024</v>
      </c>
      <c r="P1026" s="496">
        <v>65040</v>
      </c>
      <c r="Q1026" s="491" t="s">
        <v>51</v>
      </c>
    </row>
    <row r="1027" spans="1:18" s="338" customFormat="1">
      <c r="A1027" s="512">
        <f t="shared" si="8"/>
        <v>180</v>
      </c>
      <c r="B1027" s="493" t="s">
        <v>524</v>
      </c>
      <c r="C1027" s="493" t="s">
        <v>44</v>
      </c>
      <c r="D1027" s="493" t="s">
        <v>449</v>
      </c>
      <c r="E1027" s="587" t="s">
        <v>1418</v>
      </c>
      <c r="F1027" s="494" t="s">
        <v>491</v>
      </c>
      <c r="G1027" s="494">
        <v>9857822015</v>
      </c>
      <c r="H1027" s="491"/>
      <c r="I1027" s="494">
        <v>48</v>
      </c>
      <c r="J1027" s="493" t="s">
        <v>433</v>
      </c>
      <c r="K1027" s="493" t="s">
        <v>1193</v>
      </c>
      <c r="L1027" s="493"/>
      <c r="M1027" s="493" t="s">
        <v>1192</v>
      </c>
      <c r="N1027" s="747">
        <v>65024</v>
      </c>
      <c r="O1027" s="496">
        <v>65024</v>
      </c>
      <c r="P1027" s="496">
        <v>65040</v>
      </c>
      <c r="Q1027" s="491" t="s">
        <v>51</v>
      </c>
    </row>
    <row r="1028" spans="1:18" s="338" customFormat="1">
      <c r="A1028" s="512">
        <f t="shared" si="8"/>
        <v>181</v>
      </c>
      <c r="B1028" s="493" t="s">
        <v>524</v>
      </c>
      <c r="C1028" s="493" t="s">
        <v>44</v>
      </c>
      <c r="D1028" s="493" t="s">
        <v>449</v>
      </c>
      <c r="E1028" s="587" t="s">
        <v>1422</v>
      </c>
      <c r="F1028" s="494" t="s">
        <v>1046</v>
      </c>
      <c r="G1028" s="494">
        <v>9841601295</v>
      </c>
      <c r="H1028" s="491"/>
      <c r="I1028" s="494">
        <v>64</v>
      </c>
      <c r="J1028" s="493" t="s">
        <v>404</v>
      </c>
      <c r="K1028" s="493" t="s">
        <v>709</v>
      </c>
      <c r="L1028" s="493"/>
      <c r="M1028" s="493" t="s">
        <v>1192</v>
      </c>
      <c r="N1028" s="747">
        <v>65024</v>
      </c>
      <c r="O1028" s="496">
        <v>65024</v>
      </c>
      <c r="P1028" s="496">
        <v>65040</v>
      </c>
      <c r="Q1028" s="491" t="s">
        <v>51</v>
      </c>
    </row>
    <row r="1029" spans="1:18" s="338" customFormat="1">
      <c r="A1029" s="512">
        <f t="shared" si="8"/>
        <v>182</v>
      </c>
      <c r="B1029" s="493" t="s">
        <v>524</v>
      </c>
      <c r="C1029" s="493" t="s">
        <v>44</v>
      </c>
      <c r="D1029" s="493" t="s">
        <v>449</v>
      </c>
      <c r="E1029" s="587" t="s">
        <v>1452</v>
      </c>
      <c r="F1029" s="494" t="s">
        <v>441</v>
      </c>
      <c r="G1029" s="494">
        <v>9847891007</v>
      </c>
      <c r="H1029" s="491"/>
      <c r="I1029" s="494">
        <v>29</v>
      </c>
      <c r="J1029" s="493" t="s">
        <v>404</v>
      </c>
      <c r="K1029" s="493" t="s">
        <v>709</v>
      </c>
      <c r="L1029" s="493"/>
      <c r="M1029" s="493" t="s">
        <v>1192</v>
      </c>
      <c r="N1029" s="747">
        <v>65024</v>
      </c>
      <c r="O1029" s="496">
        <v>65024</v>
      </c>
      <c r="P1029" s="496">
        <v>65040</v>
      </c>
      <c r="Q1029" s="491" t="s">
        <v>51</v>
      </c>
    </row>
    <row r="1030" spans="1:18" s="338" customFormat="1">
      <c r="A1030" s="512">
        <f t="shared" si="8"/>
        <v>183</v>
      </c>
      <c r="B1030" s="493" t="s">
        <v>524</v>
      </c>
      <c r="C1030" s="493" t="s">
        <v>44</v>
      </c>
      <c r="D1030" s="493" t="s">
        <v>449</v>
      </c>
      <c r="E1030" s="587" t="s">
        <v>1444</v>
      </c>
      <c r="F1030" s="494" t="s">
        <v>598</v>
      </c>
      <c r="G1030" s="494">
        <v>9848092454</v>
      </c>
      <c r="H1030" s="491"/>
      <c r="I1030" s="494">
        <v>25</v>
      </c>
      <c r="J1030" s="493" t="s">
        <v>433</v>
      </c>
      <c r="K1030" s="493" t="s">
        <v>709</v>
      </c>
      <c r="L1030" s="493"/>
      <c r="M1030" s="493" t="s">
        <v>1192</v>
      </c>
      <c r="N1030" s="747">
        <v>65024</v>
      </c>
      <c r="O1030" s="496">
        <v>65024</v>
      </c>
      <c r="P1030" s="496">
        <v>65040</v>
      </c>
      <c r="Q1030" s="491" t="s">
        <v>51</v>
      </c>
    </row>
    <row r="1031" spans="1:18" s="338" customFormat="1">
      <c r="A1031" s="512">
        <f t="shared" si="8"/>
        <v>184</v>
      </c>
      <c r="B1031" s="493" t="s">
        <v>524</v>
      </c>
      <c r="C1031" s="493" t="s">
        <v>44</v>
      </c>
      <c r="D1031" s="493" t="s">
        <v>449</v>
      </c>
      <c r="E1031" s="587" t="s">
        <v>1445</v>
      </c>
      <c r="F1031" s="494" t="s">
        <v>497</v>
      </c>
      <c r="G1031" s="494">
        <v>9810907064</v>
      </c>
      <c r="H1031" s="491"/>
      <c r="I1031" s="494">
        <v>20</v>
      </c>
      <c r="J1031" s="493" t="s">
        <v>404</v>
      </c>
      <c r="K1031" s="493" t="s">
        <v>709</v>
      </c>
      <c r="L1031" s="493"/>
      <c r="M1031" s="493" t="s">
        <v>1192</v>
      </c>
      <c r="N1031" s="747">
        <v>65024</v>
      </c>
      <c r="O1031" s="496">
        <v>65024</v>
      </c>
      <c r="P1031" s="496">
        <v>65040</v>
      </c>
      <c r="Q1031" s="491" t="s">
        <v>51</v>
      </c>
    </row>
    <row r="1032" spans="1:18" s="338" customFormat="1">
      <c r="A1032" s="512">
        <f t="shared" si="8"/>
        <v>185</v>
      </c>
      <c r="B1032" s="493" t="s">
        <v>524</v>
      </c>
      <c r="C1032" s="493" t="s">
        <v>44</v>
      </c>
      <c r="D1032" s="493" t="s">
        <v>449</v>
      </c>
      <c r="E1032" s="587" t="s">
        <v>1413</v>
      </c>
      <c r="F1032" s="494" t="s">
        <v>502</v>
      </c>
      <c r="G1032" s="494">
        <v>9857820251</v>
      </c>
      <c r="H1032" s="491"/>
      <c r="I1032" s="494">
        <v>70</v>
      </c>
      <c r="J1032" s="493" t="s">
        <v>433</v>
      </c>
      <c r="K1032" s="493" t="s">
        <v>1193</v>
      </c>
      <c r="L1032" s="493"/>
      <c r="M1032" s="493" t="s">
        <v>1192</v>
      </c>
      <c r="N1032" s="747">
        <v>65024</v>
      </c>
      <c r="O1032" s="496">
        <v>65024</v>
      </c>
      <c r="P1032" s="496">
        <v>65040</v>
      </c>
      <c r="Q1032" s="491" t="s">
        <v>51</v>
      </c>
    </row>
    <row r="1033" spans="1:18" s="338" customFormat="1">
      <c r="A1033" s="512">
        <f t="shared" si="8"/>
        <v>186</v>
      </c>
      <c r="B1033" s="493" t="s">
        <v>524</v>
      </c>
      <c r="C1033" s="493" t="s">
        <v>44</v>
      </c>
      <c r="D1033" s="493" t="s">
        <v>449</v>
      </c>
      <c r="E1033" s="587" t="s">
        <v>1447</v>
      </c>
      <c r="F1033" s="494" t="s">
        <v>1008</v>
      </c>
      <c r="G1033" s="494">
        <v>9847829152</v>
      </c>
      <c r="H1033" s="491"/>
      <c r="I1033" s="494">
        <v>70</v>
      </c>
      <c r="J1033" s="493" t="s">
        <v>404</v>
      </c>
      <c r="K1033" s="493" t="s">
        <v>709</v>
      </c>
      <c r="L1033" s="493"/>
      <c r="M1033" s="493" t="s">
        <v>1192</v>
      </c>
      <c r="N1033" s="747">
        <v>65024</v>
      </c>
      <c r="O1033" s="496">
        <v>65024</v>
      </c>
      <c r="P1033" s="496">
        <v>65040</v>
      </c>
      <c r="Q1033" s="491" t="s">
        <v>51</v>
      </c>
    </row>
    <row r="1034" spans="1:18" s="338" customFormat="1">
      <c r="A1034" s="512">
        <f t="shared" si="8"/>
        <v>187</v>
      </c>
      <c r="B1034" s="493" t="s">
        <v>524</v>
      </c>
      <c r="C1034" s="493" t="s">
        <v>44</v>
      </c>
      <c r="D1034" s="493" t="s">
        <v>449</v>
      </c>
      <c r="E1034" s="587" t="s">
        <v>1420</v>
      </c>
      <c r="F1034" s="494" t="s">
        <v>491</v>
      </c>
      <c r="G1034" s="494">
        <v>9857820550</v>
      </c>
      <c r="H1034" s="491"/>
      <c r="I1034" s="494">
        <v>79</v>
      </c>
      <c r="J1034" s="493" t="s">
        <v>404</v>
      </c>
      <c r="K1034" s="493" t="s">
        <v>709</v>
      </c>
      <c r="L1034" s="493"/>
      <c r="M1034" s="493" t="s">
        <v>1192</v>
      </c>
      <c r="N1034" s="747">
        <v>65024</v>
      </c>
      <c r="O1034" s="496">
        <v>65024</v>
      </c>
      <c r="P1034" s="496">
        <v>65040</v>
      </c>
      <c r="Q1034" s="491" t="s">
        <v>51</v>
      </c>
    </row>
    <row r="1035" spans="1:18" s="338" customFormat="1">
      <c r="A1035" s="512">
        <f t="shared" si="8"/>
        <v>188</v>
      </c>
      <c r="B1035" s="493" t="s">
        <v>524</v>
      </c>
      <c r="C1035" s="493" t="s">
        <v>44</v>
      </c>
      <c r="D1035" s="493" t="s">
        <v>449</v>
      </c>
      <c r="E1035" s="587" t="s">
        <v>1428</v>
      </c>
      <c r="F1035" s="494" t="s">
        <v>491</v>
      </c>
      <c r="G1035" s="494">
        <v>9857844133</v>
      </c>
      <c r="H1035" s="491"/>
      <c r="I1035" s="494">
        <v>60</v>
      </c>
      <c r="J1035" s="493" t="s">
        <v>433</v>
      </c>
      <c r="K1035" s="493" t="s">
        <v>709</v>
      </c>
      <c r="L1035" s="493"/>
      <c r="M1035" s="493" t="s">
        <v>1192</v>
      </c>
      <c r="N1035" s="747">
        <v>65024</v>
      </c>
      <c r="O1035" s="496">
        <v>65024</v>
      </c>
      <c r="P1035" s="496">
        <v>65040</v>
      </c>
      <c r="Q1035" s="491" t="s">
        <v>51</v>
      </c>
    </row>
    <row r="1036" spans="1:18" s="338" customFormat="1">
      <c r="A1036" s="512">
        <f t="shared" si="8"/>
        <v>189</v>
      </c>
      <c r="B1036" s="493" t="s">
        <v>524</v>
      </c>
      <c r="C1036" s="493" t="s">
        <v>44</v>
      </c>
      <c r="D1036" s="493" t="s">
        <v>449</v>
      </c>
      <c r="E1036" s="587" t="s">
        <v>1441</v>
      </c>
      <c r="F1036" s="494" t="s">
        <v>529</v>
      </c>
      <c r="G1036" s="494">
        <v>9857824882</v>
      </c>
      <c r="H1036" s="491"/>
      <c r="I1036" s="494">
        <v>55</v>
      </c>
      <c r="J1036" s="493" t="s">
        <v>433</v>
      </c>
      <c r="K1036" s="493" t="s">
        <v>709</v>
      </c>
      <c r="L1036" s="493"/>
      <c r="M1036" s="493" t="s">
        <v>1192</v>
      </c>
      <c r="N1036" s="747">
        <v>65024</v>
      </c>
      <c r="O1036" s="496">
        <v>65024</v>
      </c>
      <c r="P1036" s="496">
        <v>65040</v>
      </c>
      <c r="Q1036" s="491" t="s">
        <v>51</v>
      </c>
    </row>
    <row r="1037" spans="1:18" s="338" customFormat="1">
      <c r="A1037" s="512">
        <f t="shared" si="8"/>
        <v>190</v>
      </c>
      <c r="B1037" s="493" t="s">
        <v>524</v>
      </c>
      <c r="C1037" s="493" t="s">
        <v>44</v>
      </c>
      <c r="D1037" s="493" t="s">
        <v>449</v>
      </c>
      <c r="E1037" s="587" t="s">
        <v>1449</v>
      </c>
      <c r="F1037" s="494" t="s">
        <v>1009</v>
      </c>
      <c r="G1037" s="494">
        <v>9822829872</v>
      </c>
      <c r="H1037" s="491"/>
      <c r="I1037" s="494">
        <v>37</v>
      </c>
      <c r="J1037" s="493" t="s">
        <v>404</v>
      </c>
      <c r="K1037" s="493" t="s">
        <v>709</v>
      </c>
      <c r="L1037" s="493"/>
      <c r="M1037" s="493" t="s">
        <v>1192</v>
      </c>
      <c r="N1037" s="747">
        <v>65024</v>
      </c>
      <c r="O1037" s="496">
        <v>65024</v>
      </c>
      <c r="P1037" s="496">
        <v>65040</v>
      </c>
      <c r="Q1037" s="491" t="s">
        <v>51</v>
      </c>
    </row>
    <row r="1038" spans="1:18" s="338" customFormat="1">
      <c r="A1038" s="512">
        <f t="shared" si="8"/>
        <v>191</v>
      </c>
      <c r="B1038" s="493" t="s">
        <v>524</v>
      </c>
      <c r="C1038" s="493" t="s">
        <v>44</v>
      </c>
      <c r="D1038" s="493" t="s">
        <v>449</v>
      </c>
      <c r="E1038" s="587" t="s">
        <v>1423</v>
      </c>
      <c r="F1038" s="494" t="s">
        <v>491</v>
      </c>
      <c r="G1038" s="494">
        <v>9857824123</v>
      </c>
      <c r="H1038" s="491"/>
      <c r="I1038" s="494">
        <v>48</v>
      </c>
      <c r="J1038" s="493" t="s">
        <v>404</v>
      </c>
      <c r="K1038" s="493" t="s">
        <v>709</v>
      </c>
      <c r="L1038" s="493"/>
      <c r="M1038" s="493" t="s">
        <v>1192</v>
      </c>
      <c r="N1038" s="747">
        <v>65024</v>
      </c>
      <c r="O1038" s="496">
        <v>65024</v>
      </c>
      <c r="P1038" s="496">
        <v>65040</v>
      </c>
      <c r="Q1038" s="491" t="s">
        <v>51</v>
      </c>
      <c r="R1038" s="339"/>
    </row>
    <row r="1039" spans="1:18" s="338" customFormat="1">
      <c r="A1039" s="512">
        <f t="shared" si="8"/>
        <v>192</v>
      </c>
      <c r="B1039" s="493" t="s">
        <v>524</v>
      </c>
      <c r="C1039" s="493" t="s">
        <v>44</v>
      </c>
      <c r="D1039" s="493" t="s">
        <v>449</v>
      </c>
      <c r="E1039" s="587" t="s">
        <v>1437</v>
      </c>
      <c r="F1039" s="494" t="s">
        <v>491</v>
      </c>
      <c r="G1039" s="494">
        <v>9847938663</v>
      </c>
      <c r="H1039" s="491"/>
      <c r="I1039" s="494">
        <v>8</v>
      </c>
      <c r="J1039" s="493" t="s">
        <v>433</v>
      </c>
      <c r="K1039" s="493" t="s">
        <v>709</v>
      </c>
      <c r="L1039" s="493"/>
      <c r="M1039" s="493" t="s">
        <v>1192</v>
      </c>
      <c r="N1039" s="747">
        <v>65024</v>
      </c>
      <c r="O1039" s="496">
        <v>65024</v>
      </c>
      <c r="P1039" s="496">
        <v>65040</v>
      </c>
      <c r="Q1039" s="491" t="s">
        <v>51</v>
      </c>
    </row>
    <row r="1040" spans="1:18" s="338" customFormat="1">
      <c r="A1040" s="512">
        <f t="shared" si="8"/>
        <v>193</v>
      </c>
      <c r="B1040" s="493" t="s">
        <v>524</v>
      </c>
      <c r="C1040" s="493" t="s">
        <v>44</v>
      </c>
      <c r="D1040" s="493" t="s">
        <v>449</v>
      </c>
      <c r="E1040" s="587" t="s">
        <v>1431</v>
      </c>
      <c r="F1040" s="494" t="s">
        <v>441</v>
      </c>
      <c r="G1040" s="494">
        <v>9847939149</v>
      </c>
      <c r="H1040" s="491"/>
      <c r="I1040" s="494">
        <v>40</v>
      </c>
      <c r="J1040" s="493" t="s">
        <v>404</v>
      </c>
      <c r="K1040" s="493" t="s">
        <v>709</v>
      </c>
      <c r="L1040" s="493"/>
      <c r="M1040" s="493" t="s">
        <v>1192</v>
      </c>
      <c r="N1040" s="747">
        <v>65024</v>
      </c>
      <c r="O1040" s="496">
        <v>65024</v>
      </c>
      <c r="P1040" s="496">
        <v>65040</v>
      </c>
      <c r="Q1040" s="491" t="s">
        <v>51</v>
      </c>
    </row>
    <row r="1041" spans="1:17">
      <c r="A1041" s="512">
        <f t="shared" si="8"/>
        <v>194</v>
      </c>
      <c r="B1041" s="438" t="s">
        <v>524</v>
      </c>
      <c r="C1041" s="438" t="s">
        <v>44</v>
      </c>
      <c r="D1041" s="438" t="s">
        <v>449</v>
      </c>
      <c r="E1041" s="568" t="s">
        <v>1421</v>
      </c>
      <c r="F1041" s="437" t="s">
        <v>730</v>
      </c>
      <c r="G1041" s="437">
        <v>9847846537</v>
      </c>
      <c r="H1041" s="436"/>
      <c r="I1041" s="437">
        <v>44</v>
      </c>
      <c r="J1041" s="438" t="s">
        <v>404</v>
      </c>
      <c r="K1041" s="438" t="s">
        <v>709</v>
      </c>
      <c r="L1041" s="438"/>
      <c r="M1041" s="438" t="s">
        <v>489</v>
      </c>
      <c r="N1041" s="731">
        <v>65024</v>
      </c>
      <c r="O1041" s="465">
        <v>65024</v>
      </c>
      <c r="P1041" s="459">
        <v>65027</v>
      </c>
      <c r="Q1041" s="432" t="s">
        <v>51</v>
      </c>
    </row>
    <row r="1042" spans="1:17" s="338" customFormat="1">
      <c r="A1042" s="512">
        <f t="shared" ref="A1042:A1105" si="9">A1041+1</f>
        <v>195</v>
      </c>
      <c r="B1042" s="493" t="s">
        <v>524</v>
      </c>
      <c r="C1042" s="493" t="s">
        <v>44</v>
      </c>
      <c r="D1042" s="493" t="s">
        <v>449</v>
      </c>
      <c r="E1042" s="587" t="s">
        <v>1485</v>
      </c>
      <c r="F1042" s="590" t="s">
        <v>491</v>
      </c>
      <c r="G1042" s="494">
        <v>9864784425</v>
      </c>
      <c r="H1042" s="491"/>
      <c r="I1042" s="494">
        <v>40</v>
      </c>
      <c r="J1042" s="493" t="s">
        <v>48</v>
      </c>
      <c r="K1042" s="493" t="s">
        <v>53</v>
      </c>
      <c r="L1042" s="493"/>
      <c r="M1042" s="493"/>
      <c r="N1042" s="747">
        <v>65024</v>
      </c>
      <c r="O1042" s="496">
        <v>65024</v>
      </c>
      <c r="P1042" s="496">
        <v>65040</v>
      </c>
      <c r="Q1042" s="491" t="s">
        <v>51</v>
      </c>
    </row>
    <row r="1043" spans="1:17" s="338" customFormat="1">
      <c r="A1043" s="512">
        <f t="shared" si="9"/>
        <v>196</v>
      </c>
      <c r="B1043" s="493" t="s">
        <v>524</v>
      </c>
      <c r="C1043" s="493" t="s">
        <v>44</v>
      </c>
      <c r="D1043" s="493" t="s">
        <v>449</v>
      </c>
      <c r="E1043" s="161" t="s">
        <v>1555</v>
      </c>
      <c r="F1043" s="589" t="s">
        <v>1204</v>
      </c>
      <c r="G1043" s="493">
        <v>9847908474</v>
      </c>
      <c r="H1043" s="491"/>
      <c r="I1043" s="589">
        <v>28</v>
      </c>
      <c r="J1043" s="493" t="s">
        <v>48</v>
      </c>
      <c r="K1043" s="493" t="s">
        <v>1459</v>
      </c>
      <c r="L1043" s="493"/>
      <c r="M1043" s="588" t="s">
        <v>119</v>
      </c>
      <c r="N1043" s="747">
        <v>65024</v>
      </c>
      <c r="O1043" s="496">
        <v>65024</v>
      </c>
      <c r="P1043" s="496">
        <v>65040</v>
      </c>
      <c r="Q1043" s="491" t="s">
        <v>51</v>
      </c>
    </row>
    <row r="1044" spans="1:17" s="163" customFormat="1" ht="15.75">
      <c r="A1044" s="512">
        <f t="shared" si="9"/>
        <v>197</v>
      </c>
      <c r="B1044" s="438" t="s">
        <v>524</v>
      </c>
      <c r="C1044" s="438" t="s">
        <v>44</v>
      </c>
      <c r="D1044" s="438" t="s">
        <v>449</v>
      </c>
      <c r="E1044" s="148" t="s">
        <v>1699</v>
      </c>
      <c r="F1044" s="591" t="s">
        <v>603</v>
      </c>
      <c r="G1044" s="438"/>
      <c r="H1044" s="436"/>
      <c r="I1044" s="591">
        <v>51</v>
      </c>
      <c r="J1044" s="438" t="s">
        <v>90</v>
      </c>
      <c r="K1044" s="438" t="s">
        <v>53</v>
      </c>
      <c r="L1044" s="438"/>
      <c r="M1044" s="592" t="s">
        <v>54</v>
      </c>
      <c r="N1044" s="748">
        <v>65024</v>
      </c>
      <c r="O1044" s="593">
        <v>65024</v>
      </c>
      <c r="P1044" s="459">
        <v>65027</v>
      </c>
      <c r="Q1044" s="432" t="s">
        <v>51</v>
      </c>
    </row>
    <row r="1045" spans="1:17">
      <c r="A1045" s="512">
        <f t="shared" si="9"/>
        <v>198</v>
      </c>
      <c r="B1045" s="438" t="s">
        <v>524</v>
      </c>
      <c r="C1045" s="438" t="s">
        <v>44</v>
      </c>
      <c r="D1045" s="438" t="s">
        <v>449</v>
      </c>
      <c r="E1045" s="568" t="s">
        <v>1415</v>
      </c>
      <c r="F1045" s="437" t="s">
        <v>502</v>
      </c>
      <c r="G1045" s="437">
        <v>9847824690</v>
      </c>
      <c r="H1045" s="436"/>
      <c r="I1045" s="437">
        <v>51</v>
      </c>
      <c r="J1045" s="438" t="s">
        <v>433</v>
      </c>
      <c r="K1045" s="438" t="s">
        <v>1193</v>
      </c>
      <c r="L1045" s="438"/>
      <c r="M1045" s="438" t="s">
        <v>489</v>
      </c>
      <c r="N1045" s="731">
        <v>65024</v>
      </c>
      <c r="O1045" s="465">
        <v>65024</v>
      </c>
      <c r="P1045" s="459">
        <v>65027</v>
      </c>
      <c r="Q1045" s="432" t="s">
        <v>51</v>
      </c>
    </row>
    <row r="1046" spans="1:17" s="163" customFormat="1">
      <c r="A1046" s="512">
        <f t="shared" si="9"/>
        <v>199</v>
      </c>
      <c r="B1046" s="438" t="s">
        <v>524</v>
      </c>
      <c r="C1046" s="438" t="s">
        <v>44</v>
      </c>
      <c r="D1046" s="438" t="s">
        <v>449</v>
      </c>
      <c r="E1046" s="148" t="s">
        <v>1556</v>
      </c>
      <c r="F1046" s="591" t="s">
        <v>502</v>
      </c>
      <c r="G1046" s="438"/>
      <c r="H1046" s="436"/>
      <c r="I1046" s="591">
        <v>55</v>
      </c>
      <c r="J1046" s="438" t="s">
        <v>90</v>
      </c>
      <c r="K1046" s="438"/>
      <c r="L1046" s="438"/>
      <c r="M1046" s="592" t="s">
        <v>54</v>
      </c>
      <c r="N1046" s="731">
        <v>65024</v>
      </c>
      <c r="O1046" s="465">
        <v>65024</v>
      </c>
      <c r="P1046" s="465">
        <v>65061</v>
      </c>
      <c r="Q1046" s="436" t="s">
        <v>51</v>
      </c>
    </row>
    <row r="1047" spans="1:17" s="338" customFormat="1">
      <c r="A1047" s="512">
        <f t="shared" si="9"/>
        <v>200</v>
      </c>
      <c r="B1047" s="493" t="s">
        <v>524</v>
      </c>
      <c r="C1047" s="493" t="s">
        <v>44</v>
      </c>
      <c r="D1047" s="493" t="s">
        <v>449</v>
      </c>
      <c r="E1047" s="587" t="s">
        <v>1443</v>
      </c>
      <c r="F1047" s="494" t="s">
        <v>529</v>
      </c>
      <c r="G1047" s="494">
        <v>9847891243</v>
      </c>
      <c r="H1047" s="491"/>
      <c r="I1047" s="494">
        <v>30</v>
      </c>
      <c r="J1047" s="493" t="s">
        <v>433</v>
      </c>
      <c r="K1047" s="493" t="s">
        <v>709</v>
      </c>
      <c r="L1047" s="493"/>
      <c r="M1047" s="493" t="s">
        <v>1192</v>
      </c>
      <c r="N1047" s="747">
        <v>65024</v>
      </c>
      <c r="O1047" s="496">
        <v>65024</v>
      </c>
      <c r="P1047" s="496">
        <v>65040</v>
      </c>
      <c r="Q1047" s="491" t="s">
        <v>51</v>
      </c>
    </row>
    <row r="1048" spans="1:17" s="338" customFormat="1">
      <c r="A1048" s="512">
        <f t="shared" si="9"/>
        <v>201</v>
      </c>
      <c r="B1048" s="493" t="s">
        <v>524</v>
      </c>
      <c r="C1048" s="493" t="s">
        <v>44</v>
      </c>
      <c r="D1048" s="493" t="s">
        <v>449</v>
      </c>
      <c r="E1048" s="587" t="s">
        <v>1434</v>
      </c>
      <c r="F1048" s="494" t="s">
        <v>441</v>
      </c>
      <c r="G1048" s="494">
        <v>9869960557</v>
      </c>
      <c r="H1048" s="491"/>
      <c r="I1048" s="494">
        <v>34</v>
      </c>
      <c r="J1048" s="493" t="s">
        <v>433</v>
      </c>
      <c r="K1048" s="493" t="s">
        <v>709</v>
      </c>
      <c r="L1048" s="493"/>
      <c r="M1048" s="493" t="s">
        <v>1192</v>
      </c>
      <c r="N1048" s="747">
        <v>65024</v>
      </c>
      <c r="O1048" s="496">
        <v>65024</v>
      </c>
      <c r="P1048" s="496">
        <v>65040</v>
      </c>
      <c r="Q1048" s="491" t="s">
        <v>51</v>
      </c>
    </row>
    <row r="1049" spans="1:17" s="338" customFormat="1">
      <c r="A1049" s="512">
        <f t="shared" si="9"/>
        <v>202</v>
      </c>
      <c r="B1049" s="493" t="s">
        <v>524</v>
      </c>
      <c r="C1049" s="493" t="s">
        <v>44</v>
      </c>
      <c r="D1049" s="493" t="s">
        <v>449</v>
      </c>
      <c r="E1049" s="587" t="s">
        <v>1440</v>
      </c>
      <c r="F1049" s="494" t="s">
        <v>557</v>
      </c>
      <c r="G1049" s="494">
        <v>9841396314</v>
      </c>
      <c r="H1049" s="491"/>
      <c r="I1049" s="494">
        <v>79</v>
      </c>
      <c r="J1049" s="493" t="s">
        <v>404</v>
      </c>
      <c r="K1049" s="493" t="s">
        <v>709</v>
      </c>
      <c r="L1049" s="493"/>
      <c r="M1049" s="493" t="s">
        <v>1192</v>
      </c>
      <c r="N1049" s="747">
        <v>65024</v>
      </c>
      <c r="O1049" s="496">
        <v>65024</v>
      </c>
      <c r="P1049" s="496">
        <v>65040</v>
      </c>
      <c r="Q1049" s="491" t="s">
        <v>51</v>
      </c>
    </row>
    <row r="1050" spans="1:17" s="338" customFormat="1">
      <c r="A1050" s="512">
        <f t="shared" si="9"/>
        <v>203</v>
      </c>
      <c r="B1050" s="493" t="s">
        <v>524</v>
      </c>
      <c r="C1050" s="493" t="s">
        <v>44</v>
      </c>
      <c r="D1050" s="493" t="s">
        <v>449</v>
      </c>
      <c r="E1050" s="587" t="s">
        <v>1429</v>
      </c>
      <c r="F1050" s="494" t="s">
        <v>730</v>
      </c>
      <c r="G1050" s="494">
        <v>9868636053</v>
      </c>
      <c r="H1050" s="491"/>
      <c r="I1050" s="494">
        <v>38</v>
      </c>
      <c r="J1050" s="493" t="s">
        <v>433</v>
      </c>
      <c r="K1050" s="493" t="s">
        <v>709</v>
      </c>
      <c r="L1050" s="493"/>
      <c r="M1050" s="493" t="s">
        <v>1192</v>
      </c>
      <c r="N1050" s="747">
        <v>65024</v>
      </c>
      <c r="O1050" s="496">
        <v>65024</v>
      </c>
      <c r="P1050" s="496">
        <v>65040</v>
      </c>
      <c r="Q1050" s="491" t="s">
        <v>51</v>
      </c>
    </row>
    <row r="1051" spans="1:17" s="338" customFormat="1">
      <c r="A1051" s="512">
        <f t="shared" si="9"/>
        <v>204</v>
      </c>
      <c r="B1051" s="493" t="s">
        <v>524</v>
      </c>
      <c r="C1051" s="493" t="s">
        <v>44</v>
      </c>
      <c r="D1051" s="493" t="s">
        <v>449</v>
      </c>
      <c r="E1051" s="587" t="s">
        <v>1442</v>
      </c>
      <c r="F1051" s="494" t="s">
        <v>529</v>
      </c>
      <c r="G1051" s="494">
        <v>9818975610</v>
      </c>
      <c r="H1051" s="491"/>
      <c r="I1051" s="494">
        <v>38</v>
      </c>
      <c r="J1051" s="493" t="s">
        <v>433</v>
      </c>
      <c r="K1051" s="493" t="s">
        <v>709</v>
      </c>
      <c r="L1051" s="493"/>
      <c r="M1051" s="493" t="s">
        <v>1192</v>
      </c>
      <c r="N1051" s="747">
        <v>65024</v>
      </c>
      <c r="O1051" s="496">
        <v>65024</v>
      </c>
      <c r="P1051" s="496">
        <v>65040</v>
      </c>
      <c r="Q1051" s="491" t="s">
        <v>51</v>
      </c>
    </row>
    <row r="1052" spans="1:17" s="338" customFormat="1">
      <c r="A1052" s="512">
        <f t="shared" si="9"/>
        <v>205</v>
      </c>
      <c r="B1052" s="493" t="s">
        <v>524</v>
      </c>
      <c r="C1052" s="493" t="s">
        <v>44</v>
      </c>
      <c r="D1052" s="493" t="s">
        <v>449</v>
      </c>
      <c r="E1052" s="587" t="s">
        <v>1417</v>
      </c>
      <c r="F1052" s="494" t="s">
        <v>491</v>
      </c>
      <c r="G1052" s="494">
        <v>9857850909</v>
      </c>
      <c r="H1052" s="491"/>
      <c r="I1052" s="494">
        <v>45</v>
      </c>
      <c r="J1052" s="493" t="s">
        <v>433</v>
      </c>
      <c r="K1052" s="493" t="s">
        <v>1193</v>
      </c>
      <c r="L1052" s="493"/>
      <c r="M1052" s="493" t="s">
        <v>1192</v>
      </c>
      <c r="N1052" s="747">
        <v>65024</v>
      </c>
      <c r="O1052" s="496">
        <v>65024</v>
      </c>
      <c r="P1052" s="496">
        <v>65040</v>
      </c>
      <c r="Q1052" s="491" t="s">
        <v>51</v>
      </c>
    </row>
    <row r="1053" spans="1:17" s="338" customFormat="1">
      <c r="A1053" s="512">
        <f t="shared" si="9"/>
        <v>206</v>
      </c>
      <c r="B1053" s="493" t="s">
        <v>524</v>
      </c>
      <c r="C1053" s="493" t="s">
        <v>44</v>
      </c>
      <c r="D1053" s="493" t="s">
        <v>449</v>
      </c>
      <c r="E1053" s="587" t="s">
        <v>1416</v>
      </c>
      <c r="F1053" s="494" t="s">
        <v>502</v>
      </c>
      <c r="G1053" s="494">
        <v>9840069473</v>
      </c>
      <c r="H1053" s="491"/>
      <c r="I1053" s="494">
        <v>32</v>
      </c>
      <c r="J1053" s="493" t="s">
        <v>433</v>
      </c>
      <c r="K1053" s="493" t="s">
        <v>1193</v>
      </c>
      <c r="L1053" s="493"/>
      <c r="M1053" s="493" t="s">
        <v>1192</v>
      </c>
      <c r="N1053" s="747">
        <v>65024</v>
      </c>
      <c r="O1053" s="496">
        <v>65024</v>
      </c>
      <c r="P1053" s="496">
        <v>65040</v>
      </c>
      <c r="Q1053" s="491" t="s">
        <v>51</v>
      </c>
    </row>
    <row r="1054" spans="1:17">
      <c r="A1054" s="512">
        <f t="shared" si="9"/>
        <v>207</v>
      </c>
      <c r="B1054" s="438" t="s">
        <v>524</v>
      </c>
      <c r="C1054" s="438" t="s">
        <v>44</v>
      </c>
      <c r="D1054" s="438" t="s">
        <v>449</v>
      </c>
      <c r="E1054" s="148" t="s">
        <v>1557</v>
      </c>
      <c r="F1054" s="591" t="s">
        <v>730</v>
      </c>
      <c r="G1054" s="438"/>
      <c r="H1054" s="436"/>
      <c r="I1054" s="591">
        <v>39</v>
      </c>
      <c r="J1054" s="438" t="s">
        <v>90</v>
      </c>
      <c r="K1054" s="438"/>
      <c r="L1054" s="438"/>
      <c r="M1054" s="592" t="s">
        <v>54</v>
      </c>
      <c r="N1054" s="731">
        <v>65024</v>
      </c>
      <c r="O1054" s="465">
        <v>65024</v>
      </c>
      <c r="P1054" s="459">
        <v>65027</v>
      </c>
      <c r="Q1054" s="432" t="s">
        <v>51</v>
      </c>
    </row>
    <row r="1055" spans="1:17" s="338" customFormat="1">
      <c r="A1055" s="512">
        <f t="shared" si="9"/>
        <v>208</v>
      </c>
      <c r="B1055" s="493" t="s">
        <v>524</v>
      </c>
      <c r="C1055" s="493" t="s">
        <v>44</v>
      </c>
      <c r="D1055" s="493" t="s">
        <v>449</v>
      </c>
      <c r="E1055" s="587" t="s">
        <v>1453</v>
      </c>
      <c r="F1055" s="494" t="s">
        <v>1046</v>
      </c>
      <c r="G1055" s="494">
        <v>9810001055</v>
      </c>
      <c r="H1055" s="491"/>
      <c r="I1055" s="494">
        <v>45</v>
      </c>
      <c r="J1055" s="493" t="s">
        <v>433</v>
      </c>
      <c r="K1055" s="493" t="s">
        <v>709</v>
      </c>
      <c r="L1055" s="493"/>
      <c r="M1055" s="493" t="s">
        <v>1192</v>
      </c>
      <c r="N1055" s="747">
        <v>65024</v>
      </c>
      <c r="O1055" s="496">
        <v>65024</v>
      </c>
      <c r="P1055" s="496">
        <v>65040</v>
      </c>
      <c r="Q1055" s="491" t="s">
        <v>51</v>
      </c>
    </row>
    <row r="1056" spans="1:17" s="338" customFormat="1">
      <c r="A1056" s="512">
        <f t="shared" si="9"/>
        <v>209</v>
      </c>
      <c r="B1056" s="493" t="s">
        <v>524</v>
      </c>
      <c r="C1056" s="493" t="s">
        <v>44</v>
      </c>
      <c r="D1056" s="493" t="s">
        <v>449</v>
      </c>
      <c r="E1056" s="587" t="s">
        <v>1424</v>
      </c>
      <c r="F1056" s="494" t="s">
        <v>491</v>
      </c>
      <c r="G1056" s="494">
        <v>9868627751</v>
      </c>
      <c r="H1056" s="491"/>
      <c r="I1056" s="494">
        <v>40</v>
      </c>
      <c r="J1056" s="493" t="s">
        <v>433</v>
      </c>
      <c r="K1056" s="493" t="s">
        <v>709</v>
      </c>
      <c r="L1056" s="493"/>
      <c r="M1056" s="493" t="s">
        <v>1192</v>
      </c>
      <c r="N1056" s="747">
        <v>65024</v>
      </c>
      <c r="O1056" s="496">
        <v>65024</v>
      </c>
      <c r="P1056" s="496">
        <v>65040</v>
      </c>
      <c r="Q1056" s="491" t="s">
        <v>51</v>
      </c>
    </row>
    <row r="1057" spans="1:31" s="338" customFormat="1">
      <c r="A1057" s="512">
        <f t="shared" si="9"/>
        <v>210</v>
      </c>
      <c r="B1057" s="493" t="s">
        <v>524</v>
      </c>
      <c r="C1057" s="493" t="s">
        <v>44</v>
      </c>
      <c r="D1057" s="493" t="s">
        <v>449</v>
      </c>
      <c r="E1057" s="161" t="s">
        <v>1558</v>
      </c>
      <c r="F1057" s="589" t="s">
        <v>617</v>
      </c>
      <c r="G1057" s="493">
        <v>9866210931</v>
      </c>
      <c r="H1057" s="491"/>
      <c r="I1057" s="589">
        <v>62</v>
      </c>
      <c r="J1057" s="493" t="s">
        <v>90</v>
      </c>
      <c r="K1057" s="493" t="s">
        <v>1459</v>
      </c>
      <c r="L1057" s="493"/>
      <c r="M1057" s="588" t="s">
        <v>119</v>
      </c>
      <c r="N1057" s="747">
        <v>65024</v>
      </c>
      <c r="O1057" s="496">
        <v>65024</v>
      </c>
      <c r="P1057" s="496">
        <v>65040</v>
      </c>
      <c r="Q1057" s="491" t="s">
        <v>51</v>
      </c>
    </row>
    <row r="1058" spans="1:31" s="338" customFormat="1">
      <c r="A1058" s="512">
        <f t="shared" si="9"/>
        <v>211</v>
      </c>
      <c r="B1058" s="493" t="s">
        <v>524</v>
      </c>
      <c r="C1058" s="493" t="s">
        <v>44</v>
      </c>
      <c r="D1058" s="493" t="s">
        <v>449</v>
      </c>
      <c r="E1058" s="161" t="s">
        <v>1559</v>
      </c>
      <c r="F1058" s="589" t="s">
        <v>502</v>
      </c>
      <c r="G1058" s="493">
        <v>9858021286</v>
      </c>
      <c r="H1058" s="491"/>
      <c r="I1058" s="589">
        <v>19</v>
      </c>
      <c r="J1058" s="493" t="s">
        <v>48</v>
      </c>
      <c r="K1058" s="493" t="s">
        <v>345</v>
      </c>
      <c r="L1058" s="493"/>
      <c r="M1058" s="588" t="s">
        <v>119</v>
      </c>
      <c r="N1058" s="747">
        <v>65024</v>
      </c>
      <c r="O1058" s="496">
        <v>65024</v>
      </c>
      <c r="P1058" s="496">
        <v>65040</v>
      </c>
      <c r="Q1058" s="491" t="s">
        <v>51</v>
      </c>
      <c r="R1058" s="358"/>
      <c r="S1058" s="358"/>
      <c r="T1058" s="358"/>
      <c r="U1058" s="358"/>
      <c r="V1058" s="358"/>
      <c r="W1058" s="358"/>
      <c r="X1058" s="358"/>
      <c r="Y1058" s="358"/>
      <c r="Z1058" s="358"/>
      <c r="AA1058" s="358"/>
      <c r="AB1058" s="358"/>
      <c r="AC1058" s="358"/>
      <c r="AD1058" s="358"/>
      <c r="AE1058" s="358"/>
    </row>
    <row r="1059" spans="1:31" s="358" customFormat="1">
      <c r="A1059" s="512">
        <f t="shared" si="9"/>
        <v>212</v>
      </c>
      <c r="B1059" s="493" t="s">
        <v>524</v>
      </c>
      <c r="C1059" s="493" t="s">
        <v>44</v>
      </c>
      <c r="D1059" s="493" t="s">
        <v>449</v>
      </c>
      <c r="E1059" s="587" t="s">
        <v>1451</v>
      </c>
      <c r="F1059" s="494" t="s">
        <v>502</v>
      </c>
      <c r="G1059" s="494">
        <v>9809803514</v>
      </c>
      <c r="H1059" s="491"/>
      <c r="I1059" s="494">
        <v>37</v>
      </c>
      <c r="J1059" s="493" t="s">
        <v>404</v>
      </c>
      <c r="K1059" s="493" t="s">
        <v>709</v>
      </c>
      <c r="L1059" s="493"/>
      <c r="M1059" s="493" t="s">
        <v>1192</v>
      </c>
      <c r="N1059" s="747">
        <v>65024</v>
      </c>
      <c r="O1059" s="496">
        <v>65024</v>
      </c>
      <c r="P1059" s="496">
        <v>65040</v>
      </c>
      <c r="Q1059" s="491" t="s">
        <v>51</v>
      </c>
      <c r="R1059" s="338"/>
      <c r="S1059" s="338"/>
      <c r="T1059" s="338"/>
      <c r="U1059" s="338"/>
      <c r="V1059" s="338"/>
      <c r="W1059" s="338"/>
      <c r="X1059" s="338"/>
      <c r="Y1059" s="338"/>
      <c r="Z1059" s="338"/>
      <c r="AA1059" s="338"/>
      <c r="AB1059" s="338"/>
      <c r="AC1059" s="338"/>
      <c r="AD1059" s="338"/>
      <c r="AE1059" s="338"/>
    </row>
    <row r="1060" spans="1:31" s="338" customFormat="1">
      <c r="A1060" s="512">
        <f t="shared" si="9"/>
        <v>213</v>
      </c>
      <c r="B1060" s="493" t="s">
        <v>524</v>
      </c>
      <c r="C1060" s="493" t="s">
        <v>44</v>
      </c>
      <c r="D1060" s="493" t="s">
        <v>449</v>
      </c>
      <c r="E1060" s="587" t="s">
        <v>1450</v>
      </c>
      <c r="F1060" s="494" t="s">
        <v>502</v>
      </c>
      <c r="G1060" s="494">
        <v>9809803514</v>
      </c>
      <c r="H1060" s="491"/>
      <c r="I1060" s="494">
        <v>13</v>
      </c>
      <c r="J1060" s="493" t="s">
        <v>433</v>
      </c>
      <c r="K1060" s="493" t="s">
        <v>709</v>
      </c>
      <c r="L1060" s="493"/>
      <c r="M1060" s="493" t="s">
        <v>1192</v>
      </c>
      <c r="N1060" s="747">
        <v>65024</v>
      </c>
      <c r="O1060" s="496">
        <v>65024</v>
      </c>
      <c r="P1060" s="496">
        <v>65040</v>
      </c>
      <c r="Q1060" s="491" t="s">
        <v>51</v>
      </c>
    </row>
    <row r="1061" spans="1:31" s="338" customFormat="1">
      <c r="A1061" s="512">
        <f t="shared" si="9"/>
        <v>214</v>
      </c>
      <c r="B1061" s="493" t="s">
        <v>524</v>
      </c>
      <c r="C1061" s="493" t="s">
        <v>44</v>
      </c>
      <c r="D1061" s="493" t="s">
        <v>449</v>
      </c>
      <c r="E1061" s="587" t="s">
        <v>1486</v>
      </c>
      <c r="F1061" s="590" t="s">
        <v>598</v>
      </c>
      <c r="G1061" s="493"/>
      <c r="H1061" s="491"/>
      <c r="I1061" s="494">
        <v>49</v>
      </c>
      <c r="J1061" s="493" t="s">
        <v>48</v>
      </c>
      <c r="K1061" s="493" t="s">
        <v>1468</v>
      </c>
      <c r="L1061" s="493"/>
      <c r="M1061" s="493" t="s">
        <v>1192</v>
      </c>
      <c r="N1061" s="747">
        <v>65024</v>
      </c>
      <c r="O1061" s="496"/>
      <c r="P1061" s="496">
        <v>65040</v>
      </c>
      <c r="Q1061" s="491" t="s">
        <v>51</v>
      </c>
    </row>
    <row r="1062" spans="1:31" s="338" customFormat="1">
      <c r="A1062" s="512">
        <f t="shared" si="9"/>
        <v>215</v>
      </c>
      <c r="B1062" s="493" t="s">
        <v>524</v>
      </c>
      <c r="C1062" s="493" t="s">
        <v>44</v>
      </c>
      <c r="D1062" s="493" t="s">
        <v>449</v>
      </c>
      <c r="E1062" s="587" t="s">
        <v>1419</v>
      </c>
      <c r="F1062" s="494" t="s">
        <v>491</v>
      </c>
      <c r="G1062" s="494">
        <v>9847907015</v>
      </c>
      <c r="H1062" s="491"/>
      <c r="I1062" s="494">
        <v>37</v>
      </c>
      <c r="J1062" s="493" t="s">
        <v>433</v>
      </c>
      <c r="K1062" s="493" t="s">
        <v>709</v>
      </c>
      <c r="L1062" s="493"/>
      <c r="M1062" s="493" t="s">
        <v>1192</v>
      </c>
      <c r="N1062" s="747">
        <v>65024</v>
      </c>
      <c r="O1062" s="496">
        <v>65024</v>
      </c>
      <c r="P1062" s="496">
        <v>65040</v>
      </c>
      <c r="Q1062" s="491" t="s">
        <v>51</v>
      </c>
    </row>
    <row r="1063" spans="1:31" s="338" customFormat="1">
      <c r="A1063" s="512">
        <f t="shared" si="9"/>
        <v>216</v>
      </c>
      <c r="B1063" s="493" t="s">
        <v>524</v>
      </c>
      <c r="C1063" s="493" t="s">
        <v>44</v>
      </c>
      <c r="D1063" s="493" t="s">
        <v>449</v>
      </c>
      <c r="E1063" s="587" t="s">
        <v>1414</v>
      </c>
      <c r="F1063" s="494" t="s">
        <v>502</v>
      </c>
      <c r="G1063" s="494">
        <v>9857820251</v>
      </c>
      <c r="H1063" s="491"/>
      <c r="I1063" s="494">
        <v>60</v>
      </c>
      <c r="J1063" s="493" t="s">
        <v>404</v>
      </c>
      <c r="K1063" s="493" t="s">
        <v>1193</v>
      </c>
      <c r="L1063" s="493"/>
      <c r="M1063" s="493" t="s">
        <v>1192</v>
      </c>
      <c r="N1063" s="747">
        <v>65024</v>
      </c>
      <c r="O1063" s="496">
        <v>65024</v>
      </c>
      <c r="P1063" s="496">
        <v>65040</v>
      </c>
      <c r="Q1063" s="491" t="s">
        <v>51</v>
      </c>
    </row>
    <row r="1064" spans="1:31" s="338" customFormat="1">
      <c r="A1064" s="512">
        <f t="shared" si="9"/>
        <v>217</v>
      </c>
      <c r="B1064" s="493" t="s">
        <v>524</v>
      </c>
      <c r="C1064" s="493" t="s">
        <v>44</v>
      </c>
      <c r="D1064" s="493" t="s">
        <v>449</v>
      </c>
      <c r="E1064" s="587" t="s">
        <v>1436</v>
      </c>
      <c r="F1064" s="494" t="s">
        <v>124</v>
      </c>
      <c r="G1064" s="494">
        <v>9857834590</v>
      </c>
      <c r="H1064" s="491"/>
      <c r="I1064" s="494">
        <v>38</v>
      </c>
      <c r="J1064" s="493" t="s">
        <v>404</v>
      </c>
      <c r="K1064" s="493" t="s">
        <v>709</v>
      </c>
      <c r="L1064" s="493"/>
      <c r="M1064" s="493" t="s">
        <v>1192</v>
      </c>
      <c r="N1064" s="747">
        <v>65024</v>
      </c>
      <c r="O1064" s="496">
        <v>65024</v>
      </c>
      <c r="P1064" s="496">
        <v>65040</v>
      </c>
      <c r="Q1064" s="491" t="s">
        <v>51</v>
      </c>
    </row>
    <row r="1065" spans="1:31" s="338" customFormat="1">
      <c r="A1065" s="512">
        <f t="shared" si="9"/>
        <v>218</v>
      </c>
      <c r="B1065" s="493" t="s">
        <v>524</v>
      </c>
      <c r="C1065" s="493" t="s">
        <v>44</v>
      </c>
      <c r="D1065" s="493" t="s">
        <v>449</v>
      </c>
      <c r="E1065" s="587" t="s">
        <v>1446</v>
      </c>
      <c r="F1065" s="494" t="s">
        <v>124</v>
      </c>
      <c r="G1065" s="494">
        <v>9812850452</v>
      </c>
      <c r="H1065" s="491"/>
      <c r="I1065" s="494">
        <v>24</v>
      </c>
      <c r="J1065" s="493" t="s">
        <v>404</v>
      </c>
      <c r="K1065" s="493" t="s">
        <v>709</v>
      </c>
      <c r="L1065" s="493"/>
      <c r="M1065" s="493" t="s">
        <v>1192</v>
      </c>
      <c r="N1065" s="747">
        <v>65024</v>
      </c>
      <c r="O1065" s="496">
        <v>65024</v>
      </c>
      <c r="P1065" s="496">
        <v>65040</v>
      </c>
      <c r="Q1065" s="491" t="s">
        <v>51</v>
      </c>
    </row>
    <row r="1066" spans="1:31" s="338" customFormat="1">
      <c r="A1066" s="512">
        <f t="shared" si="9"/>
        <v>219</v>
      </c>
      <c r="B1066" s="493" t="s">
        <v>524</v>
      </c>
      <c r="C1066" s="493" t="s">
        <v>44</v>
      </c>
      <c r="D1066" s="493" t="s">
        <v>449</v>
      </c>
      <c r="E1066" s="162" t="s">
        <v>1518</v>
      </c>
      <c r="F1066" s="594" t="s">
        <v>529</v>
      </c>
      <c r="G1066" s="493">
        <v>9848129303</v>
      </c>
      <c r="H1066" s="491"/>
      <c r="I1066" s="594">
        <v>20</v>
      </c>
      <c r="J1066" s="493" t="s">
        <v>433</v>
      </c>
      <c r="K1066" s="493" t="s">
        <v>709</v>
      </c>
      <c r="L1066" s="493"/>
      <c r="M1066" s="493" t="s">
        <v>1192</v>
      </c>
      <c r="N1066" s="747">
        <v>65025</v>
      </c>
      <c r="O1066" s="496">
        <v>65025</v>
      </c>
      <c r="P1066" s="496">
        <v>65040</v>
      </c>
      <c r="Q1066" s="491" t="s">
        <v>51</v>
      </c>
    </row>
    <row r="1067" spans="1:31" s="338" customFormat="1">
      <c r="A1067" s="512">
        <f t="shared" si="9"/>
        <v>220</v>
      </c>
      <c r="B1067" s="493" t="s">
        <v>524</v>
      </c>
      <c r="C1067" s="493" t="s">
        <v>44</v>
      </c>
      <c r="D1067" s="493" t="s">
        <v>449</v>
      </c>
      <c r="E1067" s="162" t="s">
        <v>1502</v>
      </c>
      <c r="F1067" s="594" t="s">
        <v>441</v>
      </c>
      <c r="G1067" s="493">
        <v>9866901900</v>
      </c>
      <c r="H1067" s="491"/>
      <c r="I1067" s="594">
        <v>19</v>
      </c>
      <c r="J1067" s="493" t="s">
        <v>433</v>
      </c>
      <c r="K1067" s="493" t="s">
        <v>709</v>
      </c>
      <c r="L1067" s="493"/>
      <c r="M1067" s="493" t="s">
        <v>1192</v>
      </c>
      <c r="N1067" s="747">
        <v>65025</v>
      </c>
      <c r="O1067" s="496">
        <v>65025</v>
      </c>
      <c r="P1067" s="496">
        <v>65040</v>
      </c>
      <c r="Q1067" s="491" t="s">
        <v>51</v>
      </c>
    </row>
    <row r="1068" spans="1:31" s="338" customFormat="1">
      <c r="A1068" s="512">
        <f t="shared" si="9"/>
        <v>221</v>
      </c>
      <c r="B1068" s="493" t="s">
        <v>524</v>
      </c>
      <c r="C1068" s="493" t="s">
        <v>44</v>
      </c>
      <c r="D1068" s="493" t="s">
        <v>449</v>
      </c>
      <c r="E1068" s="162" t="s">
        <v>1513</v>
      </c>
      <c r="F1068" s="594" t="s">
        <v>512</v>
      </c>
      <c r="G1068" s="493">
        <v>9847826411</v>
      </c>
      <c r="H1068" s="491"/>
      <c r="I1068" s="594">
        <v>42</v>
      </c>
      <c r="J1068" s="493" t="s">
        <v>404</v>
      </c>
      <c r="K1068" s="493" t="s">
        <v>709</v>
      </c>
      <c r="L1068" s="493"/>
      <c r="M1068" s="493" t="s">
        <v>1192</v>
      </c>
      <c r="N1068" s="747">
        <v>65025</v>
      </c>
      <c r="O1068" s="496">
        <v>65025</v>
      </c>
      <c r="P1068" s="496">
        <v>65040</v>
      </c>
      <c r="Q1068" s="491" t="s">
        <v>51</v>
      </c>
    </row>
    <row r="1069" spans="1:31" s="338" customFormat="1">
      <c r="A1069" s="512">
        <f t="shared" si="9"/>
        <v>222</v>
      </c>
      <c r="B1069" s="493" t="s">
        <v>524</v>
      </c>
      <c r="C1069" s="493" t="s">
        <v>44</v>
      </c>
      <c r="D1069" s="493" t="s">
        <v>449</v>
      </c>
      <c r="E1069" s="162" t="s">
        <v>1522</v>
      </c>
      <c r="F1069" s="594" t="s">
        <v>491</v>
      </c>
      <c r="G1069" s="493">
        <v>9803694438</v>
      </c>
      <c r="H1069" s="491"/>
      <c r="I1069" s="594">
        <v>40</v>
      </c>
      <c r="J1069" s="493" t="s">
        <v>404</v>
      </c>
      <c r="K1069" s="493" t="s">
        <v>709</v>
      </c>
      <c r="L1069" s="493"/>
      <c r="M1069" s="493" t="s">
        <v>1192</v>
      </c>
      <c r="N1069" s="747">
        <v>65025</v>
      </c>
      <c r="O1069" s="496">
        <v>65025</v>
      </c>
      <c r="P1069" s="496">
        <v>65040</v>
      </c>
      <c r="Q1069" s="491" t="s">
        <v>51</v>
      </c>
    </row>
    <row r="1070" spans="1:31" s="338" customFormat="1">
      <c r="A1070" s="512">
        <f t="shared" si="9"/>
        <v>223</v>
      </c>
      <c r="B1070" s="493" t="s">
        <v>524</v>
      </c>
      <c r="C1070" s="493" t="s">
        <v>44</v>
      </c>
      <c r="D1070" s="493" t="s">
        <v>449</v>
      </c>
      <c r="E1070" s="162" t="s">
        <v>1487</v>
      </c>
      <c r="F1070" s="594" t="s">
        <v>491</v>
      </c>
      <c r="G1070" s="493">
        <v>9869984094</v>
      </c>
      <c r="H1070" s="491"/>
      <c r="I1070" s="594">
        <v>24</v>
      </c>
      <c r="J1070" s="493" t="s">
        <v>433</v>
      </c>
      <c r="K1070" s="493" t="s">
        <v>709</v>
      </c>
      <c r="L1070" s="493"/>
      <c r="M1070" s="493" t="s">
        <v>1192</v>
      </c>
      <c r="N1070" s="747">
        <v>65025</v>
      </c>
      <c r="O1070" s="496">
        <v>65025</v>
      </c>
      <c r="P1070" s="496">
        <v>65040</v>
      </c>
      <c r="Q1070" s="491" t="s">
        <v>51</v>
      </c>
    </row>
    <row r="1071" spans="1:31" s="338" customFormat="1">
      <c r="A1071" s="512">
        <f t="shared" si="9"/>
        <v>224</v>
      </c>
      <c r="B1071" s="493" t="s">
        <v>524</v>
      </c>
      <c r="C1071" s="493" t="s">
        <v>44</v>
      </c>
      <c r="D1071" s="493" t="s">
        <v>449</v>
      </c>
      <c r="E1071" s="162" t="s">
        <v>1499</v>
      </c>
      <c r="F1071" s="594" t="s">
        <v>557</v>
      </c>
      <c r="G1071" s="493">
        <v>9847879760</v>
      </c>
      <c r="H1071" s="491"/>
      <c r="I1071" s="594">
        <v>53</v>
      </c>
      <c r="J1071" s="493" t="s">
        <v>404</v>
      </c>
      <c r="K1071" s="493" t="s">
        <v>709</v>
      </c>
      <c r="L1071" s="493"/>
      <c r="M1071" s="493" t="s">
        <v>1192</v>
      </c>
      <c r="N1071" s="747">
        <v>65025</v>
      </c>
      <c r="O1071" s="496">
        <v>65025</v>
      </c>
      <c r="P1071" s="496">
        <v>65040</v>
      </c>
      <c r="Q1071" s="491" t="s">
        <v>51</v>
      </c>
    </row>
    <row r="1072" spans="1:31" s="338" customFormat="1">
      <c r="A1072" s="512">
        <f t="shared" si="9"/>
        <v>225</v>
      </c>
      <c r="B1072" s="493" t="s">
        <v>524</v>
      </c>
      <c r="C1072" s="493" t="s">
        <v>44</v>
      </c>
      <c r="D1072" s="493" t="s">
        <v>449</v>
      </c>
      <c r="E1072" s="162" t="s">
        <v>1492</v>
      </c>
      <c r="F1072" s="594" t="s">
        <v>491</v>
      </c>
      <c r="G1072" s="493">
        <v>9857821849</v>
      </c>
      <c r="H1072" s="491"/>
      <c r="I1072" s="594">
        <v>24</v>
      </c>
      <c r="J1072" s="493" t="s">
        <v>433</v>
      </c>
      <c r="K1072" s="493" t="s">
        <v>709</v>
      </c>
      <c r="L1072" s="493"/>
      <c r="M1072" s="493" t="s">
        <v>1192</v>
      </c>
      <c r="N1072" s="747">
        <v>65025</v>
      </c>
      <c r="O1072" s="496">
        <v>65025</v>
      </c>
      <c r="P1072" s="496">
        <v>65040</v>
      </c>
      <c r="Q1072" s="491" t="s">
        <v>51</v>
      </c>
    </row>
    <row r="1073" spans="1:17" s="338" customFormat="1">
      <c r="A1073" s="512">
        <f t="shared" si="9"/>
        <v>226</v>
      </c>
      <c r="B1073" s="493" t="s">
        <v>524</v>
      </c>
      <c r="C1073" s="493" t="s">
        <v>44</v>
      </c>
      <c r="D1073" s="493" t="s">
        <v>449</v>
      </c>
      <c r="E1073" s="162" t="s">
        <v>1490</v>
      </c>
      <c r="F1073" s="594" t="s">
        <v>636</v>
      </c>
      <c r="G1073" s="493">
        <v>9816600089</v>
      </c>
      <c r="H1073" s="491"/>
      <c r="I1073" s="594">
        <v>52</v>
      </c>
      <c r="J1073" s="493" t="s">
        <v>433</v>
      </c>
      <c r="K1073" s="493" t="s">
        <v>709</v>
      </c>
      <c r="L1073" s="493"/>
      <c r="M1073" s="493" t="s">
        <v>1192</v>
      </c>
      <c r="N1073" s="747">
        <v>65025</v>
      </c>
      <c r="O1073" s="496">
        <v>65025</v>
      </c>
      <c r="P1073" s="496">
        <v>65040</v>
      </c>
      <c r="Q1073" s="491" t="s">
        <v>51</v>
      </c>
    </row>
    <row r="1074" spans="1:17" s="338" customFormat="1">
      <c r="A1074" s="512">
        <f t="shared" si="9"/>
        <v>227</v>
      </c>
      <c r="B1074" s="493" t="s">
        <v>524</v>
      </c>
      <c r="C1074" s="493" t="s">
        <v>44</v>
      </c>
      <c r="D1074" s="493" t="s">
        <v>449</v>
      </c>
      <c r="E1074" s="162" t="s">
        <v>1516</v>
      </c>
      <c r="F1074" s="594" t="s">
        <v>502</v>
      </c>
      <c r="G1074" s="493">
        <v>9809828292</v>
      </c>
      <c r="H1074" s="491"/>
      <c r="I1074" s="594">
        <v>40</v>
      </c>
      <c r="J1074" s="493" t="s">
        <v>433</v>
      </c>
      <c r="K1074" s="493" t="s">
        <v>709</v>
      </c>
      <c r="L1074" s="493"/>
      <c r="M1074" s="493" t="s">
        <v>1192</v>
      </c>
      <c r="N1074" s="747">
        <v>65025</v>
      </c>
      <c r="O1074" s="496">
        <v>65025</v>
      </c>
      <c r="P1074" s="496">
        <v>65040</v>
      </c>
      <c r="Q1074" s="491" t="s">
        <v>51</v>
      </c>
    </row>
    <row r="1075" spans="1:17" s="338" customFormat="1">
      <c r="A1075" s="512">
        <f t="shared" si="9"/>
        <v>228</v>
      </c>
      <c r="B1075" s="493" t="s">
        <v>524</v>
      </c>
      <c r="C1075" s="493" t="s">
        <v>44</v>
      </c>
      <c r="D1075" s="493" t="s">
        <v>449</v>
      </c>
      <c r="E1075" s="162" t="s">
        <v>1515</v>
      </c>
      <c r="F1075" s="594" t="s">
        <v>497</v>
      </c>
      <c r="G1075" s="493">
        <v>9809815749</v>
      </c>
      <c r="H1075" s="491"/>
      <c r="I1075" s="594">
        <v>45</v>
      </c>
      <c r="J1075" s="493" t="s">
        <v>404</v>
      </c>
      <c r="K1075" s="493" t="s">
        <v>709</v>
      </c>
      <c r="L1075" s="493"/>
      <c r="M1075" s="493" t="s">
        <v>1192</v>
      </c>
      <c r="N1075" s="747">
        <v>65025</v>
      </c>
      <c r="O1075" s="496">
        <v>65025</v>
      </c>
      <c r="P1075" s="496">
        <v>65040</v>
      </c>
      <c r="Q1075" s="491" t="s">
        <v>51</v>
      </c>
    </row>
    <row r="1076" spans="1:17">
      <c r="A1076" s="512">
        <f t="shared" si="9"/>
        <v>229</v>
      </c>
      <c r="B1076" s="438" t="s">
        <v>524</v>
      </c>
      <c r="C1076" s="438" t="s">
        <v>44</v>
      </c>
      <c r="D1076" s="438" t="s">
        <v>449</v>
      </c>
      <c r="E1076" s="148" t="s">
        <v>1560</v>
      </c>
      <c r="F1076" s="591" t="s">
        <v>502</v>
      </c>
      <c r="G1076" s="438">
        <v>9866838204</v>
      </c>
      <c r="H1076" s="436"/>
      <c r="I1076" s="591">
        <v>61</v>
      </c>
      <c r="J1076" s="438" t="s">
        <v>90</v>
      </c>
      <c r="K1076" s="438"/>
      <c r="L1076" s="438"/>
      <c r="M1076" s="592" t="s">
        <v>54</v>
      </c>
      <c r="N1076" s="731">
        <v>65025</v>
      </c>
      <c r="O1076" s="465">
        <v>65025</v>
      </c>
      <c r="P1076" s="459">
        <v>65027</v>
      </c>
      <c r="Q1076" s="432" t="s">
        <v>51</v>
      </c>
    </row>
    <row r="1077" spans="1:17" s="338" customFormat="1">
      <c r="A1077" s="512">
        <f t="shared" si="9"/>
        <v>230</v>
      </c>
      <c r="B1077" s="493" t="s">
        <v>524</v>
      </c>
      <c r="C1077" s="493" t="s">
        <v>44</v>
      </c>
      <c r="D1077" s="493" t="s">
        <v>449</v>
      </c>
      <c r="E1077" s="161" t="s">
        <v>1561</v>
      </c>
      <c r="F1077" s="589" t="s">
        <v>441</v>
      </c>
      <c r="G1077" s="493">
        <v>9843365454</v>
      </c>
      <c r="H1077" s="491"/>
      <c r="I1077" s="589">
        <v>25</v>
      </c>
      <c r="J1077" s="493" t="s">
        <v>90</v>
      </c>
      <c r="K1077" s="493" t="s">
        <v>1459</v>
      </c>
      <c r="L1077" s="493"/>
      <c r="M1077" s="588" t="s">
        <v>119</v>
      </c>
      <c r="N1077" s="747">
        <v>65025</v>
      </c>
      <c r="O1077" s="496">
        <v>65025</v>
      </c>
      <c r="P1077" s="496">
        <v>65040</v>
      </c>
      <c r="Q1077" s="491" t="s">
        <v>51</v>
      </c>
    </row>
    <row r="1078" spans="1:17">
      <c r="A1078" s="512">
        <f t="shared" si="9"/>
        <v>231</v>
      </c>
      <c r="B1078" s="438" t="s">
        <v>524</v>
      </c>
      <c r="C1078" s="438" t="s">
        <v>44</v>
      </c>
      <c r="D1078" s="438" t="s">
        <v>449</v>
      </c>
      <c r="E1078" s="148" t="s">
        <v>1562</v>
      </c>
      <c r="F1078" s="591" t="s">
        <v>502</v>
      </c>
      <c r="G1078" s="438">
        <v>9847978942</v>
      </c>
      <c r="H1078" s="436"/>
      <c r="I1078" s="591">
        <v>40</v>
      </c>
      <c r="J1078" s="438" t="s">
        <v>48</v>
      </c>
      <c r="K1078" s="438"/>
      <c r="L1078" s="438"/>
      <c r="M1078" s="592" t="s">
        <v>54</v>
      </c>
      <c r="N1078" s="731">
        <v>65025</v>
      </c>
      <c r="O1078" s="465">
        <v>65025</v>
      </c>
      <c r="P1078" s="459">
        <v>65027</v>
      </c>
      <c r="Q1078" s="432" t="s">
        <v>51</v>
      </c>
    </row>
    <row r="1079" spans="1:17" s="338" customFormat="1">
      <c r="A1079" s="512">
        <f t="shared" si="9"/>
        <v>232</v>
      </c>
      <c r="B1079" s="493" t="s">
        <v>524</v>
      </c>
      <c r="C1079" s="493" t="s">
        <v>44</v>
      </c>
      <c r="D1079" s="493" t="s">
        <v>449</v>
      </c>
      <c r="E1079" s="162" t="s">
        <v>1505</v>
      </c>
      <c r="F1079" s="594" t="s">
        <v>491</v>
      </c>
      <c r="G1079" s="493">
        <v>9847947499</v>
      </c>
      <c r="H1079" s="491"/>
      <c r="I1079" s="594">
        <v>38</v>
      </c>
      <c r="J1079" s="493" t="s">
        <v>433</v>
      </c>
      <c r="K1079" s="493" t="s">
        <v>709</v>
      </c>
      <c r="L1079" s="493"/>
      <c r="M1079" s="493" t="s">
        <v>1192</v>
      </c>
      <c r="N1079" s="747">
        <v>65025</v>
      </c>
      <c r="O1079" s="496">
        <v>65025</v>
      </c>
      <c r="P1079" s="496">
        <v>65040</v>
      </c>
      <c r="Q1079" s="491" t="s">
        <v>51</v>
      </c>
    </row>
    <row r="1080" spans="1:17" s="338" customFormat="1">
      <c r="A1080" s="512">
        <f t="shared" si="9"/>
        <v>233</v>
      </c>
      <c r="B1080" s="493" t="s">
        <v>524</v>
      </c>
      <c r="C1080" s="493" t="s">
        <v>44</v>
      </c>
      <c r="D1080" s="493" t="s">
        <v>449</v>
      </c>
      <c r="E1080" s="162" t="s">
        <v>1504</v>
      </c>
      <c r="F1080" s="594" t="s">
        <v>124</v>
      </c>
      <c r="G1080" s="493">
        <v>9847851154</v>
      </c>
      <c r="H1080" s="491"/>
      <c r="I1080" s="594">
        <v>38</v>
      </c>
      <c r="J1080" s="493" t="s">
        <v>404</v>
      </c>
      <c r="K1080" s="493" t="s">
        <v>709</v>
      </c>
      <c r="L1080" s="493"/>
      <c r="M1080" s="493" t="s">
        <v>1192</v>
      </c>
      <c r="N1080" s="747">
        <v>65025</v>
      </c>
      <c r="O1080" s="496">
        <v>65025</v>
      </c>
      <c r="P1080" s="496">
        <v>65040</v>
      </c>
      <c r="Q1080" s="491" t="s">
        <v>51</v>
      </c>
    </row>
    <row r="1081" spans="1:17" s="338" customFormat="1">
      <c r="A1081" s="512">
        <f t="shared" si="9"/>
        <v>234</v>
      </c>
      <c r="B1081" s="493" t="s">
        <v>524</v>
      </c>
      <c r="C1081" s="493" t="s">
        <v>44</v>
      </c>
      <c r="D1081" s="493" t="s">
        <v>449</v>
      </c>
      <c r="E1081" s="162" t="s">
        <v>1511</v>
      </c>
      <c r="F1081" s="594" t="s">
        <v>557</v>
      </c>
      <c r="G1081" s="493">
        <v>9868601292</v>
      </c>
      <c r="H1081" s="491"/>
      <c r="I1081" s="594">
        <v>24</v>
      </c>
      <c r="J1081" s="493" t="s">
        <v>404</v>
      </c>
      <c r="K1081" s="493" t="s">
        <v>709</v>
      </c>
      <c r="L1081" s="493"/>
      <c r="M1081" s="493" t="s">
        <v>1192</v>
      </c>
      <c r="N1081" s="747">
        <v>65025</v>
      </c>
      <c r="O1081" s="496">
        <v>65025</v>
      </c>
      <c r="P1081" s="496">
        <v>65040</v>
      </c>
      <c r="Q1081" s="491" t="s">
        <v>51</v>
      </c>
    </row>
    <row r="1082" spans="1:17" s="338" customFormat="1">
      <c r="A1082" s="512">
        <f t="shared" si="9"/>
        <v>235</v>
      </c>
      <c r="B1082" s="493" t="s">
        <v>524</v>
      </c>
      <c r="C1082" s="493" t="s">
        <v>44</v>
      </c>
      <c r="D1082" s="493" t="s">
        <v>449</v>
      </c>
      <c r="E1082" s="162" t="s">
        <v>1493</v>
      </c>
      <c r="F1082" s="594" t="s">
        <v>441</v>
      </c>
      <c r="G1082" s="493">
        <v>9866904250</v>
      </c>
      <c r="H1082" s="491"/>
      <c r="I1082" s="594">
        <v>33</v>
      </c>
      <c r="J1082" s="493" t="s">
        <v>404</v>
      </c>
      <c r="K1082" s="493" t="s">
        <v>709</v>
      </c>
      <c r="L1082" s="493"/>
      <c r="M1082" s="493" t="s">
        <v>1192</v>
      </c>
      <c r="N1082" s="747">
        <v>65025</v>
      </c>
      <c r="O1082" s="496">
        <v>65025</v>
      </c>
      <c r="P1082" s="496">
        <v>65040</v>
      </c>
      <c r="Q1082" s="491" t="s">
        <v>51</v>
      </c>
    </row>
    <row r="1083" spans="1:17" s="338" customFormat="1">
      <c r="A1083" s="512">
        <f t="shared" si="9"/>
        <v>236</v>
      </c>
      <c r="B1083" s="493" t="s">
        <v>524</v>
      </c>
      <c r="C1083" s="493" t="s">
        <v>44</v>
      </c>
      <c r="D1083" s="493" t="s">
        <v>449</v>
      </c>
      <c r="E1083" s="162" t="s">
        <v>1497</v>
      </c>
      <c r="F1083" s="594" t="s">
        <v>502</v>
      </c>
      <c r="G1083" s="493">
        <v>9812807652</v>
      </c>
      <c r="H1083" s="491"/>
      <c r="I1083" s="594">
        <v>34</v>
      </c>
      <c r="J1083" s="493" t="s">
        <v>433</v>
      </c>
      <c r="K1083" s="493" t="s">
        <v>709</v>
      </c>
      <c r="L1083" s="493"/>
      <c r="M1083" s="493" t="s">
        <v>1192</v>
      </c>
      <c r="N1083" s="747">
        <v>65025</v>
      </c>
      <c r="O1083" s="496">
        <v>65025</v>
      </c>
      <c r="P1083" s="496">
        <v>65040</v>
      </c>
      <c r="Q1083" s="491" t="s">
        <v>51</v>
      </c>
    </row>
    <row r="1084" spans="1:17" s="338" customFormat="1">
      <c r="A1084" s="512">
        <f t="shared" si="9"/>
        <v>237</v>
      </c>
      <c r="B1084" s="493" t="s">
        <v>524</v>
      </c>
      <c r="C1084" s="493" t="s">
        <v>44</v>
      </c>
      <c r="D1084" s="493" t="s">
        <v>449</v>
      </c>
      <c r="E1084" s="162" t="s">
        <v>1536</v>
      </c>
      <c r="F1084" s="594" t="s">
        <v>1008</v>
      </c>
      <c r="G1084" s="493">
        <v>9844978092</v>
      </c>
      <c r="H1084" s="491"/>
      <c r="I1084" s="594">
        <v>15</v>
      </c>
      <c r="J1084" s="493" t="s">
        <v>433</v>
      </c>
      <c r="K1084" s="493" t="s">
        <v>1193</v>
      </c>
      <c r="L1084" s="493"/>
      <c r="M1084" s="493" t="s">
        <v>1192</v>
      </c>
      <c r="N1084" s="747">
        <v>65025</v>
      </c>
      <c r="O1084" s="496">
        <v>65025</v>
      </c>
      <c r="P1084" s="496">
        <v>65040</v>
      </c>
      <c r="Q1084" s="491" t="s">
        <v>51</v>
      </c>
    </row>
    <row r="1085" spans="1:17" s="338" customFormat="1">
      <c r="A1085" s="512">
        <f t="shared" si="9"/>
        <v>238</v>
      </c>
      <c r="B1085" s="490" t="s">
        <v>524</v>
      </c>
      <c r="C1085" s="490" t="s">
        <v>44</v>
      </c>
      <c r="D1085" s="490" t="s">
        <v>449</v>
      </c>
      <c r="E1085" s="298" t="s">
        <v>1500</v>
      </c>
      <c r="F1085" s="299" t="s">
        <v>491</v>
      </c>
      <c r="G1085" s="490">
        <v>9809879446</v>
      </c>
      <c r="H1085" s="509"/>
      <c r="I1085" s="299">
        <v>42</v>
      </c>
      <c r="J1085" s="490" t="s">
        <v>404</v>
      </c>
      <c r="K1085" s="490" t="s">
        <v>709</v>
      </c>
      <c r="L1085" s="490"/>
      <c r="M1085" s="490" t="s">
        <v>1192</v>
      </c>
      <c r="N1085" s="749">
        <v>65025</v>
      </c>
      <c r="O1085" s="511">
        <v>65025</v>
      </c>
      <c r="P1085" s="459">
        <v>65027</v>
      </c>
      <c r="Q1085" s="432" t="s">
        <v>51</v>
      </c>
    </row>
    <row r="1086" spans="1:17" s="338" customFormat="1">
      <c r="A1086" s="512">
        <f t="shared" si="9"/>
        <v>239</v>
      </c>
      <c r="B1086" s="493" t="s">
        <v>524</v>
      </c>
      <c r="C1086" s="493" t="s">
        <v>44</v>
      </c>
      <c r="D1086" s="493" t="s">
        <v>449</v>
      </c>
      <c r="E1086" s="162" t="s">
        <v>1510</v>
      </c>
      <c r="F1086" s="594" t="s">
        <v>491</v>
      </c>
      <c r="G1086" s="493">
        <v>9809782030</v>
      </c>
      <c r="H1086" s="491"/>
      <c r="I1086" s="594">
        <v>32</v>
      </c>
      <c r="J1086" s="493" t="s">
        <v>433</v>
      </c>
      <c r="K1086" s="493" t="s">
        <v>709</v>
      </c>
      <c r="L1086" s="493"/>
      <c r="M1086" s="493" t="s">
        <v>1192</v>
      </c>
      <c r="N1086" s="747">
        <v>65025</v>
      </c>
      <c r="O1086" s="496">
        <v>65025</v>
      </c>
      <c r="P1086" s="496">
        <v>65040</v>
      </c>
      <c r="Q1086" s="491" t="s">
        <v>51</v>
      </c>
    </row>
    <row r="1087" spans="1:17" s="338" customFormat="1">
      <c r="A1087" s="512">
        <f t="shared" si="9"/>
        <v>240</v>
      </c>
      <c r="B1087" s="493" t="s">
        <v>524</v>
      </c>
      <c r="C1087" s="493" t="s">
        <v>44</v>
      </c>
      <c r="D1087" s="493" t="s">
        <v>449</v>
      </c>
      <c r="E1087" s="162" t="s">
        <v>1514</v>
      </c>
      <c r="F1087" s="594" t="s">
        <v>529</v>
      </c>
      <c r="G1087" s="493">
        <v>9810821740</v>
      </c>
      <c r="H1087" s="491"/>
      <c r="I1087" s="594">
        <v>29</v>
      </c>
      <c r="J1087" s="493" t="s">
        <v>404</v>
      </c>
      <c r="K1087" s="493" t="s">
        <v>709</v>
      </c>
      <c r="L1087" s="493"/>
      <c r="M1087" s="493" t="s">
        <v>1192</v>
      </c>
      <c r="N1087" s="747">
        <v>65025</v>
      </c>
      <c r="O1087" s="496">
        <v>65025</v>
      </c>
      <c r="P1087" s="496">
        <v>65040</v>
      </c>
      <c r="Q1087" s="491" t="s">
        <v>51</v>
      </c>
    </row>
    <row r="1088" spans="1:17" s="338" customFormat="1">
      <c r="A1088" s="512">
        <f t="shared" si="9"/>
        <v>241</v>
      </c>
      <c r="B1088" s="493" t="s">
        <v>524</v>
      </c>
      <c r="C1088" s="493" t="s">
        <v>44</v>
      </c>
      <c r="D1088" s="493" t="s">
        <v>449</v>
      </c>
      <c r="E1088" s="162" t="s">
        <v>1519</v>
      </c>
      <c r="F1088" s="594" t="s">
        <v>1046</v>
      </c>
      <c r="G1088" s="493">
        <v>9844936241</v>
      </c>
      <c r="H1088" s="491"/>
      <c r="I1088" s="594">
        <v>40</v>
      </c>
      <c r="J1088" s="493" t="s">
        <v>433</v>
      </c>
      <c r="K1088" s="493" t="s">
        <v>709</v>
      </c>
      <c r="L1088" s="493"/>
      <c r="M1088" s="493" t="s">
        <v>1192</v>
      </c>
      <c r="N1088" s="747">
        <v>65025</v>
      </c>
      <c r="O1088" s="496">
        <v>65025</v>
      </c>
      <c r="P1088" s="496">
        <v>65040</v>
      </c>
      <c r="Q1088" s="491" t="s">
        <v>51</v>
      </c>
    </row>
    <row r="1089" spans="1:17" s="338" customFormat="1">
      <c r="A1089" s="512">
        <f t="shared" si="9"/>
        <v>242</v>
      </c>
      <c r="B1089" s="493" t="s">
        <v>524</v>
      </c>
      <c r="C1089" s="493" t="s">
        <v>44</v>
      </c>
      <c r="D1089" s="493" t="s">
        <v>449</v>
      </c>
      <c r="E1089" s="162" t="s">
        <v>1537</v>
      </c>
      <c r="F1089" s="594" t="s">
        <v>512</v>
      </c>
      <c r="G1089" s="493">
        <v>9810843180</v>
      </c>
      <c r="H1089" s="491"/>
      <c r="I1089" s="594">
        <v>40</v>
      </c>
      <c r="J1089" s="493" t="s">
        <v>404</v>
      </c>
      <c r="K1089" s="493" t="s">
        <v>1193</v>
      </c>
      <c r="L1089" s="493"/>
      <c r="M1089" s="493" t="s">
        <v>1192</v>
      </c>
      <c r="N1089" s="747">
        <v>65025</v>
      </c>
      <c r="O1089" s="496">
        <v>65025</v>
      </c>
      <c r="P1089" s="496">
        <v>65040</v>
      </c>
      <c r="Q1089" s="491" t="s">
        <v>51</v>
      </c>
    </row>
    <row r="1090" spans="1:17">
      <c r="A1090" s="512">
        <f t="shared" si="9"/>
        <v>243</v>
      </c>
      <c r="B1090" s="423" t="s">
        <v>524</v>
      </c>
      <c r="C1090" s="423" t="s">
        <v>44</v>
      </c>
      <c r="D1090" s="423" t="s">
        <v>449</v>
      </c>
      <c r="E1090" s="267" t="s">
        <v>1494</v>
      </c>
      <c r="F1090" s="595" t="s">
        <v>791</v>
      </c>
      <c r="G1090" s="423">
        <v>9813231493</v>
      </c>
      <c r="H1090" s="422" t="s">
        <v>598</v>
      </c>
      <c r="I1090" s="595">
        <v>42</v>
      </c>
      <c r="J1090" s="423" t="s">
        <v>433</v>
      </c>
      <c r="K1090" s="423" t="s">
        <v>709</v>
      </c>
      <c r="L1090" s="423"/>
      <c r="M1090" s="423" t="s">
        <v>1192</v>
      </c>
      <c r="N1090" s="726">
        <v>65025</v>
      </c>
      <c r="O1090" s="476">
        <v>65025</v>
      </c>
      <c r="P1090" s="422" t="s">
        <v>940</v>
      </c>
    </row>
    <row r="1091" spans="1:17" s="338" customFormat="1">
      <c r="A1091" s="512">
        <f t="shared" si="9"/>
        <v>244</v>
      </c>
      <c r="B1091" s="493" t="s">
        <v>524</v>
      </c>
      <c r="C1091" s="493" t="s">
        <v>44</v>
      </c>
      <c r="D1091" s="493" t="s">
        <v>449</v>
      </c>
      <c r="E1091" s="162" t="s">
        <v>301</v>
      </c>
      <c r="F1091" s="594" t="s">
        <v>1009</v>
      </c>
      <c r="G1091" s="493">
        <v>9809782612</v>
      </c>
      <c r="H1091" s="491"/>
      <c r="I1091" s="594">
        <v>23</v>
      </c>
      <c r="J1091" s="493" t="s">
        <v>433</v>
      </c>
      <c r="K1091" s="493" t="s">
        <v>1193</v>
      </c>
      <c r="L1091" s="493"/>
      <c r="M1091" s="493" t="s">
        <v>1192</v>
      </c>
      <c r="N1091" s="747">
        <v>65025</v>
      </c>
      <c r="O1091" s="496">
        <v>65025</v>
      </c>
      <c r="P1091" s="496">
        <v>65040</v>
      </c>
      <c r="Q1091" s="491" t="s">
        <v>51</v>
      </c>
    </row>
    <row r="1092" spans="1:17" s="338" customFormat="1">
      <c r="A1092" s="512">
        <f t="shared" si="9"/>
        <v>245</v>
      </c>
      <c r="B1092" s="493" t="s">
        <v>524</v>
      </c>
      <c r="C1092" s="493" t="s">
        <v>44</v>
      </c>
      <c r="D1092" s="493" t="s">
        <v>449</v>
      </c>
      <c r="E1092" s="162" t="s">
        <v>1495</v>
      </c>
      <c r="F1092" s="594" t="s">
        <v>441</v>
      </c>
      <c r="G1092" s="493">
        <v>9866904250</v>
      </c>
      <c r="H1092" s="491"/>
      <c r="I1092" s="594">
        <v>35</v>
      </c>
      <c r="J1092" s="493" t="s">
        <v>404</v>
      </c>
      <c r="K1092" s="493" t="s">
        <v>709</v>
      </c>
      <c r="L1092" s="493"/>
      <c r="M1092" s="493" t="s">
        <v>1192</v>
      </c>
      <c r="N1092" s="747">
        <v>65025</v>
      </c>
      <c r="O1092" s="496">
        <v>65025</v>
      </c>
      <c r="P1092" s="496">
        <v>65040</v>
      </c>
      <c r="Q1092" s="491" t="s">
        <v>51</v>
      </c>
    </row>
    <row r="1093" spans="1:17" s="338" customFormat="1">
      <c r="A1093" s="512">
        <f t="shared" si="9"/>
        <v>246</v>
      </c>
      <c r="B1093" s="493" t="s">
        <v>524</v>
      </c>
      <c r="C1093" s="493" t="s">
        <v>44</v>
      </c>
      <c r="D1093" s="493" t="s">
        <v>449</v>
      </c>
      <c r="E1093" s="162" t="s">
        <v>1517</v>
      </c>
      <c r="F1093" s="594" t="s">
        <v>529</v>
      </c>
      <c r="G1093" s="493">
        <v>9848129303</v>
      </c>
      <c r="H1093" s="491"/>
      <c r="I1093" s="594">
        <v>52</v>
      </c>
      <c r="J1093" s="493" t="s">
        <v>404</v>
      </c>
      <c r="K1093" s="493" t="s">
        <v>709</v>
      </c>
      <c r="L1093" s="493"/>
      <c r="M1093" s="493" t="s">
        <v>1192</v>
      </c>
      <c r="N1093" s="747">
        <v>65025</v>
      </c>
      <c r="O1093" s="496">
        <v>65025</v>
      </c>
      <c r="P1093" s="496">
        <v>65040</v>
      </c>
      <c r="Q1093" s="491" t="s">
        <v>51</v>
      </c>
    </row>
    <row r="1094" spans="1:17" s="338" customFormat="1">
      <c r="A1094" s="512">
        <f t="shared" si="9"/>
        <v>247</v>
      </c>
      <c r="B1094" s="490" t="s">
        <v>524</v>
      </c>
      <c r="C1094" s="490" t="s">
        <v>44</v>
      </c>
      <c r="D1094" s="490" t="s">
        <v>449</v>
      </c>
      <c r="E1094" s="298" t="s">
        <v>1508</v>
      </c>
      <c r="F1094" s="299" t="s">
        <v>491</v>
      </c>
      <c r="G1094" s="490">
        <v>9822859656</v>
      </c>
      <c r="H1094" s="509"/>
      <c r="I1094" s="299">
        <v>21</v>
      </c>
      <c r="J1094" s="490" t="s">
        <v>433</v>
      </c>
      <c r="K1094" s="490" t="s">
        <v>709</v>
      </c>
      <c r="L1094" s="490"/>
      <c r="M1094" s="490" t="s">
        <v>1192</v>
      </c>
      <c r="N1094" s="749">
        <v>65025</v>
      </c>
      <c r="O1094" s="511">
        <v>65025</v>
      </c>
      <c r="P1094" s="459">
        <v>65027</v>
      </c>
      <c r="Q1094" s="432" t="s">
        <v>51</v>
      </c>
    </row>
    <row r="1095" spans="1:17" s="338" customFormat="1">
      <c r="A1095" s="512">
        <f t="shared" si="9"/>
        <v>248</v>
      </c>
      <c r="B1095" s="493" t="s">
        <v>524</v>
      </c>
      <c r="C1095" s="493" t="s">
        <v>44</v>
      </c>
      <c r="D1095" s="493" t="s">
        <v>449</v>
      </c>
      <c r="E1095" s="162" t="s">
        <v>1531</v>
      </c>
      <c r="F1095" s="594" t="s">
        <v>491</v>
      </c>
      <c r="G1095" s="493">
        <v>9857820794</v>
      </c>
      <c r="H1095" s="491"/>
      <c r="I1095" s="594">
        <v>39</v>
      </c>
      <c r="J1095" s="493" t="s">
        <v>433</v>
      </c>
      <c r="K1095" s="493" t="s">
        <v>1193</v>
      </c>
      <c r="L1095" s="493"/>
      <c r="M1095" s="493" t="s">
        <v>1192</v>
      </c>
      <c r="N1095" s="747">
        <v>65025</v>
      </c>
      <c r="O1095" s="496">
        <v>65025</v>
      </c>
      <c r="P1095" s="496">
        <v>65040</v>
      </c>
      <c r="Q1095" s="491" t="s">
        <v>51</v>
      </c>
    </row>
    <row r="1096" spans="1:17" s="338" customFormat="1">
      <c r="A1096" s="512">
        <f t="shared" si="9"/>
        <v>249</v>
      </c>
      <c r="B1096" s="493" t="s">
        <v>524</v>
      </c>
      <c r="C1096" s="493" t="s">
        <v>44</v>
      </c>
      <c r="D1096" s="493" t="s">
        <v>449</v>
      </c>
      <c r="E1096" s="161" t="s">
        <v>1563</v>
      </c>
      <c r="F1096" s="589" t="s">
        <v>502</v>
      </c>
      <c r="G1096" s="493">
        <v>9809824301</v>
      </c>
      <c r="H1096" s="491"/>
      <c r="I1096" s="589">
        <v>32</v>
      </c>
      <c r="J1096" s="493" t="s">
        <v>90</v>
      </c>
      <c r="K1096" s="493" t="s">
        <v>345</v>
      </c>
      <c r="L1096" s="493"/>
      <c r="M1096" s="588" t="s">
        <v>119</v>
      </c>
      <c r="N1096" s="747">
        <v>65025</v>
      </c>
      <c r="O1096" s="496">
        <v>65025</v>
      </c>
      <c r="P1096" s="496">
        <v>65040</v>
      </c>
      <c r="Q1096" s="491" t="s">
        <v>51</v>
      </c>
    </row>
    <row r="1097" spans="1:17" s="338" customFormat="1">
      <c r="A1097" s="512">
        <f t="shared" si="9"/>
        <v>250</v>
      </c>
      <c r="B1097" s="493" t="s">
        <v>524</v>
      </c>
      <c r="C1097" s="493" t="s">
        <v>44</v>
      </c>
      <c r="D1097" s="493" t="s">
        <v>449</v>
      </c>
      <c r="E1097" s="162" t="s">
        <v>1527</v>
      </c>
      <c r="F1097" s="594" t="s">
        <v>529</v>
      </c>
      <c r="G1097" s="493">
        <v>9857822798</v>
      </c>
      <c r="H1097" s="491"/>
      <c r="I1097" s="594">
        <v>27</v>
      </c>
      <c r="J1097" s="493" t="s">
        <v>404</v>
      </c>
      <c r="K1097" s="493" t="s">
        <v>1193</v>
      </c>
      <c r="L1097" s="493"/>
      <c r="M1097" s="493" t="s">
        <v>1192</v>
      </c>
      <c r="N1097" s="747">
        <v>65025</v>
      </c>
      <c r="O1097" s="496">
        <v>65025</v>
      </c>
      <c r="P1097" s="496">
        <v>65040</v>
      </c>
      <c r="Q1097" s="491" t="s">
        <v>51</v>
      </c>
    </row>
    <row r="1098" spans="1:17" s="338" customFormat="1">
      <c r="A1098" s="512">
        <f t="shared" si="9"/>
        <v>251</v>
      </c>
      <c r="B1098" s="493" t="s">
        <v>524</v>
      </c>
      <c r="C1098" s="493" t="s">
        <v>44</v>
      </c>
      <c r="D1098" s="493" t="s">
        <v>449</v>
      </c>
      <c r="E1098" s="162" t="s">
        <v>1534</v>
      </c>
      <c r="F1098" s="594" t="s">
        <v>1008</v>
      </c>
      <c r="G1098" s="493">
        <v>9847836352</v>
      </c>
      <c r="H1098" s="491"/>
      <c r="I1098" s="594">
        <v>64</v>
      </c>
      <c r="J1098" s="493" t="s">
        <v>404</v>
      </c>
      <c r="K1098" s="493" t="s">
        <v>1193</v>
      </c>
      <c r="L1098" s="493"/>
      <c r="M1098" s="493" t="s">
        <v>1192</v>
      </c>
      <c r="N1098" s="747">
        <v>65025</v>
      </c>
      <c r="O1098" s="496">
        <v>65025</v>
      </c>
      <c r="P1098" s="496">
        <v>65040</v>
      </c>
      <c r="Q1098" s="491" t="s">
        <v>51</v>
      </c>
    </row>
    <row r="1099" spans="1:17" s="338" customFormat="1">
      <c r="A1099" s="512">
        <f t="shared" si="9"/>
        <v>252</v>
      </c>
      <c r="B1099" s="493" t="s">
        <v>524</v>
      </c>
      <c r="C1099" s="493" t="s">
        <v>44</v>
      </c>
      <c r="D1099" s="493" t="s">
        <v>449</v>
      </c>
      <c r="E1099" s="162" t="s">
        <v>1538</v>
      </c>
      <c r="F1099" s="594" t="s">
        <v>512</v>
      </c>
      <c r="G1099" s="493">
        <v>9810843180</v>
      </c>
      <c r="H1099" s="491"/>
      <c r="I1099" s="594">
        <v>35</v>
      </c>
      <c r="J1099" s="493" t="s">
        <v>433</v>
      </c>
      <c r="K1099" s="493" t="s">
        <v>1193</v>
      </c>
      <c r="L1099" s="493"/>
      <c r="M1099" s="493" t="s">
        <v>1192</v>
      </c>
      <c r="N1099" s="747">
        <v>65025</v>
      </c>
      <c r="O1099" s="496">
        <v>65025</v>
      </c>
      <c r="P1099" s="496">
        <v>65040</v>
      </c>
      <c r="Q1099" s="491" t="s">
        <v>51</v>
      </c>
    </row>
    <row r="1100" spans="1:17" s="338" customFormat="1">
      <c r="A1100" s="512">
        <f t="shared" si="9"/>
        <v>253</v>
      </c>
      <c r="B1100" s="493" t="s">
        <v>524</v>
      </c>
      <c r="C1100" s="493" t="s">
        <v>44</v>
      </c>
      <c r="D1100" s="493" t="s">
        <v>449</v>
      </c>
      <c r="E1100" s="162" t="s">
        <v>1503</v>
      </c>
      <c r="F1100" s="594" t="s">
        <v>502</v>
      </c>
      <c r="G1100" s="493">
        <v>9857834408</v>
      </c>
      <c r="H1100" s="491"/>
      <c r="I1100" s="594">
        <v>34</v>
      </c>
      <c r="J1100" s="493" t="s">
        <v>404</v>
      </c>
      <c r="K1100" s="493" t="s">
        <v>709</v>
      </c>
      <c r="L1100" s="493"/>
      <c r="M1100" s="493" t="s">
        <v>1192</v>
      </c>
      <c r="N1100" s="747">
        <v>65025</v>
      </c>
      <c r="O1100" s="496">
        <v>65025</v>
      </c>
      <c r="P1100" s="496">
        <v>65040</v>
      </c>
      <c r="Q1100" s="491" t="s">
        <v>51</v>
      </c>
    </row>
    <row r="1101" spans="1:17" s="338" customFormat="1">
      <c r="A1101" s="512">
        <f t="shared" si="9"/>
        <v>254</v>
      </c>
      <c r="B1101" s="493" t="s">
        <v>524</v>
      </c>
      <c r="C1101" s="493" t="s">
        <v>44</v>
      </c>
      <c r="D1101" s="493" t="s">
        <v>449</v>
      </c>
      <c r="E1101" s="162" t="s">
        <v>1532</v>
      </c>
      <c r="F1101" s="594" t="s">
        <v>124</v>
      </c>
      <c r="G1101" s="493">
        <v>9857824653</v>
      </c>
      <c r="H1101" s="491"/>
      <c r="I1101" s="594">
        <v>33</v>
      </c>
      <c r="J1101" s="493" t="s">
        <v>404</v>
      </c>
      <c r="K1101" s="493" t="s">
        <v>1193</v>
      </c>
      <c r="L1101" s="493"/>
      <c r="M1101" s="493" t="s">
        <v>1192</v>
      </c>
      <c r="N1101" s="747">
        <v>65025</v>
      </c>
      <c r="O1101" s="496">
        <v>65025</v>
      </c>
      <c r="P1101" s="496">
        <v>65040</v>
      </c>
      <c r="Q1101" s="491" t="s">
        <v>51</v>
      </c>
    </row>
    <row r="1102" spans="1:17" s="338" customFormat="1">
      <c r="A1102" s="512">
        <f t="shared" si="9"/>
        <v>255</v>
      </c>
      <c r="B1102" s="493" t="s">
        <v>524</v>
      </c>
      <c r="C1102" s="493" t="s">
        <v>44</v>
      </c>
      <c r="D1102" s="493" t="s">
        <v>449</v>
      </c>
      <c r="E1102" s="162" t="s">
        <v>1506</v>
      </c>
      <c r="F1102" s="594" t="s">
        <v>124</v>
      </c>
      <c r="G1102" s="493">
        <v>9810992961</v>
      </c>
      <c r="H1102" s="491"/>
      <c r="I1102" s="594">
        <v>31</v>
      </c>
      <c r="J1102" s="493" t="s">
        <v>404</v>
      </c>
      <c r="K1102" s="493" t="s">
        <v>709</v>
      </c>
      <c r="L1102" s="493"/>
      <c r="M1102" s="493" t="s">
        <v>1192</v>
      </c>
      <c r="N1102" s="747">
        <v>65025</v>
      </c>
      <c r="O1102" s="496">
        <v>65025</v>
      </c>
      <c r="P1102" s="496">
        <v>65040</v>
      </c>
      <c r="Q1102" s="491" t="s">
        <v>51</v>
      </c>
    </row>
    <row r="1103" spans="1:17" s="338" customFormat="1">
      <c r="A1103" s="512">
        <f t="shared" si="9"/>
        <v>256</v>
      </c>
      <c r="B1103" s="493" t="s">
        <v>524</v>
      </c>
      <c r="C1103" s="493" t="s">
        <v>44</v>
      </c>
      <c r="D1103" s="493" t="s">
        <v>449</v>
      </c>
      <c r="E1103" s="162" t="s">
        <v>1509</v>
      </c>
      <c r="F1103" s="594" t="s">
        <v>491</v>
      </c>
      <c r="G1103" s="493">
        <v>9848466180</v>
      </c>
      <c r="H1103" s="491"/>
      <c r="I1103" s="594">
        <v>45</v>
      </c>
      <c r="J1103" s="493" t="s">
        <v>404</v>
      </c>
      <c r="K1103" s="493" t="s">
        <v>709</v>
      </c>
      <c r="L1103" s="493"/>
      <c r="M1103" s="493" t="s">
        <v>1192</v>
      </c>
      <c r="N1103" s="747">
        <v>65025</v>
      </c>
      <c r="O1103" s="496">
        <v>65025</v>
      </c>
      <c r="P1103" s="496">
        <v>65040</v>
      </c>
      <c r="Q1103" s="491" t="s">
        <v>51</v>
      </c>
    </row>
    <row r="1104" spans="1:17" s="338" customFormat="1">
      <c r="A1104" s="512">
        <f t="shared" si="9"/>
        <v>257</v>
      </c>
      <c r="B1104" s="493" t="s">
        <v>524</v>
      </c>
      <c r="C1104" s="493" t="s">
        <v>44</v>
      </c>
      <c r="D1104" s="493" t="s">
        <v>449</v>
      </c>
      <c r="E1104" s="162" t="s">
        <v>1525</v>
      </c>
      <c r="F1104" s="594" t="s">
        <v>441</v>
      </c>
      <c r="G1104" s="493">
        <v>9851228776</v>
      </c>
      <c r="H1104" s="491"/>
      <c r="I1104" s="594">
        <v>30</v>
      </c>
      <c r="J1104" s="493" t="s">
        <v>404</v>
      </c>
      <c r="K1104" s="493" t="s">
        <v>1193</v>
      </c>
      <c r="L1104" s="493"/>
      <c r="M1104" s="493" t="s">
        <v>1192</v>
      </c>
      <c r="N1104" s="747">
        <v>65025</v>
      </c>
      <c r="O1104" s="496">
        <v>65025</v>
      </c>
      <c r="P1104" s="496">
        <v>65040</v>
      </c>
      <c r="Q1104" s="491" t="s">
        <v>51</v>
      </c>
    </row>
    <row r="1105" spans="1:31" s="338" customFormat="1">
      <c r="A1105" s="512">
        <f t="shared" si="9"/>
        <v>258</v>
      </c>
      <c r="B1105" s="493" t="s">
        <v>524</v>
      </c>
      <c r="C1105" s="493" t="s">
        <v>44</v>
      </c>
      <c r="D1105" s="493" t="s">
        <v>449</v>
      </c>
      <c r="E1105" s="162" t="s">
        <v>1489</v>
      </c>
      <c r="F1105" s="594" t="s">
        <v>502</v>
      </c>
      <c r="G1105" s="493">
        <v>9847835864</v>
      </c>
      <c r="H1105" s="491"/>
      <c r="I1105" s="594">
        <v>25</v>
      </c>
      <c r="J1105" s="493" t="s">
        <v>404</v>
      </c>
      <c r="K1105" s="493" t="s">
        <v>709</v>
      </c>
      <c r="L1105" s="493"/>
      <c r="M1105" s="493" t="s">
        <v>1192</v>
      </c>
      <c r="N1105" s="747">
        <v>65025</v>
      </c>
      <c r="O1105" s="496">
        <v>65025</v>
      </c>
      <c r="P1105" s="496">
        <v>65040</v>
      </c>
      <c r="Q1105" s="491" t="s">
        <v>51</v>
      </c>
    </row>
    <row r="1106" spans="1:31" s="338" customFormat="1">
      <c r="A1106" s="512">
        <f t="shared" ref="A1106:A1169" si="10">A1105+1</f>
        <v>259</v>
      </c>
      <c r="B1106" s="493" t="s">
        <v>524</v>
      </c>
      <c r="C1106" s="493" t="s">
        <v>44</v>
      </c>
      <c r="D1106" s="493" t="s">
        <v>449</v>
      </c>
      <c r="E1106" s="162" t="s">
        <v>1512</v>
      </c>
      <c r="F1106" s="594" t="s">
        <v>598</v>
      </c>
      <c r="G1106" s="493">
        <v>9812869546</v>
      </c>
      <c r="H1106" s="491"/>
      <c r="I1106" s="594">
        <v>25</v>
      </c>
      <c r="J1106" s="493" t="s">
        <v>433</v>
      </c>
      <c r="K1106" s="493" t="s">
        <v>709</v>
      </c>
      <c r="L1106" s="493"/>
      <c r="M1106" s="493" t="s">
        <v>1192</v>
      </c>
      <c r="N1106" s="747">
        <v>65025</v>
      </c>
      <c r="O1106" s="496">
        <v>65025</v>
      </c>
      <c r="P1106" s="496">
        <v>65040</v>
      </c>
      <c r="Q1106" s="491" t="s">
        <v>51</v>
      </c>
    </row>
    <row r="1107" spans="1:31">
      <c r="A1107" s="512">
        <f t="shared" si="10"/>
        <v>260</v>
      </c>
      <c r="B1107" s="438" t="s">
        <v>524</v>
      </c>
      <c r="C1107" s="438" t="s">
        <v>44</v>
      </c>
      <c r="D1107" s="438" t="s">
        <v>449</v>
      </c>
      <c r="E1107" s="141" t="s">
        <v>1491</v>
      </c>
      <c r="F1107" s="525" t="s">
        <v>491</v>
      </c>
      <c r="G1107" s="438">
        <v>9857821849</v>
      </c>
      <c r="H1107" s="436"/>
      <c r="I1107" s="525">
        <v>31</v>
      </c>
      <c r="J1107" s="438" t="s">
        <v>404</v>
      </c>
      <c r="K1107" s="438" t="s">
        <v>709</v>
      </c>
      <c r="L1107" s="438"/>
      <c r="M1107" s="438" t="s">
        <v>1546</v>
      </c>
      <c r="N1107" s="731">
        <v>65025</v>
      </c>
      <c r="O1107" s="465">
        <v>65025</v>
      </c>
      <c r="P1107" s="459">
        <v>65027</v>
      </c>
      <c r="Q1107" s="432" t="s">
        <v>51</v>
      </c>
    </row>
    <row r="1108" spans="1:31" s="338" customFormat="1">
      <c r="A1108" s="512">
        <f t="shared" si="10"/>
        <v>261</v>
      </c>
      <c r="B1108" s="493" t="s">
        <v>524</v>
      </c>
      <c r="C1108" s="493" t="s">
        <v>44</v>
      </c>
      <c r="D1108" s="493" t="s">
        <v>449</v>
      </c>
      <c r="E1108" s="162" t="s">
        <v>1523</v>
      </c>
      <c r="F1108" s="594" t="s">
        <v>491</v>
      </c>
      <c r="G1108" s="493">
        <v>9857835608</v>
      </c>
      <c r="H1108" s="491"/>
      <c r="I1108" s="594">
        <v>29</v>
      </c>
      <c r="J1108" s="493" t="s">
        <v>404</v>
      </c>
      <c r="K1108" s="493" t="s">
        <v>709</v>
      </c>
      <c r="L1108" s="493"/>
      <c r="M1108" s="493" t="s">
        <v>1192</v>
      </c>
      <c r="N1108" s="747">
        <v>65025</v>
      </c>
      <c r="O1108" s="496">
        <v>65025</v>
      </c>
      <c r="P1108" s="496">
        <v>65040</v>
      </c>
      <c r="Q1108" s="491" t="s">
        <v>51</v>
      </c>
    </row>
    <row r="1109" spans="1:31" s="338" customFormat="1">
      <c r="A1109" s="512">
        <f t="shared" si="10"/>
        <v>262</v>
      </c>
      <c r="B1109" s="493" t="s">
        <v>524</v>
      </c>
      <c r="C1109" s="493" t="s">
        <v>44</v>
      </c>
      <c r="D1109" s="493" t="s">
        <v>449</v>
      </c>
      <c r="E1109" s="162" t="s">
        <v>1540</v>
      </c>
      <c r="F1109" s="594" t="s">
        <v>502</v>
      </c>
      <c r="G1109" s="493">
        <v>9847830547</v>
      </c>
      <c r="H1109" s="491"/>
      <c r="I1109" s="594">
        <v>63</v>
      </c>
      <c r="J1109" s="493" t="s">
        <v>433</v>
      </c>
      <c r="K1109" s="493" t="s">
        <v>1193</v>
      </c>
      <c r="L1109" s="493"/>
      <c r="M1109" s="493" t="s">
        <v>1192</v>
      </c>
      <c r="N1109" s="747">
        <v>65025</v>
      </c>
      <c r="O1109" s="496">
        <v>65025</v>
      </c>
      <c r="P1109" s="496">
        <v>65040</v>
      </c>
      <c r="Q1109" s="491" t="s">
        <v>51</v>
      </c>
    </row>
    <row r="1110" spans="1:31" s="338" customFormat="1">
      <c r="A1110" s="512">
        <f t="shared" si="10"/>
        <v>263</v>
      </c>
      <c r="B1110" s="493" t="s">
        <v>524</v>
      </c>
      <c r="C1110" s="493" t="s">
        <v>44</v>
      </c>
      <c r="D1110" s="493" t="s">
        <v>449</v>
      </c>
      <c r="E1110" s="162" t="s">
        <v>1507</v>
      </c>
      <c r="F1110" s="594" t="s">
        <v>510</v>
      </c>
      <c r="G1110" s="493">
        <v>9857823746</v>
      </c>
      <c r="H1110" s="491"/>
      <c r="I1110" s="594">
        <v>33</v>
      </c>
      <c r="J1110" s="493" t="s">
        <v>404</v>
      </c>
      <c r="K1110" s="493" t="s">
        <v>709</v>
      </c>
      <c r="L1110" s="493"/>
      <c r="M1110" s="493" t="s">
        <v>1192</v>
      </c>
      <c r="N1110" s="747">
        <v>65025</v>
      </c>
      <c r="O1110" s="496">
        <v>65025</v>
      </c>
      <c r="P1110" s="496">
        <v>65040</v>
      </c>
      <c r="Q1110" s="491" t="s">
        <v>51</v>
      </c>
    </row>
    <row r="1111" spans="1:31" s="338" customFormat="1">
      <c r="A1111" s="512">
        <f t="shared" si="10"/>
        <v>264</v>
      </c>
      <c r="B1111" s="493" t="s">
        <v>524</v>
      </c>
      <c r="C1111" s="493" t="s">
        <v>44</v>
      </c>
      <c r="D1111" s="493" t="s">
        <v>449</v>
      </c>
      <c r="E1111" s="162" t="s">
        <v>1535</v>
      </c>
      <c r="F1111" s="594" t="s">
        <v>491</v>
      </c>
      <c r="G1111" s="493">
        <v>9803694438</v>
      </c>
      <c r="H1111" s="491"/>
      <c r="I1111" s="594">
        <v>34</v>
      </c>
      <c r="J1111" s="493" t="s">
        <v>433</v>
      </c>
      <c r="K1111" s="493" t="s">
        <v>1193</v>
      </c>
      <c r="L1111" s="493"/>
      <c r="M1111" s="493" t="s">
        <v>1192</v>
      </c>
      <c r="N1111" s="747">
        <v>65025</v>
      </c>
      <c r="O1111" s="496">
        <v>65025</v>
      </c>
      <c r="P1111" s="496">
        <v>65040</v>
      </c>
      <c r="Q1111" s="491" t="s">
        <v>51</v>
      </c>
    </row>
    <row r="1112" spans="1:31" s="338" customFormat="1">
      <c r="A1112" s="512">
        <f t="shared" si="10"/>
        <v>265</v>
      </c>
      <c r="B1112" s="493" t="s">
        <v>524</v>
      </c>
      <c r="C1112" s="493" t="s">
        <v>44</v>
      </c>
      <c r="D1112" s="493" t="s">
        <v>449</v>
      </c>
      <c r="E1112" s="162" t="s">
        <v>1533</v>
      </c>
      <c r="F1112" s="594" t="s">
        <v>1008</v>
      </c>
      <c r="G1112" s="493">
        <v>9847836352</v>
      </c>
      <c r="H1112" s="491"/>
      <c r="I1112" s="594">
        <v>57</v>
      </c>
      <c r="J1112" s="493" t="s">
        <v>433</v>
      </c>
      <c r="K1112" s="493" t="s">
        <v>1193</v>
      </c>
      <c r="L1112" s="493"/>
      <c r="M1112" s="493" t="s">
        <v>1192</v>
      </c>
      <c r="N1112" s="747">
        <v>65025</v>
      </c>
      <c r="O1112" s="496">
        <v>65025</v>
      </c>
      <c r="P1112" s="496">
        <v>65040</v>
      </c>
      <c r="Q1112" s="491" t="s">
        <v>51</v>
      </c>
    </row>
    <row r="1113" spans="1:31" s="338" customFormat="1">
      <c r="A1113" s="512">
        <f t="shared" si="10"/>
        <v>266</v>
      </c>
      <c r="B1113" s="493" t="s">
        <v>524</v>
      </c>
      <c r="C1113" s="493" t="s">
        <v>44</v>
      </c>
      <c r="D1113" s="493" t="s">
        <v>449</v>
      </c>
      <c r="E1113" s="162" t="s">
        <v>1524</v>
      </c>
      <c r="F1113" s="594" t="s">
        <v>491</v>
      </c>
      <c r="G1113" s="493">
        <v>9847888565</v>
      </c>
      <c r="H1113" s="491"/>
      <c r="I1113" s="594">
        <v>13</v>
      </c>
      <c r="J1113" s="493" t="s">
        <v>433</v>
      </c>
      <c r="K1113" s="493" t="s">
        <v>1193</v>
      </c>
      <c r="L1113" s="493"/>
      <c r="M1113" s="493" t="s">
        <v>1192</v>
      </c>
      <c r="N1113" s="747">
        <v>65025</v>
      </c>
      <c r="O1113" s="496">
        <v>65025</v>
      </c>
      <c r="P1113" s="496">
        <v>65040</v>
      </c>
      <c r="Q1113" s="491" t="s">
        <v>51</v>
      </c>
    </row>
    <row r="1114" spans="1:31" s="338" customFormat="1">
      <c r="A1114" s="512">
        <f t="shared" si="10"/>
        <v>267</v>
      </c>
      <c r="B1114" s="493" t="s">
        <v>524</v>
      </c>
      <c r="C1114" s="493" t="s">
        <v>44</v>
      </c>
      <c r="D1114" s="493" t="s">
        <v>449</v>
      </c>
      <c r="E1114" s="162" t="s">
        <v>1542</v>
      </c>
      <c r="F1114" s="594" t="s">
        <v>124</v>
      </c>
      <c r="G1114" s="493">
        <v>9847982049</v>
      </c>
      <c r="H1114" s="491"/>
      <c r="I1114" s="594">
        <v>33</v>
      </c>
      <c r="J1114" s="493" t="s">
        <v>404</v>
      </c>
      <c r="K1114" s="493" t="s">
        <v>1193</v>
      </c>
      <c r="L1114" s="493"/>
      <c r="M1114" s="493" t="s">
        <v>1192</v>
      </c>
      <c r="N1114" s="747">
        <v>65025</v>
      </c>
      <c r="O1114" s="496">
        <v>65025</v>
      </c>
      <c r="P1114" s="496">
        <v>65040</v>
      </c>
      <c r="Q1114" s="491" t="s">
        <v>51</v>
      </c>
    </row>
    <row r="1115" spans="1:31" s="338" customFormat="1">
      <c r="A1115" s="512">
        <f t="shared" si="10"/>
        <v>268</v>
      </c>
      <c r="B1115" s="493" t="s">
        <v>524</v>
      </c>
      <c r="C1115" s="493" t="s">
        <v>44</v>
      </c>
      <c r="D1115" s="493" t="s">
        <v>449</v>
      </c>
      <c r="E1115" s="162" t="s">
        <v>1520</v>
      </c>
      <c r="F1115" s="594" t="s">
        <v>529</v>
      </c>
      <c r="G1115" s="493">
        <v>9822936566</v>
      </c>
      <c r="H1115" s="491"/>
      <c r="I1115" s="594">
        <v>31</v>
      </c>
      <c r="J1115" s="493" t="s">
        <v>433</v>
      </c>
      <c r="K1115" s="493" t="s">
        <v>709</v>
      </c>
      <c r="L1115" s="493"/>
      <c r="M1115" s="493" t="s">
        <v>1192</v>
      </c>
      <c r="N1115" s="747">
        <v>65025</v>
      </c>
      <c r="O1115" s="496">
        <v>65025</v>
      </c>
      <c r="P1115" s="496">
        <v>65040</v>
      </c>
      <c r="Q1115" s="491" t="s">
        <v>51</v>
      </c>
    </row>
    <row r="1116" spans="1:31" s="338" customFormat="1">
      <c r="A1116" s="512">
        <f t="shared" si="10"/>
        <v>269</v>
      </c>
      <c r="B1116" s="493" t="s">
        <v>524</v>
      </c>
      <c r="C1116" s="493" t="s">
        <v>44</v>
      </c>
      <c r="D1116" s="493" t="s">
        <v>449</v>
      </c>
      <c r="E1116" s="162" t="s">
        <v>1488</v>
      </c>
      <c r="F1116" s="594" t="s">
        <v>1046</v>
      </c>
      <c r="G1116" s="493">
        <v>9851231542</v>
      </c>
      <c r="H1116" s="491"/>
      <c r="I1116" s="594">
        <v>33</v>
      </c>
      <c r="J1116" s="493" t="s">
        <v>404</v>
      </c>
      <c r="K1116" s="493" t="s">
        <v>709</v>
      </c>
      <c r="L1116" s="493"/>
      <c r="M1116" s="493" t="s">
        <v>1192</v>
      </c>
      <c r="N1116" s="747">
        <v>65025</v>
      </c>
      <c r="O1116" s="496">
        <v>65025</v>
      </c>
      <c r="P1116" s="496">
        <v>65040</v>
      </c>
      <c r="Q1116" s="491" t="s">
        <v>51</v>
      </c>
    </row>
    <row r="1117" spans="1:31" s="338" customFormat="1">
      <c r="A1117" s="512">
        <f t="shared" si="10"/>
        <v>270</v>
      </c>
      <c r="B1117" s="493" t="s">
        <v>524</v>
      </c>
      <c r="C1117" s="493" t="s">
        <v>44</v>
      </c>
      <c r="D1117" s="493" t="s">
        <v>449</v>
      </c>
      <c r="E1117" s="162" t="s">
        <v>1498</v>
      </c>
      <c r="F1117" s="594" t="s">
        <v>557</v>
      </c>
      <c r="G1117" s="493">
        <v>9847879760</v>
      </c>
      <c r="H1117" s="491"/>
      <c r="I1117" s="594">
        <v>53</v>
      </c>
      <c r="J1117" s="493" t="s">
        <v>433</v>
      </c>
      <c r="K1117" s="493" t="s">
        <v>709</v>
      </c>
      <c r="L1117" s="493"/>
      <c r="M1117" s="493" t="s">
        <v>1192</v>
      </c>
      <c r="N1117" s="747">
        <v>65025</v>
      </c>
      <c r="O1117" s="496">
        <v>65025</v>
      </c>
      <c r="P1117" s="496">
        <v>65040</v>
      </c>
      <c r="Q1117" s="491" t="s">
        <v>51</v>
      </c>
    </row>
    <row r="1118" spans="1:31" s="338" customFormat="1">
      <c r="A1118" s="512">
        <f t="shared" si="10"/>
        <v>271</v>
      </c>
      <c r="B1118" s="493" t="s">
        <v>524</v>
      </c>
      <c r="C1118" s="493" t="s">
        <v>44</v>
      </c>
      <c r="D1118" s="493" t="s">
        <v>449</v>
      </c>
      <c r="E1118" s="162" t="s">
        <v>1543</v>
      </c>
      <c r="F1118" s="594" t="s">
        <v>441</v>
      </c>
      <c r="G1118" s="493">
        <v>9812620803</v>
      </c>
      <c r="H1118" s="491"/>
      <c r="I1118" s="594">
        <v>35</v>
      </c>
      <c r="J1118" s="493" t="s">
        <v>404</v>
      </c>
      <c r="K1118" s="493" t="s">
        <v>1193</v>
      </c>
      <c r="L1118" s="493"/>
      <c r="M1118" s="493" t="s">
        <v>1192</v>
      </c>
      <c r="N1118" s="747">
        <v>65025</v>
      </c>
      <c r="O1118" s="496">
        <v>65025</v>
      </c>
      <c r="P1118" s="496">
        <v>65040</v>
      </c>
      <c r="Q1118" s="491" t="s">
        <v>51</v>
      </c>
    </row>
    <row r="1119" spans="1:31">
      <c r="A1119" s="512">
        <f t="shared" si="10"/>
        <v>272</v>
      </c>
      <c r="B1119" s="438" t="s">
        <v>524</v>
      </c>
      <c r="C1119" s="438" t="s">
        <v>44</v>
      </c>
      <c r="D1119" s="438" t="s">
        <v>449</v>
      </c>
      <c r="E1119" s="148" t="s">
        <v>1564</v>
      </c>
      <c r="F1119" s="591" t="s">
        <v>124</v>
      </c>
      <c r="G1119" s="438"/>
      <c r="H1119" s="436"/>
      <c r="I1119" s="591">
        <v>35</v>
      </c>
      <c r="J1119" s="438" t="s">
        <v>48</v>
      </c>
      <c r="K1119" s="438"/>
      <c r="L1119" s="438"/>
      <c r="M1119" s="592" t="s">
        <v>54</v>
      </c>
      <c r="N1119" s="731">
        <v>65025</v>
      </c>
      <c r="O1119" s="465">
        <v>65025</v>
      </c>
      <c r="P1119" s="459">
        <v>65027</v>
      </c>
      <c r="Q1119" s="432" t="s">
        <v>51</v>
      </c>
      <c r="R1119" s="163"/>
      <c r="S1119" s="163"/>
      <c r="T1119" s="163"/>
      <c r="U1119" s="163"/>
      <c r="V1119" s="163"/>
      <c r="W1119" s="163"/>
      <c r="X1119" s="163"/>
      <c r="Y1119" s="163"/>
      <c r="Z1119" s="163"/>
      <c r="AA1119" s="163"/>
      <c r="AB1119" s="163"/>
      <c r="AC1119" s="163"/>
      <c r="AD1119" s="163"/>
      <c r="AE1119" s="163"/>
    </row>
    <row r="1120" spans="1:31" s="338" customFormat="1">
      <c r="A1120" s="512">
        <f t="shared" si="10"/>
        <v>273</v>
      </c>
      <c r="B1120" s="493" t="s">
        <v>524</v>
      </c>
      <c r="C1120" s="493" t="s">
        <v>44</v>
      </c>
      <c r="D1120" s="493" t="s">
        <v>449</v>
      </c>
      <c r="E1120" s="162" t="s">
        <v>1529</v>
      </c>
      <c r="F1120" s="594" t="s">
        <v>124</v>
      </c>
      <c r="G1120" s="493">
        <v>9742307507</v>
      </c>
      <c r="H1120" s="491"/>
      <c r="I1120" s="594">
        <v>27</v>
      </c>
      <c r="J1120" s="493" t="s">
        <v>404</v>
      </c>
      <c r="K1120" s="493" t="s">
        <v>1193</v>
      </c>
      <c r="L1120" s="493"/>
      <c r="M1120" s="493" t="s">
        <v>1192</v>
      </c>
      <c r="N1120" s="747">
        <v>65025</v>
      </c>
      <c r="O1120" s="496">
        <v>65025</v>
      </c>
      <c r="P1120" s="496">
        <v>65040</v>
      </c>
      <c r="Q1120" s="491" t="s">
        <v>51</v>
      </c>
    </row>
    <row r="1121" spans="1:31" s="338" customFormat="1">
      <c r="A1121" s="512">
        <f t="shared" si="10"/>
        <v>274</v>
      </c>
      <c r="B1121" s="493" t="s">
        <v>524</v>
      </c>
      <c r="C1121" s="493" t="s">
        <v>44</v>
      </c>
      <c r="D1121" s="493" t="s">
        <v>449</v>
      </c>
      <c r="E1121" s="162" t="s">
        <v>1530</v>
      </c>
      <c r="F1121" s="594" t="s">
        <v>529</v>
      </c>
      <c r="G1121" s="493">
        <v>9857823185</v>
      </c>
      <c r="H1121" s="491"/>
      <c r="I1121" s="594">
        <v>50</v>
      </c>
      <c r="J1121" s="493" t="s">
        <v>404</v>
      </c>
      <c r="K1121" s="493" t="s">
        <v>1193</v>
      </c>
      <c r="L1121" s="493"/>
      <c r="M1121" s="493" t="s">
        <v>1192</v>
      </c>
      <c r="N1121" s="747">
        <v>65025</v>
      </c>
      <c r="O1121" s="496">
        <v>65025</v>
      </c>
      <c r="P1121" s="496">
        <v>65040</v>
      </c>
      <c r="Q1121" s="491" t="s">
        <v>51</v>
      </c>
    </row>
    <row r="1122" spans="1:31" s="338" customFormat="1">
      <c r="A1122" s="512">
        <f t="shared" si="10"/>
        <v>275</v>
      </c>
      <c r="B1122" s="493" t="s">
        <v>524</v>
      </c>
      <c r="C1122" s="493" t="s">
        <v>44</v>
      </c>
      <c r="D1122" s="493" t="s">
        <v>449</v>
      </c>
      <c r="E1122" s="162" t="s">
        <v>1541</v>
      </c>
      <c r="F1122" s="594" t="s">
        <v>124</v>
      </c>
      <c r="G1122" s="493">
        <v>9847982049</v>
      </c>
      <c r="H1122" s="491"/>
      <c r="I1122" s="594">
        <v>29</v>
      </c>
      <c r="J1122" s="493" t="s">
        <v>433</v>
      </c>
      <c r="K1122" s="493" t="s">
        <v>1193</v>
      </c>
      <c r="L1122" s="493"/>
      <c r="M1122" s="493" t="s">
        <v>1192</v>
      </c>
      <c r="N1122" s="747">
        <v>65025</v>
      </c>
      <c r="O1122" s="496">
        <v>65025</v>
      </c>
      <c r="P1122" s="496">
        <v>65040</v>
      </c>
      <c r="Q1122" s="491" t="s">
        <v>51</v>
      </c>
    </row>
    <row r="1123" spans="1:31" s="338" customFormat="1">
      <c r="A1123" s="512">
        <f t="shared" si="10"/>
        <v>276</v>
      </c>
      <c r="B1123" s="493" t="s">
        <v>524</v>
      </c>
      <c r="C1123" s="493" t="s">
        <v>44</v>
      </c>
      <c r="D1123" s="493" t="s">
        <v>449</v>
      </c>
      <c r="E1123" s="162" t="s">
        <v>1521</v>
      </c>
      <c r="F1123" s="594" t="s">
        <v>491</v>
      </c>
      <c r="G1123" s="493">
        <v>9847823619</v>
      </c>
      <c r="H1123" s="491"/>
      <c r="I1123" s="594">
        <v>58</v>
      </c>
      <c r="J1123" s="493" t="s">
        <v>404</v>
      </c>
      <c r="K1123" s="493" t="s">
        <v>709</v>
      </c>
      <c r="L1123" s="493"/>
      <c r="M1123" s="493" t="s">
        <v>1192</v>
      </c>
      <c r="N1123" s="747">
        <v>65025</v>
      </c>
      <c r="O1123" s="496">
        <v>65025</v>
      </c>
      <c r="P1123" s="496">
        <v>65040</v>
      </c>
      <c r="Q1123" s="491" t="s">
        <v>51</v>
      </c>
    </row>
    <row r="1124" spans="1:31" s="338" customFormat="1">
      <c r="A1124" s="512">
        <f t="shared" si="10"/>
        <v>277</v>
      </c>
      <c r="B1124" s="493" t="s">
        <v>524</v>
      </c>
      <c r="C1124" s="493" t="s">
        <v>44</v>
      </c>
      <c r="D1124" s="493" t="s">
        <v>449</v>
      </c>
      <c r="E1124" s="162" t="s">
        <v>1526</v>
      </c>
      <c r="F1124" s="594" t="s">
        <v>730</v>
      </c>
      <c r="G1124" s="493">
        <v>9822883872</v>
      </c>
      <c r="H1124" s="491"/>
      <c r="I1124" s="594">
        <v>70</v>
      </c>
      <c r="J1124" s="493" t="s">
        <v>433</v>
      </c>
      <c r="K1124" s="493" t="s">
        <v>1193</v>
      </c>
      <c r="L1124" s="493"/>
      <c r="M1124" s="493" t="s">
        <v>1192</v>
      </c>
      <c r="N1124" s="747">
        <v>65025</v>
      </c>
      <c r="O1124" s="496">
        <v>65025</v>
      </c>
      <c r="P1124" s="496">
        <v>65040</v>
      </c>
      <c r="Q1124" s="491" t="s">
        <v>51</v>
      </c>
    </row>
    <row r="1125" spans="1:31" s="338" customFormat="1">
      <c r="A1125" s="512">
        <f t="shared" si="10"/>
        <v>278</v>
      </c>
      <c r="B1125" s="493" t="s">
        <v>524</v>
      </c>
      <c r="C1125" s="493" t="s">
        <v>44</v>
      </c>
      <c r="D1125" s="493" t="s">
        <v>449</v>
      </c>
      <c r="E1125" s="162" t="s">
        <v>1539</v>
      </c>
      <c r="F1125" s="594" t="s">
        <v>636</v>
      </c>
      <c r="G1125" s="493">
        <v>9864794482</v>
      </c>
      <c r="H1125" s="491"/>
      <c r="I1125" s="594">
        <v>31</v>
      </c>
      <c r="J1125" s="493" t="s">
        <v>433</v>
      </c>
      <c r="K1125" s="493" t="s">
        <v>1193</v>
      </c>
      <c r="L1125" s="493"/>
      <c r="M1125" s="493" t="s">
        <v>1192</v>
      </c>
      <c r="N1125" s="747">
        <v>65025</v>
      </c>
      <c r="O1125" s="496">
        <v>65025</v>
      </c>
      <c r="P1125" s="496">
        <v>65040</v>
      </c>
      <c r="Q1125" s="491" t="s">
        <v>51</v>
      </c>
    </row>
    <row r="1126" spans="1:31" s="338" customFormat="1">
      <c r="A1126" s="512">
        <f t="shared" si="10"/>
        <v>279</v>
      </c>
      <c r="B1126" s="493" t="s">
        <v>524</v>
      </c>
      <c r="C1126" s="493" t="s">
        <v>44</v>
      </c>
      <c r="D1126" s="493" t="s">
        <v>449</v>
      </c>
      <c r="E1126" s="162" t="s">
        <v>1496</v>
      </c>
      <c r="F1126" s="594" t="s">
        <v>502</v>
      </c>
      <c r="G1126" s="493">
        <v>9812807652</v>
      </c>
      <c r="H1126" s="491"/>
      <c r="I1126" s="594">
        <v>36</v>
      </c>
      <c r="J1126" s="493" t="s">
        <v>404</v>
      </c>
      <c r="K1126" s="493" t="s">
        <v>709</v>
      </c>
      <c r="L1126" s="493"/>
      <c r="M1126" s="493" t="s">
        <v>1192</v>
      </c>
      <c r="N1126" s="747">
        <v>65025</v>
      </c>
      <c r="O1126" s="496">
        <v>65025</v>
      </c>
      <c r="P1126" s="496">
        <v>65040</v>
      </c>
      <c r="Q1126" s="491" t="s">
        <v>51</v>
      </c>
    </row>
    <row r="1127" spans="1:31" s="338" customFormat="1">
      <c r="A1127" s="512">
        <f t="shared" si="10"/>
        <v>280</v>
      </c>
      <c r="B1127" s="493" t="s">
        <v>524</v>
      </c>
      <c r="C1127" s="493" t="s">
        <v>44</v>
      </c>
      <c r="D1127" s="493" t="s">
        <v>449</v>
      </c>
      <c r="E1127" s="161" t="s">
        <v>1565</v>
      </c>
      <c r="F1127" s="589" t="s">
        <v>502</v>
      </c>
      <c r="G1127" s="493">
        <v>9868215155</v>
      </c>
      <c r="H1127" s="491"/>
      <c r="I1127" s="589">
        <v>39</v>
      </c>
      <c r="J1127" s="493" t="s">
        <v>48</v>
      </c>
      <c r="K1127" s="493" t="s">
        <v>345</v>
      </c>
      <c r="L1127" s="493"/>
      <c r="M1127" s="588" t="s">
        <v>119</v>
      </c>
      <c r="N1127" s="747">
        <v>65025</v>
      </c>
      <c r="O1127" s="496">
        <v>65025</v>
      </c>
      <c r="P1127" s="496">
        <v>65040</v>
      </c>
      <c r="Q1127" s="491" t="s">
        <v>51</v>
      </c>
    </row>
    <row r="1128" spans="1:31" s="338" customFormat="1">
      <c r="A1128" s="512">
        <f t="shared" si="10"/>
        <v>281</v>
      </c>
      <c r="B1128" s="493" t="s">
        <v>524</v>
      </c>
      <c r="C1128" s="493" t="s">
        <v>44</v>
      </c>
      <c r="D1128" s="493" t="s">
        <v>449</v>
      </c>
      <c r="E1128" s="162" t="s">
        <v>1501</v>
      </c>
      <c r="F1128" s="594" t="s">
        <v>502</v>
      </c>
      <c r="G1128" s="493">
        <v>9809702871</v>
      </c>
      <c r="H1128" s="491"/>
      <c r="I1128" s="594">
        <v>36</v>
      </c>
      <c r="J1128" s="493" t="s">
        <v>404</v>
      </c>
      <c r="K1128" s="493" t="s">
        <v>709</v>
      </c>
      <c r="L1128" s="493"/>
      <c r="M1128" s="493" t="s">
        <v>1192</v>
      </c>
      <c r="N1128" s="747">
        <v>65025</v>
      </c>
      <c r="O1128" s="496">
        <v>65025</v>
      </c>
      <c r="P1128" s="496">
        <v>65040</v>
      </c>
      <c r="Q1128" s="491" t="s">
        <v>51</v>
      </c>
    </row>
    <row r="1129" spans="1:31" s="338" customFormat="1">
      <c r="A1129" s="512">
        <f t="shared" si="10"/>
        <v>282</v>
      </c>
      <c r="B1129" s="493" t="s">
        <v>524</v>
      </c>
      <c r="C1129" s="493" t="s">
        <v>44</v>
      </c>
      <c r="D1129" s="493" t="s">
        <v>449</v>
      </c>
      <c r="E1129" s="162" t="s">
        <v>1528</v>
      </c>
      <c r="F1129" s="594" t="s">
        <v>730</v>
      </c>
      <c r="G1129" s="493">
        <v>9847864580</v>
      </c>
      <c r="H1129" s="491"/>
      <c r="I1129" s="594">
        <v>22</v>
      </c>
      <c r="J1129" s="493" t="s">
        <v>404</v>
      </c>
      <c r="K1129" s="493" t="s">
        <v>1193</v>
      </c>
      <c r="L1129" s="493"/>
      <c r="M1129" s="493" t="s">
        <v>1192</v>
      </c>
      <c r="N1129" s="747">
        <v>65025</v>
      </c>
      <c r="O1129" s="496">
        <v>65025</v>
      </c>
      <c r="P1129" s="496">
        <v>65040</v>
      </c>
      <c r="Q1129" s="491" t="s">
        <v>51</v>
      </c>
    </row>
    <row r="1130" spans="1:31" s="338" customFormat="1">
      <c r="A1130" s="512">
        <f t="shared" si="10"/>
        <v>283</v>
      </c>
      <c r="B1130" s="493" t="s">
        <v>524</v>
      </c>
      <c r="C1130" s="493" t="s">
        <v>44</v>
      </c>
      <c r="D1130" s="493" t="s">
        <v>449</v>
      </c>
      <c r="E1130" s="161" t="s">
        <v>1700</v>
      </c>
      <c r="F1130" s="589" t="s">
        <v>1738</v>
      </c>
      <c r="G1130" s="493"/>
      <c r="H1130" s="491"/>
      <c r="I1130" s="589">
        <v>24</v>
      </c>
      <c r="J1130" s="493" t="s">
        <v>48</v>
      </c>
      <c r="K1130" s="493" t="s">
        <v>53</v>
      </c>
      <c r="L1130" s="493"/>
      <c r="M1130" s="588" t="s">
        <v>119</v>
      </c>
      <c r="N1130" s="750">
        <v>65025</v>
      </c>
      <c r="O1130" s="596">
        <v>65025</v>
      </c>
      <c r="P1130" s="496">
        <v>65040</v>
      </c>
      <c r="Q1130" s="491" t="s">
        <v>51</v>
      </c>
    </row>
    <row r="1131" spans="1:31" s="338" customFormat="1">
      <c r="A1131" s="512">
        <f t="shared" si="10"/>
        <v>284</v>
      </c>
      <c r="B1131" s="493" t="s">
        <v>524</v>
      </c>
      <c r="C1131" s="493" t="s">
        <v>44</v>
      </c>
      <c r="D1131" s="493" t="s">
        <v>449</v>
      </c>
      <c r="E1131" s="161" t="s">
        <v>301</v>
      </c>
      <c r="F1131" s="589" t="s">
        <v>1009</v>
      </c>
      <c r="G1131" s="493"/>
      <c r="H1131" s="491"/>
      <c r="I1131" s="589">
        <v>23</v>
      </c>
      <c r="J1131" s="493" t="s">
        <v>90</v>
      </c>
      <c r="K1131" s="493" t="s">
        <v>1480</v>
      </c>
      <c r="L1131" s="493"/>
      <c r="M1131" s="588" t="s">
        <v>119</v>
      </c>
      <c r="N1131" s="747">
        <v>65026</v>
      </c>
      <c r="O1131" s="496">
        <v>65026</v>
      </c>
      <c r="P1131" s="496">
        <v>65040</v>
      </c>
      <c r="Q1131" s="491" t="s">
        <v>51</v>
      </c>
    </row>
    <row r="1132" spans="1:31" s="338" customFormat="1">
      <c r="A1132" s="512">
        <f t="shared" si="10"/>
        <v>285</v>
      </c>
      <c r="B1132" s="493" t="s">
        <v>524</v>
      </c>
      <c r="C1132" s="493" t="s">
        <v>44</v>
      </c>
      <c r="D1132" s="493" t="s">
        <v>449</v>
      </c>
      <c r="E1132" s="161" t="s">
        <v>1566</v>
      </c>
      <c r="F1132" s="589" t="s">
        <v>512</v>
      </c>
      <c r="G1132" s="493">
        <v>9847824504</v>
      </c>
      <c r="H1132" s="491"/>
      <c r="I1132" s="589">
        <v>30</v>
      </c>
      <c r="J1132" s="493" t="s">
        <v>90</v>
      </c>
      <c r="K1132" s="493" t="s">
        <v>1459</v>
      </c>
      <c r="L1132" s="493"/>
      <c r="M1132" s="588" t="s">
        <v>119</v>
      </c>
      <c r="N1132" s="747">
        <v>65026</v>
      </c>
      <c r="O1132" s="496">
        <v>65026</v>
      </c>
      <c r="P1132" s="496">
        <v>65040</v>
      </c>
      <c r="Q1132" s="491" t="s">
        <v>51</v>
      </c>
    </row>
    <row r="1133" spans="1:31" s="338" customFormat="1">
      <c r="A1133" s="512">
        <f t="shared" si="10"/>
        <v>286</v>
      </c>
      <c r="B1133" s="493" t="s">
        <v>524</v>
      </c>
      <c r="C1133" s="493" t="s">
        <v>44</v>
      </c>
      <c r="D1133" s="493" t="s">
        <v>449</v>
      </c>
      <c r="E1133" s="161" t="s">
        <v>1548</v>
      </c>
      <c r="F1133" s="589" t="s">
        <v>1009</v>
      </c>
      <c r="G1133" s="493">
        <v>9822894036</v>
      </c>
      <c r="H1133" s="491"/>
      <c r="I1133" s="589">
        <v>29</v>
      </c>
      <c r="J1133" s="493" t="s">
        <v>404</v>
      </c>
      <c r="K1133" s="493" t="s">
        <v>1549</v>
      </c>
      <c r="L1133" s="493"/>
      <c r="M1133" s="493" t="s">
        <v>1192</v>
      </c>
      <c r="N1133" s="747">
        <v>65026</v>
      </c>
      <c r="O1133" s="496">
        <v>65026</v>
      </c>
      <c r="P1133" s="496">
        <v>65040</v>
      </c>
      <c r="Q1133" s="491" t="s">
        <v>51</v>
      </c>
    </row>
    <row r="1134" spans="1:31" s="338" customFormat="1">
      <c r="A1134" s="512">
        <f t="shared" si="10"/>
        <v>287</v>
      </c>
      <c r="B1134" s="493" t="s">
        <v>524</v>
      </c>
      <c r="C1134" s="493" t="s">
        <v>44</v>
      </c>
      <c r="D1134" s="493" t="s">
        <v>449</v>
      </c>
      <c r="E1134" s="161" t="s">
        <v>1547</v>
      </c>
      <c r="F1134" s="589" t="s">
        <v>1009</v>
      </c>
      <c r="G1134" s="493">
        <v>9806253852</v>
      </c>
      <c r="H1134" s="491"/>
      <c r="I1134" s="589">
        <v>38</v>
      </c>
      <c r="J1134" s="493" t="s">
        <v>404</v>
      </c>
      <c r="K1134" s="493" t="s">
        <v>1549</v>
      </c>
      <c r="L1134" s="493"/>
      <c r="M1134" s="493" t="s">
        <v>1192</v>
      </c>
      <c r="N1134" s="747">
        <v>65026</v>
      </c>
      <c r="O1134" s="496">
        <v>65026</v>
      </c>
      <c r="P1134" s="496">
        <v>65040</v>
      </c>
      <c r="Q1134" s="491" t="s">
        <v>51</v>
      </c>
    </row>
    <row r="1135" spans="1:31" s="358" customFormat="1">
      <c r="A1135" s="512">
        <f t="shared" si="10"/>
        <v>288</v>
      </c>
      <c r="B1135" s="493" t="s">
        <v>524</v>
      </c>
      <c r="C1135" s="493" t="s">
        <v>44</v>
      </c>
      <c r="D1135" s="493" t="s">
        <v>449</v>
      </c>
      <c r="E1135" s="161" t="s">
        <v>1567</v>
      </c>
      <c r="F1135" s="589" t="s">
        <v>502</v>
      </c>
      <c r="G1135" s="493">
        <v>9858030811</v>
      </c>
      <c r="H1135" s="491"/>
      <c r="I1135" s="589">
        <v>30</v>
      </c>
      <c r="J1135" s="493" t="s">
        <v>48</v>
      </c>
      <c r="K1135" s="493" t="s">
        <v>1459</v>
      </c>
      <c r="L1135" s="493"/>
      <c r="M1135" s="588" t="s">
        <v>119</v>
      </c>
      <c r="N1135" s="747">
        <v>65026</v>
      </c>
      <c r="O1135" s="496">
        <v>65026</v>
      </c>
      <c r="P1135" s="496">
        <v>65040</v>
      </c>
      <c r="Q1135" s="491" t="s">
        <v>51</v>
      </c>
      <c r="R1135" s="338"/>
      <c r="S1135" s="338"/>
      <c r="T1135" s="338"/>
      <c r="U1135" s="338"/>
      <c r="V1135" s="338"/>
      <c r="W1135" s="338"/>
      <c r="X1135" s="338"/>
      <c r="Y1135" s="338"/>
      <c r="Z1135" s="338"/>
      <c r="AA1135" s="338"/>
      <c r="AB1135" s="338"/>
      <c r="AC1135" s="338"/>
      <c r="AD1135" s="338"/>
      <c r="AE1135" s="338"/>
    </row>
    <row r="1136" spans="1:31">
      <c r="A1136" s="512">
        <f t="shared" si="10"/>
        <v>289</v>
      </c>
      <c r="B1136" s="423" t="s">
        <v>524</v>
      </c>
      <c r="C1136" s="423" t="s">
        <v>44</v>
      </c>
      <c r="D1136" s="423" t="s">
        <v>449</v>
      </c>
      <c r="E1136" s="267" t="s">
        <v>1568</v>
      </c>
      <c r="F1136" s="595" t="s">
        <v>441</v>
      </c>
      <c r="G1136" s="423">
        <v>9868088400</v>
      </c>
      <c r="H1136" s="422"/>
      <c r="I1136" s="595">
        <v>31</v>
      </c>
      <c r="J1136" s="423" t="s">
        <v>48</v>
      </c>
      <c r="K1136" s="423" t="s">
        <v>345</v>
      </c>
      <c r="L1136" s="423"/>
      <c r="M1136" s="597" t="s">
        <v>119</v>
      </c>
      <c r="N1136" s="726">
        <v>65026</v>
      </c>
      <c r="O1136" s="476">
        <v>65026</v>
      </c>
      <c r="P1136" s="476">
        <v>65029</v>
      </c>
      <c r="Q1136" s="422" t="s">
        <v>940</v>
      </c>
      <c r="R1136" s="326"/>
      <c r="S1136" s="326"/>
      <c r="T1136" s="326"/>
      <c r="U1136" s="326"/>
      <c r="V1136" s="326"/>
      <c r="W1136" s="326"/>
      <c r="X1136" s="326"/>
      <c r="Y1136" s="326"/>
      <c r="Z1136" s="326"/>
      <c r="AA1136" s="326"/>
      <c r="AB1136" s="326"/>
      <c r="AC1136" s="326"/>
      <c r="AD1136" s="326"/>
      <c r="AE1136" s="326"/>
    </row>
    <row r="1137" spans="1:17" s="344" customFormat="1">
      <c r="A1137" s="512">
        <f t="shared" si="10"/>
        <v>290</v>
      </c>
      <c r="B1137" s="513" t="s">
        <v>524</v>
      </c>
      <c r="C1137" s="513" t="s">
        <v>44</v>
      </c>
      <c r="D1137" s="513" t="s">
        <v>449</v>
      </c>
      <c r="E1137" s="194" t="s">
        <v>1593</v>
      </c>
      <c r="F1137" s="551" t="s">
        <v>557</v>
      </c>
      <c r="G1137" s="513">
        <v>9847879760</v>
      </c>
      <c r="H1137" s="512"/>
      <c r="I1137" s="551">
        <v>12</v>
      </c>
      <c r="J1137" s="513" t="s">
        <v>404</v>
      </c>
      <c r="K1137" s="513" t="s">
        <v>709</v>
      </c>
      <c r="L1137" s="513"/>
      <c r="M1137" s="513" t="s">
        <v>1192</v>
      </c>
      <c r="N1137" s="732">
        <v>65027</v>
      </c>
      <c r="O1137" s="514">
        <v>65027</v>
      </c>
      <c r="P1137" s="514">
        <v>65042</v>
      </c>
      <c r="Q1137" s="514" t="s">
        <v>51</v>
      </c>
    </row>
    <row r="1138" spans="1:17" s="344" customFormat="1" ht="15.75">
      <c r="A1138" s="512">
        <f t="shared" si="10"/>
        <v>291</v>
      </c>
      <c r="B1138" s="513" t="s">
        <v>524</v>
      </c>
      <c r="C1138" s="513" t="s">
        <v>44</v>
      </c>
      <c r="D1138" s="513" t="s">
        <v>449</v>
      </c>
      <c r="E1138" s="194" t="s">
        <v>1701</v>
      </c>
      <c r="F1138" s="551" t="s">
        <v>1739</v>
      </c>
      <c r="G1138" s="513">
        <v>9848173896</v>
      </c>
      <c r="H1138" s="512"/>
      <c r="I1138" s="551">
        <v>18</v>
      </c>
      <c r="J1138" s="513" t="s">
        <v>90</v>
      </c>
      <c r="K1138" s="513" t="s">
        <v>345</v>
      </c>
      <c r="L1138" s="513"/>
      <c r="M1138" s="544" t="s">
        <v>119</v>
      </c>
      <c r="N1138" s="735">
        <v>65027</v>
      </c>
      <c r="O1138" s="598">
        <v>65027</v>
      </c>
      <c r="P1138" s="514">
        <v>65042</v>
      </c>
      <c r="Q1138" s="514" t="s">
        <v>51</v>
      </c>
    </row>
    <row r="1139" spans="1:17" s="344" customFormat="1">
      <c r="A1139" s="512">
        <f t="shared" si="10"/>
        <v>292</v>
      </c>
      <c r="B1139" s="513" t="s">
        <v>524</v>
      </c>
      <c r="C1139" s="513" t="s">
        <v>44</v>
      </c>
      <c r="D1139" s="513" t="s">
        <v>449</v>
      </c>
      <c r="E1139" s="194" t="s">
        <v>1579</v>
      </c>
      <c r="F1139" s="551" t="s">
        <v>441</v>
      </c>
      <c r="G1139" s="513">
        <v>98578304468</v>
      </c>
      <c r="H1139" s="512"/>
      <c r="I1139" s="551">
        <v>54</v>
      </c>
      <c r="J1139" s="513" t="s">
        <v>404</v>
      </c>
      <c r="K1139" s="513" t="s">
        <v>709</v>
      </c>
      <c r="L1139" s="513"/>
      <c r="M1139" s="513" t="s">
        <v>1192</v>
      </c>
      <c r="N1139" s="732">
        <v>65027</v>
      </c>
      <c r="O1139" s="514">
        <v>65027</v>
      </c>
      <c r="P1139" s="514">
        <v>65042</v>
      </c>
      <c r="Q1139" s="514" t="s">
        <v>51</v>
      </c>
    </row>
    <row r="1140" spans="1:17" s="344" customFormat="1">
      <c r="A1140" s="512">
        <f t="shared" si="10"/>
        <v>293</v>
      </c>
      <c r="B1140" s="513" t="s">
        <v>524</v>
      </c>
      <c r="C1140" s="513" t="s">
        <v>44</v>
      </c>
      <c r="D1140" s="513" t="s">
        <v>449</v>
      </c>
      <c r="E1140" s="194" t="s">
        <v>1231</v>
      </c>
      <c r="F1140" s="551" t="s">
        <v>441</v>
      </c>
      <c r="G1140" s="513">
        <v>98578304468</v>
      </c>
      <c r="H1140" s="512"/>
      <c r="I1140" s="551">
        <v>50</v>
      </c>
      <c r="J1140" s="513" t="s">
        <v>433</v>
      </c>
      <c r="K1140" s="513" t="s">
        <v>709</v>
      </c>
      <c r="L1140" s="513"/>
      <c r="M1140" s="513" t="s">
        <v>1192</v>
      </c>
      <c r="N1140" s="732">
        <v>65027</v>
      </c>
      <c r="O1140" s="514">
        <v>65027</v>
      </c>
      <c r="P1140" s="514">
        <v>65042</v>
      </c>
      <c r="Q1140" s="514" t="s">
        <v>51</v>
      </c>
    </row>
    <row r="1141" spans="1:17" s="344" customFormat="1">
      <c r="A1141" s="512">
        <f t="shared" si="10"/>
        <v>294</v>
      </c>
      <c r="B1141" s="513" t="s">
        <v>524</v>
      </c>
      <c r="C1141" s="513" t="s">
        <v>44</v>
      </c>
      <c r="D1141" s="513" t="s">
        <v>449</v>
      </c>
      <c r="E1141" s="194" t="s">
        <v>1061</v>
      </c>
      <c r="F1141" s="551" t="s">
        <v>1046</v>
      </c>
      <c r="G1141" s="513">
        <v>9841640196</v>
      </c>
      <c r="H1141" s="512"/>
      <c r="I1141" s="551">
        <v>35</v>
      </c>
      <c r="J1141" s="513" t="s">
        <v>433</v>
      </c>
      <c r="K1141" s="513" t="s">
        <v>709</v>
      </c>
      <c r="L1141" s="513"/>
      <c r="M1141" s="513" t="s">
        <v>1192</v>
      </c>
      <c r="N1141" s="732">
        <v>65027</v>
      </c>
      <c r="O1141" s="514">
        <v>65027</v>
      </c>
      <c r="P1141" s="514">
        <v>65042</v>
      </c>
      <c r="Q1141" s="514" t="s">
        <v>51</v>
      </c>
    </row>
    <row r="1142" spans="1:17" s="344" customFormat="1">
      <c r="A1142" s="512">
        <f t="shared" si="10"/>
        <v>295</v>
      </c>
      <c r="B1142" s="513" t="s">
        <v>524</v>
      </c>
      <c r="C1142" s="513" t="s">
        <v>44</v>
      </c>
      <c r="D1142" s="513" t="s">
        <v>449</v>
      </c>
      <c r="E1142" s="194" t="s">
        <v>1598</v>
      </c>
      <c r="F1142" s="551" t="s">
        <v>529</v>
      </c>
      <c r="G1142" s="513">
        <v>9847814301</v>
      </c>
      <c r="H1142" s="512"/>
      <c r="I1142" s="551">
        <v>26</v>
      </c>
      <c r="J1142" s="513" t="s">
        <v>404</v>
      </c>
      <c r="K1142" s="513" t="s">
        <v>709</v>
      </c>
      <c r="L1142" s="513"/>
      <c r="M1142" s="513" t="s">
        <v>1192</v>
      </c>
      <c r="N1142" s="732">
        <v>65027</v>
      </c>
      <c r="O1142" s="514">
        <v>65027</v>
      </c>
      <c r="P1142" s="514">
        <v>65042</v>
      </c>
      <c r="Q1142" s="514" t="s">
        <v>51</v>
      </c>
    </row>
    <row r="1143" spans="1:17" s="344" customFormat="1" ht="15.75">
      <c r="A1143" s="512">
        <f t="shared" si="10"/>
        <v>296</v>
      </c>
      <c r="B1143" s="513" t="s">
        <v>524</v>
      </c>
      <c r="C1143" s="513" t="s">
        <v>44</v>
      </c>
      <c r="D1143" s="513" t="s">
        <v>449</v>
      </c>
      <c r="E1143" s="194" t="s">
        <v>1702</v>
      </c>
      <c r="F1143" s="551" t="s">
        <v>1740</v>
      </c>
      <c r="G1143" s="513">
        <v>9848173896</v>
      </c>
      <c r="H1143" s="512"/>
      <c r="I1143" s="551">
        <v>56</v>
      </c>
      <c r="J1143" s="513" t="s">
        <v>90</v>
      </c>
      <c r="K1143" s="513" t="s">
        <v>345</v>
      </c>
      <c r="L1143" s="513"/>
      <c r="M1143" s="544" t="s">
        <v>119</v>
      </c>
      <c r="N1143" s="735">
        <v>65027</v>
      </c>
      <c r="O1143" s="598">
        <v>65027</v>
      </c>
      <c r="P1143" s="514">
        <v>65042</v>
      </c>
      <c r="Q1143" s="514" t="s">
        <v>51</v>
      </c>
    </row>
    <row r="1144" spans="1:17" s="344" customFormat="1">
      <c r="A1144" s="512">
        <f t="shared" si="10"/>
        <v>297</v>
      </c>
      <c r="B1144" s="513" t="s">
        <v>524</v>
      </c>
      <c r="C1144" s="513" t="s">
        <v>44</v>
      </c>
      <c r="D1144" s="513" t="s">
        <v>449</v>
      </c>
      <c r="E1144" s="194" t="s">
        <v>1591</v>
      </c>
      <c r="F1144" s="551" t="s">
        <v>502</v>
      </c>
      <c r="G1144" s="513">
        <v>9847198198</v>
      </c>
      <c r="H1144" s="512"/>
      <c r="I1144" s="551">
        <v>33</v>
      </c>
      <c r="J1144" s="513" t="s">
        <v>404</v>
      </c>
      <c r="K1144" s="513" t="s">
        <v>709</v>
      </c>
      <c r="L1144" s="513"/>
      <c r="M1144" s="513" t="s">
        <v>1192</v>
      </c>
      <c r="N1144" s="732">
        <v>65027</v>
      </c>
      <c r="O1144" s="514">
        <v>65027</v>
      </c>
      <c r="P1144" s="514">
        <v>65042</v>
      </c>
      <c r="Q1144" s="514" t="s">
        <v>51</v>
      </c>
    </row>
    <row r="1145" spans="1:17" s="344" customFormat="1">
      <c r="A1145" s="512">
        <f t="shared" si="10"/>
        <v>298</v>
      </c>
      <c r="B1145" s="513" t="s">
        <v>524</v>
      </c>
      <c r="C1145" s="513" t="s">
        <v>44</v>
      </c>
      <c r="D1145" s="513" t="s">
        <v>449</v>
      </c>
      <c r="E1145" s="194" t="s">
        <v>1599</v>
      </c>
      <c r="F1145" s="551" t="s">
        <v>502</v>
      </c>
      <c r="G1145" s="513">
        <v>9866900514</v>
      </c>
      <c r="H1145" s="512"/>
      <c r="I1145" s="551">
        <v>17</v>
      </c>
      <c r="J1145" s="513" t="s">
        <v>404</v>
      </c>
      <c r="K1145" s="513" t="s">
        <v>709</v>
      </c>
      <c r="L1145" s="513"/>
      <c r="M1145" s="513" t="s">
        <v>1192</v>
      </c>
      <c r="N1145" s="732">
        <v>65027</v>
      </c>
      <c r="O1145" s="514">
        <v>65027</v>
      </c>
      <c r="P1145" s="514">
        <v>65042</v>
      </c>
      <c r="Q1145" s="514" t="s">
        <v>51</v>
      </c>
    </row>
    <row r="1146" spans="1:17" s="344" customFormat="1">
      <c r="A1146" s="512">
        <f t="shared" si="10"/>
        <v>299</v>
      </c>
      <c r="B1146" s="513" t="s">
        <v>524</v>
      </c>
      <c r="C1146" s="513" t="s">
        <v>44</v>
      </c>
      <c r="D1146" s="513" t="s">
        <v>449</v>
      </c>
      <c r="E1146" s="194" t="s">
        <v>1578</v>
      </c>
      <c r="F1146" s="551" t="s">
        <v>441</v>
      </c>
      <c r="G1146" s="513">
        <v>9847856774</v>
      </c>
      <c r="H1146" s="512"/>
      <c r="I1146" s="551">
        <v>38</v>
      </c>
      <c r="J1146" s="513" t="s">
        <v>433</v>
      </c>
      <c r="K1146" s="513" t="s">
        <v>709</v>
      </c>
      <c r="L1146" s="513"/>
      <c r="M1146" s="513" t="s">
        <v>1192</v>
      </c>
      <c r="N1146" s="732">
        <v>65027</v>
      </c>
      <c r="O1146" s="514">
        <v>65027</v>
      </c>
      <c r="P1146" s="514">
        <v>65042</v>
      </c>
      <c r="Q1146" s="514" t="s">
        <v>51</v>
      </c>
    </row>
    <row r="1147" spans="1:17" s="344" customFormat="1">
      <c r="A1147" s="512">
        <f t="shared" si="10"/>
        <v>300</v>
      </c>
      <c r="B1147" s="513" t="s">
        <v>524</v>
      </c>
      <c r="C1147" s="513" t="s">
        <v>44</v>
      </c>
      <c r="D1147" s="513" t="s">
        <v>449</v>
      </c>
      <c r="E1147" s="194" t="s">
        <v>1592</v>
      </c>
      <c r="F1147" s="551" t="s">
        <v>491</v>
      </c>
      <c r="G1147" s="513">
        <v>9806259508</v>
      </c>
      <c r="H1147" s="512"/>
      <c r="I1147" s="551">
        <v>31</v>
      </c>
      <c r="J1147" s="513" t="s">
        <v>433</v>
      </c>
      <c r="K1147" s="513" t="s">
        <v>709</v>
      </c>
      <c r="L1147" s="513"/>
      <c r="M1147" s="513" t="s">
        <v>1192</v>
      </c>
      <c r="N1147" s="732">
        <v>65027</v>
      </c>
      <c r="O1147" s="514">
        <v>65027</v>
      </c>
      <c r="P1147" s="514">
        <v>65042</v>
      </c>
      <c r="Q1147" s="514" t="s">
        <v>51</v>
      </c>
    </row>
    <row r="1148" spans="1:17" s="344" customFormat="1" ht="15.75">
      <c r="A1148" s="512">
        <f t="shared" si="10"/>
        <v>301</v>
      </c>
      <c r="B1148" s="513" t="s">
        <v>524</v>
      </c>
      <c r="C1148" s="513" t="s">
        <v>44</v>
      </c>
      <c r="D1148" s="513" t="s">
        <v>449</v>
      </c>
      <c r="E1148" s="194" t="s">
        <v>1703</v>
      </c>
      <c r="F1148" s="551" t="s">
        <v>1738</v>
      </c>
      <c r="G1148" s="513">
        <v>9857822157</v>
      </c>
      <c r="H1148" s="512"/>
      <c r="I1148" s="551">
        <v>39</v>
      </c>
      <c r="J1148" s="513" t="s">
        <v>48</v>
      </c>
      <c r="K1148" s="513" t="s">
        <v>1468</v>
      </c>
      <c r="L1148" s="513"/>
      <c r="M1148" s="544" t="s">
        <v>119</v>
      </c>
      <c r="N1148" s="735">
        <v>65027</v>
      </c>
      <c r="O1148" s="598">
        <v>65027</v>
      </c>
      <c r="P1148" s="514">
        <v>65042</v>
      </c>
      <c r="Q1148" s="514" t="s">
        <v>51</v>
      </c>
    </row>
    <row r="1149" spans="1:17" s="344" customFormat="1">
      <c r="A1149" s="512">
        <f t="shared" si="10"/>
        <v>302</v>
      </c>
      <c r="B1149" s="513" t="s">
        <v>524</v>
      </c>
      <c r="C1149" s="513" t="s">
        <v>44</v>
      </c>
      <c r="D1149" s="513" t="s">
        <v>449</v>
      </c>
      <c r="E1149" s="194" t="s">
        <v>1606</v>
      </c>
      <c r="F1149" s="551" t="s">
        <v>502</v>
      </c>
      <c r="G1149" s="513">
        <v>9810892591</v>
      </c>
      <c r="H1149" s="512"/>
      <c r="I1149" s="551">
        <v>25</v>
      </c>
      <c r="J1149" s="513" t="s">
        <v>404</v>
      </c>
      <c r="K1149" s="513" t="s">
        <v>709</v>
      </c>
      <c r="L1149" s="513"/>
      <c r="M1149" s="513" t="s">
        <v>1192</v>
      </c>
      <c r="N1149" s="732">
        <v>65027</v>
      </c>
      <c r="O1149" s="514">
        <v>65027</v>
      </c>
      <c r="P1149" s="514">
        <v>65042</v>
      </c>
      <c r="Q1149" s="514" t="s">
        <v>51</v>
      </c>
    </row>
    <row r="1150" spans="1:17" s="344" customFormat="1">
      <c r="A1150" s="512">
        <f t="shared" si="10"/>
        <v>303</v>
      </c>
      <c r="B1150" s="513" t="s">
        <v>524</v>
      </c>
      <c r="C1150" s="513" t="s">
        <v>44</v>
      </c>
      <c r="D1150" s="513" t="s">
        <v>449</v>
      </c>
      <c r="E1150" s="194" t="s">
        <v>1536</v>
      </c>
      <c r="F1150" s="551" t="s">
        <v>1008</v>
      </c>
      <c r="G1150" s="513">
        <v>9844978092</v>
      </c>
      <c r="H1150" s="512"/>
      <c r="I1150" s="551">
        <v>15</v>
      </c>
      <c r="J1150" s="513" t="s">
        <v>90</v>
      </c>
      <c r="K1150" s="513" t="s">
        <v>1480</v>
      </c>
      <c r="L1150" s="513"/>
      <c r="M1150" s="544" t="s">
        <v>119</v>
      </c>
      <c r="N1150" s="732">
        <v>65027</v>
      </c>
      <c r="O1150" s="514">
        <v>65027</v>
      </c>
      <c r="P1150" s="514">
        <v>65042</v>
      </c>
      <c r="Q1150" s="514" t="s">
        <v>51</v>
      </c>
    </row>
    <row r="1151" spans="1:17" s="344" customFormat="1">
      <c r="A1151" s="512">
        <f t="shared" si="10"/>
        <v>304</v>
      </c>
      <c r="B1151" s="513" t="s">
        <v>524</v>
      </c>
      <c r="C1151" s="513" t="s">
        <v>44</v>
      </c>
      <c r="D1151" s="513" t="s">
        <v>449</v>
      </c>
      <c r="E1151" s="194" t="s">
        <v>1594</v>
      </c>
      <c r="F1151" s="551" t="s">
        <v>124</v>
      </c>
      <c r="G1151" s="513">
        <v>9809833108</v>
      </c>
      <c r="H1151" s="512"/>
      <c r="I1151" s="551">
        <v>34</v>
      </c>
      <c r="J1151" s="513" t="s">
        <v>433</v>
      </c>
      <c r="K1151" s="513" t="s">
        <v>709</v>
      </c>
      <c r="L1151" s="513"/>
      <c r="M1151" s="513" t="s">
        <v>1192</v>
      </c>
      <c r="N1151" s="732">
        <v>65027</v>
      </c>
      <c r="O1151" s="514">
        <v>65027</v>
      </c>
      <c r="P1151" s="514">
        <v>65042</v>
      </c>
      <c r="Q1151" s="514" t="s">
        <v>51</v>
      </c>
    </row>
    <row r="1152" spans="1:17" s="344" customFormat="1">
      <c r="A1152" s="512">
        <f t="shared" si="10"/>
        <v>305</v>
      </c>
      <c r="B1152" s="513" t="s">
        <v>524</v>
      </c>
      <c r="C1152" s="513" t="s">
        <v>44</v>
      </c>
      <c r="D1152" s="513" t="s">
        <v>449</v>
      </c>
      <c r="E1152" s="194" t="s">
        <v>1605</v>
      </c>
      <c r="F1152" s="551" t="s">
        <v>502</v>
      </c>
      <c r="G1152" s="513">
        <v>9847822812</v>
      </c>
      <c r="H1152" s="512"/>
      <c r="I1152" s="551">
        <v>35</v>
      </c>
      <c r="J1152" s="513" t="s">
        <v>433</v>
      </c>
      <c r="K1152" s="513" t="s">
        <v>709</v>
      </c>
      <c r="L1152" s="513"/>
      <c r="M1152" s="513" t="s">
        <v>1192</v>
      </c>
      <c r="N1152" s="732">
        <v>65027</v>
      </c>
      <c r="O1152" s="514">
        <v>65027</v>
      </c>
      <c r="P1152" s="514">
        <v>65042</v>
      </c>
      <c r="Q1152" s="514" t="s">
        <v>51</v>
      </c>
    </row>
    <row r="1153" spans="1:31" s="344" customFormat="1">
      <c r="A1153" s="512">
        <f t="shared" si="10"/>
        <v>306</v>
      </c>
      <c r="B1153" s="513" t="s">
        <v>524</v>
      </c>
      <c r="C1153" s="513" t="s">
        <v>44</v>
      </c>
      <c r="D1153" s="513" t="s">
        <v>449</v>
      </c>
      <c r="E1153" s="194" t="s">
        <v>1608</v>
      </c>
      <c r="F1153" s="551" t="s">
        <v>491</v>
      </c>
      <c r="G1153" s="513">
        <v>9847830181</v>
      </c>
      <c r="H1153" s="512"/>
      <c r="I1153" s="551">
        <v>44</v>
      </c>
      <c r="J1153" s="513" t="s">
        <v>404</v>
      </c>
      <c r="K1153" s="513" t="s">
        <v>709</v>
      </c>
      <c r="L1153" s="513"/>
      <c r="M1153" s="513" t="s">
        <v>1192</v>
      </c>
      <c r="N1153" s="732">
        <v>65027</v>
      </c>
      <c r="O1153" s="514">
        <v>65027</v>
      </c>
      <c r="P1153" s="514">
        <v>65042</v>
      </c>
      <c r="Q1153" s="514" t="s">
        <v>51</v>
      </c>
    </row>
    <row r="1154" spans="1:31" s="344" customFormat="1">
      <c r="A1154" s="512">
        <f t="shared" si="10"/>
        <v>307</v>
      </c>
      <c r="B1154" s="513" t="s">
        <v>524</v>
      </c>
      <c r="C1154" s="513" t="s">
        <v>44</v>
      </c>
      <c r="D1154" s="513" t="s">
        <v>449</v>
      </c>
      <c r="E1154" s="194" t="s">
        <v>1589</v>
      </c>
      <c r="F1154" s="551" t="s">
        <v>557</v>
      </c>
      <c r="G1154" s="513">
        <v>9847879760</v>
      </c>
      <c r="H1154" s="512"/>
      <c r="I1154" s="551">
        <v>30</v>
      </c>
      <c r="J1154" s="513" t="s">
        <v>404</v>
      </c>
      <c r="K1154" s="513" t="s">
        <v>709</v>
      </c>
      <c r="L1154" s="513"/>
      <c r="M1154" s="513" t="s">
        <v>1192</v>
      </c>
      <c r="N1154" s="732">
        <v>65027</v>
      </c>
      <c r="O1154" s="514">
        <v>65027</v>
      </c>
      <c r="P1154" s="514">
        <v>65042</v>
      </c>
      <c r="Q1154" s="514" t="s">
        <v>51</v>
      </c>
    </row>
    <row r="1155" spans="1:31" s="344" customFormat="1">
      <c r="A1155" s="512">
        <f t="shared" si="10"/>
        <v>308</v>
      </c>
      <c r="B1155" s="513" t="s">
        <v>524</v>
      </c>
      <c r="C1155" s="513" t="s">
        <v>44</v>
      </c>
      <c r="D1155" s="513" t="s">
        <v>449</v>
      </c>
      <c r="E1155" s="194" t="s">
        <v>1582</v>
      </c>
      <c r="F1155" s="551" t="s">
        <v>502</v>
      </c>
      <c r="G1155" s="513">
        <v>9844976088</v>
      </c>
      <c r="H1155" s="512"/>
      <c r="I1155" s="551">
        <v>55</v>
      </c>
      <c r="J1155" s="513" t="s">
        <v>404</v>
      </c>
      <c r="K1155" s="513" t="s">
        <v>709</v>
      </c>
      <c r="L1155" s="513"/>
      <c r="M1155" s="513" t="s">
        <v>1192</v>
      </c>
      <c r="N1155" s="732">
        <v>65027</v>
      </c>
      <c r="O1155" s="514">
        <v>65027</v>
      </c>
      <c r="P1155" s="514">
        <v>65042</v>
      </c>
      <c r="Q1155" s="514" t="s">
        <v>51</v>
      </c>
    </row>
    <row r="1156" spans="1:31" s="344" customFormat="1">
      <c r="A1156" s="512">
        <f t="shared" si="10"/>
        <v>309</v>
      </c>
      <c r="B1156" s="513" t="s">
        <v>524</v>
      </c>
      <c r="C1156" s="513" t="s">
        <v>44</v>
      </c>
      <c r="D1156" s="513" t="s">
        <v>449</v>
      </c>
      <c r="E1156" s="194" t="s">
        <v>1607</v>
      </c>
      <c r="F1156" s="551" t="s">
        <v>441</v>
      </c>
      <c r="G1156" s="513">
        <v>9809795011</v>
      </c>
      <c r="H1156" s="512"/>
      <c r="I1156" s="551">
        <v>27</v>
      </c>
      <c r="J1156" s="513" t="s">
        <v>433</v>
      </c>
      <c r="K1156" s="513" t="s">
        <v>709</v>
      </c>
      <c r="L1156" s="513"/>
      <c r="M1156" s="513" t="s">
        <v>1192</v>
      </c>
      <c r="N1156" s="732">
        <v>65027</v>
      </c>
      <c r="O1156" s="514">
        <v>65027</v>
      </c>
      <c r="P1156" s="514">
        <v>65042</v>
      </c>
      <c r="Q1156" s="514" t="s">
        <v>51</v>
      </c>
    </row>
    <row r="1157" spans="1:31" s="344" customFormat="1">
      <c r="A1157" s="512">
        <f t="shared" si="10"/>
        <v>310</v>
      </c>
      <c r="B1157" s="513" t="s">
        <v>524</v>
      </c>
      <c r="C1157" s="513" t="s">
        <v>44</v>
      </c>
      <c r="D1157" s="513" t="s">
        <v>449</v>
      </c>
      <c r="E1157" s="194" t="s">
        <v>1572</v>
      </c>
      <c r="F1157" s="551" t="s">
        <v>557</v>
      </c>
      <c r="G1157" s="513">
        <v>9847833092</v>
      </c>
      <c r="H1157" s="512"/>
      <c r="I1157" s="551">
        <v>45</v>
      </c>
      <c r="J1157" s="513" t="s">
        <v>404</v>
      </c>
      <c r="K1157" s="513" t="s">
        <v>709</v>
      </c>
      <c r="L1157" s="513"/>
      <c r="M1157" s="513" t="s">
        <v>1192</v>
      </c>
      <c r="N1157" s="732">
        <v>65027</v>
      </c>
      <c r="O1157" s="514">
        <v>65027</v>
      </c>
      <c r="P1157" s="514">
        <v>65042</v>
      </c>
      <c r="Q1157" s="514" t="s">
        <v>51</v>
      </c>
    </row>
    <row r="1158" spans="1:31" s="344" customFormat="1">
      <c r="A1158" s="512">
        <f t="shared" si="10"/>
        <v>311</v>
      </c>
      <c r="B1158" s="513" t="s">
        <v>524</v>
      </c>
      <c r="C1158" s="513" t="s">
        <v>44</v>
      </c>
      <c r="D1158" s="513" t="s">
        <v>449</v>
      </c>
      <c r="E1158" s="194" t="s">
        <v>1581</v>
      </c>
      <c r="F1158" s="551" t="s">
        <v>1046</v>
      </c>
      <c r="G1158" s="513">
        <v>9847857624</v>
      </c>
      <c r="H1158" s="512"/>
      <c r="I1158" s="551">
        <v>53</v>
      </c>
      <c r="J1158" s="513" t="s">
        <v>404</v>
      </c>
      <c r="K1158" s="513" t="s">
        <v>709</v>
      </c>
      <c r="L1158" s="513"/>
      <c r="M1158" s="513" t="s">
        <v>1192</v>
      </c>
      <c r="N1158" s="732">
        <v>65027</v>
      </c>
      <c r="O1158" s="514">
        <v>65027</v>
      </c>
      <c r="P1158" s="514">
        <v>65042</v>
      </c>
      <c r="Q1158" s="514" t="s">
        <v>51</v>
      </c>
    </row>
    <row r="1159" spans="1:31" s="344" customFormat="1">
      <c r="A1159" s="512">
        <f t="shared" si="10"/>
        <v>312</v>
      </c>
      <c r="B1159" s="513" t="s">
        <v>524</v>
      </c>
      <c r="C1159" s="513" t="s">
        <v>44</v>
      </c>
      <c r="D1159" s="513" t="s">
        <v>449</v>
      </c>
      <c r="E1159" s="194" t="s">
        <v>1252</v>
      </c>
      <c r="F1159" s="551" t="s">
        <v>497</v>
      </c>
      <c r="G1159" s="513">
        <v>9841134107</v>
      </c>
      <c r="H1159" s="512"/>
      <c r="I1159" s="551">
        <v>34</v>
      </c>
      <c r="J1159" s="513" t="s">
        <v>404</v>
      </c>
      <c r="K1159" s="513" t="s">
        <v>709</v>
      </c>
      <c r="L1159" s="513"/>
      <c r="M1159" s="513" t="s">
        <v>1192</v>
      </c>
      <c r="N1159" s="732">
        <v>65027</v>
      </c>
      <c r="O1159" s="514">
        <v>65027</v>
      </c>
      <c r="P1159" s="514">
        <v>65042</v>
      </c>
      <c r="Q1159" s="514" t="s">
        <v>51</v>
      </c>
    </row>
    <row r="1160" spans="1:31" s="344" customFormat="1">
      <c r="A1160" s="512">
        <f t="shared" si="10"/>
        <v>313</v>
      </c>
      <c r="B1160" s="513" t="s">
        <v>524</v>
      </c>
      <c r="C1160" s="513" t="s">
        <v>44</v>
      </c>
      <c r="D1160" s="513" t="s">
        <v>449</v>
      </c>
      <c r="E1160" s="194" t="s">
        <v>1602</v>
      </c>
      <c r="F1160" s="551" t="s">
        <v>441</v>
      </c>
      <c r="G1160" s="513">
        <v>9847978942</v>
      </c>
      <c r="H1160" s="512"/>
      <c r="I1160" s="551">
        <v>40</v>
      </c>
      <c r="J1160" s="513" t="s">
        <v>433</v>
      </c>
      <c r="K1160" s="513" t="s">
        <v>709</v>
      </c>
      <c r="L1160" s="513"/>
      <c r="M1160" s="513" t="s">
        <v>1192</v>
      </c>
      <c r="N1160" s="732">
        <v>65027</v>
      </c>
      <c r="O1160" s="514">
        <v>65027</v>
      </c>
      <c r="P1160" s="514">
        <v>65042</v>
      </c>
      <c r="Q1160" s="514" t="s">
        <v>51</v>
      </c>
    </row>
    <row r="1161" spans="1:31" s="344" customFormat="1" ht="15.75">
      <c r="A1161" s="512">
        <f t="shared" si="10"/>
        <v>314</v>
      </c>
      <c r="B1161" s="513" t="s">
        <v>524</v>
      </c>
      <c r="C1161" s="513" t="s">
        <v>44</v>
      </c>
      <c r="D1161" s="513" t="s">
        <v>449</v>
      </c>
      <c r="E1161" s="194" t="s">
        <v>1704</v>
      </c>
      <c r="F1161" s="551" t="s">
        <v>1739</v>
      </c>
      <c r="G1161" s="513">
        <v>9844916649</v>
      </c>
      <c r="H1161" s="512"/>
      <c r="I1161" s="551">
        <v>70</v>
      </c>
      <c r="J1161" s="513" t="s">
        <v>48</v>
      </c>
      <c r="K1161" s="513" t="s">
        <v>345</v>
      </c>
      <c r="L1161" s="513"/>
      <c r="M1161" s="544" t="s">
        <v>119</v>
      </c>
      <c r="N1161" s="735">
        <v>65027</v>
      </c>
      <c r="O1161" s="598">
        <v>65027</v>
      </c>
      <c r="P1161" s="514">
        <v>65042</v>
      </c>
      <c r="Q1161" s="514" t="s">
        <v>51</v>
      </c>
    </row>
    <row r="1162" spans="1:31" s="344" customFormat="1">
      <c r="A1162" s="512">
        <f t="shared" si="10"/>
        <v>315</v>
      </c>
      <c r="B1162" s="513" t="s">
        <v>524</v>
      </c>
      <c r="C1162" s="513" t="s">
        <v>44</v>
      </c>
      <c r="D1162" s="513" t="s">
        <v>449</v>
      </c>
      <c r="E1162" s="194" t="s">
        <v>1590</v>
      </c>
      <c r="F1162" s="551" t="s">
        <v>557</v>
      </c>
      <c r="G1162" s="513">
        <v>9847879760</v>
      </c>
      <c r="H1162" s="512"/>
      <c r="I1162" s="551">
        <v>33</v>
      </c>
      <c r="J1162" s="513" t="s">
        <v>433</v>
      </c>
      <c r="K1162" s="513" t="s">
        <v>709</v>
      </c>
      <c r="L1162" s="513"/>
      <c r="M1162" s="513" t="s">
        <v>1192</v>
      </c>
      <c r="N1162" s="732">
        <v>65027</v>
      </c>
      <c r="O1162" s="514">
        <v>65027</v>
      </c>
      <c r="P1162" s="514">
        <v>65042</v>
      </c>
      <c r="Q1162" s="514" t="s">
        <v>51</v>
      </c>
    </row>
    <row r="1163" spans="1:31">
      <c r="A1163" s="512">
        <f t="shared" si="10"/>
        <v>316</v>
      </c>
      <c r="B1163" s="423" t="s">
        <v>524</v>
      </c>
      <c r="C1163" s="423" t="s">
        <v>44</v>
      </c>
      <c r="D1163" s="423" t="s">
        <v>449</v>
      </c>
      <c r="E1163" s="267" t="s">
        <v>1569</v>
      </c>
      <c r="F1163" s="595" t="s">
        <v>1046</v>
      </c>
      <c r="G1163" s="423"/>
      <c r="H1163" s="422"/>
      <c r="I1163" s="595">
        <v>46</v>
      </c>
      <c r="J1163" s="423" t="s">
        <v>90</v>
      </c>
      <c r="K1163" s="423" t="s">
        <v>53</v>
      </c>
      <c r="L1163" s="423"/>
      <c r="M1163" s="597" t="s">
        <v>54</v>
      </c>
      <c r="N1163" s="726">
        <v>65027</v>
      </c>
      <c r="O1163" s="476">
        <v>65027</v>
      </c>
      <c r="P1163" s="476">
        <v>65033</v>
      </c>
      <c r="Q1163" s="422" t="s">
        <v>940</v>
      </c>
      <c r="R1163" s="326"/>
      <c r="S1163" s="326"/>
      <c r="T1163" s="326"/>
      <c r="U1163" s="326"/>
      <c r="V1163" s="326"/>
      <c r="W1163" s="326"/>
      <c r="X1163" s="326"/>
      <c r="Y1163" s="326"/>
      <c r="Z1163" s="326"/>
      <c r="AA1163" s="326"/>
      <c r="AB1163" s="326"/>
      <c r="AC1163" s="326"/>
      <c r="AD1163" s="326"/>
      <c r="AE1163" s="326"/>
    </row>
    <row r="1164" spans="1:31" s="344" customFormat="1">
      <c r="A1164" s="512">
        <f t="shared" si="10"/>
        <v>317</v>
      </c>
      <c r="B1164" s="513" t="s">
        <v>524</v>
      </c>
      <c r="C1164" s="513" t="s">
        <v>44</v>
      </c>
      <c r="D1164" s="513" t="s">
        <v>449</v>
      </c>
      <c r="E1164" s="194" t="s">
        <v>1587</v>
      </c>
      <c r="F1164" s="551" t="s">
        <v>1204</v>
      </c>
      <c r="G1164" s="513">
        <v>98578844111</v>
      </c>
      <c r="H1164" s="512"/>
      <c r="I1164" s="551">
        <v>43</v>
      </c>
      <c r="J1164" s="513" t="s">
        <v>404</v>
      </c>
      <c r="K1164" s="513" t="s">
        <v>709</v>
      </c>
      <c r="L1164" s="513"/>
      <c r="M1164" s="513" t="s">
        <v>1192</v>
      </c>
      <c r="N1164" s="732">
        <v>65027</v>
      </c>
      <c r="O1164" s="514">
        <v>65027</v>
      </c>
      <c r="P1164" s="514">
        <v>65042</v>
      </c>
      <c r="Q1164" s="514" t="s">
        <v>51</v>
      </c>
    </row>
    <row r="1165" spans="1:31" s="344" customFormat="1">
      <c r="A1165" s="512">
        <f t="shared" si="10"/>
        <v>318</v>
      </c>
      <c r="B1165" s="513" t="s">
        <v>524</v>
      </c>
      <c r="C1165" s="513" t="s">
        <v>44</v>
      </c>
      <c r="D1165" s="513" t="s">
        <v>449</v>
      </c>
      <c r="E1165" s="194" t="s">
        <v>1603</v>
      </c>
      <c r="F1165" s="551" t="s">
        <v>502</v>
      </c>
      <c r="G1165" s="513">
        <v>9809565536</v>
      </c>
      <c r="H1165" s="512"/>
      <c r="I1165" s="551">
        <v>28</v>
      </c>
      <c r="J1165" s="513" t="s">
        <v>433</v>
      </c>
      <c r="K1165" s="513" t="s">
        <v>709</v>
      </c>
      <c r="L1165" s="513"/>
      <c r="M1165" s="513" t="s">
        <v>1192</v>
      </c>
      <c r="N1165" s="732">
        <v>65027</v>
      </c>
      <c r="O1165" s="514">
        <v>65027</v>
      </c>
      <c r="P1165" s="514">
        <v>65042</v>
      </c>
      <c r="Q1165" s="514" t="s">
        <v>51</v>
      </c>
    </row>
    <row r="1166" spans="1:31" s="344" customFormat="1" ht="18">
      <c r="A1166" s="512">
        <f t="shared" si="10"/>
        <v>319</v>
      </c>
      <c r="B1166" s="658" t="s">
        <v>43</v>
      </c>
      <c r="C1166" s="630" t="s">
        <v>44</v>
      </c>
      <c r="D1166" s="630" t="s">
        <v>45</v>
      </c>
      <c r="E1166" s="422" t="s">
        <v>3843</v>
      </c>
      <c r="F1166" s="423" t="s">
        <v>791</v>
      </c>
      <c r="G1166" s="423"/>
      <c r="H1166" s="422"/>
      <c r="I1166" s="423">
        <v>62</v>
      </c>
      <c r="J1166" s="597" t="s">
        <v>90</v>
      </c>
      <c r="K1166" s="423"/>
      <c r="L1166" s="423"/>
      <c r="M1166" s="620" t="s">
        <v>54</v>
      </c>
      <c r="N1166" s="770">
        <v>65027</v>
      </c>
      <c r="O1166" s="697">
        <v>65027</v>
      </c>
      <c r="P1166" s="476">
        <v>65049</v>
      </c>
      <c r="Q1166" s="422" t="s">
        <v>940</v>
      </c>
    </row>
    <row r="1167" spans="1:31" s="163" customFormat="1">
      <c r="A1167" s="512">
        <f t="shared" si="10"/>
        <v>320</v>
      </c>
      <c r="B1167" s="513" t="s">
        <v>524</v>
      </c>
      <c r="C1167" s="513" t="s">
        <v>44</v>
      </c>
      <c r="D1167" s="513" t="s">
        <v>449</v>
      </c>
      <c r="E1167" s="194" t="s">
        <v>1588</v>
      </c>
      <c r="F1167" s="551" t="s">
        <v>441</v>
      </c>
      <c r="G1167" s="513">
        <v>9851019235</v>
      </c>
      <c r="H1167" s="512"/>
      <c r="I1167" s="551">
        <v>40</v>
      </c>
      <c r="J1167" s="513" t="s">
        <v>404</v>
      </c>
      <c r="K1167" s="513" t="s">
        <v>709</v>
      </c>
      <c r="L1167" s="513"/>
      <c r="M1167" s="513" t="s">
        <v>1192</v>
      </c>
      <c r="N1167" s="732">
        <v>65027</v>
      </c>
      <c r="O1167" s="514">
        <v>65027</v>
      </c>
      <c r="P1167" s="514">
        <v>65042</v>
      </c>
      <c r="Q1167" s="514" t="s">
        <v>51</v>
      </c>
    </row>
    <row r="1168" spans="1:31" s="344" customFormat="1">
      <c r="A1168" s="512">
        <f t="shared" si="10"/>
        <v>321</v>
      </c>
      <c r="B1168" s="438" t="s">
        <v>524</v>
      </c>
      <c r="C1168" s="438" t="s">
        <v>44</v>
      </c>
      <c r="D1168" s="438" t="s">
        <v>449</v>
      </c>
      <c r="E1168" s="148" t="s">
        <v>1570</v>
      </c>
      <c r="F1168" s="591" t="s">
        <v>1046</v>
      </c>
      <c r="G1168" s="438"/>
      <c r="H1168" s="436"/>
      <c r="I1168" s="591">
        <v>40</v>
      </c>
      <c r="J1168" s="438" t="s">
        <v>48</v>
      </c>
      <c r="K1168" s="438" t="s">
        <v>53</v>
      </c>
      <c r="L1168" s="438"/>
      <c r="M1168" s="592" t="s">
        <v>54</v>
      </c>
      <c r="N1168" s="731">
        <v>65027</v>
      </c>
      <c r="O1168" s="465">
        <v>65027</v>
      </c>
      <c r="P1168" s="465">
        <v>65027</v>
      </c>
      <c r="Q1168" s="436" t="s">
        <v>51</v>
      </c>
    </row>
    <row r="1169" spans="1:31" s="344" customFormat="1">
      <c r="A1169" s="512">
        <f t="shared" si="10"/>
        <v>322</v>
      </c>
      <c r="B1169" s="513" t="s">
        <v>524</v>
      </c>
      <c r="C1169" s="513" t="s">
        <v>44</v>
      </c>
      <c r="D1169" s="513" t="s">
        <v>449</v>
      </c>
      <c r="E1169" s="194" t="s">
        <v>1601</v>
      </c>
      <c r="F1169" s="551" t="s">
        <v>124</v>
      </c>
      <c r="G1169" s="513">
        <v>9849758745</v>
      </c>
      <c r="H1169" s="512"/>
      <c r="I1169" s="551">
        <v>26</v>
      </c>
      <c r="J1169" s="513" t="s">
        <v>433</v>
      </c>
      <c r="K1169" s="513" t="s">
        <v>709</v>
      </c>
      <c r="L1169" s="513"/>
      <c r="M1169" s="513" t="s">
        <v>1192</v>
      </c>
      <c r="N1169" s="732">
        <v>65027</v>
      </c>
      <c r="O1169" s="514">
        <v>65027</v>
      </c>
      <c r="P1169" s="514">
        <v>65042</v>
      </c>
      <c r="Q1169" s="514" t="s">
        <v>51</v>
      </c>
    </row>
    <row r="1170" spans="1:31" s="344" customFormat="1">
      <c r="A1170" s="512">
        <f t="shared" ref="A1170:A1233" si="11">A1169+1</f>
        <v>323</v>
      </c>
      <c r="B1170" s="513" t="s">
        <v>524</v>
      </c>
      <c r="C1170" s="513" t="s">
        <v>44</v>
      </c>
      <c r="D1170" s="513" t="s">
        <v>449</v>
      </c>
      <c r="E1170" s="194" t="s">
        <v>1583</v>
      </c>
      <c r="F1170" s="551" t="s">
        <v>636</v>
      </c>
      <c r="G1170" s="513">
        <v>9841029727</v>
      </c>
      <c r="H1170" s="512"/>
      <c r="I1170" s="551">
        <v>34</v>
      </c>
      <c r="J1170" s="513" t="s">
        <v>404</v>
      </c>
      <c r="K1170" s="513" t="s">
        <v>709</v>
      </c>
      <c r="L1170" s="513"/>
      <c r="M1170" s="513" t="s">
        <v>1192</v>
      </c>
      <c r="N1170" s="732">
        <v>65027</v>
      </c>
      <c r="O1170" s="514">
        <v>65027</v>
      </c>
      <c r="P1170" s="514">
        <v>65042</v>
      </c>
      <c r="Q1170" s="514" t="s">
        <v>51</v>
      </c>
    </row>
    <row r="1171" spans="1:31" s="344" customFormat="1">
      <c r="A1171" s="512">
        <f t="shared" si="11"/>
        <v>324</v>
      </c>
      <c r="B1171" s="513" t="s">
        <v>524</v>
      </c>
      <c r="C1171" s="513" t="s">
        <v>44</v>
      </c>
      <c r="D1171" s="513" t="s">
        <v>449</v>
      </c>
      <c r="E1171" s="194" t="s">
        <v>1575</v>
      </c>
      <c r="F1171" s="551" t="s">
        <v>491</v>
      </c>
      <c r="G1171" s="513">
        <v>9868635566</v>
      </c>
      <c r="H1171" s="512"/>
      <c r="I1171" s="551">
        <v>33</v>
      </c>
      <c r="J1171" s="513" t="s">
        <v>404</v>
      </c>
      <c r="K1171" s="513" t="s">
        <v>709</v>
      </c>
      <c r="L1171" s="513"/>
      <c r="M1171" s="513" t="s">
        <v>1192</v>
      </c>
      <c r="N1171" s="732">
        <v>65027</v>
      </c>
      <c r="O1171" s="514">
        <v>65027</v>
      </c>
      <c r="P1171" s="514">
        <v>65042</v>
      </c>
      <c r="Q1171" s="514" t="s">
        <v>51</v>
      </c>
    </row>
    <row r="1172" spans="1:31" s="344" customFormat="1">
      <c r="A1172" s="512">
        <f t="shared" si="11"/>
        <v>325</v>
      </c>
      <c r="B1172" s="513" t="s">
        <v>524</v>
      </c>
      <c r="C1172" s="513" t="s">
        <v>44</v>
      </c>
      <c r="D1172" s="513" t="s">
        <v>449</v>
      </c>
      <c r="E1172" s="194" t="s">
        <v>1576</v>
      </c>
      <c r="F1172" s="551" t="s">
        <v>124</v>
      </c>
      <c r="G1172" s="513">
        <v>9857821422</v>
      </c>
      <c r="H1172" s="512"/>
      <c r="I1172" s="551">
        <v>33</v>
      </c>
      <c r="J1172" s="513" t="s">
        <v>433</v>
      </c>
      <c r="K1172" s="513" t="s">
        <v>709</v>
      </c>
      <c r="L1172" s="513"/>
      <c r="M1172" s="513" t="s">
        <v>1192</v>
      </c>
      <c r="N1172" s="732">
        <v>65027</v>
      </c>
      <c r="O1172" s="514">
        <v>65027</v>
      </c>
      <c r="P1172" s="514">
        <v>65042</v>
      </c>
      <c r="Q1172" s="514" t="s">
        <v>51</v>
      </c>
    </row>
    <row r="1173" spans="1:31" s="344" customFormat="1">
      <c r="A1173" s="512">
        <f t="shared" si="11"/>
        <v>326</v>
      </c>
      <c r="B1173" s="490" t="s">
        <v>524</v>
      </c>
      <c r="C1173" s="490" t="s">
        <v>44</v>
      </c>
      <c r="D1173" s="490" t="s">
        <v>449</v>
      </c>
      <c r="E1173" s="243" t="s">
        <v>1574</v>
      </c>
      <c r="F1173" s="244" t="s">
        <v>124</v>
      </c>
      <c r="G1173" s="490">
        <v>9857821422</v>
      </c>
      <c r="H1173" s="509"/>
      <c r="I1173" s="244">
        <v>44</v>
      </c>
      <c r="J1173" s="490" t="s">
        <v>404</v>
      </c>
      <c r="K1173" s="490" t="s">
        <v>709</v>
      </c>
      <c r="L1173" s="490"/>
      <c r="M1173" s="490" t="s">
        <v>1192</v>
      </c>
      <c r="N1173" s="749">
        <v>65027</v>
      </c>
      <c r="O1173" s="511">
        <v>65027</v>
      </c>
      <c r="P1173" s="465">
        <v>65027</v>
      </c>
      <c r="Q1173" s="436" t="s">
        <v>51</v>
      </c>
    </row>
    <row r="1174" spans="1:31" s="344" customFormat="1">
      <c r="A1174" s="512">
        <f t="shared" si="11"/>
        <v>327</v>
      </c>
      <c r="B1174" s="513" t="s">
        <v>524</v>
      </c>
      <c r="C1174" s="513" t="s">
        <v>44</v>
      </c>
      <c r="D1174" s="513" t="s">
        <v>449</v>
      </c>
      <c r="E1174" s="194" t="s">
        <v>1577</v>
      </c>
      <c r="F1174" s="551" t="s">
        <v>502</v>
      </c>
      <c r="G1174" s="513">
        <v>9810963710</v>
      </c>
      <c r="H1174" s="512"/>
      <c r="I1174" s="551">
        <v>29</v>
      </c>
      <c r="J1174" s="513" t="s">
        <v>433</v>
      </c>
      <c r="K1174" s="513" t="s">
        <v>709</v>
      </c>
      <c r="L1174" s="513"/>
      <c r="M1174" s="513" t="s">
        <v>1192</v>
      </c>
      <c r="N1174" s="732">
        <v>65027</v>
      </c>
      <c r="O1174" s="514">
        <v>65027</v>
      </c>
      <c r="P1174" s="514">
        <v>65042</v>
      </c>
      <c r="Q1174" s="514" t="s">
        <v>51</v>
      </c>
    </row>
    <row r="1175" spans="1:31" s="344" customFormat="1" ht="15.75">
      <c r="A1175" s="512">
        <f t="shared" si="11"/>
        <v>328</v>
      </c>
      <c r="B1175" s="513" t="s">
        <v>524</v>
      </c>
      <c r="C1175" s="513" t="s">
        <v>44</v>
      </c>
      <c r="D1175" s="513" t="s">
        <v>449</v>
      </c>
      <c r="E1175" s="194" t="s">
        <v>1705</v>
      </c>
      <c r="F1175" s="551" t="s">
        <v>1744</v>
      </c>
      <c r="G1175" s="513">
        <v>9857823243</v>
      </c>
      <c r="H1175" s="512"/>
      <c r="I1175" s="551">
        <v>62</v>
      </c>
      <c r="J1175" s="513" t="s">
        <v>48</v>
      </c>
      <c r="K1175" s="513" t="s">
        <v>1706</v>
      </c>
      <c r="L1175" s="513"/>
      <c r="M1175" s="544" t="s">
        <v>119</v>
      </c>
      <c r="N1175" s="735">
        <v>65027</v>
      </c>
      <c r="O1175" s="598">
        <v>65027</v>
      </c>
      <c r="P1175" s="514">
        <v>65042</v>
      </c>
      <c r="Q1175" s="514" t="s">
        <v>51</v>
      </c>
    </row>
    <row r="1176" spans="1:31" s="344" customFormat="1">
      <c r="A1176" s="512">
        <f t="shared" si="11"/>
        <v>329</v>
      </c>
      <c r="B1176" s="513" t="s">
        <v>524</v>
      </c>
      <c r="C1176" s="513" t="s">
        <v>44</v>
      </c>
      <c r="D1176" s="513" t="s">
        <v>449</v>
      </c>
      <c r="E1176" s="194" t="s">
        <v>1584</v>
      </c>
      <c r="F1176" s="551" t="s">
        <v>512</v>
      </c>
      <c r="G1176" s="513">
        <v>9847845588</v>
      </c>
      <c r="H1176" s="512"/>
      <c r="I1176" s="551">
        <v>16</v>
      </c>
      <c r="J1176" s="513" t="s">
        <v>404</v>
      </c>
      <c r="K1176" s="513" t="s">
        <v>709</v>
      </c>
      <c r="L1176" s="513"/>
      <c r="M1176" s="513" t="s">
        <v>1192</v>
      </c>
      <c r="N1176" s="732">
        <v>65027</v>
      </c>
      <c r="O1176" s="514">
        <v>65027</v>
      </c>
      <c r="P1176" s="514">
        <v>65042</v>
      </c>
      <c r="Q1176" s="514" t="s">
        <v>51</v>
      </c>
    </row>
    <row r="1177" spans="1:31" s="344" customFormat="1">
      <c r="A1177" s="512">
        <f t="shared" si="11"/>
        <v>330</v>
      </c>
      <c r="B1177" s="513" t="s">
        <v>524</v>
      </c>
      <c r="C1177" s="513" t="s">
        <v>44</v>
      </c>
      <c r="D1177" s="513" t="s">
        <v>449</v>
      </c>
      <c r="E1177" s="194" t="s">
        <v>1604</v>
      </c>
      <c r="F1177" s="551" t="s">
        <v>598</v>
      </c>
      <c r="G1177" s="513">
        <v>9809734108</v>
      </c>
      <c r="H1177" s="512"/>
      <c r="I1177" s="551">
        <v>19</v>
      </c>
      <c r="J1177" s="513" t="s">
        <v>433</v>
      </c>
      <c r="K1177" s="513" t="s">
        <v>709</v>
      </c>
      <c r="L1177" s="513"/>
      <c r="M1177" s="513" t="s">
        <v>1192</v>
      </c>
      <c r="N1177" s="732">
        <v>65027</v>
      </c>
      <c r="O1177" s="514">
        <v>65027</v>
      </c>
      <c r="P1177" s="514">
        <v>65042</v>
      </c>
      <c r="Q1177" s="514" t="s">
        <v>51</v>
      </c>
    </row>
    <row r="1178" spans="1:31" s="344" customFormat="1">
      <c r="A1178" s="512">
        <f t="shared" si="11"/>
        <v>331</v>
      </c>
      <c r="B1178" s="513" t="s">
        <v>524</v>
      </c>
      <c r="C1178" s="513" t="s">
        <v>44</v>
      </c>
      <c r="D1178" s="513" t="s">
        <v>449</v>
      </c>
      <c r="E1178" s="194" t="s">
        <v>1596</v>
      </c>
      <c r="F1178" s="551" t="s">
        <v>502</v>
      </c>
      <c r="G1178" s="513">
        <v>9847942245</v>
      </c>
      <c r="H1178" s="512"/>
      <c r="I1178" s="551">
        <v>30</v>
      </c>
      <c r="J1178" s="513" t="s">
        <v>404</v>
      </c>
      <c r="K1178" s="513" t="s">
        <v>709</v>
      </c>
      <c r="L1178" s="513"/>
      <c r="M1178" s="513" t="s">
        <v>1192</v>
      </c>
      <c r="N1178" s="732">
        <v>65027</v>
      </c>
      <c r="O1178" s="514">
        <v>65027</v>
      </c>
      <c r="P1178" s="514">
        <v>65042</v>
      </c>
      <c r="Q1178" s="514" t="s">
        <v>51</v>
      </c>
    </row>
    <row r="1179" spans="1:31" s="344" customFormat="1">
      <c r="A1179" s="512">
        <f t="shared" si="11"/>
        <v>332</v>
      </c>
      <c r="B1179" s="513" t="s">
        <v>524</v>
      </c>
      <c r="C1179" s="513" t="s">
        <v>44</v>
      </c>
      <c r="D1179" s="513" t="s">
        <v>449</v>
      </c>
      <c r="E1179" s="194" t="s">
        <v>1611</v>
      </c>
      <c r="F1179" s="551" t="s">
        <v>491</v>
      </c>
      <c r="G1179" s="513">
        <v>9857825278</v>
      </c>
      <c r="H1179" s="512"/>
      <c r="I1179" s="551">
        <v>40</v>
      </c>
      <c r="J1179" s="513" t="s">
        <v>404</v>
      </c>
      <c r="K1179" s="513" t="s">
        <v>709</v>
      </c>
      <c r="L1179" s="513"/>
      <c r="M1179" s="513" t="s">
        <v>1192</v>
      </c>
      <c r="N1179" s="732">
        <v>65027</v>
      </c>
      <c r="O1179" s="514">
        <v>65027</v>
      </c>
      <c r="P1179" s="514">
        <v>65042</v>
      </c>
      <c r="Q1179" s="514" t="s">
        <v>51</v>
      </c>
    </row>
    <row r="1180" spans="1:31" s="344" customFormat="1">
      <c r="A1180" s="512">
        <f t="shared" si="11"/>
        <v>333</v>
      </c>
      <c r="B1180" s="513" t="s">
        <v>524</v>
      </c>
      <c r="C1180" s="513" t="s">
        <v>44</v>
      </c>
      <c r="D1180" s="513" t="s">
        <v>449</v>
      </c>
      <c r="E1180" s="194" t="s">
        <v>1586</v>
      </c>
      <c r="F1180" s="551" t="s">
        <v>502</v>
      </c>
      <c r="G1180" s="513">
        <v>9847835629</v>
      </c>
      <c r="H1180" s="512"/>
      <c r="I1180" s="551">
        <v>41</v>
      </c>
      <c r="J1180" s="513" t="s">
        <v>433</v>
      </c>
      <c r="K1180" s="513" t="s">
        <v>709</v>
      </c>
      <c r="L1180" s="513"/>
      <c r="M1180" s="513" t="s">
        <v>1192</v>
      </c>
      <c r="N1180" s="732">
        <v>65027</v>
      </c>
      <c r="O1180" s="514">
        <v>65027</v>
      </c>
      <c r="P1180" s="514">
        <v>65042</v>
      </c>
      <c r="Q1180" s="514" t="s">
        <v>51</v>
      </c>
    </row>
    <row r="1181" spans="1:31" s="344" customFormat="1">
      <c r="A1181" s="512">
        <f t="shared" si="11"/>
        <v>334</v>
      </c>
      <c r="B1181" s="513" t="s">
        <v>524</v>
      </c>
      <c r="C1181" s="513" t="s">
        <v>44</v>
      </c>
      <c r="D1181" s="513" t="s">
        <v>449</v>
      </c>
      <c r="E1181" s="194" t="s">
        <v>1595</v>
      </c>
      <c r="F1181" s="551" t="s">
        <v>124</v>
      </c>
      <c r="G1181" s="513">
        <v>9809833107</v>
      </c>
      <c r="H1181" s="512"/>
      <c r="I1181" s="551">
        <v>38</v>
      </c>
      <c r="J1181" s="513" t="s">
        <v>404</v>
      </c>
      <c r="K1181" s="513" t="s">
        <v>709</v>
      </c>
      <c r="L1181" s="513"/>
      <c r="M1181" s="513" t="s">
        <v>1192</v>
      </c>
      <c r="N1181" s="732">
        <v>65027</v>
      </c>
      <c r="O1181" s="514">
        <v>65027</v>
      </c>
      <c r="P1181" s="514">
        <v>65042</v>
      </c>
      <c r="Q1181" s="514" t="s">
        <v>51</v>
      </c>
    </row>
    <row r="1182" spans="1:31" s="344" customFormat="1">
      <c r="A1182" s="512">
        <f t="shared" si="11"/>
        <v>335</v>
      </c>
      <c r="B1182" s="513" t="s">
        <v>524</v>
      </c>
      <c r="C1182" s="513" t="s">
        <v>44</v>
      </c>
      <c r="D1182" s="513" t="s">
        <v>449</v>
      </c>
      <c r="E1182" s="194" t="s">
        <v>1571</v>
      </c>
      <c r="F1182" s="551" t="s">
        <v>502</v>
      </c>
      <c r="G1182" s="513">
        <v>9847991525</v>
      </c>
      <c r="H1182" s="512"/>
      <c r="I1182" s="551">
        <v>24</v>
      </c>
      <c r="J1182" s="513" t="s">
        <v>433</v>
      </c>
      <c r="K1182" s="513" t="s">
        <v>709</v>
      </c>
      <c r="L1182" s="513"/>
      <c r="M1182" s="513" t="s">
        <v>1192</v>
      </c>
      <c r="N1182" s="732">
        <v>65027</v>
      </c>
      <c r="O1182" s="514">
        <v>65027</v>
      </c>
      <c r="P1182" s="514">
        <v>65042</v>
      </c>
      <c r="Q1182" s="514" t="s">
        <v>51</v>
      </c>
    </row>
    <row r="1183" spans="1:31" s="163" customFormat="1">
      <c r="A1183" s="512">
        <f t="shared" si="11"/>
        <v>336</v>
      </c>
      <c r="B1183" s="513" t="s">
        <v>524</v>
      </c>
      <c r="C1183" s="513" t="s">
        <v>44</v>
      </c>
      <c r="D1183" s="513" t="s">
        <v>449</v>
      </c>
      <c r="E1183" s="194" t="s">
        <v>1609</v>
      </c>
      <c r="F1183" s="551" t="s">
        <v>491</v>
      </c>
      <c r="G1183" s="513">
        <v>9847990330</v>
      </c>
      <c r="H1183" s="512"/>
      <c r="I1183" s="551">
        <v>40</v>
      </c>
      <c r="J1183" s="513" t="s">
        <v>433</v>
      </c>
      <c r="K1183" s="513" t="s">
        <v>709</v>
      </c>
      <c r="L1183" s="513"/>
      <c r="M1183" s="513" t="s">
        <v>1192</v>
      </c>
      <c r="N1183" s="732">
        <v>65027</v>
      </c>
      <c r="O1183" s="514">
        <v>65027</v>
      </c>
      <c r="P1183" s="514">
        <v>65042</v>
      </c>
      <c r="Q1183" s="514" t="s">
        <v>51</v>
      </c>
    </row>
    <row r="1184" spans="1:31" s="356" customFormat="1">
      <c r="A1184" s="512">
        <f t="shared" si="11"/>
        <v>337</v>
      </c>
      <c r="B1184" s="438" t="s">
        <v>524</v>
      </c>
      <c r="C1184" s="438" t="s">
        <v>44</v>
      </c>
      <c r="D1184" s="438" t="s">
        <v>449</v>
      </c>
      <c r="E1184" s="148" t="s">
        <v>1707</v>
      </c>
      <c r="F1184" s="591" t="s">
        <v>1739</v>
      </c>
      <c r="G1184" s="438"/>
      <c r="H1184" s="436"/>
      <c r="I1184" s="591">
        <v>43</v>
      </c>
      <c r="J1184" s="438" t="s">
        <v>48</v>
      </c>
      <c r="K1184" s="438" t="s">
        <v>345</v>
      </c>
      <c r="L1184" s="438"/>
      <c r="M1184" s="592" t="s">
        <v>262</v>
      </c>
      <c r="N1184" s="751">
        <v>65027</v>
      </c>
      <c r="O1184" s="599">
        <v>65027</v>
      </c>
      <c r="P1184" s="465">
        <v>65027</v>
      </c>
      <c r="Q1184" s="436" t="s">
        <v>51</v>
      </c>
      <c r="R1184" s="344"/>
      <c r="S1184" s="344"/>
      <c r="T1184" s="344"/>
      <c r="U1184" s="344"/>
      <c r="V1184" s="344"/>
      <c r="W1184" s="344"/>
      <c r="X1184" s="344"/>
      <c r="Y1184" s="344"/>
      <c r="Z1184" s="344"/>
      <c r="AA1184" s="344"/>
      <c r="AB1184" s="344"/>
      <c r="AC1184" s="344"/>
      <c r="AD1184" s="344"/>
      <c r="AE1184" s="344"/>
    </row>
    <row r="1185" spans="1:17" s="344" customFormat="1">
      <c r="A1185" s="512">
        <f t="shared" si="11"/>
        <v>338</v>
      </c>
      <c r="B1185" s="513" t="s">
        <v>524</v>
      </c>
      <c r="C1185" s="513" t="s">
        <v>44</v>
      </c>
      <c r="D1185" s="513" t="s">
        <v>449</v>
      </c>
      <c r="E1185" s="194" t="s">
        <v>1585</v>
      </c>
      <c r="F1185" s="551" t="s">
        <v>512</v>
      </c>
      <c r="G1185" s="513">
        <v>9847845588</v>
      </c>
      <c r="H1185" s="512"/>
      <c r="I1185" s="551">
        <v>18</v>
      </c>
      <c r="J1185" s="513" t="s">
        <v>433</v>
      </c>
      <c r="K1185" s="513" t="s">
        <v>709</v>
      </c>
      <c r="L1185" s="513"/>
      <c r="M1185" s="513" t="s">
        <v>1192</v>
      </c>
      <c r="N1185" s="732">
        <v>65027</v>
      </c>
      <c r="O1185" s="514">
        <v>65027</v>
      </c>
      <c r="P1185" s="514">
        <v>65042</v>
      </c>
      <c r="Q1185" s="514" t="s">
        <v>51</v>
      </c>
    </row>
    <row r="1186" spans="1:17" s="344" customFormat="1">
      <c r="A1186" s="512">
        <f t="shared" si="11"/>
        <v>339</v>
      </c>
      <c r="B1186" s="513" t="s">
        <v>524</v>
      </c>
      <c r="C1186" s="513" t="s">
        <v>44</v>
      </c>
      <c r="D1186" s="513" t="s">
        <v>449</v>
      </c>
      <c r="E1186" s="194" t="s">
        <v>1610</v>
      </c>
      <c r="F1186" s="551" t="s">
        <v>502</v>
      </c>
      <c r="G1186" s="513">
        <v>9809817840</v>
      </c>
      <c r="H1186" s="512"/>
      <c r="I1186" s="551">
        <v>24</v>
      </c>
      <c r="J1186" s="513" t="s">
        <v>404</v>
      </c>
      <c r="K1186" s="513" t="s">
        <v>709</v>
      </c>
      <c r="L1186" s="513"/>
      <c r="M1186" s="513" t="s">
        <v>1192</v>
      </c>
      <c r="N1186" s="732">
        <v>65027</v>
      </c>
      <c r="O1186" s="514">
        <v>65027</v>
      </c>
      <c r="P1186" s="514">
        <v>65042</v>
      </c>
      <c r="Q1186" s="514" t="s">
        <v>51</v>
      </c>
    </row>
    <row r="1187" spans="1:17" s="344" customFormat="1">
      <c r="A1187" s="512">
        <f t="shared" si="11"/>
        <v>340</v>
      </c>
      <c r="B1187" s="513" t="s">
        <v>524</v>
      </c>
      <c r="C1187" s="513" t="s">
        <v>44</v>
      </c>
      <c r="D1187" s="513" t="s">
        <v>449</v>
      </c>
      <c r="E1187" s="194" t="s">
        <v>1597</v>
      </c>
      <c r="F1187" s="551" t="s">
        <v>502</v>
      </c>
      <c r="G1187" s="513">
        <v>9847845155</v>
      </c>
      <c r="H1187" s="512"/>
      <c r="I1187" s="551">
        <v>50</v>
      </c>
      <c r="J1187" s="513" t="s">
        <v>404</v>
      </c>
      <c r="K1187" s="513" t="s">
        <v>709</v>
      </c>
      <c r="L1187" s="513"/>
      <c r="M1187" s="513" t="s">
        <v>1192</v>
      </c>
      <c r="N1187" s="732">
        <v>65027</v>
      </c>
      <c r="O1187" s="514">
        <v>65027</v>
      </c>
      <c r="P1187" s="514">
        <v>65042</v>
      </c>
      <c r="Q1187" s="514" t="s">
        <v>51</v>
      </c>
    </row>
    <row r="1188" spans="1:17" s="344" customFormat="1">
      <c r="A1188" s="512">
        <f t="shared" si="11"/>
        <v>341</v>
      </c>
      <c r="B1188" s="513" t="s">
        <v>524</v>
      </c>
      <c r="C1188" s="513" t="s">
        <v>44</v>
      </c>
      <c r="D1188" s="513" t="s">
        <v>449</v>
      </c>
      <c r="E1188" s="194" t="s">
        <v>1311</v>
      </c>
      <c r="F1188" s="551" t="s">
        <v>510</v>
      </c>
      <c r="G1188" s="513">
        <v>9829819875</v>
      </c>
      <c r="H1188" s="512"/>
      <c r="I1188" s="551"/>
      <c r="J1188" s="513" t="s">
        <v>404</v>
      </c>
      <c r="K1188" s="513" t="s">
        <v>709</v>
      </c>
      <c r="L1188" s="513"/>
      <c r="M1188" s="513" t="s">
        <v>1192</v>
      </c>
      <c r="N1188" s="732">
        <v>65027</v>
      </c>
      <c r="O1188" s="514">
        <v>65027</v>
      </c>
      <c r="P1188" s="514">
        <v>65042</v>
      </c>
      <c r="Q1188" s="514" t="s">
        <v>51</v>
      </c>
    </row>
    <row r="1189" spans="1:17" s="344" customFormat="1">
      <c r="A1189" s="512">
        <f t="shared" si="11"/>
        <v>342</v>
      </c>
      <c r="B1189" s="513" t="s">
        <v>524</v>
      </c>
      <c r="C1189" s="513" t="s">
        <v>44</v>
      </c>
      <c r="D1189" s="513" t="s">
        <v>449</v>
      </c>
      <c r="E1189" s="194" t="s">
        <v>1600</v>
      </c>
      <c r="F1189" s="551" t="s">
        <v>497</v>
      </c>
      <c r="G1189" s="513">
        <v>9809863154</v>
      </c>
      <c r="H1189" s="512"/>
      <c r="I1189" s="551">
        <v>43</v>
      </c>
      <c r="J1189" s="513" t="s">
        <v>404</v>
      </c>
      <c r="K1189" s="513" t="s">
        <v>709</v>
      </c>
      <c r="L1189" s="513"/>
      <c r="M1189" s="513" t="s">
        <v>1192</v>
      </c>
      <c r="N1189" s="732">
        <v>65027</v>
      </c>
      <c r="O1189" s="514">
        <v>65027</v>
      </c>
      <c r="P1189" s="514">
        <v>65042</v>
      </c>
      <c r="Q1189" s="514" t="s">
        <v>51</v>
      </c>
    </row>
    <row r="1190" spans="1:17" s="344" customFormat="1">
      <c r="A1190" s="512">
        <f t="shared" si="11"/>
        <v>343</v>
      </c>
      <c r="B1190" s="513" t="s">
        <v>524</v>
      </c>
      <c r="C1190" s="513" t="s">
        <v>44</v>
      </c>
      <c r="D1190" s="513" t="s">
        <v>449</v>
      </c>
      <c r="E1190" s="194" t="s">
        <v>1580</v>
      </c>
      <c r="F1190" s="551" t="s">
        <v>491</v>
      </c>
      <c r="G1190" s="513">
        <v>9847823916</v>
      </c>
      <c r="H1190" s="512"/>
      <c r="I1190" s="551">
        <v>46</v>
      </c>
      <c r="J1190" s="513" t="s">
        <v>433</v>
      </c>
      <c r="K1190" s="513" t="s">
        <v>709</v>
      </c>
      <c r="L1190" s="513"/>
      <c r="M1190" s="513" t="s">
        <v>1192</v>
      </c>
      <c r="N1190" s="732">
        <v>65027</v>
      </c>
      <c r="O1190" s="514">
        <v>65027</v>
      </c>
      <c r="P1190" s="514">
        <v>65042</v>
      </c>
      <c r="Q1190" s="514" t="s">
        <v>51</v>
      </c>
    </row>
    <row r="1191" spans="1:17">
      <c r="A1191" s="512">
        <f t="shared" si="11"/>
        <v>344</v>
      </c>
      <c r="B1191" s="513" t="s">
        <v>524</v>
      </c>
      <c r="C1191" s="513" t="s">
        <v>44</v>
      </c>
      <c r="D1191" s="513" t="s">
        <v>449</v>
      </c>
      <c r="E1191" s="194" t="s">
        <v>1573</v>
      </c>
      <c r="F1191" s="551" t="s">
        <v>491</v>
      </c>
      <c r="G1191" s="513">
        <v>9868635566</v>
      </c>
      <c r="H1191" s="512"/>
      <c r="I1191" s="551">
        <v>30</v>
      </c>
      <c r="J1191" s="513" t="s">
        <v>433</v>
      </c>
      <c r="K1191" s="513" t="s">
        <v>709</v>
      </c>
      <c r="L1191" s="513"/>
      <c r="M1191" s="513" t="s">
        <v>1192</v>
      </c>
      <c r="N1191" s="732">
        <v>65027</v>
      </c>
      <c r="O1191" s="514">
        <v>65027</v>
      </c>
      <c r="P1191" s="514">
        <v>65042</v>
      </c>
      <c r="Q1191" s="514" t="s">
        <v>51</v>
      </c>
    </row>
    <row r="1192" spans="1:17">
      <c r="A1192" s="512">
        <f t="shared" si="11"/>
        <v>345</v>
      </c>
      <c r="B1192" s="531" t="s">
        <v>524</v>
      </c>
      <c r="C1192" s="531" t="s">
        <v>44</v>
      </c>
      <c r="D1192" s="531" t="s">
        <v>449</v>
      </c>
      <c r="E1192" s="554" t="s">
        <v>1708</v>
      </c>
      <c r="F1192" s="555" t="s">
        <v>1741</v>
      </c>
      <c r="G1192" s="531">
        <v>9802053315</v>
      </c>
      <c r="H1192" s="533"/>
      <c r="I1192" s="555">
        <v>25</v>
      </c>
      <c r="J1192" s="531" t="s">
        <v>48</v>
      </c>
      <c r="K1192" s="531" t="s">
        <v>1480</v>
      </c>
      <c r="L1192" s="531"/>
      <c r="M1192" s="560" t="s">
        <v>119</v>
      </c>
      <c r="N1192" s="752">
        <v>65028</v>
      </c>
      <c r="O1192" s="600">
        <v>65028</v>
      </c>
      <c r="P1192" s="459">
        <v>65043</v>
      </c>
      <c r="Q1192" s="459" t="s">
        <v>51</v>
      </c>
    </row>
    <row r="1193" spans="1:17">
      <c r="A1193" s="512">
        <f t="shared" si="11"/>
        <v>346</v>
      </c>
      <c r="B1193" s="531" t="s">
        <v>524</v>
      </c>
      <c r="C1193" s="531" t="s">
        <v>44</v>
      </c>
      <c r="D1193" s="531" t="s">
        <v>449</v>
      </c>
      <c r="E1193" s="554" t="s">
        <v>1687</v>
      </c>
      <c r="F1193" s="555" t="s">
        <v>529</v>
      </c>
      <c r="G1193" s="531">
        <v>9868601662</v>
      </c>
      <c r="H1193" s="533"/>
      <c r="I1193" s="555">
        <v>29</v>
      </c>
      <c r="J1193" s="531" t="s">
        <v>90</v>
      </c>
      <c r="K1193" s="531" t="s">
        <v>1193</v>
      </c>
      <c r="L1193" s="531"/>
      <c r="M1193" s="531" t="s">
        <v>1192</v>
      </c>
      <c r="N1193" s="711">
        <v>65028</v>
      </c>
      <c r="O1193" s="541">
        <v>65028</v>
      </c>
      <c r="P1193" s="459">
        <v>65043</v>
      </c>
      <c r="Q1193" s="459" t="s">
        <v>51</v>
      </c>
    </row>
    <row r="1194" spans="1:17">
      <c r="A1194" s="512">
        <f t="shared" si="11"/>
        <v>347</v>
      </c>
      <c r="B1194" s="531" t="s">
        <v>524</v>
      </c>
      <c r="C1194" s="531" t="s">
        <v>44</v>
      </c>
      <c r="D1194" s="531" t="s">
        <v>449</v>
      </c>
      <c r="E1194" s="554" t="s">
        <v>1644</v>
      </c>
      <c r="F1194" s="555" t="s">
        <v>730</v>
      </c>
      <c r="G1194" s="531">
        <v>9847975509</v>
      </c>
      <c r="H1194" s="533"/>
      <c r="I1194" s="555">
        <v>16</v>
      </c>
      <c r="J1194" s="531" t="s">
        <v>404</v>
      </c>
      <c r="K1194" s="531" t="s">
        <v>709</v>
      </c>
      <c r="L1194" s="531"/>
      <c r="M1194" s="531" t="s">
        <v>1192</v>
      </c>
      <c r="N1194" s="711">
        <v>65028</v>
      </c>
      <c r="O1194" s="541">
        <v>65028</v>
      </c>
      <c r="P1194" s="459">
        <v>65043</v>
      </c>
      <c r="Q1194" s="459" t="s">
        <v>51</v>
      </c>
    </row>
    <row r="1195" spans="1:17">
      <c r="A1195" s="512">
        <f t="shared" si="11"/>
        <v>348</v>
      </c>
      <c r="B1195" s="531" t="s">
        <v>524</v>
      </c>
      <c r="C1195" s="531" t="s">
        <v>44</v>
      </c>
      <c r="D1195" s="531" t="s">
        <v>449</v>
      </c>
      <c r="E1195" s="554" t="s">
        <v>1630</v>
      </c>
      <c r="F1195" s="555" t="s">
        <v>1008</v>
      </c>
      <c r="G1195" s="531">
        <v>9868103510</v>
      </c>
      <c r="H1195" s="533"/>
      <c r="I1195" s="555">
        <v>24</v>
      </c>
      <c r="J1195" s="531" t="s">
        <v>404</v>
      </c>
      <c r="K1195" s="531" t="s">
        <v>1193</v>
      </c>
      <c r="L1195" s="531"/>
      <c r="M1195" s="531" t="s">
        <v>1192</v>
      </c>
      <c r="N1195" s="711">
        <v>65028</v>
      </c>
      <c r="O1195" s="541">
        <v>65028</v>
      </c>
      <c r="P1195" s="459">
        <v>65043</v>
      </c>
      <c r="Q1195" s="459" t="s">
        <v>51</v>
      </c>
    </row>
    <row r="1196" spans="1:17">
      <c r="A1196" s="512">
        <f t="shared" si="11"/>
        <v>349</v>
      </c>
      <c r="B1196" s="531" t="s">
        <v>524</v>
      </c>
      <c r="C1196" s="531" t="s">
        <v>44</v>
      </c>
      <c r="D1196" s="531" t="s">
        <v>449</v>
      </c>
      <c r="E1196" s="554" t="s">
        <v>1634</v>
      </c>
      <c r="F1196" s="555" t="s">
        <v>1008</v>
      </c>
      <c r="G1196" s="531">
        <v>9868239780</v>
      </c>
      <c r="H1196" s="533"/>
      <c r="I1196" s="555">
        <v>28</v>
      </c>
      <c r="J1196" s="531" t="s">
        <v>404</v>
      </c>
      <c r="K1196" s="531" t="s">
        <v>1193</v>
      </c>
      <c r="L1196" s="531"/>
      <c r="M1196" s="531" t="s">
        <v>1192</v>
      </c>
      <c r="N1196" s="711">
        <v>65028</v>
      </c>
      <c r="O1196" s="541">
        <v>65028</v>
      </c>
      <c r="P1196" s="459">
        <v>65043</v>
      </c>
      <c r="Q1196" s="459" t="s">
        <v>51</v>
      </c>
    </row>
    <row r="1197" spans="1:17">
      <c r="A1197" s="512">
        <f t="shared" si="11"/>
        <v>350</v>
      </c>
      <c r="B1197" s="531" t="s">
        <v>524</v>
      </c>
      <c r="C1197" s="531" t="s">
        <v>44</v>
      </c>
      <c r="D1197" s="531" t="s">
        <v>449</v>
      </c>
      <c r="E1197" s="554" t="s">
        <v>1645</v>
      </c>
      <c r="F1197" s="555" t="s">
        <v>730</v>
      </c>
      <c r="G1197" s="531">
        <v>9847975509</v>
      </c>
      <c r="H1197" s="533"/>
      <c r="I1197" s="555">
        <v>13</v>
      </c>
      <c r="J1197" s="531" t="s">
        <v>404</v>
      </c>
      <c r="K1197" s="531" t="s">
        <v>709</v>
      </c>
      <c r="L1197" s="531"/>
      <c r="M1197" s="531" t="s">
        <v>1192</v>
      </c>
      <c r="N1197" s="711">
        <v>65028</v>
      </c>
      <c r="O1197" s="541">
        <v>65028</v>
      </c>
      <c r="P1197" s="459">
        <v>65043</v>
      </c>
      <c r="Q1197" s="459" t="s">
        <v>51</v>
      </c>
    </row>
    <row r="1198" spans="1:17">
      <c r="A1198" s="512">
        <f t="shared" si="11"/>
        <v>351</v>
      </c>
      <c r="B1198" s="531" t="s">
        <v>524</v>
      </c>
      <c r="C1198" s="531" t="s">
        <v>44</v>
      </c>
      <c r="D1198" s="531" t="s">
        <v>449</v>
      </c>
      <c r="E1198" s="554" t="s">
        <v>1684</v>
      </c>
      <c r="F1198" s="555" t="s">
        <v>491</v>
      </c>
      <c r="G1198" s="531">
        <v>9844988444</v>
      </c>
      <c r="H1198" s="533"/>
      <c r="I1198" s="555">
        <v>12</v>
      </c>
      <c r="J1198" s="531" t="s">
        <v>404</v>
      </c>
      <c r="K1198" s="531" t="s">
        <v>1193</v>
      </c>
      <c r="L1198" s="531"/>
      <c r="M1198" s="531" t="s">
        <v>1192</v>
      </c>
      <c r="N1198" s="711">
        <v>65028</v>
      </c>
      <c r="O1198" s="541">
        <v>65028</v>
      </c>
      <c r="P1198" s="459">
        <v>65043</v>
      </c>
      <c r="Q1198" s="459" t="s">
        <v>51</v>
      </c>
    </row>
    <row r="1199" spans="1:17">
      <c r="A1199" s="512">
        <f t="shared" si="11"/>
        <v>352</v>
      </c>
      <c r="B1199" s="531" t="s">
        <v>524</v>
      </c>
      <c r="C1199" s="531" t="s">
        <v>44</v>
      </c>
      <c r="D1199" s="531" t="s">
        <v>449</v>
      </c>
      <c r="E1199" s="554" t="s">
        <v>1678</v>
      </c>
      <c r="F1199" s="555" t="s">
        <v>441</v>
      </c>
      <c r="G1199" s="531">
        <v>9843554257</v>
      </c>
      <c r="H1199" s="533"/>
      <c r="I1199" s="555">
        <v>25</v>
      </c>
      <c r="J1199" s="531" t="s">
        <v>404</v>
      </c>
      <c r="K1199" s="531" t="s">
        <v>709</v>
      </c>
      <c r="L1199" s="531"/>
      <c r="M1199" s="531" t="s">
        <v>1192</v>
      </c>
      <c r="N1199" s="711">
        <v>65028</v>
      </c>
      <c r="O1199" s="541">
        <v>65028</v>
      </c>
      <c r="P1199" s="459">
        <v>65043</v>
      </c>
      <c r="Q1199" s="459" t="s">
        <v>51</v>
      </c>
    </row>
    <row r="1200" spans="1:17">
      <c r="A1200" s="512">
        <f t="shared" si="11"/>
        <v>353</v>
      </c>
      <c r="B1200" s="531" t="s">
        <v>524</v>
      </c>
      <c r="C1200" s="531" t="s">
        <v>44</v>
      </c>
      <c r="D1200" s="531" t="s">
        <v>449</v>
      </c>
      <c r="E1200" s="554" t="s">
        <v>1653</v>
      </c>
      <c r="F1200" s="555" t="s">
        <v>491</v>
      </c>
      <c r="G1200" s="531">
        <v>9848144380</v>
      </c>
      <c r="H1200" s="533"/>
      <c r="I1200" s="555">
        <v>25</v>
      </c>
      <c r="J1200" s="531" t="s">
        <v>404</v>
      </c>
      <c r="K1200" s="531" t="s">
        <v>709</v>
      </c>
      <c r="L1200" s="531"/>
      <c r="M1200" s="531" t="s">
        <v>1192</v>
      </c>
      <c r="N1200" s="711">
        <v>65028</v>
      </c>
      <c r="O1200" s="541">
        <v>65028</v>
      </c>
      <c r="P1200" s="459">
        <v>65043</v>
      </c>
      <c r="Q1200" s="459" t="s">
        <v>51</v>
      </c>
    </row>
    <row r="1201" spans="1:17">
      <c r="A1201" s="512">
        <f t="shared" si="11"/>
        <v>354</v>
      </c>
      <c r="B1201" s="531" t="s">
        <v>524</v>
      </c>
      <c r="C1201" s="531" t="s">
        <v>44</v>
      </c>
      <c r="D1201" s="531" t="s">
        <v>449</v>
      </c>
      <c r="E1201" s="564" t="s">
        <v>1756</v>
      </c>
      <c r="F1201" s="601" t="s">
        <v>441</v>
      </c>
      <c r="G1201" s="601">
        <v>9868632576</v>
      </c>
      <c r="H1201" s="533"/>
      <c r="I1201" s="601">
        <v>15</v>
      </c>
      <c r="J1201" s="531" t="s">
        <v>90</v>
      </c>
      <c r="K1201" s="531" t="s">
        <v>1763</v>
      </c>
      <c r="L1201" s="531"/>
      <c r="M1201" s="560" t="s">
        <v>1764</v>
      </c>
      <c r="N1201" s="711">
        <v>65028</v>
      </c>
      <c r="O1201" s="541">
        <v>65028</v>
      </c>
      <c r="P1201" s="459">
        <v>65043</v>
      </c>
      <c r="Q1201" s="459" t="s">
        <v>51</v>
      </c>
    </row>
    <row r="1202" spans="1:17">
      <c r="A1202" s="512">
        <f t="shared" si="11"/>
        <v>355</v>
      </c>
      <c r="B1202" s="531" t="s">
        <v>524</v>
      </c>
      <c r="C1202" s="531" t="s">
        <v>44</v>
      </c>
      <c r="D1202" s="531" t="s">
        <v>449</v>
      </c>
      <c r="E1202" s="554" t="s">
        <v>1692</v>
      </c>
      <c r="F1202" s="555" t="s">
        <v>441</v>
      </c>
      <c r="G1202" s="531">
        <v>9847824661</v>
      </c>
      <c r="H1202" s="533"/>
      <c r="I1202" s="555">
        <v>41</v>
      </c>
      <c r="J1202" s="531" t="s">
        <v>90</v>
      </c>
      <c r="K1202" s="531" t="s">
        <v>1193</v>
      </c>
      <c r="L1202" s="531"/>
      <c r="M1202" s="531" t="s">
        <v>1192</v>
      </c>
      <c r="N1202" s="711">
        <v>65028</v>
      </c>
      <c r="O1202" s="541">
        <v>65028</v>
      </c>
      <c r="P1202" s="459">
        <v>65043</v>
      </c>
      <c r="Q1202" s="459" t="s">
        <v>51</v>
      </c>
    </row>
    <row r="1203" spans="1:17">
      <c r="A1203" s="512">
        <f t="shared" si="11"/>
        <v>356</v>
      </c>
      <c r="B1203" s="531" t="s">
        <v>524</v>
      </c>
      <c r="C1203" s="531" t="s">
        <v>44</v>
      </c>
      <c r="D1203" s="531" t="s">
        <v>449</v>
      </c>
      <c r="E1203" s="564" t="s">
        <v>1752</v>
      </c>
      <c r="F1203" s="601" t="s">
        <v>491</v>
      </c>
      <c r="G1203" s="601">
        <v>9857820259</v>
      </c>
      <c r="H1203" s="533"/>
      <c r="I1203" s="601">
        <v>56</v>
      </c>
      <c r="J1203" s="531" t="s">
        <v>48</v>
      </c>
      <c r="K1203" s="531" t="s">
        <v>1763</v>
      </c>
      <c r="L1203" s="531"/>
      <c r="M1203" s="560" t="s">
        <v>1764</v>
      </c>
      <c r="N1203" s="711">
        <v>65028</v>
      </c>
      <c r="O1203" s="541">
        <v>65028</v>
      </c>
      <c r="P1203" s="459">
        <v>65043</v>
      </c>
      <c r="Q1203" s="459" t="s">
        <v>51</v>
      </c>
    </row>
    <row r="1204" spans="1:17">
      <c r="A1204" s="512">
        <f t="shared" si="11"/>
        <v>357</v>
      </c>
      <c r="B1204" s="531" t="s">
        <v>524</v>
      </c>
      <c r="C1204" s="531" t="s">
        <v>44</v>
      </c>
      <c r="D1204" s="531" t="s">
        <v>449</v>
      </c>
      <c r="E1204" s="554" t="s">
        <v>1623</v>
      </c>
      <c r="F1204" s="555" t="s">
        <v>730</v>
      </c>
      <c r="G1204" s="531">
        <v>9852279240</v>
      </c>
      <c r="H1204" s="533"/>
      <c r="I1204" s="555">
        <v>33</v>
      </c>
      <c r="J1204" s="531" t="s">
        <v>404</v>
      </c>
      <c r="K1204" s="531" t="s">
        <v>1193</v>
      </c>
      <c r="L1204" s="531"/>
      <c r="M1204" s="531" t="s">
        <v>1192</v>
      </c>
      <c r="N1204" s="711">
        <v>65028</v>
      </c>
      <c r="O1204" s="541">
        <v>65028</v>
      </c>
      <c r="P1204" s="459">
        <v>65043</v>
      </c>
      <c r="Q1204" s="459" t="s">
        <v>51</v>
      </c>
    </row>
    <row r="1205" spans="1:17">
      <c r="A1205" s="512">
        <f t="shared" si="11"/>
        <v>358</v>
      </c>
      <c r="B1205" s="531" t="s">
        <v>524</v>
      </c>
      <c r="C1205" s="531" t="s">
        <v>44</v>
      </c>
      <c r="D1205" s="531" t="s">
        <v>449</v>
      </c>
      <c r="E1205" s="554" t="s">
        <v>1695</v>
      </c>
      <c r="F1205" s="555" t="s">
        <v>441</v>
      </c>
      <c r="G1205" s="531">
        <v>9860306392</v>
      </c>
      <c r="H1205" s="533"/>
      <c r="I1205" s="555">
        <v>44</v>
      </c>
      <c r="J1205" s="531" t="s">
        <v>90</v>
      </c>
      <c r="K1205" s="531" t="s">
        <v>1193</v>
      </c>
      <c r="L1205" s="531"/>
      <c r="M1205" s="531" t="s">
        <v>1192</v>
      </c>
      <c r="N1205" s="711">
        <v>65028</v>
      </c>
      <c r="O1205" s="541">
        <v>65028</v>
      </c>
      <c r="P1205" s="459">
        <v>65043</v>
      </c>
      <c r="Q1205" s="459" t="s">
        <v>51</v>
      </c>
    </row>
    <row r="1206" spans="1:17">
      <c r="A1206" s="512">
        <f t="shared" si="11"/>
        <v>359</v>
      </c>
      <c r="B1206" s="531" t="s">
        <v>524</v>
      </c>
      <c r="C1206" s="531" t="s">
        <v>44</v>
      </c>
      <c r="D1206" s="531" t="s">
        <v>449</v>
      </c>
      <c r="E1206" s="554" t="s">
        <v>1673</v>
      </c>
      <c r="F1206" s="555" t="s">
        <v>441</v>
      </c>
      <c r="G1206" s="531">
        <v>9857825143</v>
      </c>
      <c r="H1206" s="533"/>
      <c r="I1206" s="555">
        <v>35</v>
      </c>
      <c r="J1206" s="531" t="s">
        <v>404</v>
      </c>
      <c r="K1206" s="531" t="s">
        <v>709</v>
      </c>
      <c r="L1206" s="531"/>
      <c r="M1206" s="531" t="s">
        <v>1192</v>
      </c>
      <c r="N1206" s="711">
        <v>65028</v>
      </c>
      <c r="O1206" s="541">
        <v>65028</v>
      </c>
      <c r="P1206" s="459">
        <v>65043</v>
      </c>
      <c r="Q1206" s="459" t="s">
        <v>51</v>
      </c>
    </row>
    <row r="1207" spans="1:17">
      <c r="A1207" s="512">
        <f t="shared" si="11"/>
        <v>360</v>
      </c>
      <c r="B1207" s="531" t="s">
        <v>524</v>
      </c>
      <c r="C1207" s="531" t="s">
        <v>44</v>
      </c>
      <c r="D1207" s="531" t="s">
        <v>449</v>
      </c>
      <c r="E1207" s="554" t="s">
        <v>1492</v>
      </c>
      <c r="F1207" s="555" t="s">
        <v>441</v>
      </c>
      <c r="G1207" s="531">
        <v>9847932662</v>
      </c>
      <c r="H1207" s="533"/>
      <c r="I1207" s="555">
        <v>60</v>
      </c>
      <c r="J1207" s="531" t="s">
        <v>90</v>
      </c>
      <c r="K1207" s="531" t="s">
        <v>709</v>
      </c>
      <c r="L1207" s="531"/>
      <c r="M1207" s="531" t="s">
        <v>1192</v>
      </c>
      <c r="N1207" s="711">
        <v>65028</v>
      </c>
      <c r="O1207" s="541">
        <v>65028</v>
      </c>
      <c r="P1207" s="459">
        <v>65043</v>
      </c>
      <c r="Q1207" s="459" t="s">
        <v>51</v>
      </c>
    </row>
    <row r="1208" spans="1:17">
      <c r="A1208" s="512">
        <f t="shared" si="11"/>
        <v>361</v>
      </c>
      <c r="B1208" s="531" t="s">
        <v>524</v>
      </c>
      <c r="C1208" s="531" t="s">
        <v>44</v>
      </c>
      <c r="D1208" s="531" t="s">
        <v>449</v>
      </c>
      <c r="E1208" s="554" t="s">
        <v>1709</v>
      </c>
      <c r="F1208" s="555" t="s">
        <v>1739</v>
      </c>
      <c r="G1208" s="531">
        <v>9847834396</v>
      </c>
      <c r="H1208" s="533"/>
      <c r="I1208" s="555">
        <v>38</v>
      </c>
      <c r="J1208" s="531" t="s">
        <v>90</v>
      </c>
      <c r="K1208" s="531" t="s">
        <v>1710</v>
      </c>
      <c r="L1208" s="531"/>
      <c r="M1208" s="575"/>
      <c r="N1208" s="752">
        <v>65028</v>
      </c>
      <c r="O1208" s="600">
        <v>65028</v>
      </c>
      <c r="P1208" s="459">
        <v>65043</v>
      </c>
      <c r="Q1208" s="459" t="s">
        <v>51</v>
      </c>
    </row>
    <row r="1209" spans="1:17">
      <c r="A1209" s="512">
        <f t="shared" si="11"/>
        <v>362</v>
      </c>
      <c r="B1209" s="531" t="s">
        <v>524</v>
      </c>
      <c r="C1209" s="531" t="s">
        <v>44</v>
      </c>
      <c r="D1209" s="531" t="s">
        <v>449</v>
      </c>
      <c r="E1209" s="554" t="s">
        <v>1663</v>
      </c>
      <c r="F1209" s="555" t="s">
        <v>1046</v>
      </c>
      <c r="G1209" s="531">
        <v>9865546444</v>
      </c>
      <c r="H1209" s="533"/>
      <c r="I1209" s="555">
        <v>31</v>
      </c>
      <c r="J1209" s="531" t="s">
        <v>404</v>
      </c>
      <c r="K1209" s="531" t="s">
        <v>709</v>
      </c>
      <c r="L1209" s="531"/>
      <c r="M1209" s="531" t="s">
        <v>1192</v>
      </c>
      <c r="N1209" s="711">
        <v>65028</v>
      </c>
      <c r="O1209" s="541">
        <v>65028</v>
      </c>
      <c r="P1209" s="459">
        <v>65043</v>
      </c>
      <c r="Q1209" s="459" t="s">
        <v>51</v>
      </c>
    </row>
    <row r="1210" spans="1:17">
      <c r="A1210" s="512">
        <f t="shared" si="11"/>
        <v>363</v>
      </c>
      <c r="B1210" s="531" t="s">
        <v>524</v>
      </c>
      <c r="C1210" s="531" t="s">
        <v>44</v>
      </c>
      <c r="D1210" s="531" t="s">
        <v>449</v>
      </c>
      <c r="E1210" s="554" t="s">
        <v>1686</v>
      </c>
      <c r="F1210" s="555" t="s">
        <v>491</v>
      </c>
      <c r="G1210" s="531">
        <v>9857824282</v>
      </c>
      <c r="H1210" s="533"/>
      <c r="I1210" s="555">
        <v>57</v>
      </c>
      <c r="J1210" s="531" t="s">
        <v>404</v>
      </c>
      <c r="K1210" s="531" t="s">
        <v>1193</v>
      </c>
      <c r="L1210" s="531"/>
      <c r="M1210" s="531" t="s">
        <v>1192</v>
      </c>
      <c r="N1210" s="711">
        <v>65028</v>
      </c>
      <c r="O1210" s="541">
        <v>65028</v>
      </c>
      <c r="P1210" s="459">
        <v>65043</v>
      </c>
      <c r="Q1210" s="459" t="s">
        <v>51</v>
      </c>
    </row>
    <row r="1211" spans="1:17">
      <c r="A1211" s="512">
        <f t="shared" si="11"/>
        <v>364</v>
      </c>
      <c r="B1211" s="531" t="s">
        <v>524</v>
      </c>
      <c r="C1211" s="531" t="s">
        <v>44</v>
      </c>
      <c r="D1211" s="531" t="s">
        <v>449</v>
      </c>
      <c r="E1211" s="554" t="s">
        <v>1642</v>
      </c>
      <c r="F1211" s="555" t="s">
        <v>502</v>
      </c>
      <c r="G1211" s="531">
        <v>9857823848</v>
      </c>
      <c r="H1211" s="533"/>
      <c r="I1211" s="555">
        <v>52</v>
      </c>
      <c r="J1211" s="531" t="s">
        <v>404</v>
      </c>
      <c r="K1211" s="531" t="s">
        <v>709</v>
      </c>
      <c r="L1211" s="531"/>
      <c r="M1211" s="531" t="s">
        <v>1192</v>
      </c>
      <c r="N1211" s="711">
        <v>65028</v>
      </c>
      <c r="O1211" s="541">
        <v>65028</v>
      </c>
      <c r="P1211" s="459">
        <v>65043</v>
      </c>
      <c r="Q1211" s="459" t="s">
        <v>51</v>
      </c>
    </row>
    <row r="1212" spans="1:17">
      <c r="A1212" s="512">
        <f t="shared" si="11"/>
        <v>365</v>
      </c>
      <c r="B1212" s="531" t="s">
        <v>524</v>
      </c>
      <c r="C1212" s="531" t="s">
        <v>44</v>
      </c>
      <c r="D1212" s="531" t="s">
        <v>449</v>
      </c>
      <c r="E1212" s="554" t="s">
        <v>1647</v>
      </c>
      <c r="F1212" s="555" t="s">
        <v>1008</v>
      </c>
      <c r="G1212" s="531">
        <v>9846336045</v>
      </c>
      <c r="H1212" s="533"/>
      <c r="I1212" s="555">
        <v>57</v>
      </c>
      <c r="J1212" s="531" t="s">
        <v>404</v>
      </c>
      <c r="K1212" s="531" t="s">
        <v>709</v>
      </c>
      <c r="L1212" s="531"/>
      <c r="M1212" s="531" t="s">
        <v>1192</v>
      </c>
      <c r="N1212" s="711">
        <v>65028</v>
      </c>
      <c r="O1212" s="541">
        <v>65028</v>
      </c>
      <c r="P1212" s="459">
        <v>65043</v>
      </c>
      <c r="Q1212" s="459" t="s">
        <v>51</v>
      </c>
    </row>
    <row r="1213" spans="1:17">
      <c r="A1213" s="512">
        <f t="shared" si="11"/>
        <v>366</v>
      </c>
      <c r="B1213" s="531" t="s">
        <v>524</v>
      </c>
      <c r="C1213" s="531" t="s">
        <v>44</v>
      </c>
      <c r="D1213" s="531" t="s">
        <v>449</v>
      </c>
      <c r="E1213" s="554" t="s">
        <v>1665</v>
      </c>
      <c r="F1213" s="555" t="s">
        <v>488</v>
      </c>
      <c r="G1213" s="531">
        <v>9847989873</v>
      </c>
      <c r="H1213" s="533"/>
      <c r="I1213" s="555">
        <v>47</v>
      </c>
      <c r="J1213" s="531" t="s">
        <v>404</v>
      </c>
      <c r="K1213" s="531" t="s">
        <v>709</v>
      </c>
      <c r="L1213" s="531"/>
      <c r="M1213" s="531" t="s">
        <v>1192</v>
      </c>
      <c r="N1213" s="711">
        <v>65028</v>
      </c>
      <c r="O1213" s="541">
        <v>65028</v>
      </c>
      <c r="P1213" s="459">
        <v>65043</v>
      </c>
      <c r="Q1213" s="459" t="s">
        <v>51</v>
      </c>
    </row>
    <row r="1214" spans="1:17">
      <c r="A1214" s="512">
        <f t="shared" si="11"/>
        <v>367</v>
      </c>
      <c r="B1214" s="531" t="s">
        <v>524</v>
      </c>
      <c r="C1214" s="531" t="s">
        <v>44</v>
      </c>
      <c r="D1214" s="531" t="s">
        <v>449</v>
      </c>
      <c r="E1214" s="554" t="s">
        <v>1621</v>
      </c>
      <c r="F1214" s="555" t="s">
        <v>124</v>
      </c>
      <c r="G1214" s="531">
        <v>9844977833</v>
      </c>
      <c r="H1214" s="533"/>
      <c r="I1214" s="555">
        <v>25</v>
      </c>
      <c r="J1214" s="531" t="s">
        <v>404</v>
      </c>
      <c r="K1214" s="531" t="s">
        <v>1193</v>
      </c>
      <c r="L1214" s="531"/>
      <c r="M1214" s="531" t="s">
        <v>1192</v>
      </c>
      <c r="N1214" s="711">
        <v>65028</v>
      </c>
      <c r="O1214" s="541">
        <v>65028</v>
      </c>
      <c r="P1214" s="459">
        <v>65043</v>
      </c>
      <c r="Q1214" s="459" t="s">
        <v>51</v>
      </c>
    </row>
    <row r="1215" spans="1:17">
      <c r="A1215" s="512">
        <f t="shared" si="11"/>
        <v>368</v>
      </c>
      <c r="B1215" s="531" t="s">
        <v>524</v>
      </c>
      <c r="C1215" s="531" t="s">
        <v>44</v>
      </c>
      <c r="D1215" s="531" t="s">
        <v>449</v>
      </c>
      <c r="E1215" s="554" t="s">
        <v>1661</v>
      </c>
      <c r="F1215" s="555" t="s">
        <v>557</v>
      </c>
      <c r="G1215" s="531">
        <v>9822889156</v>
      </c>
      <c r="H1215" s="533"/>
      <c r="I1215" s="555">
        <v>30</v>
      </c>
      <c r="J1215" s="531" t="s">
        <v>404</v>
      </c>
      <c r="K1215" s="531" t="s">
        <v>709</v>
      </c>
      <c r="L1215" s="531"/>
      <c r="M1215" s="531" t="s">
        <v>1192</v>
      </c>
      <c r="N1215" s="711">
        <v>65028</v>
      </c>
      <c r="O1215" s="541">
        <v>65028</v>
      </c>
      <c r="P1215" s="459">
        <v>65043</v>
      </c>
      <c r="Q1215" s="459" t="s">
        <v>51</v>
      </c>
    </row>
    <row r="1216" spans="1:17">
      <c r="A1216" s="512">
        <f t="shared" si="11"/>
        <v>369</v>
      </c>
      <c r="B1216" s="531" t="s">
        <v>524</v>
      </c>
      <c r="C1216" s="531" t="s">
        <v>44</v>
      </c>
      <c r="D1216" s="531" t="s">
        <v>449</v>
      </c>
      <c r="E1216" s="554" t="s">
        <v>1649</v>
      </c>
      <c r="F1216" s="555" t="s">
        <v>529</v>
      </c>
      <c r="G1216" s="531">
        <v>9748516997</v>
      </c>
      <c r="H1216" s="533"/>
      <c r="I1216" s="555">
        <v>39</v>
      </c>
      <c r="J1216" s="531" t="s">
        <v>90</v>
      </c>
      <c r="K1216" s="531" t="s">
        <v>709</v>
      </c>
      <c r="L1216" s="531"/>
      <c r="M1216" s="531" t="s">
        <v>1192</v>
      </c>
      <c r="N1216" s="711">
        <v>65028</v>
      </c>
      <c r="O1216" s="541">
        <v>65028</v>
      </c>
      <c r="P1216" s="459">
        <v>65043</v>
      </c>
      <c r="Q1216" s="459" t="s">
        <v>51</v>
      </c>
    </row>
    <row r="1217" spans="1:17">
      <c r="A1217" s="512">
        <f t="shared" si="11"/>
        <v>370</v>
      </c>
      <c r="B1217" s="531" t="s">
        <v>524</v>
      </c>
      <c r="C1217" s="531" t="s">
        <v>44</v>
      </c>
      <c r="D1217" s="531" t="s">
        <v>449</v>
      </c>
      <c r="E1217" s="554" t="s">
        <v>1683</v>
      </c>
      <c r="F1217" s="555" t="s">
        <v>491</v>
      </c>
      <c r="G1217" s="531">
        <v>9847846432</v>
      </c>
      <c r="H1217" s="533"/>
      <c r="I1217" s="555">
        <v>50</v>
      </c>
      <c r="J1217" s="531" t="s">
        <v>404</v>
      </c>
      <c r="K1217" s="531" t="s">
        <v>1193</v>
      </c>
      <c r="L1217" s="531"/>
      <c r="M1217" s="531" t="s">
        <v>1192</v>
      </c>
      <c r="N1217" s="711">
        <v>65028</v>
      </c>
      <c r="O1217" s="541">
        <v>65028</v>
      </c>
      <c r="P1217" s="459">
        <v>65043</v>
      </c>
      <c r="Q1217" s="459" t="s">
        <v>51</v>
      </c>
    </row>
    <row r="1218" spans="1:17">
      <c r="A1218" s="512">
        <f t="shared" si="11"/>
        <v>371</v>
      </c>
      <c r="B1218" s="531" t="s">
        <v>524</v>
      </c>
      <c r="C1218" s="531" t="s">
        <v>44</v>
      </c>
      <c r="D1218" s="531" t="s">
        <v>449</v>
      </c>
      <c r="E1218" s="554" t="s">
        <v>1711</v>
      </c>
      <c r="F1218" s="555" t="s">
        <v>1738</v>
      </c>
      <c r="G1218" s="531">
        <v>9809572500</v>
      </c>
      <c r="H1218" s="533"/>
      <c r="I1218" s="555">
        <v>84</v>
      </c>
      <c r="J1218" s="531" t="s">
        <v>90</v>
      </c>
      <c r="K1218" s="531" t="s">
        <v>1459</v>
      </c>
      <c r="L1218" s="531"/>
      <c r="M1218" s="560" t="s">
        <v>119</v>
      </c>
      <c r="N1218" s="752">
        <v>65028</v>
      </c>
      <c r="O1218" s="600">
        <v>65028</v>
      </c>
      <c r="P1218" s="459">
        <v>65043</v>
      </c>
      <c r="Q1218" s="459" t="s">
        <v>51</v>
      </c>
    </row>
    <row r="1219" spans="1:17">
      <c r="A1219" s="512">
        <f t="shared" si="11"/>
        <v>372</v>
      </c>
      <c r="B1219" s="531" t="s">
        <v>524</v>
      </c>
      <c r="C1219" s="531" t="s">
        <v>44</v>
      </c>
      <c r="D1219" s="531" t="s">
        <v>449</v>
      </c>
      <c r="E1219" s="554" t="s">
        <v>1631</v>
      </c>
      <c r="F1219" s="555" t="s">
        <v>1008</v>
      </c>
      <c r="G1219" s="531">
        <v>9822995115</v>
      </c>
      <c r="H1219" s="533"/>
      <c r="I1219" s="555">
        <v>34</v>
      </c>
      <c r="J1219" s="531" t="s">
        <v>404</v>
      </c>
      <c r="K1219" s="531" t="s">
        <v>1193</v>
      </c>
      <c r="L1219" s="531"/>
      <c r="M1219" s="531" t="s">
        <v>1192</v>
      </c>
      <c r="N1219" s="711">
        <v>65028</v>
      </c>
      <c r="O1219" s="541">
        <v>65028</v>
      </c>
      <c r="P1219" s="459">
        <v>65043</v>
      </c>
      <c r="Q1219" s="459" t="s">
        <v>51</v>
      </c>
    </row>
    <row r="1220" spans="1:17">
      <c r="A1220" s="512">
        <f t="shared" si="11"/>
        <v>373</v>
      </c>
      <c r="B1220" s="531" t="s">
        <v>524</v>
      </c>
      <c r="C1220" s="531" t="s">
        <v>44</v>
      </c>
      <c r="D1220" s="531" t="s">
        <v>449</v>
      </c>
      <c r="E1220" s="554" t="s">
        <v>283</v>
      </c>
      <c r="F1220" s="555" t="s">
        <v>491</v>
      </c>
      <c r="G1220" s="531">
        <v>9860259135</v>
      </c>
      <c r="H1220" s="533"/>
      <c r="I1220" s="555">
        <v>40</v>
      </c>
      <c r="J1220" s="531" t="s">
        <v>404</v>
      </c>
      <c r="K1220" s="531" t="s">
        <v>709</v>
      </c>
      <c r="L1220" s="531"/>
      <c r="M1220" s="531" t="s">
        <v>1192</v>
      </c>
      <c r="N1220" s="711">
        <v>65028</v>
      </c>
      <c r="O1220" s="541">
        <v>65028</v>
      </c>
      <c r="P1220" s="459">
        <v>65043</v>
      </c>
      <c r="Q1220" s="459" t="s">
        <v>51</v>
      </c>
    </row>
    <row r="1221" spans="1:17">
      <c r="A1221" s="512">
        <f t="shared" si="11"/>
        <v>374</v>
      </c>
      <c r="B1221" s="531" t="s">
        <v>524</v>
      </c>
      <c r="C1221" s="531" t="s">
        <v>44</v>
      </c>
      <c r="D1221" s="531" t="s">
        <v>449</v>
      </c>
      <c r="E1221" s="554" t="s">
        <v>1632</v>
      </c>
      <c r="F1221" s="555" t="s">
        <v>1008</v>
      </c>
      <c r="G1221" s="531">
        <v>9802053132</v>
      </c>
      <c r="H1221" s="533"/>
      <c r="I1221" s="555">
        <v>30</v>
      </c>
      <c r="J1221" s="531" t="s">
        <v>404</v>
      </c>
      <c r="K1221" s="531" t="s">
        <v>1193</v>
      </c>
      <c r="L1221" s="531"/>
      <c r="M1221" s="531" t="s">
        <v>1192</v>
      </c>
      <c r="N1221" s="711">
        <v>65028</v>
      </c>
      <c r="O1221" s="541">
        <v>65028</v>
      </c>
      <c r="P1221" s="459">
        <v>65043</v>
      </c>
      <c r="Q1221" s="459" t="s">
        <v>51</v>
      </c>
    </row>
    <row r="1222" spans="1:17">
      <c r="A1222" s="512">
        <f t="shared" si="11"/>
        <v>375</v>
      </c>
      <c r="B1222" s="531" t="s">
        <v>524</v>
      </c>
      <c r="C1222" s="531" t="s">
        <v>44</v>
      </c>
      <c r="D1222" s="531" t="s">
        <v>449</v>
      </c>
      <c r="E1222" s="554" t="s">
        <v>1674</v>
      </c>
      <c r="F1222" s="555" t="s">
        <v>491</v>
      </c>
      <c r="G1222" s="531">
        <v>9847877027</v>
      </c>
      <c r="H1222" s="533"/>
      <c r="I1222" s="555">
        <v>62</v>
      </c>
      <c r="J1222" s="531" t="s">
        <v>404</v>
      </c>
      <c r="K1222" s="531" t="s">
        <v>709</v>
      </c>
      <c r="L1222" s="531"/>
      <c r="M1222" s="531" t="s">
        <v>1192</v>
      </c>
      <c r="N1222" s="711">
        <v>65028</v>
      </c>
      <c r="O1222" s="541">
        <v>65028</v>
      </c>
      <c r="P1222" s="459">
        <v>65043</v>
      </c>
      <c r="Q1222" s="459" t="s">
        <v>51</v>
      </c>
    </row>
    <row r="1223" spans="1:17">
      <c r="A1223" s="512">
        <f t="shared" si="11"/>
        <v>376</v>
      </c>
      <c r="B1223" s="531" t="s">
        <v>524</v>
      </c>
      <c r="C1223" s="531" t="s">
        <v>44</v>
      </c>
      <c r="D1223" s="531" t="s">
        <v>449</v>
      </c>
      <c r="E1223" s="554" t="s">
        <v>1690</v>
      </c>
      <c r="F1223" s="555" t="s">
        <v>598</v>
      </c>
      <c r="G1223" s="531">
        <v>9847939200</v>
      </c>
      <c r="H1223" s="533"/>
      <c r="I1223" s="555">
        <v>39</v>
      </c>
      <c r="J1223" s="531" t="s">
        <v>90</v>
      </c>
      <c r="K1223" s="531" t="s">
        <v>1193</v>
      </c>
      <c r="L1223" s="531"/>
      <c r="M1223" s="531" t="s">
        <v>1192</v>
      </c>
      <c r="N1223" s="711">
        <v>65028</v>
      </c>
      <c r="O1223" s="541">
        <v>65028</v>
      </c>
      <c r="P1223" s="459">
        <v>65043</v>
      </c>
      <c r="Q1223" s="459" t="s">
        <v>51</v>
      </c>
    </row>
    <row r="1224" spans="1:17">
      <c r="A1224" s="512">
        <f t="shared" si="11"/>
        <v>377</v>
      </c>
      <c r="B1224" s="531" t="s">
        <v>524</v>
      </c>
      <c r="C1224" s="531" t="s">
        <v>44</v>
      </c>
      <c r="D1224" s="531" t="s">
        <v>449</v>
      </c>
      <c r="E1224" s="554" t="s">
        <v>1215</v>
      </c>
      <c r="F1224" s="555" t="s">
        <v>502</v>
      </c>
      <c r="G1224" s="531">
        <v>9866838475</v>
      </c>
      <c r="H1224" s="533"/>
      <c r="I1224" s="555">
        <v>27</v>
      </c>
      <c r="J1224" s="531" t="s">
        <v>90</v>
      </c>
      <c r="K1224" s="531" t="s">
        <v>709</v>
      </c>
      <c r="L1224" s="531"/>
      <c r="M1224" s="531" t="s">
        <v>1192</v>
      </c>
      <c r="N1224" s="711">
        <v>65028</v>
      </c>
      <c r="O1224" s="541">
        <v>65028</v>
      </c>
      <c r="P1224" s="459">
        <v>65043</v>
      </c>
      <c r="Q1224" s="459" t="s">
        <v>51</v>
      </c>
    </row>
    <row r="1225" spans="1:17">
      <c r="A1225" s="512">
        <f t="shared" si="11"/>
        <v>378</v>
      </c>
      <c r="B1225" s="531" t="s">
        <v>524</v>
      </c>
      <c r="C1225" s="531" t="s">
        <v>44</v>
      </c>
      <c r="D1225" s="531" t="s">
        <v>449</v>
      </c>
      <c r="E1225" s="554" t="s">
        <v>1633</v>
      </c>
      <c r="F1225" s="555" t="s">
        <v>1008</v>
      </c>
      <c r="G1225" s="531">
        <v>9848128047</v>
      </c>
      <c r="H1225" s="533"/>
      <c r="I1225" s="555">
        <v>40</v>
      </c>
      <c r="J1225" s="531" t="s">
        <v>404</v>
      </c>
      <c r="K1225" s="531" t="s">
        <v>1193</v>
      </c>
      <c r="L1225" s="531"/>
      <c r="M1225" s="531" t="s">
        <v>1192</v>
      </c>
      <c r="N1225" s="711">
        <v>65028</v>
      </c>
      <c r="O1225" s="541">
        <v>65028</v>
      </c>
      <c r="P1225" s="459">
        <v>65043</v>
      </c>
      <c r="Q1225" s="459" t="s">
        <v>51</v>
      </c>
    </row>
    <row r="1226" spans="1:17">
      <c r="A1226" s="512">
        <f t="shared" si="11"/>
        <v>379</v>
      </c>
      <c r="B1226" s="531" t="s">
        <v>524</v>
      </c>
      <c r="C1226" s="531" t="s">
        <v>44</v>
      </c>
      <c r="D1226" s="531" t="s">
        <v>449</v>
      </c>
      <c r="E1226" s="554" t="s">
        <v>1654</v>
      </c>
      <c r="F1226" s="555" t="s">
        <v>491</v>
      </c>
      <c r="G1226" s="531">
        <v>9848035783</v>
      </c>
      <c r="H1226" s="533"/>
      <c r="I1226" s="555">
        <v>46</v>
      </c>
      <c r="J1226" s="531" t="s">
        <v>90</v>
      </c>
      <c r="K1226" s="531" t="s">
        <v>709</v>
      </c>
      <c r="L1226" s="531"/>
      <c r="M1226" s="531" t="s">
        <v>1192</v>
      </c>
      <c r="N1226" s="711">
        <v>65028</v>
      </c>
      <c r="O1226" s="541">
        <v>65028</v>
      </c>
      <c r="P1226" s="459">
        <v>65043</v>
      </c>
      <c r="Q1226" s="459" t="s">
        <v>51</v>
      </c>
    </row>
    <row r="1227" spans="1:17">
      <c r="A1227" s="512">
        <f t="shared" si="11"/>
        <v>380</v>
      </c>
      <c r="B1227" s="531" t="s">
        <v>524</v>
      </c>
      <c r="C1227" s="531" t="s">
        <v>44</v>
      </c>
      <c r="D1227" s="531" t="s">
        <v>449</v>
      </c>
      <c r="E1227" s="554" t="s">
        <v>1643</v>
      </c>
      <c r="F1227" s="555" t="s">
        <v>730</v>
      </c>
      <c r="G1227" s="531">
        <v>9847875509</v>
      </c>
      <c r="H1227" s="533"/>
      <c r="I1227" s="555">
        <v>40</v>
      </c>
      <c r="J1227" s="531" t="s">
        <v>90</v>
      </c>
      <c r="K1227" s="531" t="s">
        <v>709</v>
      </c>
      <c r="L1227" s="531"/>
      <c r="M1227" s="531" t="s">
        <v>1192</v>
      </c>
      <c r="N1227" s="711">
        <v>65028</v>
      </c>
      <c r="O1227" s="541">
        <v>65028</v>
      </c>
      <c r="P1227" s="459">
        <v>65043</v>
      </c>
      <c r="Q1227" s="459" t="s">
        <v>51</v>
      </c>
    </row>
    <row r="1228" spans="1:17">
      <c r="A1228" s="512">
        <f t="shared" si="11"/>
        <v>381</v>
      </c>
      <c r="B1228" s="531" t="s">
        <v>524</v>
      </c>
      <c r="C1228" s="531" t="s">
        <v>44</v>
      </c>
      <c r="D1228" s="531" t="s">
        <v>449</v>
      </c>
      <c r="E1228" s="554" t="s">
        <v>1680</v>
      </c>
      <c r="F1228" s="555" t="s">
        <v>491</v>
      </c>
      <c r="G1228" s="531">
        <v>9828550641</v>
      </c>
      <c r="H1228" s="533"/>
      <c r="I1228" s="555">
        <v>46</v>
      </c>
      <c r="J1228" s="531" t="s">
        <v>404</v>
      </c>
      <c r="K1228" s="531" t="s">
        <v>709</v>
      </c>
      <c r="L1228" s="531"/>
      <c r="M1228" s="531" t="s">
        <v>1192</v>
      </c>
      <c r="N1228" s="711">
        <v>65028</v>
      </c>
      <c r="O1228" s="541">
        <v>65028</v>
      </c>
      <c r="P1228" s="459">
        <v>65043</v>
      </c>
      <c r="Q1228" s="459" t="s">
        <v>51</v>
      </c>
    </row>
    <row r="1229" spans="1:17">
      <c r="A1229" s="512">
        <f t="shared" si="11"/>
        <v>382</v>
      </c>
      <c r="B1229" s="531" t="s">
        <v>524</v>
      </c>
      <c r="C1229" s="531" t="s">
        <v>44</v>
      </c>
      <c r="D1229" s="531" t="s">
        <v>449</v>
      </c>
      <c r="E1229" s="554" t="s">
        <v>1655</v>
      </c>
      <c r="F1229" s="555" t="s">
        <v>491</v>
      </c>
      <c r="G1229" s="531">
        <v>9815594522</v>
      </c>
      <c r="H1229" s="533"/>
      <c r="I1229" s="555">
        <v>22</v>
      </c>
      <c r="J1229" s="531" t="s">
        <v>90</v>
      </c>
      <c r="K1229" s="531" t="s">
        <v>709</v>
      </c>
      <c r="L1229" s="531"/>
      <c r="M1229" s="531" t="s">
        <v>1192</v>
      </c>
      <c r="N1229" s="711">
        <v>65028</v>
      </c>
      <c r="O1229" s="541">
        <v>65028</v>
      </c>
      <c r="P1229" s="459">
        <v>65043</v>
      </c>
      <c r="Q1229" s="459" t="s">
        <v>51</v>
      </c>
    </row>
    <row r="1230" spans="1:17">
      <c r="A1230" s="512">
        <f t="shared" si="11"/>
        <v>383</v>
      </c>
      <c r="B1230" s="531" t="s">
        <v>524</v>
      </c>
      <c r="C1230" s="531" t="s">
        <v>44</v>
      </c>
      <c r="D1230" s="531" t="s">
        <v>449</v>
      </c>
      <c r="E1230" s="564" t="s">
        <v>1753</v>
      </c>
      <c r="F1230" s="601" t="s">
        <v>124</v>
      </c>
      <c r="G1230" s="601">
        <v>9847956412</v>
      </c>
      <c r="H1230" s="533"/>
      <c r="I1230" s="601">
        <v>56</v>
      </c>
      <c r="J1230" s="531" t="s">
        <v>48</v>
      </c>
      <c r="K1230" s="531" t="s">
        <v>1763</v>
      </c>
      <c r="L1230" s="531"/>
      <c r="M1230" s="560" t="s">
        <v>1764</v>
      </c>
      <c r="N1230" s="711">
        <v>65028</v>
      </c>
      <c r="O1230" s="541">
        <v>65028</v>
      </c>
      <c r="P1230" s="459">
        <v>65043</v>
      </c>
      <c r="Q1230" s="459" t="s">
        <v>51</v>
      </c>
    </row>
    <row r="1231" spans="1:17">
      <c r="A1231" s="512">
        <f t="shared" si="11"/>
        <v>384</v>
      </c>
      <c r="B1231" s="531" t="s">
        <v>524</v>
      </c>
      <c r="C1231" s="531" t="s">
        <v>44</v>
      </c>
      <c r="D1231" s="531" t="s">
        <v>449</v>
      </c>
      <c r="E1231" s="554" t="s">
        <v>1662</v>
      </c>
      <c r="F1231" s="555" t="s">
        <v>502</v>
      </c>
      <c r="G1231" s="531">
        <v>9868663063</v>
      </c>
      <c r="H1231" s="533"/>
      <c r="I1231" s="555">
        <v>39</v>
      </c>
      <c r="J1231" s="531" t="s">
        <v>404</v>
      </c>
      <c r="K1231" s="531" t="s">
        <v>709</v>
      </c>
      <c r="L1231" s="531"/>
      <c r="M1231" s="531" t="s">
        <v>1192</v>
      </c>
      <c r="N1231" s="711">
        <v>65028</v>
      </c>
      <c r="O1231" s="541">
        <v>65028</v>
      </c>
      <c r="P1231" s="459">
        <v>65043</v>
      </c>
      <c r="Q1231" s="459" t="s">
        <v>51</v>
      </c>
    </row>
    <row r="1232" spans="1:17">
      <c r="A1232" s="512">
        <f t="shared" si="11"/>
        <v>385</v>
      </c>
      <c r="B1232" s="531" t="s">
        <v>524</v>
      </c>
      <c r="C1232" s="531" t="s">
        <v>44</v>
      </c>
      <c r="D1232" s="531" t="s">
        <v>449</v>
      </c>
      <c r="E1232" s="554" t="s">
        <v>1671</v>
      </c>
      <c r="F1232" s="555" t="s">
        <v>1046</v>
      </c>
      <c r="G1232" s="531">
        <v>9806288166</v>
      </c>
      <c r="H1232" s="533"/>
      <c r="I1232" s="555">
        <v>29</v>
      </c>
      <c r="J1232" s="531" t="s">
        <v>404</v>
      </c>
      <c r="K1232" s="531" t="s">
        <v>709</v>
      </c>
      <c r="L1232" s="531"/>
      <c r="M1232" s="531" t="s">
        <v>1192</v>
      </c>
      <c r="N1232" s="711">
        <v>65028</v>
      </c>
      <c r="O1232" s="541">
        <v>65028</v>
      </c>
      <c r="P1232" s="459">
        <v>65043</v>
      </c>
      <c r="Q1232" s="459" t="s">
        <v>51</v>
      </c>
    </row>
    <row r="1233" spans="1:31">
      <c r="A1233" s="512">
        <f t="shared" si="11"/>
        <v>386</v>
      </c>
      <c r="B1233" s="531" t="s">
        <v>524</v>
      </c>
      <c r="C1233" s="531" t="s">
        <v>44</v>
      </c>
      <c r="D1233" s="531" t="s">
        <v>449</v>
      </c>
      <c r="E1233" s="554" t="s">
        <v>1618</v>
      </c>
      <c r="F1233" s="555" t="s">
        <v>529</v>
      </c>
      <c r="G1233" s="531">
        <v>9866977628</v>
      </c>
      <c r="H1233" s="533"/>
      <c r="I1233" s="555">
        <v>57</v>
      </c>
      <c r="J1233" s="531" t="s">
        <v>404</v>
      </c>
      <c r="K1233" s="531" t="s">
        <v>1193</v>
      </c>
      <c r="L1233" s="531"/>
      <c r="M1233" s="531" t="s">
        <v>1192</v>
      </c>
      <c r="N1233" s="711">
        <v>65028</v>
      </c>
      <c r="O1233" s="541">
        <v>65028</v>
      </c>
      <c r="P1233" s="459">
        <v>65043</v>
      </c>
      <c r="Q1233" s="459" t="s">
        <v>51</v>
      </c>
    </row>
    <row r="1234" spans="1:31">
      <c r="A1234" s="512">
        <f t="shared" ref="A1234:A1297" si="12">A1233+1</f>
        <v>387</v>
      </c>
      <c r="B1234" s="531" t="s">
        <v>524</v>
      </c>
      <c r="C1234" s="531" t="s">
        <v>44</v>
      </c>
      <c r="D1234" s="531" t="s">
        <v>449</v>
      </c>
      <c r="E1234" s="554" t="s">
        <v>1917</v>
      </c>
      <c r="F1234" s="555" t="s">
        <v>730</v>
      </c>
      <c r="G1234" s="531">
        <v>9857834017</v>
      </c>
      <c r="H1234" s="533"/>
      <c r="I1234" s="555">
        <v>50</v>
      </c>
      <c r="J1234" s="531" t="s">
        <v>90</v>
      </c>
      <c r="K1234" s="531" t="s">
        <v>1193</v>
      </c>
      <c r="L1234" s="531"/>
      <c r="M1234" s="531" t="s">
        <v>1192</v>
      </c>
      <c r="N1234" s="711">
        <v>65028</v>
      </c>
      <c r="O1234" s="541">
        <v>65028</v>
      </c>
      <c r="P1234" s="459">
        <v>65043</v>
      </c>
      <c r="Q1234" s="459" t="s">
        <v>51</v>
      </c>
    </row>
    <row r="1235" spans="1:31">
      <c r="A1235" s="512">
        <f t="shared" si="12"/>
        <v>388</v>
      </c>
      <c r="B1235" s="531" t="s">
        <v>524</v>
      </c>
      <c r="C1235" s="531" t="s">
        <v>44</v>
      </c>
      <c r="D1235" s="531" t="s">
        <v>449</v>
      </c>
      <c r="E1235" s="554" t="s">
        <v>1917</v>
      </c>
      <c r="F1235" s="555" t="s">
        <v>1046</v>
      </c>
      <c r="G1235" s="531">
        <v>9847943150</v>
      </c>
      <c r="H1235" s="533"/>
      <c r="I1235" s="555">
        <v>32</v>
      </c>
      <c r="J1235" s="531" t="s">
        <v>404</v>
      </c>
      <c r="K1235" s="531" t="s">
        <v>1193</v>
      </c>
      <c r="L1235" s="531"/>
      <c r="M1235" s="531" t="s">
        <v>1192</v>
      </c>
      <c r="N1235" s="711">
        <v>65028</v>
      </c>
      <c r="O1235" s="541">
        <v>65028</v>
      </c>
      <c r="P1235" s="459">
        <v>65043</v>
      </c>
      <c r="Q1235" s="459" t="s">
        <v>51</v>
      </c>
    </row>
    <row r="1236" spans="1:31">
      <c r="A1236" s="512">
        <f t="shared" si="12"/>
        <v>389</v>
      </c>
      <c r="B1236" s="531" t="s">
        <v>524</v>
      </c>
      <c r="C1236" s="531" t="s">
        <v>44</v>
      </c>
      <c r="D1236" s="531" t="s">
        <v>449</v>
      </c>
      <c r="E1236" s="554" t="s">
        <v>1641</v>
      </c>
      <c r="F1236" s="555" t="s">
        <v>502</v>
      </c>
      <c r="G1236" s="531">
        <v>9857823848</v>
      </c>
      <c r="H1236" s="533"/>
      <c r="I1236" s="555">
        <v>50</v>
      </c>
      <c r="J1236" s="531" t="s">
        <v>90</v>
      </c>
      <c r="K1236" s="531" t="s">
        <v>709</v>
      </c>
      <c r="L1236" s="531"/>
      <c r="M1236" s="531" t="s">
        <v>1192</v>
      </c>
      <c r="N1236" s="711">
        <v>65028</v>
      </c>
      <c r="O1236" s="541">
        <v>65028</v>
      </c>
      <c r="P1236" s="459">
        <v>65043</v>
      </c>
      <c r="Q1236" s="459" t="s">
        <v>51</v>
      </c>
    </row>
    <row r="1237" spans="1:31">
      <c r="A1237" s="512">
        <f t="shared" si="12"/>
        <v>390</v>
      </c>
      <c r="B1237" s="531" t="s">
        <v>524</v>
      </c>
      <c r="C1237" s="531" t="s">
        <v>44</v>
      </c>
      <c r="D1237" s="531" t="s">
        <v>449</v>
      </c>
      <c r="E1237" s="554" t="s">
        <v>1676</v>
      </c>
      <c r="F1237" s="555" t="s">
        <v>502</v>
      </c>
      <c r="G1237" s="531">
        <v>9812835558</v>
      </c>
      <c r="H1237" s="533"/>
      <c r="I1237" s="555">
        <v>25</v>
      </c>
      <c r="J1237" s="531" t="s">
        <v>90</v>
      </c>
      <c r="K1237" s="531" t="s">
        <v>709</v>
      </c>
      <c r="L1237" s="531"/>
      <c r="M1237" s="531" t="s">
        <v>1192</v>
      </c>
      <c r="N1237" s="711">
        <v>65028</v>
      </c>
      <c r="O1237" s="541">
        <v>65028</v>
      </c>
      <c r="P1237" s="459">
        <v>65043</v>
      </c>
      <c r="Q1237" s="459" t="s">
        <v>51</v>
      </c>
    </row>
    <row r="1238" spans="1:31">
      <c r="A1238" s="512">
        <f t="shared" si="12"/>
        <v>391</v>
      </c>
      <c r="B1238" s="531" t="s">
        <v>524</v>
      </c>
      <c r="C1238" s="531" t="s">
        <v>44</v>
      </c>
      <c r="D1238" s="531" t="s">
        <v>449</v>
      </c>
      <c r="E1238" s="554" t="s">
        <v>1712</v>
      </c>
      <c r="F1238" s="555" t="s">
        <v>1741</v>
      </c>
      <c r="G1238" s="531">
        <v>9848036031</v>
      </c>
      <c r="H1238" s="533"/>
      <c r="I1238" s="555">
        <v>59</v>
      </c>
      <c r="J1238" s="531" t="s">
        <v>90</v>
      </c>
      <c r="K1238" s="531" t="s">
        <v>1480</v>
      </c>
      <c r="L1238" s="531"/>
      <c r="M1238" s="560" t="s">
        <v>119</v>
      </c>
      <c r="N1238" s="752">
        <v>65028</v>
      </c>
      <c r="O1238" s="600">
        <v>65028</v>
      </c>
      <c r="P1238" s="459">
        <v>65043</v>
      </c>
      <c r="Q1238" s="459" t="s">
        <v>51</v>
      </c>
    </row>
    <row r="1239" spans="1:31">
      <c r="A1239" s="512">
        <f t="shared" si="12"/>
        <v>392</v>
      </c>
      <c r="B1239" s="531" t="s">
        <v>524</v>
      </c>
      <c r="C1239" s="531" t="s">
        <v>44</v>
      </c>
      <c r="D1239" s="531" t="s">
        <v>449</v>
      </c>
      <c r="E1239" s="554" t="s">
        <v>1613</v>
      </c>
      <c r="F1239" s="555" t="s">
        <v>124</v>
      </c>
      <c r="G1239" s="531">
        <v>9847940951</v>
      </c>
      <c r="H1239" s="533"/>
      <c r="I1239" s="555">
        <v>39</v>
      </c>
      <c r="J1239" s="531" t="s">
        <v>90</v>
      </c>
      <c r="K1239" s="531" t="s">
        <v>1193</v>
      </c>
      <c r="L1239" s="531"/>
      <c r="M1239" s="531" t="s">
        <v>1192</v>
      </c>
      <c r="N1239" s="711">
        <v>65028</v>
      </c>
      <c r="O1239" s="541">
        <v>65028</v>
      </c>
      <c r="P1239" s="459">
        <v>65043</v>
      </c>
      <c r="Q1239" s="459" t="s">
        <v>51</v>
      </c>
    </row>
    <row r="1240" spans="1:31">
      <c r="A1240" s="512">
        <f t="shared" si="12"/>
        <v>393</v>
      </c>
      <c r="B1240" s="531" t="s">
        <v>524</v>
      </c>
      <c r="C1240" s="531" t="s">
        <v>44</v>
      </c>
      <c r="D1240" s="531" t="s">
        <v>449</v>
      </c>
      <c r="E1240" s="554" t="s">
        <v>1660</v>
      </c>
      <c r="F1240" s="555" t="s">
        <v>791</v>
      </c>
      <c r="G1240" s="531">
        <v>9809888705</v>
      </c>
      <c r="H1240" s="533"/>
      <c r="I1240" s="555">
        <v>24</v>
      </c>
      <c r="J1240" s="531" t="s">
        <v>404</v>
      </c>
      <c r="K1240" s="531" t="s">
        <v>709</v>
      </c>
      <c r="L1240" s="531"/>
      <c r="M1240" s="531" t="s">
        <v>1192</v>
      </c>
      <c r="N1240" s="711">
        <v>65028</v>
      </c>
      <c r="O1240" s="541">
        <v>65028</v>
      </c>
      <c r="P1240" s="459">
        <v>65043</v>
      </c>
      <c r="Q1240" s="459" t="s">
        <v>51</v>
      </c>
    </row>
    <row r="1241" spans="1:31">
      <c r="A1241" s="512">
        <f t="shared" si="12"/>
        <v>394</v>
      </c>
      <c r="B1241" s="531" t="s">
        <v>524</v>
      </c>
      <c r="C1241" s="531" t="s">
        <v>44</v>
      </c>
      <c r="D1241" s="531" t="s">
        <v>449</v>
      </c>
      <c r="E1241" s="554" t="s">
        <v>1713</v>
      </c>
      <c r="F1241" s="555" t="s">
        <v>1741</v>
      </c>
      <c r="G1241" s="531">
        <v>9848036031</v>
      </c>
      <c r="H1241" s="533"/>
      <c r="I1241" s="555">
        <v>63</v>
      </c>
      <c r="J1241" s="531" t="s">
        <v>48</v>
      </c>
      <c r="K1241" s="531" t="s">
        <v>1480</v>
      </c>
      <c r="L1241" s="531"/>
      <c r="M1241" s="560" t="s">
        <v>119</v>
      </c>
      <c r="N1241" s="752">
        <v>65028</v>
      </c>
      <c r="O1241" s="600">
        <v>65028</v>
      </c>
      <c r="P1241" s="459">
        <v>65043</v>
      </c>
      <c r="Q1241" s="459" t="s">
        <v>51</v>
      </c>
    </row>
    <row r="1242" spans="1:31">
      <c r="A1242" s="512">
        <f t="shared" si="12"/>
        <v>395</v>
      </c>
      <c r="B1242" s="531" t="s">
        <v>524</v>
      </c>
      <c r="C1242" s="531" t="s">
        <v>44</v>
      </c>
      <c r="D1242" s="531" t="s">
        <v>449</v>
      </c>
      <c r="E1242" s="554" t="s">
        <v>1628</v>
      </c>
      <c r="F1242" s="555" t="s">
        <v>1008</v>
      </c>
      <c r="G1242" s="531">
        <v>9802053044</v>
      </c>
      <c r="H1242" s="533"/>
      <c r="I1242" s="555">
        <v>28</v>
      </c>
      <c r="J1242" s="531" t="s">
        <v>404</v>
      </c>
      <c r="K1242" s="531" t="s">
        <v>1193</v>
      </c>
      <c r="L1242" s="531"/>
      <c r="M1242" s="531" t="s">
        <v>1192</v>
      </c>
      <c r="N1242" s="711">
        <v>65028</v>
      </c>
      <c r="O1242" s="541">
        <v>65028</v>
      </c>
      <c r="P1242" s="459">
        <v>65043</v>
      </c>
      <c r="Q1242" s="459" t="s">
        <v>51</v>
      </c>
    </row>
    <row r="1243" spans="1:31">
      <c r="A1243" s="512">
        <f t="shared" si="12"/>
        <v>396</v>
      </c>
      <c r="B1243" s="531" t="s">
        <v>524</v>
      </c>
      <c r="C1243" s="531" t="s">
        <v>44</v>
      </c>
      <c r="D1243" s="531" t="s">
        <v>449</v>
      </c>
      <c r="E1243" s="554" t="s">
        <v>1714</v>
      </c>
      <c r="F1243" s="555" t="s">
        <v>1741</v>
      </c>
      <c r="G1243" s="531">
        <v>9810836225</v>
      </c>
      <c r="H1243" s="533"/>
      <c r="I1243" s="555">
        <v>34</v>
      </c>
      <c r="J1243" s="531" t="s">
        <v>48</v>
      </c>
      <c r="K1243" s="531" t="s">
        <v>1480</v>
      </c>
      <c r="L1243" s="531"/>
      <c r="M1243" s="560" t="s">
        <v>119</v>
      </c>
      <c r="N1243" s="752">
        <v>65028</v>
      </c>
      <c r="O1243" s="600">
        <v>65028</v>
      </c>
      <c r="P1243" s="459">
        <v>65043</v>
      </c>
      <c r="Q1243" s="459" t="s">
        <v>51</v>
      </c>
    </row>
    <row r="1244" spans="1:31">
      <c r="A1244" s="512">
        <f t="shared" si="12"/>
        <v>397</v>
      </c>
      <c r="B1244" s="531" t="s">
        <v>524</v>
      </c>
      <c r="C1244" s="531" t="s">
        <v>44</v>
      </c>
      <c r="D1244" s="531" t="s">
        <v>449</v>
      </c>
      <c r="E1244" s="554" t="s">
        <v>1638</v>
      </c>
      <c r="F1244" s="555" t="s">
        <v>1741</v>
      </c>
      <c r="G1244" s="531">
        <v>9802053309</v>
      </c>
      <c r="H1244" s="533"/>
      <c r="I1244" s="555">
        <v>32</v>
      </c>
      <c r="J1244" s="531" t="s">
        <v>48</v>
      </c>
      <c r="K1244" s="531" t="s">
        <v>1480</v>
      </c>
      <c r="L1244" s="531"/>
      <c r="M1244" s="560" t="s">
        <v>119</v>
      </c>
      <c r="N1244" s="752">
        <v>65028</v>
      </c>
      <c r="O1244" s="600">
        <v>65028</v>
      </c>
      <c r="P1244" s="459">
        <v>65043</v>
      </c>
      <c r="Q1244" s="459" t="s">
        <v>51</v>
      </c>
    </row>
    <row r="1245" spans="1:31">
      <c r="A1245" s="512">
        <f t="shared" si="12"/>
        <v>398</v>
      </c>
      <c r="B1245" s="531" t="s">
        <v>524</v>
      </c>
      <c r="C1245" s="531" t="s">
        <v>44</v>
      </c>
      <c r="D1245" s="531" t="s">
        <v>449</v>
      </c>
      <c r="E1245" s="554" t="s">
        <v>1693</v>
      </c>
      <c r="F1245" s="555" t="s">
        <v>441</v>
      </c>
      <c r="G1245" s="531">
        <v>9847824661</v>
      </c>
      <c r="H1245" s="533"/>
      <c r="I1245" s="555">
        <v>24</v>
      </c>
      <c r="J1245" s="531" t="s">
        <v>90</v>
      </c>
      <c r="K1245" s="531" t="s">
        <v>1193</v>
      </c>
      <c r="L1245" s="531"/>
      <c r="M1245" s="531" t="s">
        <v>1192</v>
      </c>
      <c r="N1245" s="711">
        <v>65028</v>
      </c>
      <c r="O1245" s="541">
        <v>65028</v>
      </c>
      <c r="P1245" s="459">
        <v>65043</v>
      </c>
      <c r="Q1245" s="459" t="s">
        <v>51</v>
      </c>
    </row>
    <row r="1246" spans="1:31">
      <c r="A1246" s="512">
        <f t="shared" si="12"/>
        <v>399</v>
      </c>
      <c r="B1246" s="531" t="s">
        <v>524</v>
      </c>
      <c r="C1246" s="531" t="s">
        <v>44</v>
      </c>
      <c r="D1246" s="531" t="s">
        <v>449</v>
      </c>
      <c r="E1246" s="554" t="s">
        <v>1670</v>
      </c>
      <c r="F1246" s="555" t="s">
        <v>598</v>
      </c>
      <c r="G1246" s="531">
        <v>9810875650</v>
      </c>
      <c r="H1246" s="533"/>
      <c r="I1246" s="555">
        <v>32</v>
      </c>
      <c r="J1246" s="531" t="s">
        <v>404</v>
      </c>
      <c r="K1246" s="531" t="s">
        <v>709</v>
      </c>
      <c r="L1246" s="531"/>
      <c r="M1246" s="531" t="s">
        <v>1192</v>
      </c>
      <c r="N1246" s="711">
        <v>65028</v>
      </c>
      <c r="O1246" s="541">
        <v>65028</v>
      </c>
      <c r="P1246" s="459">
        <v>65043</v>
      </c>
      <c r="Q1246" s="459" t="s">
        <v>51</v>
      </c>
    </row>
    <row r="1247" spans="1:31">
      <c r="A1247" s="512">
        <f t="shared" si="12"/>
        <v>400</v>
      </c>
      <c r="B1247" s="531" t="s">
        <v>524</v>
      </c>
      <c r="C1247" s="531" t="s">
        <v>44</v>
      </c>
      <c r="D1247" s="531" t="s">
        <v>449</v>
      </c>
      <c r="E1247" s="554" t="s">
        <v>1635</v>
      </c>
      <c r="F1247" s="555" t="s">
        <v>1008</v>
      </c>
      <c r="G1247" s="531">
        <v>9812885688</v>
      </c>
      <c r="H1247" s="533"/>
      <c r="I1247" s="555">
        <v>26</v>
      </c>
      <c r="J1247" s="531" t="s">
        <v>404</v>
      </c>
      <c r="K1247" s="531" t="s">
        <v>1193</v>
      </c>
      <c r="L1247" s="531"/>
      <c r="M1247" s="531" t="s">
        <v>1192</v>
      </c>
      <c r="N1247" s="711">
        <v>65028</v>
      </c>
      <c r="O1247" s="541">
        <v>65028</v>
      </c>
      <c r="P1247" s="459">
        <v>65043</v>
      </c>
      <c r="Q1247" s="459" t="s">
        <v>51</v>
      </c>
    </row>
    <row r="1248" spans="1:31" s="326" customFormat="1">
      <c r="A1248" s="512">
        <f t="shared" si="12"/>
        <v>401</v>
      </c>
      <c r="B1248" s="531" t="s">
        <v>524</v>
      </c>
      <c r="C1248" s="531" t="s">
        <v>44</v>
      </c>
      <c r="D1248" s="531" t="s">
        <v>449</v>
      </c>
      <c r="E1248" s="554" t="s">
        <v>1677</v>
      </c>
      <c r="F1248" s="555" t="s">
        <v>1046</v>
      </c>
      <c r="G1248" s="531">
        <v>9812819106</v>
      </c>
      <c r="H1248" s="533"/>
      <c r="I1248" s="555">
        <v>27</v>
      </c>
      <c r="J1248" s="531" t="s">
        <v>90</v>
      </c>
      <c r="K1248" s="531" t="s">
        <v>709</v>
      </c>
      <c r="L1248" s="531"/>
      <c r="M1248" s="531" t="s">
        <v>1192</v>
      </c>
      <c r="N1248" s="711">
        <v>65028</v>
      </c>
      <c r="O1248" s="541">
        <v>65028</v>
      </c>
      <c r="P1248" s="459">
        <v>65043</v>
      </c>
      <c r="Q1248" s="459" t="s">
        <v>51</v>
      </c>
      <c r="R1248" s="322"/>
      <c r="S1248" s="322"/>
      <c r="T1248" s="322"/>
      <c r="U1248" s="322"/>
      <c r="V1248" s="322"/>
      <c r="W1248" s="322"/>
      <c r="X1248" s="322"/>
      <c r="Y1248" s="322"/>
      <c r="Z1248" s="322"/>
      <c r="AA1248" s="322"/>
      <c r="AB1248" s="322"/>
      <c r="AC1248" s="322"/>
      <c r="AD1248" s="322"/>
      <c r="AE1248" s="322"/>
    </row>
    <row r="1249" spans="1:17">
      <c r="A1249" s="512">
        <f t="shared" si="12"/>
        <v>402</v>
      </c>
      <c r="B1249" s="531" t="s">
        <v>524</v>
      </c>
      <c r="C1249" s="531" t="s">
        <v>44</v>
      </c>
      <c r="D1249" s="531" t="s">
        <v>449</v>
      </c>
      <c r="E1249" s="554" t="s">
        <v>1650</v>
      </c>
      <c r="F1249" s="555" t="s">
        <v>491</v>
      </c>
      <c r="G1249" s="531">
        <v>9847939056</v>
      </c>
      <c r="H1249" s="533"/>
      <c r="I1249" s="555">
        <v>39</v>
      </c>
      <c r="J1249" s="531" t="s">
        <v>90</v>
      </c>
      <c r="K1249" s="531" t="s">
        <v>709</v>
      </c>
      <c r="L1249" s="531"/>
      <c r="M1249" s="531" t="s">
        <v>1192</v>
      </c>
      <c r="N1249" s="711">
        <v>65028</v>
      </c>
      <c r="O1249" s="541">
        <v>65028</v>
      </c>
      <c r="P1249" s="459">
        <v>65043</v>
      </c>
      <c r="Q1249" s="459" t="s">
        <v>51</v>
      </c>
    </row>
    <row r="1250" spans="1:17">
      <c r="A1250" s="512">
        <f t="shared" si="12"/>
        <v>403</v>
      </c>
      <c r="B1250" s="490" t="s">
        <v>524</v>
      </c>
      <c r="C1250" s="490" t="s">
        <v>44</v>
      </c>
      <c r="D1250" s="490" t="s">
        <v>449</v>
      </c>
      <c r="E1250" s="243" t="s">
        <v>1616</v>
      </c>
      <c r="F1250" s="244" t="s">
        <v>441</v>
      </c>
      <c r="G1250" s="490">
        <v>9843620413</v>
      </c>
      <c r="H1250" s="509"/>
      <c r="I1250" s="244">
        <v>30</v>
      </c>
      <c r="J1250" s="490" t="s">
        <v>404</v>
      </c>
      <c r="K1250" s="490" t="s">
        <v>1193</v>
      </c>
      <c r="L1250" s="490"/>
      <c r="M1250" s="490" t="s">
        <v>1192</v>
      </c>
      <c r="N1250" s="749">
        <v>65028</v>
      </c>
      <c r="O1250" s="511">
        <v>65028</v>
      </c>
      <c r="P1250" s="459">
        <v>65027</v>
      </c>
      <c r="Q1250" s="459" t="s">
        <v>51</v>
      </c>
    </row>
    <row r="1251" spans="1:17">
      <c r="A1251" s="512">
        <f t="shared" si="12"/>
        <v>404</v>
      </c>
      <c r="B1251" s="531" t="s">
        <v>524</v>
      </c>
      <c r="C1251" s="531" t="s">
        <v>44</v>
      </c>
      <c r="D1251" s="531" t="s">
        <v>449</v>
      </c>
      <c r="E1251" s="554" t="s">
        <v>1685</v>
      </c>
      <c r="F1251" s="555" t="s">
        <v>491</v>
      </c>
      <c r="G1251" s="531">
        <v>9868625129</v>
      </c>
      <c r="H1251" s="533"/>
      <c r="I1251" s="555">
        <v>49</v>
      </c>
      <c r="J1251" s="531" t="s">
        <v>90</v>
      </c>
      <c r="K1251" s="531" t="s">
        <v>1193</v>
      </c>
      <c r="L1251" s="531"/>
      <c r="M1251" s="531" t="s">
        <v>1192</v>
      </c>
      <c r="N1251" s="711">
        <v>65028</v>
      </c>
      <c r="O1251" s="541">
        <v>65028</v>
      </c>
      <c r="P1251" s="459">
        <v>65043</v>
      </c>
      <c r="Q1251" s="459" t="s">
        <v>51</v>
      </c>
    </row>
    <row r="1252" spans="1:17">
      <c r="A1252" s="512">
        <f t="shared" si="12"/>
        <v>405</v>
      </c>
      <c r="B1252" s="531" t="s">
        <v>524</v>
      </c>
      <c r="C1252" s="531" t="s">
        <v>44</v>
      </c>
      <c r="D1252" s="531" t="s">
        <v>449</v>
      </c>
      <c r="E1252" s="554" t="s">
        <v>1612</v>
      </c>
      <c r="F1252" s="555" t="s">
        <v>1008</v>
      </c>
      <c r="G1252" s="531">
        <v>9802053062</v>
      </c>
      <c r="H1252" s="533"/>
      <c r="I1252" s="555">
        <v>32</v>
      </c>
      <c r="J1252" s="531" t="s">
        <v>404</v>
      </c>
      <c r="K1252" s="531" t="s">
        <v>1193</v>
      </c>
      <c r="L1252" s="531"/>
      <c r="M1252" s="531" t="s">
        <v>1192</v>
      </c>
      <c r="N1252" s="711">
        <v>65028</v>
      </c>
      <c r="O1252" s="541">
        <v>65028</v>
      </c>
      <c r="P1252" s="459">
        <v>65043</v>
      </c>
      <c r="Q1252" s="459" t="s">
        <v>51</v>
      </c>
    </row>
    <row r="1253" spans="1:17">
      <c r="A1253" s="512">
        <f t="shared" si="12"/>
        <v>406</v>
      </c>
      <c r="B1253" s="531" t="s">
        <v>524</v>
      </c>
      <c r="C1253" s="531" t="s">
        <v>44</v>
      </c>
      <c r="D1253" s="531" t="s">
        <v>449</v>
      </c>
      <c r="E1253" s="554" t="s">
        <v>1697</v>
      </c>
      <c r="F1253" s="555" t="s">
        <v>1204</v>
      </c>
      <c r="G1253" s="531">
        <v>9748634428</v>
      </c>
      <c r="H1253" s="533"/>
      <c r="I1253" s="555">
        <v>32</v>
      </c>
      <c r="J1253" s="531" t="s">
        <v>90</v>
      </c>
      <c r="K1253" s="531" t="s">
        <v>1193</v>
      </c>
      <c r="L1253" s="531"/>
      <c r="M1253" s="531" t="s">
        <v>1192</v>
      </c>
      <c r="N1253" s="711">
        <v>65028</v>
      </c>
      <c r="O1253" s="541">
        <v>65028</v>
      </c>
      <c r="P1253" s="459">
        <v>65043</v>
      </c>
      <c r="Q1253" s="459" t="s">
        <v>51</v>
      </c>
    </row>
    <row r="1254" spans="1:17">
      <c r="A1254" s="512">
        <f t="shared" si="12"/>
        <v>407</v>
      </c>
      <c r="B1254" s="531" t="s">
        <v>524</v>
      </c>
      <c r="C1254" s="531" t="s">
        <v>44</v>
      </c>
      <c r="D1254" s="531" t="s">
        <v>449</v>
      </c>
      <c r="E1254" s="554" t="s">
        <v>1715</v>
      </c>
      <c r="F1254" s="555" t="s">
        <v>1741</v>
      </c>
      <c r="G1254" s="531">
        <v>9810883974</v>
      </c>
      <c r="H1254" s="533"/>
      <c r="I1254" s="555">
        <v>28</v>
      </c>
      <c r="J1254" s="531" t="s">
        <v>90</v>
      </c>
      <c r="K1254" s="531" t="s">
        <v>1480</v>
      </c>
      <c r="L1254" s="531"/>
      <c r="M1254" s="560" t="s">
        <v>119</v>
      </c>
      <c r="N1254" s="752">
        <v>65028</v>
      </c>
      <c r="O1254" s="600">
        <v>65028</v>
      </c>
      <c r="P1254" s="459">
        <v>65043</v>
      </c>
      <c r="Q1254" s="459" t="s">
        <v>51</v>
      </c>
    </row>
    <row r="1255" spans="1:17">
      <c r="A1255" s="512">
        <f t="shared" si="12"/>
        <v>408</v>
      </c>
      <c r="B1255" s="531" t="s">
        <v>524</v>
      </c>
      <c r="C1255" s="531" t="s">
        <v>44</v>
      </c>
      <c r="D1255" s="531" t="s">
        <v>449</v>
      </c>
      <c r="E1255" s="554" t="s">
        <v>1681</v>
      </c>
      <c r="F1255" s="555" t="s">
        <v>491</v>
      </c>
      <c r="G1255" s="531">
        <v>9857827400</v>
      </c>
      <c r="H1255" s="533"/>
      <c r="I1255" s="555">
        <v>32</v>
      </c>
      <c r="J1255" s="531" t="s">
        <v>404</v>
      </c>
      <c r="K1255" s="531" t="s">
        <v>709</v>
      </c>
      <c r="L1255" s="531"/>
      <c r="M1255" s="531" t="s">
        <v>1192</v>
      </c>
      <c r="N1255" s="711">
        <v>65028</v>
      </c>
      <c r="O1255" s="541">
        <v>65028</v>
      </c>
      <c r="P1255" s="459">
        <v>65043</v>
      </c>
      <c r="Q1255" s="459" t="s">
        <v>51</v>
      </c>
    </row>
    <row r="1256" spans="1:17">
      <c r="A1256" s="512">
        <f t="shared" si="12"/>
        <v>409</v>
      </c>
      <c r="B1256" s="531" t="s">
        <v>524</v>
      </c>
      <c r="C1256" s="531" t="s">
        <v>44</v>
      </c>
      <c r="D1256" s="531" t="s">
        <v>449</v>
      </c>
      <c r="E1256" s="554" t="s">
        <v>1672</v>
      </c>
      <c r="F1256" s="555" t="s">
        <v>491</v>
      </c>
      <c r="G1256" s="531">
        <v>9847844930</v>
      </c>
      <c r="H1256" s="533"/>
      <c r="I1256" s="555">
        <v>40</v>
      </c>
      <c r="J1256" s="531" t="s">
        <v>90</v>
      </c>
      <c r="K1256" s="531" t="s">
        <v>709</v>
      </c>
      <c r="L1256" s="531"/>
      <c r="M1256" s="531" t="s">
        <v>1192</v>
      </c>
      <c r="N1256" s="711">
        <v>65028</v>
      </c>
      <c r="O1256" s="541">
        <v>65028</v>
      </c>
      <c r="P1256" s="459">
        <v>65043</v>
      </c>
      <c r="Q1256" s="459" t="s">
        <v>51</v>
      </c>
    </row>
    <row r="1257" spans="1:17">
      <c r="A1257" s="512">
        <f t="shared" si="12"/>
        <v>410</v>
      </c>
      <c r="B1257" s="531" t="s">
        <v>524</v>
      </c>
      <c r="C1257" s="531" t="s">
        <v>44</v>
      </c>
      <c r="D1257" s="531" t="s">
        <v>449</v>
      </c>
      <c r="E1257" s="554" t="s">
        <v>1694</v>
      </c>
      <c r="F1257" s="555" t="s">
        <v>441</v>
      </c>
      <c r="G1257" s="531">
        <v>9847824661</v>
      </c>
      <c r="H1257" s="533"/>
      <c r="I1257" s="555">
        <v>13</v>
      </c>
      <c r="J1257" s="531" t="s">
        <v>404</v>
      </c>
      <c r="K1257" s="531" t="s">
        <v>1193</v>
      </c>
      <c r="L1257" s="531"/>
      <c r="M1257" s="531" t="s">
        <v>1192</v>
      </c>
      <c r="N1257" s="711">
        <v>65028</v>
      </c>
      <c r="O1257" s="541">
        <v>65028</v>
      </c>
      <c r="P1257" s="459">
        <v>65043</v>
      </c>
      <c r="Q1257" s="459" t="s">
        <v>51</v>
      </c>
    </row>
    <row r="1258" spans="1:17">
      <c r="A1258" s="512">
        <f t="shared" si="12"/>
        <v>411</v>
      </c>
      <c r="B1258" s="531" t="s">
        <v>524</v>
      </c>
      <c r="C1258" s="531" t="s">
        <v>44</v>
      </c>
      <c r="D1258" s="531" t="s">
        <v>449</v>
      </c>
      <c r="E1258" s="554" t="s">
        <v>1659</v>
      </c>
      <c r="F1258" s="555" t="s">
        <v>491</v>
      </c>
      <c r="G1258" s="531">
        <v>9857820794</v>
      </c>
      <c r="H1258" s="533"/>
      <c r="I1258" s="555">
        <v>15</v>
      </c>
      <c r="J1258" s="531" t="s">
        <v>404</v>
      </c>
      <c r="K1258" s="531" t="s">
        <v>709</v>
      </c>
      <c r="L1258" s="531"/>
      <c r="M1258" s="531" t="s">
        <v>1192</v>
      </c>
      <c r="N1258" s="711">
        <v>65028</v>
      </c>
      <c r="O1258" s="541">
        <v>65028</v>
      </c>
      <c r="P1258" s="459">
        <v>65043</v>
      </c>
      <c r="Q1258" s="459" t="s">
        <v>51</v>
      </c>
    </row>
    <row r="1259" spans="1:17">
      <c r="A1259" s="512">
        <f t="shared" si="12"/>
        <v>412</v>
      </c>
      <c r="B1259" s="531" t="s">
        <v>524</v>
      </c>
      <c r="C1259" s="531" t="s">
        <v>44</v>
      </c>
      <c r="D1259" s="531" t="s">
        <v>449</v>
      </c>
      <c r="E1259" s="554" t="s">
        <v>1657</v>
      </c>
      <c r="F1259" s="555" t="s">
        <v>1008</v>
      </c>
      <c r="G1259" s="531">
        <v>9857820794</v>
      </c>
      <c r="H1259" s="533"/>
      <c r="I1259" s="555">
        <v>18</v>
      </c>
      <c r="J1259" s="531" t="s">
        <v>90</v>
      </c>
      <c r="K1259" s="531" t="s">
        <v>709</v>
      </c>
      <c r="L1259" s="531"/>
      <c r="M1259" s="531" t="s">
        <v>1192</v>
      </c>
      <c r="N1259" s="711">
        <v>65028</v>
      </c>
      <c r="O1259" s="541">
        <v>65028</v>
      </c>
      <c r="P1259" s="459">
        <v>65043</v>
      </c>
      <c r="Q1259" s="459" t="s">
        <v>51</v>
      </c>
    </row>
    <row r="1260" spans="1:17">
      <c r="A1260" s="512">
        <f t="shared" si="12"/>
        <v>413</v>
      </c>
      <c r="B1260" s="531" t="s">
        <v>524</v>
      </c>
      <c r="C1260" s="531" t="s">
        <v>44</v>
      </c>
      <c r="D1260" s="531" t="s">
        <v>449</v>
      </c>
      <c r="E1260" s="554" t="s">
        <v>1691</v>
      </c>
      <c r="F1260" s="555" t="s">
        <v>441</v>
      </c>
      <c r="G1260" s="531">
        <v>9847824661</v>
      </c>
      <c r="H1260" s="533"/>
      <c r="I1260" s="555">
        <v>43</v>
      </c>
      <c r="J1260" s="531" t="s">
        <v>404</v>
      </c>
      <c r="K1260" s="531" t="s">
        <v>1193</v>
      </c>
      <c r="L1260" s="531"/>
      <c r="M1260" s="531" t="s">
        <v>1192</v>
      </c>
      <c r="N1260" s="711">
        <v>65028</v>
      </c>
      <c r="O1260" s="541">
        <v>65028</v>
      </c>
      <c r="P1260" s="459">
        <v>65043</v>
      </c>
      <c r="Q1260" s="459" t="s">
        <v>51</v>
      </c>
    </row>
    <row r="1261" spans="1:17">
      <c r="A1261" s="512">
        <f t="shared" si="12"/>
        <v>414</v>
      </c>
      <c r="B1261" s="531" t="s">
        <v>524</v>
      </c>
      <c r="C1261" s="531" t="s">
        <v>44</v>
      </c>
      <c r="D1261" s="531" t="s">
        <v>449</v>
      </c>
      <c r="E1261" s="554" t="s">
        <v>1651</v>
      </c>
      <c r="F1261" s="555" t="s">
        <v>529</v>
      </c>
      <c r="G1261" s="531">
        <v>9811961781</v>
      </c>
      <c r="H1261" s="533"/>
      <c r="I1261" s="555">
        <v>70</v>
      </c>
      <c r="J1261" s="531" t="s">
        <v>404</v>
      </c>
      <c r="K1261" s="531" t="s">
        <v>709</v>
      </c>
      <c r="L1261" s="531"/>
      <c r="M1261" s="531" t="s">
        <v>1192</v>
      </c>
      <c r="N1261" s="711">
        <v>65028</v>
      </c>
      <c r="O1261" s="541">
        <v>65028</v>
      </c>
      <c r="P1261" s="459">
        <v>65043</v>
      </c>
      <c r="Q1261" s="459" t="s">
        <v>51</v>
      </c>
    </row>
    <row r="1262" spans="1:17">
      <c r="A1262" s="512">
        <f t="shared" si="12"/>
        <v>415</v>
      </c>
      <c r="B1262" s="531" t="s">
        <v>524</v>
      </c>
      <c r="C1262" s="531" t="s">
        <v>44</v>
      </c>
      <c r="D1262" s="531" t="s">
        <v>449</v>
      </c>
      <c r="E1262" s="554" t="s">
        <v>1615</v>
      </c>
      <c r="F1262" s="555" t="s">
        <v>124</v>
      </c>
      <c r="G1262" s="531">
        <v>9801077202</v>
      </c>
      <c r="H1262" s="533"/>
      <c r="I1262" s="555">
        <v>50</v>
      </c>
      <c r="J1262" s="531" t="s">
        <v>404</v>
      </c>
      <c r="K1262" s="531" t="s">
        <v>1193</v>
      </c>
      <c r="L1262" s="531"/>
      <c r="M1262" s="531" t="s">
        <v>1192</v>
      </c>
      <c r="N1262" s="711">
        <v>65028</v>
      </c>
      <c r="O1262" s="541">
        <v>65028</v>
      </c>
      <c r="P1262" s="459">
        <v>65043</v>
      </c>
      <c r="Q1262" s="459" t="s">
        <v>51</v>
      </c>
    </row>
    <row r="1263" spans="1:17">
      <c r="A1263" s="512">
        <f t="shared" si="12"/>
        <v>416</v>
      </c>
      <c r="B1263" s="531" t="s">
        <v>524</v>
      </c>
      <c r="C1263" s="531" t="s">
        <v>44</v>
      </c>
      <c r="D1263" s="531" t="s">
        <v>449</v>
      </c>
      <c r="E1263" s="554" t="s">
        <v>1688</v>
      </c>
      <c r="F1263" s="555" t="s">
        <v>529</v>
      </c>
      <c r="G1263" s="531">
        <v>9851063803</v>
      </c>
      <c r="H1263" s="533"/>
      <c r="I1263" s="555">
        <v>16</v>
      </c>
      <c r="J1263" s="531" t="s">
        <v>90</v>
      </c>
      <c r="K1263" s="531" t="s">
        <v>1193</v>
      </c>
      <c r="L1263" s="531"/>
      <c r="M1263" s="531" t="s">
        <v>1192</v>
      </c>
      <c r="N1263" s="711">
        <v>65028</v>
      </c>
      <c r="O1263" s="541">
        <v>65028</v>
      </c>
      <c r="P1263" s="459">
        <v>65043</v>
      </c>
      <c r="Q1263" s="459" t="s">
        <v>51</v>
      </c>
    </row>
    <row r="1264" spans="1:17">
      <c r="A1264" s="512">
        <f t="shared" si="12"/>
        <v>417</v>
      </c>
      <c r="B1264" s="531" t="s">
        <v>524</v>
      </c>
      <c r="C1264" s="531" t="s">
        <v>44</v>
      </c>
      <c r="D1264" s="531" t="s">
        <v>449</v>
      </c>
      <c r="E1264" s="554" t="s">
        <v>1667</v>
      </c>
      <c r="F1264" s="555" t="s">
        <v>502</v>
      </c>
      <c r="G1264" s="531">
        <v>9810850565</v>
      </c>
      <c r="H1264" s="533"/>
      <c r="I1264" s="555">
        <v>21</v>
      </c>
      <c r="J1264" s="531" t="s">
        <v>404</v>
      </c>
      <c r="K1264" s="531" t="s">
        <v>709</v>
      </c>
      <c r="L1264" s="531"/>
      <c r="M1264" s="531" t="s">
        <v>1192</v>
      </c>
      <c r="N1264" s="711">
        <v>65028</v>
      </c>
      <c r="O1264" s="541">
        <v>65028</v>
      </c>
      <c r="P1264" s="459">
        <v>65043</v>
      </c>
      <c r="Q1264" s="459" t="s">
        <v>51</v>
      </c>
    </row>
    <row r="1265" spans="1:17">
      <c r="A1265" s="512">
        <f t="shared" si="12"/>
        <v>418</v>
      </c>
      <c r="B1265" s="531" t="s">
        <v>524</v>
      </c>
      <c r="C1265" s="531" t="s">
        <v>44</v>
      </c>
      <c r="D1265" s="531" t="s">
        <v>449</v>
      </c>
      <c r="E1265" s="564" t="s">
        <v>1759</v>
      </c>
      <c r="F1265" s="601" t="s">
        <v>491</v>
      </c>
      <c r="G1265" s="601">
        <v>9857820259</v>
      </c>
      <c r="H1265" s="533"/>
      <c r="I1265" s="601">
        <v>56</v>
      </c>
      <c r="J1265" s="531" t="s">
        <v>90</v>
      </c>
      <c r="K1265" s="531" t="s">
        <v>1763</v>
      </c>
      <c r="L1265" s="531"/>
      <c r="M1265" s="560" t="s">
        <v>1764</v>
      </c>
      <c r="N1265" s="711">
        <v>65028</v>
      </c>
      <c r="O1265" s="541">
        <v>65028</v>
      </c>
      <c r="P1265" s="459">
        <v>65043</v>
      </c>
      <c r="Q1265" s="459" t="s">
        <v>51</v>
      </c>
    </row>
    <row r="1266" spans="1:17">
      <c r="A1266" s="512">
        <f t="shared" si="12"/>
        <v>419</v>
      </c>
      <c r="B1266" s="531" t="s">
        <v>524</v>
      </c>
      <c r="C1266" s="531" t="s">
        <v>44</v>
      </c>
      <c r="D1266" s="531" t="s">
        <v>449</v>
      </c>
      <c r="E1266" s="554" t="s">
        <v>1625</v>
      </c>
      <c r="F1266" s="555" t="s">
        <v>1008</v>
      </c>
      <c r="G1266" s="531">
        <v>9802053076</v>
      </c>
      <c r="H1266" s="533"/>
      <c r="I1266" s="555">
        <v>28</v>
      </c>
      <c r="J1266" s="531" t="s">
        <v>404</v>
      </c>
      <c r="K1266" s="531" t="s">
        <v>1193</v>
      </c>
      <c r="L1266" s="531"/>
      <c r="M1266" s="531" t="s">
        <v>1192</v>
      </c>
      <c r="N1266" s="711">
        <v>65028</v>
      </c>
      <c r="O1266" s="541">
        <v>65028</v>
      </c>
      <c r="P1266" s="459">
        <v>65043</v>
      </c>
      <c r="Q1266" s="459" t="s">
        <v>51</v>
      </c>
    </row>
    <row r="1267" spans="1:17">
      <c r="A1267" s="512">
        <f t="shared" si="12"/>
        <v>420</v>
      </c>
      <c r="B1267" s="531" t="s">
        <v>524</v>
      </c>
      <c r="C1267" s="531" t="s">
        <v>44</v>
      </c>
      <c r="D1267" s="531" t="s">
        <v>449</v>
      </c>
      <c r="E1267" s="554" t="s">
        <v>1669</v>
      </c>
      <c r="F1267" s="555" t="s">
        <v>791</v>
      </c>
      <c r="G1267" s="531">
        <v>9849662406</v>
      </c>
      <c r="H1267" s="533"/>
      <c r="I1267" s="555">
        <v>56</v>
      </c>
      <c r="J1267" s="531" t="s">
        <v>404</v>
      </c>
      <c r="K1267" s="531" t="s">
        <v>709</v>
      </c>
      <c r="L1267" s="531"/>
      <c r="M1267" s="531" t="s">
        <v>1192</v>
      </c>
      <c r="N1267" s="711">
        <v>65028</v>
      </c>
      <c r="O1267" s="541">
        <v>65028</v>
      </c>
      <c r="P1267" s="459">
        <v>65043</v>
      </c>
      <c r="Q1267" s="459" t="s">
        <v>51</v>
      </c>
    </row>
    <row r="1268" spans="1:17">
      <c r="A1268" s="512">
        <f t="shared" si="12"/>
        <v>421</v>
      </c>
      <c r="B1268" s="531" t="s">
        <v>524</v>
      </c>
      <c r="C1268" s="531" t="s">
        <v>44</v>
      </c>
      <c r="D1268" s="531" t="s">
        <v>449</v>
      </c>
      <c r="E1268" s="554" t="s">
        <v>1639</v>
      </c>
      <c r="F1268" s="555" t="s">
        <v>1008</v>
      </c>
      <c r="G1268" s="531">
        <v>9802053028</v>
      </c>
      <c r="H1268" s="533"/>
      <c r="I1268" s="555">
        <v>36</v>
      </c>
      <c r="J1268" s="531" t="s">
        <v>404</v>
      </c>
      <c r="K1268" s="531" t="s">
        <v>1193</v>
      </c>
      <c r="L1268" s="531"/>
      <c r="M1268" s="531" t="s">
        <v>1192</v>
      </c>
      <c r="N1268" s="711">
        <v>65028</v>
      </c>
      <c r="O1268" s="541">
        <v>65028</v>
      </c>
      <c r="P1268" s="459">
        <v>65043</v>
      </c>
      <c r="Q1268" s="459" t="s">
        <v>51</v>
      </c>
    </row>
    <row r="1269" spans="1:17">
      <c r="A1269" s="512">
        <f t="shared" si="12"/>
        <v>422</v>
      </c>
      <c r="B1269" s="531" t="s">
        <v>524</v>
      </c>
      <c r="C1269" s="531" t="s">
        <v>44</v>
      </c>
      <c r="D1269" s="531" t="s">
        <v>449</v>
      </c>
      <c r="E1269" s="554" t="s">
        <v>1716</v>
      </c>
      <c r="F1269" s="555" t="s">
        <v>1741</v>
      </c>
      <c r="G1269" s="531">
        <v>9809731595</v>
      </c>
      <c r="H1269" s="533"/>
      <c r="I1269" s="555">
        <v>34</v>
      </c>
      <c r="J1269" s="531" t="s">
        <v>48</v>
      </c>
      <c r="K1269" s="531" t="s">
        <v>1480</v>
      </c>
      <c r="L1269" s="531"/>
      <c r="M1269" s="560" t="s">
        <v>119</v>
      </c>
      <c r="N1269" s="752">
        <v>65028</v>
      </c>
      <c r="O1269" s="600">
        <v>65028</v>
      </c>
      <c r="P1269" s="459">
        <v>65043</v>
      </c>
      <c r="Q1269" s="459" t="s">
        <v>51</v>
      </c>
    </row>
    <row r="1270" spans="1:17">
      <c r="A1270" s="512">
        <f t="shared" si="12"/>
        <v>423</v>
      </c>
      <c r="B1270" s="507" t="s">
        <v>524</v>
      </c>
      <c r="C1270" s="507" t="s">
        <v>44</v>
      </c>
      <c r="D1270" s="507" t="s">
        <v>449</v>
      </c>
      <c r="E1270" s="622" t="s">
        <v>1614</v>
      </c>
      <c r="F1270" s="619" t="s">
        <v>124</v>
      </c>
      <c r="G1270" s="507">
        <v>9801077202</v>
      </c>
      <c r="H1270" s="527"/>
      <c r="I1270" s="619">
        <v>51</v>
      </c>
      <c r="J1270" s="507" t="s">
        <v>90</v>
      </c>
      <c r="K1270" s="507" t="s">
        <v>1193</v>
      </c>
      <c r="L1270" s="507"/>
      <c r="M1270" s="507" t="s">
        <v>1192</v>
      </c>
      <c r="N1270" s="755">
        <v>65028</v>
      </c>
      <c r="O1270" s="559">
        <v>65028</v>
      </c>
      <c r="P1270" s="559">
        <v>65053</v>
      </c>
      <c r="Q1270" s="559" t="s">
        <v>940</v>
      </c>
    </row>
    <row r="1271" spans="1:17">
      <c r="A1271" s="512">
        <f t="shared" si="12"/>
        <v>424</v>
      </c>
      <c r="B1271" s="531" t="s">
        <v>524</v>
      </c>
      <c r="C1271" s="531" t="s">
        <v>44</v>
      </c>
      <c r="D1271" s="531" t="s">
        <v>449</v>
      </c>
      <c r="E1271" s="554" t="s">
        <v>1666</v>
      </c>
      <c r="F1271" s="555" t="s">
        <v>491</v>
      </c>
      <c r="G1271" s="531">
        <v>9861068236</v>
      </c>
      <c r="H1271" s="533"/>
      <c r="I1271" s="555">
        <v>27</v>
      </c>
      <c r="J1271" s="531" t="s">
        <v>90</v>
      </c>
      <c r="K1271" s="531" t="s">
        <v>709</v>
      </c>
      <c r="L1271" s="531"/>
      <c r="M1271" s="531" t="s">
        <v>1192</v>
      </c>
      <c r="N1271" s="711">
        <v>65028</v>
      </c>
      <c r="O1271" s="541">
        <v>65028</v>
      </c>
      <c r="P1271" s="459">
        <v>65043</v>
      </c>
      <c r="Q1271" s="459" t="s">
        <v>51</v>
      </c>
    </row>
    <row r="1272" spans="1:17">
      <c r="A1272" s="512">
        <f t="shared" si="12"/>
        <v>425</v>
      </c>
      <c r="B1272" s="531" t="s">
        <v>524</v>
      </c>
      <c r="C1272" s="531" t="s">
        <v>44</v>
      </c>
      <c r="D1272" s="531" t="s">
        <v>449</v>
      </c>
      <c r="E1272" s="554" t="s">
        <v>1624</v>
      </c>
      <c r="F1272" s="555" t="s">
        <v>502</v>
      </c>
      <c r="G1272" s="531">
        <v>9822808527</v>
      </c>
      <c r="H1272" s="533"/>
      <c r="I1272" s="555">
        <v>23</v>
      </c>
      <c r="J1272" s="531" t="s">
        <v>90</v>
      </c>
      <c r="K1272" s="531" t="s">
        <v>1193</v>
      </c>
      <c r="L1272" s="531"/>
      <c r="M1272" s="531" t="s">
        <v>1192</v>
      </c>
      <c r="N1272" s="711">
        <v>65028</v>
      </c>
      <c r="O1272" s="541">
        <v>65028</v>
      </c>
      <c r="P1272" s="459">
        <v>65043</v>
      </c>
      <c r="Q1272" s="459" t="s">
        <v>51</v>
      </c>
    </row>
    <row r="1273" spans="1:17">
      <c r="A1273" s="512">
        <f t="shared" si="12"/>
        <v>426</v>
      </c>
      <c r="B1273" s="531" t="s">
        <v>524</v>
      </c>
      <c r="C1273" s="531" t="s">
        <v>44</v>
      </c>
      <c r="D1273" s="531" t="s">
        <v>449</v>
      </c>
      <c r="E1273" s="554" t="s">
        <v>1717</v>
      </c>
      <c r="F1273" s="555" t="s">
        <v>1742</v>
      </c>
      <c r="G1273" s="531">
        <v>9857824304</v>
      </c>
      <c r="H1273" s="533"/>
      <c r="I1273" s="555">
        <v>29</v>
      </c>
      <c r="J1273" s="531" t="s">
        <v>90</v>
      </c>
      <c r="K1273" s="531" t="s">
        <v>1480</v>
      </c>
      <c r="L1273" s="531"/>
      <c r="M1273" s="560" t="s">
        <v>119</v>
      </c>
      <c r="N1273" s="752">
        <v>65028</v>
      </c>
      <c r="O1273" s="600">
        <v>65028</v>
      </c>
      <c r="P1273" s="459">
        <v>65043</v>
      </c>
      <c r="Q1273" s="459" t="s">
        <v>51</v>
      </c>
    </row>
    <row r="1274" spans="1:17">
      <c r="A1274" s="512">
        <f t="shared" si="12"/>
        <v>427</v>
      </c>
      <c r="B1274" s="531" t="s">
        <v>524</v>
      </c>
      <c r="C1274" s="531" t="s">
        <v>44</v>
      </c>
      <c r="D1274" s="531" t="s">
        <v>449</v>
      </c>
      <c r="E1274" s="554" t="s">
        <v>1718</v>
      </c>
      <c r="F1274" s="555" t="s">
        <v>1739</v>
      </c>
      <c r="G1274" s="531">
        <v>9857845015</v>
      </c>
      <c r="H1274" s="533"/>
      <c r="I1274" s="555">
        <v>34</v>
      </c>
      <c r="J1274" s="531" t="s">
        <v>90</v>
      </c>
      <c r="K1274" s="531" t="s">
        <v>1480</v>
      </c>
      <c r="L1274" s="531"/>
      <c r="M1274" s="560" t="s">
        <v>119</v>
      </c>
      <c r="N1274" s="752">
        <v>65028</v>
      </c>
      <c r="O1274" s="600">
        <v>65028</v>
      </c>
      <c r="P1274" s="459">
        <v>65043</v>
      </c>
      <c r="Q1274" s="459" t="s">
        <v>51</v>
      </c>
    </row>
    <row r="1275" spans="1:17">
      <c r="A1275" s="512">
        <f t="shared" si="12"/>
        <v>428</v>
      </c>
      <c r="B1275" s="531" t="s">
        <v>524</v>
      </c>
      <c r="C1275" s="531" t="s">
        <v>44</v>
      </c>
      <c r="D1275" s="531" t="s">
        <v>449</v>
      </c>
      <c r="E1275" s="554" t="s">
        <v>1626</v>
      </c>
      <c r="F1275" s="555" t="s">
        <v>1008</v>
      </c>
      <c r="G1275" s="531">
        <v>9802053315</v>
      </c>
      <c r="H1275" s="533"/>
      <c r="I1275" s="555">
        <v>23</v>
      </c>
      <c r="J1275" s="531" t="s">
        <v>404</v>
      </c>
      <c r="K1275" s="531" t="s">
        <v>1193</v>
      </c>
      <c r="L1275" s="531"/>
      <c r="M1275" s="531" t="s">
        <v>1192</v>
      </c>
      <c r="N1275" s="711">
        <v>65028</v>
      </c>
      <c r="O1275" s="541">
        <v>65028</v>
      </c>
      <c r="P1275" s="459">
        <v>65043</v>
      </c>
      <c r="Q1275" s="459" t="s">
        <v>51</v>
      </c>
    </row>
    <row r="1276" spans="1:17">
      <c r="A1276" s="512">
        <f t="shared" si="12"/>
        <v>429</v>
      </c>
      <c r="B1276" s="531" t="s">
        <v>524</v>
      </c>
      <c r="C1276" s="531" t="s">
        <v>44</v>
      </c>
      <c r="D1276" s="531" t="s">
        <v>449</v>
      </c>
      <c r="E1276" s="554" t="s">
        <v>1656</v>
      </c>
      <c r="F1276" s="555" t="s">
        <v>491</v>
      </c>
      <c r="G1276" s="531">
        <v>9847837065</v>
      </c>
      <c r="H1276" s="533"/>
      <c r="I1276" s="555">
        <v>15</v>
      </c>
      <c r="J1276" s="531" t="s">
        <v>90</v>
      </c>
      <c r="K1276" s="531" t="s">
        <v>709</v>
      </c>
      <c r="L1276" s="531"/>
      <c r="M1276" s="531" t="s">
        <v>1192</v>
      </c>
      <c r="N1276" s="711">
        <v>65028</v>
      </c>
      <c r="O1276" s="541">
        <v>65028</v>
      </c>
      <c r="P1276" s="459">
        <v>65043</v>
      </c>
      <c r="Q1276" s="459" t="s">
        <v>51</v>
      </c>
    </row>
    <row r="1277" spans="1:17">
      <c r="A1277" s="512">
        <f t="shared" si="12"/>
        <v>430</v>
      </c>
      <c r="B1277" s="531" t="s">
        <v>524</v>
      </c>
      <c r="C1277" s="531" t="s">
        <v>44</v>
      </c>
      <c r="D1277" s="531" t="s">
        <v>449</v>
      </c>
      <c r="E1277" s="554" t="s">
        <v>1622</v>
      </c>
      <c r="F1277" s="555" t="s">
        <v>502</v>
      </c>
      <c r="G1277" s="531">
        <v>9822808527</v>
      </c>
      <c r="H1277" s="533"/>
      <c r="I1277" s="555">
        <v>18</v>
      </c>
      <c r="J1277" s="531" t="s">
        <v>90</v>
      </c>
      <c r="K1277" s="531" t="s">
        <v>1193</v>
      </c>
      <c r="L1277" s="531"/>
      <c r="M1277" s="531" t="s">
        <v>1192</v>
      </c>
      <c r="N1277" s="711">
        <v>65028</v>
      </c>
      <c r="O1277" s="541">
        <v>65028</v>
      </c>
      <c r="P1277" s="459">
        <v>65043</v>
      </c>
      <c r="Q1277" s="459" t="s">
        <v>51</v>
      </c>
    </row>
    <row r="1278" spans="1:17">
      <c r="A1278" s="512">
        <f t="shared" si="12"/>
        <v>431</v>
      </c>
      <c r="B1278" s="531" t="s">
        <v>524</v>
      </c>
      <c r="C1278" s="531" t="s">
        <v>44</v>
      </c>
      <c r="D1278" s="531" t="s">
        <v>449</v>
      </c>
      <c r="E1278" s="564" t="s">
        <v>1758</v>
      </c>
      <c r="F1278" s="601" t="s">
        <v>491</v>
      </c>
      <c r="G1278" s="601">
        <v>9857820259</v>
      </c>
      <c r="H1278" s="533"/>
      <c r="I1278" s="601">
        <v>26</v>
      </c>
      <c r="J1278" s="531" t="s">
        <v>48</v>
      </c>
      <c r="K1278" s="531" t="s">
        <v>1763</v>
      </c>
      <c r="L1278" s="531"/>
      <c r="M1278" s="560" t="s">
        <v>1764</v>
      </c>
      <c r="N1278" s="711">
        <v>65028</v>
      </c>
      <c r="O1278" s="541">
        <v>65028</v>
      </c>
      <c r="P1278" s="459">
        <v>65043</v>
      </c>
      <c r="Q1278" s="459" t="s">
        <v>51</v>
      </c>
    </row>
    <row r="1279" spans="1:17">
      <c r="A1279" s="512">
        <f t="shared" si="12"/>
        <v>432</v>
      </c>
      <c r="B1279" s="531" t="s">
        <v>524</v>
      </c>
      <c r="C1279" s="531" t="s">
        <v>44</v>
      </c>
      <c r="D1279" s="531" t="s">
        <v>449</v>
      </c>
      <c r="E1279" s="554" t="s">
        <v>1627</v>
      </c>
      <c r="F1279" s="555" t="s">
        <v>1008</v>
      </c>
      <c r="G1279" s="531">
        <v>9812887691</v>
      </c>
      <c r="H1279" s="533"/>
      <c r="I1279" s="555">
        <v>29</v>
      </c>
      <c r="J1279" s="531" t="s">
        <v>404</v>
      </c>
      <c r="K1279" s="531" t="s">
        <v>1193</v>
      </c>
      <c r="L1279" s="531"/>
      <c r="M1279" s="531" t="s">
        <v>1192</v>
      </c>
      <c r="N1279" s="711">
        <v>65028</v>
      </c>
      <c r="O1279" s="541">
        <v>65028</v>
      </c>
      <c r="P1279" s="459">
        <v>65043</v>
      </c>
      <c r="Q1279" s="459" t="s">
        <v>51</v>
      </c>
    </row>
    <row r="1280" spans="1:17">
      <c r="A1280" s="512">
        <f t="shared" si="12"/>
        <v>433</v>
      </c>
      <c r="B1280" s="531" t="s">
        <v>524</v>
      </c>
      <c r="C1280" s="531" t="s">
        <v>44</v>
      </c>
      <c r="D1280" s="531" t="s">
        <v>449</v>
      </c>
      <c r="E1280" s="554" t="s">
        <v>1719</v>
      </c>
      <c r="F1280" s="555" t="s">
        <v>1739</v>
      </c>
      <c r="G1280" s="531">
        <v>9857845015</v>
      </c>
      <c r="H1280" s="533"/>
      <c r="I1280" s="555">
        <v>35</v>
      </c>
      <c r="J1280" s="531" t="s">
        <v>48</v>
      </c>
      <c r="K1280" s="531" t="s">
        <v>1480</v>
      </c>
      <c r="L1280" s="531"/>
      <c r="M1280" s="560" t="s">
        <v>119</v>
      </c>
      <c r="N1280" s="752">
        <v>65028</v>
      </c>
      <c r="O1280" s="600">
        <v>65028</v>
      </c>
      <c r="P1280" s="459">
        <v>65043</v>
      </c>
      <c r="Q1280" s="459" t="s">
        <v>51</v>
      </c>
    </row>
    <row r="1281" spans="1:17">
      <c r="A1281" s="512">
        <f t="shared" si="12"/>
        <v>434</v>
      </c>
      <c r="B1281" s="531" t="s">
        <v>524</v>
      </c>
      <c r="C1281" s="531" t="s">
        <v>44</v>
      </c>
      <c r="D1281" s="531" t="s">
        <v>449</v>
      </c>
      <c r="E1281" s="554" t="s">
        <v>1652</v>
      </c>
      <c r="F1281" s="555" t="s">
        <v>491</v>
      </c>
      <c r="G1281" s="531">
        <v>9857842830</v>
      </c>
      <c r="H1281" s="533"/>
      <c r="I1281" s="555">
        <v>26</v>
      </c>
      <c r="J1281" s="531" t="s">
        <v>404</v>
      </c>
      <c r="K1281" s="531" t="s">
        <v>709</v>
      </c>
      <c r="L1281" s="531"/>
      <c r="M1281" s="531" t="s">
        <v>1192</v>
      </c>
      <c r="N1281" s="711">
        <v>65028</v>
      </c>
      <c r="O1281" s="541">
        <v>65028</v>
      </c>
      <c r="P1281" s="459">
        <v>65043</v>
      </c>
      <c r="Q1281" s="459" t="s">
        <v>51</v>
      </c>
    </row>
    <row r="1282" spans="1:17">
      <c r="A1282" s="512">
        <f t="shared" si="12"/>
        <v>435</v>
      </c>
      <c r="B1282" s="531" t="s">
        <v>524</v>
      </c>
      <c r="C1282" s="531" t="s">
        <v>44</v>
      </c>
      <c r="D1282" s="531" t="s">
        <v>449</v>
      </c>
      <c r="E1282" s="554" t="s">
        <v>1664</v>
      </c>
      <c r="F1282" s="555" t="s">
        <v>1046</v>
      </c>
      <c r="G1282" s="531">
        <v>9806246996</v>
      </c>
      <c r="H1282" s="533"/>
      <c r="I1282" s="555">
        <v>30</v>
      </c>
      <c r="J1282" s="531" t="s">
        <v>404</v>
      </c>
      <c r="K1282" s="531" t="s">
        <v>709</v>
      </c>
      <c r="L1282" s="531"/>
      <c r="M1282" s="531" t="s">
        <v>1192</v>
      </c>
      <c r="N1282" s="711">
        <v>65028</v>
      </c>
      <c r="O1282" s="541">
        <v>65028</v>
      </c>
      <c r="P1282" s="459">
        <v>65043</v>
      </c>
      <c r="Q1282" s="459" t="s">
        <v>51</v>
      </c>
    </row>
    <row r="1283" spans="1:17">
      <c r="A1283" s="512">
        <f t="shared" si="12"/>
        <v>436</v>
      </c>
      <c r="B1283" s="531" t="s">
        <v>524</v>
      </c>
      <c r="C1283" s="531" t="s">
        <v>44</v>
      </c>
      <c r="D1283" s="531" t="s">
        <v>449</v>
      </c>
      <c r="E1283" s="554" t="s">
        <v>1637</v>
      </c>
      <c r="F1283" s="555" t="s">
        <v>1008</v>
      </c>
      <c r="G1283" s="531"/>
      <c r="H1283" s="533"/>
      <c r="I1283" s="555">
        <v>24</v>
      </c>
      <c r="J1283" s="531" t="s">
        <v>404</v>
      </c>
      <c r="K1283" s="531" t="s">
        <v>1193</v>
      </c>
      <c r="L1283" s="531"/>
      <c r="M1283" s="531" t="s">
        <v>1192</v>
      </c>
      <c r="N1283" s="711">
        <v>65028</v>
      </c>
      <c r="O1283" s="541">
        <v>65028</v>
      </c>
      <c r="P1283" s="459">
        <v>65043</v>
      </c>
      <c r="Q1283" s="459" t="s">
        <v>51</v>
      </c>
    </row>
    <row r="1284" spans="1:17">
      <c r="A1284" s="512">
        <f t="shared" si="12"/>
        <v>437</v>
      </c>
      <c r="B1284" s="531" t="s">
        <v>524</v>
      </c>
      <c r="C1284" s="531" t="s">
        <v>44</v>
      </c>
      <c r="D1284" s="531" t="s">
        <v>449</v>
      </c>
      <c r="E1284" s="554" t="s">
        <v>1629</v>
      </c>
      <c r="F1284" s="555" t="s">
        <v>1008</v>
      </c>
      <c r="G1284" s="531">
        <v>9812856446</v>
      </c>
      <c r="H1284" s="533"/>
      <c r="I1284" s="555">
        <v>32</v>
      </c>
      <c r="J1284" s="531" t="s">
        <v>404</v>
      </c>
      <c r="K1284" s="531" t="s">
        <v>1193</v>
      </c>
      <c r="L1284" s="531"/>
      <c r="M1284" s="531" t="s">
        <v>1192</v>
      </c>
      <c r="N1284" s="711">
        <v>65028</v>
      </c>
      <c r="O1284" s="541">
        <v>65028</v>
      </c>
      <c r="P1284" s="459">
        <v>65043</v>
      </c>
      <c r="Q1284" s="459" t="s">
        <v>51</v>
      </c>
    </row>
    <row r="1285" spans="1:17">
      <c r="A1285" s="512">
        <f t="shared" si="12"/>
        <v>438</v>
      </c>
      <c r="B1285" s="531" t="s">
        <v>524</v>
      </c>
      <c r="C1285" s="531" t="s">
        <v>44</v>
      </c>
      <c r="D1285" s="531" t="s">
        <v>449</v>
      </c>
      <c r="E1285" s="554" t="s">
        <v>1682</v>
      </c>
      <c r="F1285" s="555" t="s">
        <v>502</v>
      </c>
      <c r="G1285" s="531">
        <v>9844984282</v>
      </c>
      <c r="H1285" s="533"/>
      <c r="I1285" s="555">
        <v>38</v>
      </c>
      <c r="J1285" s="531" t="s">
        <v>404</v>
      </c>
      <c r="K1285" s="531" t="s">
        <v>709</v>
      </c>
      <c r="L1285" s="531"/>
      <c r="M1285" s="531" t="s">
        <v>1192</v>
      </c>
      <c r="N1285" s="711">
        <v>65028</v>
      </c>
      <c r="O1285" s="541">
        <v>65028</v>
      </c>
      <c r="P1285" s="459">
        <v>65043</v>
      </c>
      <c r="Q1285" s="459" t="s">
        <v>51</v>
      </c>
    </row>
    <row r="1286" spans="1:17">
      <c r="A1286" s="512">
        <f t="shared" si="12"/>
        <v>439</v>
      </c>
      <c r="B1286" s="531" t="s">
        <v>524</v>
      </c>
      <c r="C1286" s="531" t="s">
        <v>44</v>
      </c>
      <c r="D1286" s="531" t="s">
        <v>449</v>
      </c>
      <c r="E1286" s="554" t="s">
        <v>1658</v>
      </c>
      <c r="F1286" s="555" t="s">
        <v>491</v>
      </c>
      <c r="G1286" s="531">
        <v>9847837065</v>
      </c>
      <c r="H1286" s="533"/>
      <c r="I1286" s="555">
        <v>52</v>
      </c>
      <c r="J1286" s="531" t="s">
        <v>90</v>
      </c>
      <c r="K1286" s="531" t="s">
        <v>709</v>
      </c>
      <c r="L1286" s="531"/>
      <c r="M1286" s="531" t="s">
        <v>1192</v>
      </c>
      <c r="N1286" s="711">
        <v>65028</v>
      </c>
      <c r="O1286" s="541">
        <v>65028</v>
      </c>
      <c r="P1286" s="459">
        <v>65043</v>
      </c>
      <c r="Q1286" s="459" t="s">
        <v>51</v>
      </c>
    </row>
    <row r="1287" spans="1:17">
      <c r="A1287" s="512">
        <f t="shared" si="12"/>
        <v>440</v>
      </c>
      <c r="B1287" s="531" t="s">
        <v>524</v>
      </c>
      <c r="C1287" s="531" t="s">
        <v>44</v>
      </c>
      <c r="D1287" s="531" t="s">
        <v>449</v>
      </c>
      <c r="E1287" s="554" t="s">
        <v>1636</v>
      </c>
      <c r="F1287" s="555" t="s">
        <v>1008</v>
      </c>
      <c r="G1287" s="531">
        <v>9815644163</v>
      </c>
      <c r="H1287" s="533"/>
      <c r="I1287" s="555">
        <v>28</v>
      </c>
      <c r="J1287" s="531" t="s">
        <v>404</v>
      </c>
      <c r="K1287" s="531" t="s">
        <v>1193</v>
      </c>
      <c r="L1287" s="531"/>
      <c r="M1287" s="531" t="s">
        <v>1192</v>
      </c>
      <c r="N1287" s="711">
        <v>65028</v>
      </c>
      <c r="O1287" s="541">
        <v>65028</v>
      </c>
      <c r="P1287" s="459">
        <v>65043</v>
      </c>
      <c r="Q1287" s="459" t="s">
        <v>51</v>
      </c>
    </row>
    <row r="1288" spans="1:17">
      <c r="A1288" s="512">
        <f t="shared" si="12"/>
        <v>441</v>
      </c>
      <c r="B1288" s="531" t="s">
        <v>524</v>
      </c>
      <c r="C1288" s="531" t="s">
        <v>44</v>
      </c>
      <c r="D1288" s="531" t="s">
        <v>449</v>
      </c>
      <c r="E1288" s="564" t="s">
        <v>1754</v>
      </c>
      <c r="F1288" s="601" t="s">
        <v>617</v>
      </c>
      <c r="G1288" s="601">
        <v>9848648634</v>
      </c>
      <c r="H1288" s="533"/>
      <c r="I1288" s="601">
        <v>30</v>
      </c>
      <c r="J1288" s="531" t="s">
        <v>48</v>
      </c>
      <c r="K1288" s="531" t="s">
        <v>1763</v>
      </c>
      <c r="L1288" s="531"/>
      <c r="M1288" s="560" t="s">
        <v>1764</v>
      </c>
      <c r="N1288" s="711">
        <v>65028</v>
      </c>
      <c r="O1288" s="541">
        <v>65028</v>
      </c>
      <c r="P1288" s="459">
        <v>65043</v>
      </c>
      <c r="Q1288" s="459" t="s">
        <v>51</v>
      </c>
    </row>
    <row r="1289" spans="1:17">
      <c r="A1289" s="512">
        <f t="shared" si="12"/>
        <v>442</v>
      </c>
      <c r="B1289" s="531" t="s">
        <v>524</v>
      </c>
      <c r="C1289" s="531" t="s">
        <v>44</v>
      </c>
      <c r="D1289" s="531" t="s">
        <v>449</v>
      </c>
      <c r="E1289" s="564" t="s">
        <v>1757</v>
      </c>
      <c r="F1289" s="601" t="s">
        <v>491</v>
      </c>
      <c r="G1289" s="601">
        <v>9844941300</v>
      </c>
      <c r="H1289" s="533"/>
      <c r="I1289" s="601">
        <v>16</v>
      </c>
      <c r="J1289" s="531" t="s">
        <v>90</v>
      </c>
      <c r="K1289" s="531" t="s">
        <v>1763</v>
      </c>
      <c r="L1289" s="531"/>
      <c r="M1289" s="560" t="s">
        <v>1764</v>
      </c>
      <c r="N1289" s="711">
        <v>65028</v>
      </c>
      <c r="O1289" s="541">
        <v>65028</v>
      </c>
      <c r="P1289" s="459">
        <v>65043</v>
      </c>
      <c r="Q1289" s="459" t="s">
        <v>51</v>
      </c>
    </row>
    <row r="1290" spans="1:17">
      <c r="A1290" s="512">
        <f t="shared" si="12"/>
        <v>443</v>
      </c>
      <c r="B1290" s="531" t="s">
        <v>524</v>
      </c>
      <c r="C1290" s="531" t="s">
        <v>44</v>
      </c>
      <c r="D1290" s="531" t="s">
        <v>449</v>
      </c>
      <c r="E1290" s="564" t="s">
        <v>1755</v>
      </c>
      <c r="F1290" s="601" t="s">
        <v>491</v>
      </c>
      <c r="G1290" s="601">
        <v>9864854592</v>
      </c>
      <c r="H1290" s="533"/>
      <c r="I1290" s="601">
        <v>31</v>
      </c>
      <c r="J1290" s="531" t="s">
        <v>48</v>
      </c>
      <c r="K1290" s="531" t="s">
        <v>1763</v>
      </c>
      <c r="L1290" s="531"/>
      <c r="M1290" s="560" t="s">
        <v>1764</v>
      </c>
      <c r="N1290" s="711">
        <v>65028</v>
      </c>
      <c r="O1290" s="541">
        <v>65028</v>
      </c>
      <c r="P1290" s="459">
        <v>65043</v>
      </c>
      <c r="Q1290" s="459" t="s">
        <v>51</v>
      </c>
    </row>
    <row r="1291" spans="1:17">
      <c r="A1291" s="512">
        <f t="shared" si="12"/>
        <v>444</v>
      </c>
      <c r="B1291" s="531" t="s">
        <v>524</v>
      </c>
      <c r="C1291" s="531" t="s">
        <v>44</v>
      </c>
      <c r="D1291" s="531" t="s">
        <v>449</v>
      </c>
      <c r="E1291" s="554" t="s">
        <v>1679</v>
      </c>
      <c r="F1291" s="555" t="s">
        <v>497</v>
      </c>
      <c r="G1291" s="531">
        <v>98062627051</v>
      </c>
      <c r="H1291" s="533"/>
      <c r="I1291" s="555">
        <v>33</v>
      </c>
      <c r="J1291" s="531" t="s">
        <v>90</v>
      </c>
      <c r="K1291" s="531" t="s">
        <v>709</v>
      </c>
      <c r="L1291" s="531"/>
      <c r="M1291" s="531" t="s">
        <v>1192</v>
      </c>
      <c r="N1291" s="711">
        <v>65028</v>
      </c>
      <c r="O1291" s="541">
        <v>65028</v>
      </c>
      <c r="P1291" s="459">
        <v>65043</v>
      </c>
      <c r="Q1291" s="459" t="s">
        <v>51</v>
      </c>
    </row>
    <row r="1292" spans="1:17">
      <c r="A1292" s="512">
        <f t="shared" si="12"/>
        <v>445</v>
      </c>
      <c r="B1292" s="531" t="s">
        <v>524</v>
      </c>
      <c r="C1292" s="531" t="s">
        <v>44</v>
      </c>
      <c r="D1292" s="531" t="s">
        <v>449</v>
      </c>
      <c r="E1292" s="564" t="s">
        <v>1760</v>
      </c>
      <c r="F1292" s="601" t="s">
        <v>502</v>
      </c>
      <c r="G1292" s="601">
        <v>9857820931</v>
      </c>
      <c r="H1292" s="533"/>
      <c r="I1292" s="601">
        <v>25</v>
      </c>
      <c r="J1292" s="531" t="s">
        <v>90</v>
      </c>
      <c r="K1292" s="531" t="s">
        <v>1763</v>
      </c>
      <c r="L1292" s="531"/>
      <c r="M1292" s="560" t="s">
        <v>1764</v>
      </c>
      <c r="N1292" s="711">
        <v>65028</v>
      </c>
      <c r="O1292" s="541">
        <v>65028</v>
      </c>
      <c r="P1292" s="459">
        <v>65043</v>
      </c>
      <c r="Q1292" s="459" t="s">
        <v>51</v>
      </c>
    </row>
    <row r="1293" spans="1:17">
      <c r="A1293" s="512">
        <f t="shared" si="12"/>
        <v>446</v>
      </c>
      <c r="B1293" s="531" t="s">
        <v>524</v>
      </c>
      <c r="C1293" s="531" t="s">
        <v>44</v>
      </c>
      <c r="D1293" s="531" t="s">
        <v>449</v>
      </c>
      <c r="E1293" s="554" t="s">
        <v>1648</v>
      </c>
      <c r="F1293" s="555" t="s">
        <v>1204</v>
      </c>
      <c r="G1293" s="531">
        <v>9847854917</v>
      </c>
      <c r="H1293" s="533"/>
      <c r="I1293" s="555">
        <v>47</v>
      </c>
      <c r="J1293" s="531" t="s">
        <v>404</v>
      </c>
      <c r="K1293" s="531" t="s">
        <v>709</v>
      </c>
      <c r="L1293" s="531"/>
      <c r="M1293" s="531" t="s">
        <v>1192</v>
      </c>
      <c r="N1293" s="711">
        <v>65028</v>
      </c>
      <c r="O1293" s="541">
        <v>65028</v>
      </c>
      <c r="P1293" s="459">
        <v>65043</v>
      </c>
      <c r="Q1293" s="459" t="s">
        <v>51</v>
      </c>
    </row>
    <row r="1294" spans="1:17">
      <c r="A1294" s="512">
        <f t="shared" si="12"/>
        <v>447</v>
      </c>
      <c r="B1294" s="531" t="s">
        <v>524</v>
      </c>
      <c r="C1294" s="531" t="s">
        <v>44</v>
      </c>
      <c r="D1294" s="531" t="s">
        <v>449</v>
      </c>
      <c r="E1294" s="554" t="s">
        <v>1617</v>
      </c>
      <c r="F1294" s="555" t="s">
        <v>1009</v>
      </c>
      <c r="G1294" s="531">
        <v>9851207757</v>
      </c>
      <c r="H1294" s="533"/>
      <c r="I1294" s="555">
        <v>27</v>
      </c>
      <c r="J1294" s="531" t="s">
        <v>404</v>
      </c>
      <c r="K1294" s="531" t="s">
        <v>1193</v>
      </c>
      <c r="L1294" s="531"/>
      <c r="M1294" s="531" t="s">
        <v>1192</v>
      </c>
      <c r="N1294" s="711">
        <v>65028</v>
      </c>
      <c r="O1294" s="541">
        <v>65028</v>
      </c>
      <c r="P1294" s="459">
        <v>65043</v>
      </c>
      <c r="Q1294" s="459" t="s">
        <v>51</v>
      </c>
    </row>
    <row r="1295" spans="1:17">
      <c r="A1295" s="512">
        <f t="shared" si="12"/>
        <v>448</v>
      </c>
      <c r="B1295" s="531" t="s">
        <v>524</v>
      </c>
      <c r="C1295" s="531" t="s">
        <v>44</v>
      </c>
      <c r="D1295" s="531" t="s">
        <v>449</v>
      </c>
      <c r="E1295" s="554" t="s">
        <v>1720</v>
      </c>
      <c r="F1295" s="555" t="s">
        <v>1739</v>
      </c>
      <c r="G1295" s="531">
        <v>9857845015</v>
      </c>
      <c r="H1295" s="533"/>
      <c r="I1295" s="555">
        <v>10</v>
      </c>
      <c r="J1295" s="531" t="s">
        <v>48</v>
      </c>
      <c r="K1295" s="531" t="s">
        <v>1480</v>
      </c>
      <c r="L1295" s="531"/>
      <c r="M1295" s="560" t="s">
        <v>119</v>
      </c>
      <c r="N1295" s="752">
        <v>65028</v>
      </c>
      <c r="O1295" s="600">
        <v>65028</v>
      </c>
      <c r="P1295" s="459">
        <v>65043</v>
      </c>
      <c r="Q1295" s="459" t="s">
        <v>51</v>
      </c>
    </row>
    <row r="1296" spans="1:17">
      <c r="A1296" s="512">
        <f t="shared" si="12"/>
        <v>449</v>
      </c>
      <c r="B1296" s="531" t="s">
        <v>524</v>
      </c>
      <c r="C1296" s="531" t="s">
        <v>44</v>
      </c>
      <c r="D1296" s="531" t="s">
        <v>449</v>
      </c>
      <c r="E1296" s="554" t="s">
        <v>1619</v>
      </c>
      <c r="F1296" s="555" t="s">
        <v>557</v>
      </c>
      <c r="G1296" s="531">
        <v>9855802395</v>
      </c>
      <c r="H1296" s="533"/>
      <c r="I1296" s="555">
        <v>62</v>
      </c>
      <c r="J1296" s="531" t="s">
        <v>404</v>
      </c>
      <c r="K1296" s="531" t="s">
        <v>1193</v>
      </c>
      <c r="L1296" s="531"/>
      <c r="M1296" s="531" t="s">
        <v>1192</v>
      </c>
      <c r="N1296" s="711">
        <v>65028</v>
      </c>
      <c r="O1296" s="541">
        <v>65028</v>
      </c>
      <c r="P1296" s="459">
        <v>65043</v>
      </c>
      <c r="Q1296" s="459" t="s">
        <v>51</v>
      </c>
    </row>
    <row r="1297" spans="1:31">
      <c r="A1297" s="512">
        <f t="shared" si="12"/>
        <v>450</v>
      </c>
      <c r="B1297" s="531" t="s">
        <v>524</v>
      </c>
      <c r="C1297" s="531" t="s">
        <v>44</v>
      </c>
      <c r="D1297" s="531" t="s">
        <v>449</v>
      </c>
      <c r="E1297" s="554" t="s">
        <v>1646</v>
      </c>
      <c r="F1297" s="555" t="s">
        <v>730</v>
      </c>
      <c r="G1297" s="531">
        <v>9847975509</v>
      </c>
      <c r="H1297" s="533"/>
      <c r="I1297" s="555">
        <v>48</v>
      </c>
      <c r="J1297" s="531" t="s">
        <v>404</v>
      </c>
      <c r="K1297" s="531" t="s">
        <v>709</v>
      </c>
      <c r="L1297" s="531"/>
      <c r="M1297" s="531" t="s">
        <v>1192</v>
      </c>
      <c r="N1297" s="711">
        <v>65028</v>
      </c>
      <c r="O1297" s="541">
        <v>65028</v>
      </c>
      <c r="P1297" s="459">
        <v>65043</v>
      </c>
      <c r="Q1297" s="459" t="s">
        <v>51</v>
      </c>
    </row>
    <row r="1298" spans="1:31">
      <c r="A1298" s="512">
        <f t="shared" ref="A1298:A1361" si="13">A1297+1</f>
        <v>451</v>
      </c>
      <c r="B1298" s="531" t="s">
        <v>524</v>
      </c>
      <c r="C1298" s="531" t="s">
        <v>44</v>
      </c>
      <c r="D1298" s="531" t="s">
        <v>449</v>
      </c>
      <c r="E1298" s="554" t="s">
        <v>1620</v>
      </c>
      <c r="F1298" s="555" t="s">
        <v>491</v>
      </c>
      <c r="G1298" s="531">
        <v>9857822327</v>
      </c>
      <c r="H1298" s="533"/>
      <c r="I1298" s="555">
        <v>34</v>
      </c>
      <c r="J1298" s="531" t="s">
        <v>90</v>
      </c>
      <c r="K1298" s="531" t="s">
        <v>1193</v>
      </c>
      <c r="L1298" s="531"/>
      <c r="M1298" s="531" t="s">
        <v>1192</v>
      </c>
      <c r="N1298" s="711">
        <v>65028</v>
      </c>
      <c r="O1298" s="541">
        <v>65028</v>
      </c>
      <c r="P1298" s="459">
        <v>65043</v>
      </c>
      <c r="Q1298" s="459" t="s">
        <v>51</v>
      </c>
    </row>
    <row r="1299" spans="1:31">
      <c r="A1299" s="512">
        <f t="shared" si="13"/>
        <v>452</v>
      </c>
      <c r="B1299" s="531" t="s">
        <v>524</v>
      </c>
      <c r="C1299" s="531" t="s">
        <v>44</v>
      </c>
      <c r="D1299" s="531" t="s">
        <v>449</v>
      </c>
      <c r="E1299" s="554" t="s">
        <v>1696</v>
      </c>
      <c r="F1299" s="555" t="s">
        <v>730</v>
      </c>
      <c r="G1299" s="531">
        <v>9857834017</v>
      </c>
      <c r="H1299" s="533"/>
      <c r="I1299" s="555">
        <v>50</v>
      </c>
      <c r="J1299" s="531" t="s">
        <v>404</v>
      </c>
      <c r="K1299" s="531" t="s">
        <v>1193</v>
      </c>
      <c r="L1299" s="531"/>
      <c r="M1299" s="531" t="s">
        <v>1192</v>
      </c>
      <c r="N1299" s="711">
        <v>65028</v>
      </c>
      <c r="O1299" s="541">
        <v>65028</v>
      </c>
      <c r="P1299" s="459">
        <v>65043</v>
      </c>
      <c r="Q1299" s="459" t="s">
        <v>51</v>
      </c>
    </row>
    <row r="1300" spans="1:31">
      <c r="A1300" s="512">
        <f t="shared" si="13"/>
        <v>453</v>
      </c>
      <c r="B1300" s="531" t="s">
        <v>524</v>
      </c>
      <c r="C1300" s="531" t="s">
        <v>44</v>
      </c>
      <c r="D1300" s="531" t="s">
        <v>449</v>
      </c>
      <c r="E1300" s="554" t="s">
        <v>1640</v>
      </c>
      <c r="F1300" s="555" t="s">
        <v>617</v>
      </c>
      <c r="G1300" s="531">
        <v>9847879362</v>
      </c>
      <c r="H1300" s="533"/>
      <c r="I1300" s="555">
        <v>54</v>
      </c>
      <c r="J1300" s="531" t="s">
        <v>404</v>
      </c>
      <c r="K1300" s="531" t="s">
        <v>709</v>
      </c>
      <c r="L1300" s="531"/>
      <c r="M1300" s="531" t="s">
        <v>1192</v>
      </c>
      <c r="N1300" s="711">
        <v>65028</v>
      </c>
      <c r="O1300" s="541">
        <v>65028</v>
      </c>
      <c r="P1300" s="459">
        <v>65043</v>
      </c>
      <c r="Q1300" s="459" t="s">
        <v>51</v>
      </c>
    </row>
    <row r="1301" spans="1:31">
      <c r="A1301" s="512">
        <f t="shared" si="13"/>
        <v>454</v>
      </c>
      <c r="B1301" s="531" t="s">
        <v>524</v>
      </c>
      <c r="C1301" s="531" t="s">
        <v>44</v>
      </c>
      <c r="D1301" s="531" t="s">
        <v>449</v>
      </c>
      <c r="E1301" s="554" t="s">
        <v>1675</v>
      </c>
      <c r="F1301" s="555" t="s">
        <v>491</v>
      </c>
      <c r="G1301" s="531">
        <v>9841925374</v>
      </c>
      <c r="H1301" s="533"/>
      <c r="I1301" s="555">
        <v>36</v>
      </c>
      <c r="J1301" s="531" t="s">
        <v>90</v>
      </c>
      <c r="K1301" s="531" t="s">
        <v>709</v>
      </c>
      <c r="L1301" s="531"/>
      <c r="M1301" s="531" t="s">
        <v>1192</v>
      </c>
      <c r="N1301" s="711">
        <v>65028</v>
      </c>
      <c r="O1301" s="541">
        <v>65028</v>
      </c>
      <c r="P1301" s="459">
        <v>65043</v>
      </c>
      <c r="Q1301" s="459" t="s">
        <v>51</v>
      </c>
    </row>
    <row r="1302" spans="1:31">
      <c r="A1302" s="512">
        <f t="shared" si="13"/>
        <v>455</v>
      </c>
      <c r="B1302" s="531" t="s">
        <v>524</v>
      </c>
      <c r="C1302" s="531" t="s">
        <v>44</v>
      </c>
      <c r="D1302" s="531" t="s">
        <v>449</v>
      </c>
      <c r="E1302" s="564" t="s">
        <v>1761</v>
      </c>
      <c r="F1302" s="601" t="s">
        <v>491</v>
      </c>
      <c r="G1302" s="601">
        <v>9857879222</v>
      </c>
      <c r="H1302" s="533"/>
      <c r="I1302" s="601">
        <v>32</v>
      </c>
      <c r="J1302" s="531" t="s">
        <v>90</v>
      </c>
      <c r="K1302" s="531" t="s">
        <v>1763</v>
      </c>
      <c r="L1302" s="531"/>
      <c r="M1302" s="560" t="s">
        <v>1764</v>
      </c>
      <c r="N1302" s="711">
        <v>65028</v>
      </c>
      <c r="O1302" s="541">
        <v>65028</v>
      </c>
      <c r="P1302" s="459">
        <v>65043</v>
      </c>
      <c r="Q1302" s="459" t="s">
        <v>51</v>
      </c>
      <c r="R1302" s="326"/>
      <c r="S1302" s="326"/>
      <c r="T1302" s="326"/>
      <c r="U1302" s="326"/>
      <c r="V1302" s="326"/>
      <c r="W1302" s="326"/>
      <c r="X1302" s="326"/>
      <c r="Y1302" s="326"/>
      <c r="Z1302" s="326"/>
      <c r="AA1302" s="326"/>
      <c r="AB1302" s="326"/>
      <c r="AC1302" s="326"/>
      <c r="AD1302" s="326"/>
      <c r="AE1302" s="326"/>
    </row>
    <row r="1303" spans="1:31">
      <c r="A1303" s="512">
        <f t="shared" si="13"/>
        <v>456</v>
      </c>
      <c r="B1303" s="531" t="s">
        <v>524</v>
      </c>
      <c r="C1303" s="531" t="s">
        <v>44</v>
      </c>
      <c r="D1303" s="531" t="s">
        <v>449</v>
      </c>
      <c r="E1303" s="554" t="s">
        <v>1689</v>
      </c>
      <c r="F1303" s="555" t="s">
        <v>598</v>
      </c>
      <c r="G1303" s="531">
        <v>9847890693</v>
      </c>
      <c r="H1303" s="533"/>
      <c r="I1303" s="555">
        <v>50</v>
      </c>
      <c r="J1303" s="531" t="s">
        <v>404</v>
      </c>
      <c r="K1303" s="531" t="s">
        <v>1193</v>
      </c>
      <c r="L1303" s="531"/>
      <c r="M1303" s="531" t="s">
        <v>1192</v>
      </c>
      <c r="N1303" s="711">
        <v>65028</v>
      </c>
      <c r="O1303" s="541">
        <v>65028</v>
      </c>
      <c r="P1303" s="459">
        <v>65043</v>
      </c>
      <c r="Q1303" s="459" t="s">
        <v>51</v>
      </c>
      <c r="R1303" s="355"/>
      <c r="S1303" s="359"/>
      <c r="T1303" s="326"/>
      <c r="U1303" s="326"/>
      <c r="V1303" s="326"/>
      <c r="W1303" s="326"/>
      <c r="X1303" s="326"/>
      <c r="Y1303" s="326"/>
      <c r="Z1303" s="326"/>
      <c r="AA1303" s="326"/>
      <c r="AB1303" s="326"/>
      <c r="AC1303" s="326"/>
      <c r="AD1303" s="326"/>
      <c r="AE1303" s="326"/>
    </row>
    <row r="1304" spans="1:31">
      <c r="A1304" s="512">
        <f t="shared" si="13"/>
        <v>457</v>
      </c>
      <c r="B1304" s="423" t="s">
        <v>524</v>
      </c>
      <c r="C1304" s="423" t="s">
        <v>44</v>
      </c>
      <c r="D1304" s="423" t="s">
        <v>449</v>
      </c>
      <c r="E1304" s="267" t="s">
        <v>1668</v>
      </c>
      <c r="F1304" s="595" t="s">
        <v>502</v>
      </c>
      <c r="G1304" s="423">
        <v>9847865080</v>
      </c>
      <c r="H1304" s="422"/>
      <c r="I1304" s="595">
        <v>32</v>
      </c>
      <c r="J1304" s="423" t="s">
        <v>404</v>
      </c>
      <c r="K1304" s="423" t="s">
        <v>709</v>
      </c>
      <c r="L1304" s="423"/>
      <c r="M1304" s="423" t="s">
        <v>1192</v>
      </c>
      <c r="N1304" s="726">
        <v>65028</v>
      </c>
      <c r="O1304" s="476">
        <v>65028</v>
      </c>
      <c r="P1304" s="476">
        <v>65029</v>
      </c>
      <c r="Q1304" s="422" t="s">
        <v>806</v>
      </c>
      <c r="R1304" s="350"/>
      <c r="S1304" s="360"/>
    </row>
    <row r="1305" spans="1:31">
      <c r="A1305" s="512">
        <f t="shared" si="13"/>
        <v>458</v>
      </c>
      <c r="B1305" s="423" t="s">
        <v>524</v>
      </c>
      <c r="C1305" s="423" t="s">
        <v>44</v>
      </c>
      <c r="D1305" s="423" t="s">
        <v>449</v>
      </c>
      <c r="E1305" s="557" t="s">
        <v>1768</v>
      </c>
      <c r="F1305" s="402" t="s">
        <v>1009</v>
      </c>
      <c r="G1305" s="402">
        <v>9810842285</v>
      </c>
      <c r="H1305" s="422"/>
      <c r="I1305" s="402">
        <v>69</v>
      </c>
      <c r="J1305" s="423" t="s">
        <v>48</v>
      </c>
      <c r="K1305" s="423" t="s">
        <v>709</v>
      </c>
      <c r="L1305" s="547"/>
      <c r="M1305" s="597" t="s">
        <v>1764</v>
      </c>
      <c r="N1305" s="726">
        <v>65029</v>
      </c>
      <c r="O1305" s="476">
        <v>65029</v>
      </c>
      <c r="P1305" s="602">
        <v>65031</v>
      </c>
      <c r="Q1305" s="603" t="s">
        <v>940</v>
      </c>
    </row>
    <row r="1306" spans="1:31">
      <c r="A1306" s="512">
        <f t="shared" si="13"/>
        <v>459</v>
      </c>
      <c r="B1306" s="579" t="s">
        <v>524</v>
      </c>
      <c r="C1306" s="579" t="s">
        <v>44</v>
      </c>
      <c r="D1306" s="579" t="s">
        <v>449</v>
      </c>
      <c r="E1306" s="580" t="s">
        <v>1809</v>
      </c>
      <c r="F1306" s="581" t="s">
        <v>1008</v>
      </c>
      <c r="G1306" s="581">
        <v>9844122388</v>
      </c>
      <c r="H1306" s="578"/>
      <c r="I1306" s="581">
        <v>24</v>
      </c>
      <c r="J1306" s="579" t="s">
        <v>90</v>
      </c>
      <c r="K1306" s="579" t="s">
        <v>709</v>
      </c>
      <c r="L1306" s="604"/>
      <c r="M1306" s="586" t="s">
        <v>1764</v>
      </c>
      <c r="N1306" s="746">
        <v>65029</v>
      </c>
      <c r="O1306" s="582">
        <v>65029</v>
      </c>
      <c r="P1306" s="582">
        <v>65044</v>
      </c>
      <c r="Q1306" s="578" t="s">
        <v>51</v>
      </c>
    </row>
    <row r="1307" spans="1:31">
      <c r="A1307" s="512">
        <f t="shared" si="13"/>
        <v>460</v>
      </c>
      <c r="B1307" s="579" t="s">
        <v>524</v>
      </c>
      <c r="C1307" s="579" t="s">
        <v>44</v>
      </c>
      <c r="D1307" s="579" t="s">
        <v>449</v>
      </c>
      <c r="E1307" s="584" t="s">
        <v>1721</v>
      </c>
      <c r="F1307" s="585" t="s">
        <v>1739</v>
      </c>
      <c r="G1307" s="579">
        <v>9848925118</v>
      </c>
      <c r="H1307" s="578"/>
      <c r="I1307" s="585">
        <v>21</v>
      </c>
      <c r="J1307" s="579" t="s">
        <v>48</v>
      </c>
      <c r="K1307" s="579" t="s">
        <v>1480</v>
      </c>
      <c r="L1307" s="579"/>
      <c r="M1307" s="586" t="s">
        <v>119</v>
      </c>
      <c r="N1307" s="753">
        <v>65029</v>
      </c>
      <c r="O1307" s="605">
        <v>65029</v>
      </c>
      <c r="P1307" s="582">
        <v>65044</v>
      </c>
      <c r="Q1307" s="578" t="s">
        <v>51</v>
      </c>
      <c r="R1307" s="350"/>
      <c r="S1307" s="360"/>
    </row>
    <row r="1308" spans="1:31">
      <c r="A1308" s="512">
        <f t="shared" si="13"/>
        <v>461</v>
      </c>
      <c r="B1308" s="579" t="s">
        <v>524</v>
      </c>
      <c r="C1308" s="579" t="s">
        <v>44</v>
      </c>
      <c r="D1308" s="579" t="s">
        <v>449</v>
      </c>
      <c r="E1308" s="584" t="s">
        <v>1722</v>
      </c>
      <c r="F1308" s="585" t="s">
        <v>603</v>
      </c>
      <c r="G1308" s="579">
        <v>9843214857</v>
      </c>
      <c r="H1308" s="578"/>
      <c r="I1308" s="585">
        <v>29</v>
      </c>
      <c r="J1308" s="579" t="s">
        <v>48</v>
      </c>
      <c r="K1308" s="579" t="s">
        <v>1480</v>
      </c>
      <c r="L1308" s="579"/>
      <c r="M1308" s="586" t="s">
        <v>119</v>
      </c>
      <c r="N1308" s="753">
        <v>65029</v>
      </c>
      <c r="O1308" s="605">
        <v>65029</v>
      </c>
      <c r="P1308" s="582">
        <v>65044</v>
      </c>
      <c r="Q1308" s="578" t="s">
        <v>51</v>
      </c>
    </row>
    <row r="1309" spans="1:31">
      <c r="A1309" s="512">
        <f t="shared" si="13"/>
        <v>462</v>
      </c>
      <c r="B1309" s="579" t="s">
        <v>524</v>
      </c>
      <c r="C1309" s="579" t="s">
        <v>44</v>
      </c>
      <c r="D1309" s="579" t="s">
        <v>449</v>
      </c>
      <c r="E1309" s="580" t="s">
        <v>1781</v>
      </c>
      <c r="F1309" s="581" t="s">
        <v>1204</v>
      </c>
      <c r="G1309" s="581">
        <v>9847846006</v>
      </c>
      <c r="H1309" s="578"/>
      <c r="I1309" s="581">
        <v>24</v>
      </c>
      <c r="J1309" s="579" t="s">
        <v>90</v>
      </c>
      <c r="K1309" s="579" t="s">
        <v>709</v>
      </c>
      <c r="L1309" s="604"/>
      <c r="M1309" s="586" t="s">
        <v>1764</v>
      </c>
      <c r="N1309" s="746">
        <v>65029</v>
      </c>
      <c r="O1309" s="582">
        <v>65029</v>
      </c>
      <c r="P1309" s="582">
        <v>65044</v>
      </c>
      <c r="Q1309" s="578" t="s">
        <v>51</v>
      </c>
      <c r="R1309" s="350"/>
      <c r="S1309" s="360"/>
    </row>
    <row r="1310" spans="1:31" s="327" customFormat="1">
      <c r="A1310" s="512">
        <f t="shared" si="13"/>
        <v>463</v>
      </c>
      <c r="B1310" s="579" t="s">
        <v>524</v>
      </c>
      <c r="C1310" s="579" t="s">
        <v>44</v>
      </c>
      <c r="D1310" s="579" t="s">
        <v>449</v>
      </c>
      <c r="E1310" s="584" t="s">
        <v>1723</v>
      </c>
      <c r="F1310" s="585" t="s">
        <v>1739</v>
      </c>
      <c r="G1310" s="579">
        <v>9822976421</v>
      </c>
      <c r="H1310" s="578"/>
      <c r="I1310" s="585">
        <v>28</v>
      </c>
      <c r="J1310" s="579" t="s">
        <v>90</v>
      </c>
      <c r="K1310" s="579" t="s">
        <v>1480</v>
      </c>
      <c r="L1310" s="579"/>
      <c r="M1310" s="586" t="s">
        <v>119</v>
      </c>
      <c r="N1310" s="753">
        <v>65029</v>
      </c>
      <c r="O1310" s="605">
        <v>65029</v>
      </c>
      <c r="P1310" s="582">
        <v>65044</v>
      </c>
      <c r="Q1310" s="578" t="s">
        <v>51</v>
      </c>
      <c r="R1310" s="361"/>
      <c r="S1310" s="360"/>
      <c r="T1310" s="322"/>
      <c r="U1310" s="322"/>
      <c r="V1310" s="322"/>
      <c r="W1310" s="322"/>
      <c r="X1310" s="322"/>
      <c r="Y1310" s="322"/>
      <c r="Z1310" s="322"/>
      <c r="AA1310" s="322"/>
      <c r="AB1310" s="322"/>
      <c r="AC1310" s="322"/>
      <c r="AD1310" s="322"/>
      <c r="AE1310" s="322"/>
    </row>
    <row r="1311" spans="1:31">
      <c r="A1311" s="512">
        <f t="shared" si="13"/>
        <v>464</v>
      </c>
      <c r="B1311" s="579" t="s">
        <v>524</v>
      </c>
      <c r="C1311" s="579" t="s">
        <v>44</v>
      </c>
      <c r="D1311" s="579" t="s">
        <v>449</v>
      </c>
      <c r="E1311" s="580" t="s">
        <v>1799</v>
      </c>
      <c r="F1311" s="581" t="s">
        <v>124</v>
      </c>
      <c r="G1311" s="581">
        <v>9860954927</v>
      </c>
      <c r="H1311" s="578"/>
      <c r="I1311" s="581">
        <v>37</v>
      </c>
      <c r="J1311" s="579" t="s">
        <v>48</v>
      </c>
      <c r="K1311" s="579" t="s">
        <v>709</v>
      </c>
      <c r="L1311" s="604"/>
      <c r="M1311" s="586" t="s">
        <v>1764</v>
      </c>
      <c r="N1311" s="746">
        <v>65029</v>
      </c>
      <c r="O1311" s="582">
        <v>65029</v>
      </c>
      <c r="P1311" s="582">
        <v>65044</v>
      </c>
      <c r="Q1311" s="578" t="s">
        <v>51</v>
      </c>
      <c r="R1311" s="361"/>
      <c r="S1311" s="360"/>
    </row>
    <row r="1312" spans="1:31">
      <c r="A1312" s="512">
        <f t="shared" si="13"/>
        <v>465</v>
      </c>
      <c r="B1312" s="579" t="s">
        <v>524</v>
      </c>
      <c r="C1312" s="579" t="s">
        <v>44</v>
      </c>
      <c r="D1312" s="579" t="s">
        <v>449</v>
      </c>
      <c r="E1312" s="580" t="s">
        <v>1821</v>
      </c>
      <c r="F1312" s="581" t="s">
        <v>491</v>
      </c>
      <c r="G1312" s="581">
        <v>9844941323</v>
      </c>
      <c r="H1312" s="578"/>
      <c r="I1312" s="581">
        <v>49</v>
      </c>
      <c r="J1312" s="579" t="s">
        <v>90</v>
      </c>
      <c r="K1312" s="579" t="s">
        <v>1480</v>
      </c>
      <c r="L1312" s="604"/>
      <c r="M1312" s="586" t="s">
        <v>1764</v>
      </c>
      <c r="N1312" s="746">
        <v>65029</v>
      </c>
      <c r="O1312" s="582">
        <v>65029</v>
      </c>
      <c r="P1312" s="582">
        <v>65044</v>
      </c>
      <c r="Q1312" s="578" t="s">
        <v>51</v>
      </c>
      <c r="R1312" s="350"/>
      <c r="S1312" s="360"/>
    </row>
    <row r="1313" spans="1:31">
      <c r="A1313" s="512">
        <f t="shared" si="13"/>
        <v>466</v>
      </c>
      <c r="B1313" s="579" t="s">
        <v>524</v>
      </c>
      <c r="C1313" s="579" t="s">
        <v>44</v>
      </c>
      <c r="D1313" s="579" t="s">
        <v>449</v>
      </c>
      <c r="E1313" s="580" t="s">
        <v>1810</v>
      </c>
      <c r="F1313" s="581" t="s">
        <v>510</v>
      </c>
      <c r="G1313" s="581">
        <v>9864866923</v>
      </c>
      <c r="H1313" s="578"/>
      <c r="I1313" s="581">
        <v>52</v>
      </c>
      <c r="J1313" s="606" t="s">
        <v>1762</v>
      </c>
      <c r="K1313" s="579" t="s">
        <v>1480</v>
      </c>
      <c r="L1313" s="604"/>
      <c r="M1313" s="586" t="s">
        <v>1764</v>
      </c>
      <c r="N1313" s="746">
        <v>65029</v>
      </c>
      <c r="O1313" s="582">
        <v>65029</v>
      </c>
      <c r="P1313" s="582">
        <v>65044</v>
      </c>
      <c r="Q1313" s="578" t="s">
        <v>51</v>
      </c>
    </row>
    <row r="1314" spans="1:31">
      <c r="A1314" s="512">
        <f t="shared" si="13"/>
        <v>467</v>
      </c>
      <c r="B1314" s="579" t="s">
        <v>524</v>
      </c>
      <c r="C1314" s="579" t="s">
        <v>44</v>
      </c>
      <c r="D1314" s="579" t="s">
        <v>449</v>
      </c>
      <c r="E1314" s="580" t="s">
        <v>1803</v>
      </c>
      <c r="F1314" s="581" t="s">
        <v>491</v>
      </c>
      <c r="G1314" s="581">
        <v>9847888706</v>
      </c>
      <c r="H1314" s="578"/>
      <c r="I1314" s="581">
        <v>23</v>
      </c>
      <c r="J1314" s="579" t="s">
        <v>48</v>
      </c>
      <c r="K1314" s="579" t="s">
        <v>709</v>
      </c>
      <c r="L1314" s="604"/>
      <c r="M1314" s="586" t="s">
        <v>1764</v>
      </c>
      <c r="N1314" s="746">
        <v>65029</v>
      </c>
      <c r="O1314" s="582">
        <v>65029</v>
      </c>
      <c r="P1314" s="582">
        <v>65044</v>
      </c>
      <c r="Q1314" s="578" t="s">
        <v>51</v>
      </c>
      <c r="R1314" s="350"/>
      <c r="S1314" s="360"/>
    </row>
    <row r="1315" spans="1:31">
      <c r="A1315" s="512">
        <f t="shared" si="13"/>
        <v>468</v>
      </c>
      <c r="B1315" s="579" t="s">
        <v>524</v>
      </c>
      <c r="C1315" s="579" t="s">
        <v>44</v>
      </c>
      <c r="D1315" s="579" t="s">
        <v>449</v>
      </c>
      <c r="E1315" s="584" t="s">
        <v>1724</v>
      </c>
      <c r="F1315" s="585" t="s">
        <v>603</v>
      </c>
      <c r="G1315" s="579">
        <v>9857821432</v>
      </c>
      <c r="H1315" s="578"/>
      <c r="I1315" s="585">
        <v>59</v>
      </c>
      <c r="J1315" s="579" t="s">
        <v>48</v>
      </c>
      <c r="K1315" s="579" t="s">
        <v>1480</v>
      </c>
      <c r="L1315" s="579"/>
      <c r="M1315" s="586" t="s">
        <v>119</v>
      </c>
      <c r="N1315" s="753">
        <v>65029</v>
      </c>
      <c r="O1315" s="605">
        <v>65029</v>
      </c>
      <c r="P1315" s="582">
        <v>65044</v>
      </c>
      <c r="Q1315" s="578" t="s">
        <v>51</v>
      </c>
      <c r="R1315" s="350"/>
      <c r="S1315" s="360"/>
    </row>
    <row r="1316" spans="1:31">
      <c r="A1316" s="512">
        <f t="shared" si="13"/>
        <v>469</v>
      </c>
      <c r="B1316" s="579" t="s">
        <v>524</v>
      </c>
      <c r="C1316" s="579" t="s">
        <v>44</v>
      </c>
      <c r="D1316" s="579" t="s">
        <v>449</v>
      </c>
      <c r="E1316" s="580" t="s">
        <v>1790</v>
      </c>
      <c r="F1316" s="581" t="s">
        <v>730</v>
      </c>
      <c r="G1316" s="581">
        <v>9857821209</v>
      </c>
      <c r="H1316" s="578"/>
      <c r="I1316" s="581">
        <v>39</v>
      </c>
      <c r="J1316" s="579" t="s">
        <v>48</v>
      </c>
      <c r="K1316" s="579" t="s">
        <v>709</v>
      </c>
      <c r="L1316" s="604"/>
      <c r="M1316" s="586" t="s">
        <v>1764</v>
      </c>
      <c r="N1316" s="746">
        <v>65029</v>
      </c>
      <c r="O1316" s="582">
        <v>65029</v>
      </c>
      <c r="P1316" s="582">
        <v>65044</v>
      </c>
      <c r="Q1316" s="578" t="s">
        <v>51</v>
      </c>
      <c r="R1316" s="361"/>
      <c r="S1316" s="360"/>
    </row>
    <row r="1317" spans="1:31">
      <c r="A1317" s="512">
        <f t="shared" si="13"/>
        <v>470</v>
      </c>
      <c r="B1317" s="579" t="s">
        <v>524</v>
      </c>
      <c r="C1317" s="579" t="s">
        <v>44</v>
      </c>
      <c r="D1317" s="579" t="s">
        <v>449</v>
      </c>
      <c r="E1317" s="580" t="s">
        <v>1767</v>
      </c>
      <c r="F1317" s="581" t="s">
        <v>529</v>
      </c>
      <c r="G1317" s="581">
        <v>9801333970</v>
      </c>
      <c r="H1317" s="578"/>
      <c r="I1317" s="581">
        <v>2</v>
      </c>
      <c r="J1317" s="579" t="s">
        <v>48</v>
      </c>
      <c r="K1317" s="579" t="s">
        <v>709</v>
      </c>
      <c r="L1317" s="604"/>
      <c r="M1317" s="586" t="s">
        <v>1764</v>
      </c>
      <c r="N1317" s="746">
        <v>65029</v>
      </c>
      <c r="O1317" s="582">
        <v>65029</v>
      </c>
      <c r="P1317" s="582">
        <v>65044</v>
      </c>
      <c r="Q1317" s="578" t="s">
        <v>51</v>
      </c>
    </row>
    <row r="1318" spans="1:31">
      <c r="A1318" s="512">
        <f t="shared" si="13"/>
        <v>471</v>
      </c>
      <c r="B1318" s="579" t="s">
        <v>524</v>
      </c>
      <c r="C1318" s="579" t="s">
        <v>44</v>
      </c>
      <c r="D1318" s="579" t="s">
        <v>449</v>
      </c>
      <c r="E1318" s="580" t="s">
        <v>1811</v>
      </c>
      <c r="F1318" s="581" t="s">
        <v>491</v>
      </c>
      <c r="G1318" s="581">
        <v>9857828888</v>
      </c>
      <c r="H1318" s="578"/>
      <c r="I1318" s="581">
        <v>51</v>
      </c>
      <c r="J1318" s="606" t="s">
        <v>1762</v>
      </c>
      <c r="K1318" s="579" t="s">
        <v>1480</v>
      </c>
      <c r="L1318" s="604"/>
      <c r="M1318" s="586" t="s">
        <v>1764</v>
      </c>
      <c r="N1318" s="746">
        <v>65029</v>
      </c>
      <c r="O1318" s="582">
        <v>65029</v>
      </c>
      <c r="P1318" s="582">
        <v>65044</v>
      </c>
      <c r="Q1318" s="578" t="s">
        <v>51</v>
      </c>
      <c r="R1318" s="350"/>
      <c r="S1318" s="360"/>
    </row>
    <row r="1319" spans="1:31">
      <c r="A1319" s="512">
        <f t="shared" si="13"/>
        <v>472</v>
      </c>
      <c r="B1319" s="579" t="s">
        <v>524</v>
      </c>
      <c r="C1319" s="579" t="s">
        <v>44</v>
      </c>
      <c r="D1319" s="579" t="s">
        <v>449</v>
      </c>
      <c r="E1319" s="584" t="s">
        <v>1725</v>
      </c>
      <c r="F1319" s="585" t="s">
        <v>1739</v>
      </c>
      <c r="G1319" s="579">
        <v>9841130202</v>
      </c>
      <c r="H1319" s="578"/>
      <c r="I1319" s="585">
        <v>35</v>
      </c>
      <c r="J1319" s="579" t="s">
        <v>90</v>
      </c>
      <c r="K1319" s="579" t="s">
        <v>1480</v>
      </c>
      <c r="L1319" s="579"/>
      <c r="M1319" s="586" t="s">
        <v>119</v>
      </c>
      <c r="N1319" s="753">
        <v>65029</v>
      </c>
      <c r="O1319" s="605">
        <v>65029</v>
      </c>
      <c r="P1319" s="582">
        <v>65044</v>
      </c>
      <c r="Q1319" s="578" t="s">
        <v>51</v>
      </c>
      <c r="R1319" s="350"/>
      <c r="S1319" s="360"/>
    </row>
    <row r="1320" spans="1:31">
      <c r="A1320" s="512">
        <f t="shared" si="13"/>
        <v>473</v>
      </c>
      <c r="B1320" s="579" t="s">
        <v>524</v>
      </c>
      <c r="C1320" s="579" t="s">
        <v>44</v>
      </c>
      <c r="D1320" s="579" t="s">
        <v>449</v>
      </c>
      <c r="E1320" s="580" t="s">
        <v>1784</v>
      </c>
      <c r="F1320" s="581" t="s">
        <v>1008</v>
      </c>
      <c r="G1320" s="581">
        <v>9809880840</v>
      </c>
      <c r="H1320" s="578"/>
      <c r="I1320" s="581">
        <v>30</v>
      </c>
      <c r="J1320" s="579" t="s">
        <v>48</v>
      </c>
      <c r="K1320" s="579" t="s">
        <v>709</v>
      </c>
      <c r="L1320" s="604"/>
      <c r="M1320" s="586" t="s">
        <v>1764</v>
      </c>
      <c r="N1320" s="746">
        <v>65029</v>
      </c>
      <c r="O1320" s="582">
        <v>65029</v>
      </c>
      <c r="P1320" s="582">
        <v>65044</v>
      </c>
      <c r="Q1320" s="578" t="s">
        <v>51</v>
      </c>
    </row>
    <row r="1321" spans="1:31">
      <c r="A1321" s="512">
        <f t="shared" si="13"/>
        <v>474</v>
      </c>
      <c r="B1321" s="579" t="s">
        <v>524</v>
      </c>
      <c r="C1321" s="579" t="s">
        <v>44</v>
      </c>
      <c r="D1321" s="579" t="s">
        <v>449</v>
      </c>
      <c r="E1321" s="580" t="s">
        <v>1787</v>
      </c>
      <c r="F1321" s="581" t="s">
        <v>502</v>
      </c>
      <c r="G1321" s="581">
        <v>9857823098</v>
      </c>
      <c r="H1321" s="578"/>
      <c r="I1321" s="581">
        <v>41</v>
      </c>
      <c r="J1321" s="579" t="s">
        <v>48</v>
      </c>
      <c r="K1321" s="579" t="s">
        <v>709</v>
      </c>
      <c r="L1321" s="604"/>
      <c r="M1321" s="586" t="s">
        <v>1764</v>
      </c>
      <c r="N1321" s="746">
        <v>65029</v>
      </c>
      <c r="O1321" s="582">
        <v>65029</v>
      </c>
      <c r="P1321" s="582">
        <v>65044</v>
      </c>
      <c r="Q1321" s="578" t="s">
        <v>51</v>
      </c>
      <c r="R1321" s="350"/>
      <c r="S1321" s="360"/>
    </row>
    <row r="1322" spans="1:31">
      <c r="A1322" s="512">
        <f t="shared" si="13"/>
        <v>475</v>
      </c>
      <c r="B1322" s="579" t="s">
        <v>524</v>
      </c>
      <c r="C1322" s="579" t="s">
        <v>44</v>
      </c>
      <c r="D1322" s="579" t="s">
        <v>449</v>
      </c>
      <c r="E1322" s="584" t="s">
        <v>1726</v>
      </c>
      <c r="F1322" s="585" t="s">
        <v>1739</v>
      </c>
      <c r="G1322" s="579">
        <v>9847906421</v>
      </c>
      <c r="H1322" s="578"/>
      <c r="I1322" s="585">
        <v>41</v>
      </c>
      <c r="J1322" s="579" t="s">
        <v>48</v>
      </c>
      <c r="K1322" s="579" t="s">
        <v>1480</v>
      </c>
      <c r="L1322" s="579"/>
      <c r="M1322" s="586" t="s">
        <v>119</v>
      </c>
      <c r="N1322" s="753">
        <v>65029</v>
      </c>
      <c r="O1322" s="605">
        <v>65029</v>
      </c>
      <c r="P1322" s="582">
        <v>65044</v>
      </c>
      <c r="Q1322" s="578" t="s">
        <v>51</v>
      </c>
      <c r="R1322" s="361"/>
      <c r="S1322" s="360"/>
    </row>
    <row r="1323" spans="1:31">
      <c r="A1323" s="512">
        <f t="shared" si="13"/>
        <v>476</v>
      </c>
      <c r="B1323" s="579" t="s">
        <v>524</v>
      </c>
      <c r="C1323" s="579" t="s">
        <v>44</v>
      </c>
      <c r="D1323" s="579" t="s">
        <v>449</v>
      </c>
      <c r="E1323" s="580" t="s">
        <v>1771</v>
      </c>
      <c r="F1323" s="581" t="s">
        <v>497</v>
      </c>
      <c r="G1323" s="581">
        <v>9847947206</v>
      </c>
      <c r="H1323" s="578"/>
      <c r="I1323" s="581">
        <v>61</v>
      </c>
      <c r="J1323" s="579" t="s">
        <v>48</v>
      </c>
      <c r="K1323" s="579" t="s">
        <v>709</v>
      </c>
      <c r="L1323" s="604"/>
      <c r="M1323" s="586" t="s">
        <v>1764</v>
      </c>
      <c r="N1323" s="746">
        <v>65029</v>
      </c>
      <c r="O1323" s="582">
        <v>65029</v>
      </c>
      <c r="P1323" s="582">
        <v>65044</v>
      </c>
      <c r="Q1323" s="578" t="s">
        <v>51</v>
      </c>
      <c r="R1323" s="350"/>
      <c r="S1323" s="360"/>
    </row>
    <row r="1324" spans="1:31" s="326" customFormat="1">
      <c r="A1324" s="512">
        <f t="shared" si="13"/>
        <v>477</v>
      </c>
      <c r="B1324" s="579" t="s">
        <v>524</v>
      </c>
      <c r="C1324" s="579" t="s">
        <v>44</v>
      </c>
      <c r="D1324" s="579" t="s">
        <v>449</v>
      </c>
      <c r="E1324" s="580" t="s">
        <v>1822</v>
      </c>
      <c r="F1324" s="581" t="s">
        <v>791</v>
      </c>
      <c r="G1324" s="581">
        <v>9847876268</v>
      </c>
      <c r="H1324" s="578"/>
      <c r="I1324" s="581">
        <v>27</v>
      </c>
      <c r="J1324" s="579" t="s">
        <v>90</v>
      </c>
      <c r="K1324" s="579" t="s">
        <v>1480</v>
      </c>
      <c r="L1324" s="604"/>
      <c r="M1324" s="586" t="s">
        <v>1764</v>
      </c>
      <c r="N1324" s="746">
        <v>65029</v>
      </c>
      <c r="O1324" s="582">
        <v>65029</v>
      </c>
      <c r="P1324" s="582">
        <v>65044</v>
      </c>
      <c r="Q1324" s="578" t="s">
        <v>51</v>
      </c>
      <c r="R1324" s="350"/>
      <c r="S1324" s="360"/>
      <c r="T1324" s="322"/>
      <c r="U1324" s="322"/>
      <c r="V1324" s="322"/>
      <c r="W1324" s="322"/>
      <c r="X1324" s="322"/>
      <c r="Y1324" s="322"/>
      <c r="Z1324" s="322"/>
      <c r="AA1324" s="322"/>
      <c r="AB1324" s="322"/>
      <c r="AC1324" s="322"/>
      <c r="AD1324" s="322"/>
      <c r="AE1324" s="322"/>
    </row>
    <row r="1325" spans="1:31">
      <c r="A1325" s="512">
        <f t="shared" si="13"/>
        <v>478</v>
      </c>
      <c r="B1325" s="579" t="s">
        <v>524</v>
      </c>
      <c r="C1325" s="579" t="s">
        <v>44</v>
      </c>
      <c r="D1325" s="579" t="s">
        <v>449</v>
      </c>
      <c r="E1325" s="580" t="s">
        <v>1777</v>
      </c>
      <c r="F1325" s="581" t="s">
        <v>636</v>
      </c>
      <c r="G1325" s="581">
        <v>9857823736</v>
      </c>
      <c r="H1325" s="578"/>
      <c r="I1325" s="581">
        <v>25</v>
      </c>
      <c r="J1325" s="579" t="s">
        <v>90</v>
      </c>
      <c r="K1325" s="579" t="s">
        <v>709</v>
      </c>
      <c r="L1325" s="604"/>
      <c r="M1325" s="586" t="s">
        <v>1764</v>
      </c>
      <c r="N1325" s="746">
        <v>65029</v>
      </c>
      <c r="O1325" s="582">
        <v>65029</v>
      </c>
      <c r="P1325" s="582">
        <v>65044</v>
      </c>
      <c r="Q1325" s="578" t="s">
        <v>51</v>
      </c>
      <c r="R1325" s="350"/>
      <c r="S1325" s="360"/>
    </row>
    <row r="1326" spans="1:31">
      <c r="A1326" s="512">
        <f t="shared" si="13"/>
        <v>479</v>
      </c>
      <c r="B1326" s="579" t="s">
        <v>524</v>
      </c>
      <c r="C1326" s="579" t="s">
        <v>44</v>
      </c>
      <c r="D1326" s="579" t="s">
        <v>449</v>
      </c>
      <c r="E1326" s="580" t="s">
        <v>1806</v>
      </c>
      <c r="F1326" s="581" t="s">
        <v>730</v>
      </c>
      <c r="G1326" s="581">
        <v>9847846334</v>
      </c>
      <c r="H1326" s="578"/>
      <c r="I1326" s="581">
        <v>62</v>
      </c>
      <c r="J1326" s="579" t="s">
        <v>48</v>
      </c>
      <c r="K1326" s="579" t="s">
        <v>709</v>
      </c>
      <c r="L1326" s="604"/>
      <c r="M1326" s="586" t="s">
        <v>1764</v>
      </c>
      <c r="N1326" s="746">
        <v>65029</v>
      </c>
      <c r="O1326" s="582">
        <v>65029</v>
      </c>
      <c r="P1326" s="582">
        <v>65044</v>
      </c>
      <c r="Q1326" s="578" t="s">
        <v>51</v>
      </c>
      <c r="R1326" s="350"/>
      <c r="S1326" s="360"/>
    </row>
    <row r="1327" spans="1:31">
      <c r="A1327" s="512">
        <f t="shared" si="13"/>
        <v>480</v>
      </c>
      <c r="B1327" s="579" t="s">
        <v>524</v>
      </c>
      <c r="C1327" s="579" t="s">
        <v>44</v>
      </c>
      <c r="D1327" s="579" t="s">
        <v>449</v>
      </c>
      <c r="E1327" s="580" t="s">
        <v>1769</v>
      </c>
      <c r="F1327" s="581" t="s">
        <v>1009</v>
      </c>
      <c r="G1327" s="581">
        <v>9810842285</v>
      </c>
      <c r="H1327" s="578"/>
      <c r="I1327" s="581">
        <v>67</v>
      </c>
      <c r="J1327" s="579" t="s">
        <v>90</v>
      </c>
      <c r="K1327" s="579" t="s">
        <v>709</v>
      </c>
      <c r="L1327" s="604"/>
      <c r="M1327" s="586" t="s">
        <v>1764</v>
      </c>
      <c r="N1327" s="746">
        <v>65029</v>
      </c>
      <c r="O1327" s="582">
        <v>65029</v>
      </c>
      <c r="P1327" s="582">
        <v>65044</v>
      </c>
      <c r="Q1327" s="578" t="s">
        <v>51</v>
      </c>
      <c r="R1327" s="350"/>
      <c r="S1327" s="360"/>
    </row>
    <row r="1328" spans="1:31">
      <c r="A1328" s="512">
        <f t="shared" si="13"/>
        <v>481</v>
      </c>
      <c r="B1328" s="579" t="s">
        <v>524</v>
      </c>
      <c r="C1328" s="579" t="s">
        <v>44</v>
      </c>
      <c r="D1328" s="579" t="s">
        <v>449</v>
      </c>
      <c r="E1328" s="580" t="s">
        <v>1773</v>
      </c>
      <c r="F1328" s="581" t="s">
        <v>491</v>
      </c>
      <c r="G1328" s="581">
        <v>9847854254</v>
      </c>
      <c r="H1328" s="578"/>
      <c r="I1328" s="581">
        <v>57</v>
      </c>
      <c r="J1328" s="579" t="s">
        <v>48</v>
      </c>
      <c r="K1328" s="579" t="s">
        <v>709</v>
      </c>
      <c r="L1328" s="604"/>
      <c r="M1328" s="586" t="s">
        <v>1764</v>
      </c>
      <c r="N1328" s="746">
        <v>65029</v>
      </c>
      <c r="O1328" s="582">
        <v>65029</v>
      </c>
      <c r="P1328" s="582">
        <v>65044</v>
      </c>
      <c r="Q1328" s="578" t="s">
        <v>51</v>
      </c>
    </row>
    <row r="1329" spans="1:19">
      <c r="A1329" s="512">
        <f t="shared" si="13"/>
        <v>482</v>
      </c>
      <c r="B1329" s="579" t="s">
        <v>524</v>
      </c>
      <c r="C1329" s="579" t="s">
        <v>44</v>
      </c>
      <c r="D1329" s="579" t="s">
        <v>449</v>
      </c>
      <c r="E1329" s="580" t="s">
        <v>1778</v>
      </c>
      <c r="F1329" s="581" t="s">
        <v>491</v>
      </c>
      <c r="G1329" s="581">
        <v>9857820985</v>
      </c>
      <c r="H1329" s="578"/>
      <c r="I1329" s="581">
        <v>64</v>
      </c>
      <c r="J1329" s="579" t="s">
        <v>48</v>
      </c>
      <c r="K1329" s="579" t="s">
        <v>709</v>
      </c>
      <c r="L1329" s="604"/>
      <c r="M1329" s="586" t="s">
        <v>1764</v>
      </c>
      <c r="N1329" s="746">
        <v>65029</v>
      </c>
      <c r="O1329" s="582">
        <v>65029</v>
      </c>
      <c r="P1329" s="582">
        <v>65044</v>
      </c>
      <c r="Q1329" s="578" t="s">
        <v>51</v>
      </c>
    </row>
    <row r="1330" spans="1:19">
      <c r="A1330" s="512">
        <f t="shared" si="13"/>
        <v>483</v>
      </c>
      <c r="B1330" s="579" t="s">
        <v>524</v>
      </c>
      <c r="C1330" s="579" t="s">
        <v>44</v>
      </c>
      <c r="D1330" s="579" t="s">
        <v>449</v>
      </c>
      <c r="E1330" s="584" t="s">
        <v>1727</v>
      </c>
      <c r="F1330" s="585" t="s">
        <v>1743</v>
      </c>
      <c r="G1330" s="579">
        <v>9819076304</v>
      </c>
      <c r="H1330" s="578"/>
      <c r="I1330" s="585">
        <v>50</v>
      </c>
      <c r="J1330" s="579" t="s">
        <v>48</v>
      </c>
      <c r="K1330" s="579" t="s">
        <v>1480</v>
      </c>
      <c r="L1330" s="579"/>
      <c r="M1330" s="586" t="s">
        <v>119</v>
      </c>
      <c r="N1330" s="753">
        <v>65029</v>
      </c>
      <c r="O1330" s="605">
        <v>65029</v>
      </c>
      <c r="P1330" s="582">
        <v>65044</v>
      </c>
      <c r="Q1330" s="578" t="s">
        <v>51</v>
      </c>
      <c r="R1330" s="350"/>
      <c r="S1330" s="360"/>
    </row>
    <row r="1331" spans="1:19">
      <c r="A1331" s="512">
        <f t="shared" si="13"/>
        <v>484</v>
      </c>
      <c r="B1331" s="579" t="s">
        <v>524</v>
      </c>
      <c r="C1331" s="579" t="s">
        <v>44</v>
      </c>
      <c r="D1331" s="579" t="s">
        <v>449</v>
      </c>
      <c r="E1331" s="584" t="s">
        <v>1728</v>
      </c>
      <c r="F1331" s="585" t="s">
        <v>1739</v>
      </c>
      <c r="G1331" s="579">
        <v>9866963089</v>
      </c>
      <c r="H1331" s="578"/>
      <c r="I1331" s="585">
        <v>33</v>
      </c>
      <c r="J1331" s="579" t="s">
        <v>90</v>
      </c>
      <c r="K1331" s="579" t="s">
        <v>1480</v>
      </c>
      <c r="L1331" s="579"/>
      <c r="M1331" s="586" t="s">
        <v>119</v>
      </c>
      <c r="N1331" s="753">
        <v>65029</v>
      </c>
      <c r="O1331" s="605">
        <v>65029</v>
      </c>
      <c r="P1331" s="582">
        <v>65044</v>
      </c>
      <c r="Q1331" s="578" t="s">
        <v>51</v>
      </c>
      <c r="R1331" s="361"/>
      <c r="S1331" s="360"/>
    </row>
    <row r="1332" spans="1:19">
      <c r="A1332" s="512">
        <f t="shared" si="13"/>
        <v>485</v>
      </c>
      <c r="B1332" s="579" t="s">
        <v>524</v>
      </c>
      <c r="C1332" s="579" t="s">
        <v>44</v>
      </c>
      <c r="D1332" s="579" t="s">
        <v>449</v>
      </c>
      <c r="E1332" s="580" t="s">
        <v>1775</v>
      </c>
      <c r="F1332" s="581" t="s">
        <v>1046</v>
      </c>
      <c r="G1332" s="581">
        <v>9801333938</v>
      </c>
      <c r="H1332" s="578"/>
      <c r="I1332" s="581">
        <v>61</v>
      </c>
      <c r="J1332" s="579" t="s">
        <v>90</v>
      </c>
      <c r="K1332" s="579" t="s">
        <v>709</v>
      </c>
      <c r="L1332" s="604"/>
      <c r="M1332" s="586" t="s">
        <v>1764</v>
      </c>
      <c r="N1332" s="746">
        <v>65029</v>
      </c>
      <c r="O1332" s="582">
        <v>65029</v>
      </c>
      <c r="P1332" s="582">
        <v>65044</v>
      </c>
      <c r="Q1332" s="578" t="s">
        <v>51</v>
      </c>
      <c r="R1332" s="350"/>
      <c r="S1332" s="360"/>
    </row>
    <row r="1333" spans="1:19">
      <c r="A1333" s="512">
        <f t="shared" si="13"/>
        <v>486</v>
      </c>
      <c r="B1333" s="579" t="s">
        <v>524</v>
      </c>
      <c r="C1333" s="579" t="s">
        <v>44</v>
      </c>
      <c r="D1333" s="579" t="s">
        <v>449</v>
      </c>
      <c r="E1333" s="580" t="s">
        <v>1812</v>
      </c>
      <c r="F1333" s="581" t="s">
        <v>502</v>
      </c>
      <c r="G1333" s="581">
        <v>9847830547</v>
      </c>
      <c r="H1333" s="578"/>
      <c r="I1333" s="581">
        <v>68</v>
      </c>
      <c r="J1333" s="606" t="s">
        <v>1762</v>
      </c>
      <c r="K1333" s="579" t="s">
        <v>1480</v>
      </c>
      <c r="L1333" s="604"/>
      <c r="M1333" s="586" t="s">
        <v>1764</v>
      </c>
      <c r="N1333" s="746">
        <v>65029</v>
      </c>
      <c r="O1333" s="582">
        <v>65029</v>
      </c>
      <c r="P1333" s="582">
        <v>65044</v>
      </c>
      <c r="Q1333" s="578" t="s">
        <v>51</v>
      </c>
      <c r="R1333" s="350"/>
      <c r="S1333" s="360"/>
    </row>
    <row r="1334" spans="1:19">
      <c r="A1334" s="512">
        <f t="shared" si="13"/>
        <v>487</v>
      </c>
      <c r="B1334" s="579" t="s">
        <v>524</v>
      </c>
      <c r="C1334" s="579" t="s">
        <v>44</v>
      </c>
      <c r="D1334" s="579" t="s">
        <v>449</v>
      </c>
      <c r="E1334" s="580" t="s">
        <v>1798</v>
      </c>
      <c r="F1334" s="581" t="s">
        <v>441</v>
      </c>
      <c r="G1334" s="581">
        <v>9847824263</v>
      </c>
      <c r="H1334" s="578"/>
      <c r="I1334" s="581">
        <v>42</v>
      </c>
      <c r="J1334" s="579" t="s">
        <v>48</v>
      </c>
      <c r="K1334" s="579" t="s">
        <v>709</v>
      </c>
      <c r="L1334" s="604"/>
      <c r="M1334" s="586" t="s">
        <v>1764</v>
      </c>
      <c r="N1334" s="746">
        <v>65029</v>
      </c>
      <c r="O1334" s="582">
        <v>65029</v>
      </c>
      <c r="P1334" s="582">
        <v>65044</v>
      </c>
      <c r="Q1334" s="578" t="s">
        <v>51</v>
      </c>
      <c r="R1334" s="350"/>
      <c r="S1334" s="360"/>
    </row>
    <row r="1335" spans="1:19">
      <c r="A1335" s="512">
        <f t="shared" si="13"/>
        <v>488</v>
      </c>
      <c r="B1335" s="579" t="s">
        <v>524</v>
      </c>
      <c r="C1335" s="579" t="s">
        <v>44</v>
      </c>
      <c r="D1335" s="579" t="s">
        <v>449</v>
      </c>
      <c r="E1335" s="580" t="s">
        <v>1770</v>
      </c>
      <c r="F1335" s="581" t="s">
        <v>441</v>
      </c>
      <c r="G1335" s="581">
        <v>9847835349</v>
      </c>
      <c r="H1335" s="578"/>
      <c r="I1335" s="581">
        <v>40</v>
      </c>
      <c r="J1335" s="579" t="s">
        <v>90</v>
      </c>
      <c r="K1335" s="579" t="s">
        <v>709</v>
      </c>
      <c r="L1335" s="604"/>
      <c r="M1335" s="586" t="s">
        <v>1764</v>
      </c>
      <c r="N1335" s="746">
        <v>65029</v>
      </c>
      <c r="O1335" s="582">
        <v>65029</v>
      </c>
      <c r="P1335" s="582">
        <v>65044</v>
      </c>
      <c r="Q1335" s="578" t="s">
        <v>51</v>
      </c>
      <c r="R1335" s="350"/>
      <c r="S1335" s="360"/>
    </row>
    <row r="1336" spans="1:19" s="163" customFormat="1">
      <c r="A1336" s="512">
        <f t="shared" si="13"/>
        <v>489</v>
      </c>
      <c r="B1336" s="490" t="s">
        <v>524</v>
      </c>
      <c r="C1336" s="490" t="s">
        <v>44</v>
      </c>
      <c r="D1336" s="490" t="s">
        <v>449</v>
      </c>
      <c r="E1336" s="607" t="s">
        <v>1774</v>
      </c>
      <c r="F1336" s="608" t="s">
        <v>1046</v>
      </c>
      <c r="G1336" s="608">
        <v>9801334661</v>
      </c>
      <c r="H1336" s="509"/>
      <c r="I1336" s="608">
        <v>27</v>
      </c>
      <c r="J1336" s="490" t="s">
        <v>48</v>
      </c>
      <c r="K1336" s="490" t="s">
        <v>709</v>
      </c>
      <c r="L1336" s="299"/>
      <c r="M1336" s="609" t="s">
        <v>1764</v>
      </c>
      <c r="N1336" s="749">
        <v>65029</v>
      </c>
      <c r="O1336" s="511">
        <v>65029</v>
      </c>
      <c r="P1336" s="511">
        <v>65028</v>
      </c>
      <c r="Q1336" s="509" t="s">
        <v>51</v>
      </c>
    </row>
    <row r="1337" spans="1:19">
      <c r="A1337" s="512">
        <f t="shared" si="13"/>
        <v>490</v>
      </c>
      <c r="B1337" s="579" t="s">
        <v>524</v>
      </c>
      <c r="C1337" s="579" t="s">
        <v>44</v>
      </c>
      <c r="D1337" s="579" t="s">
        <v>449</v>
      </c>
      <c r="E1337" s="580" t="s">
        <v>1793</v>
      </c>
      <c r="F1337" s="581" t="s">
        <v>502</v>
      </c>
      <c r="G1337" s="581">
        <v>9847823745</v>
      </c>
      <c r="H1337" s="578"/>
      <c r="I1337" s="581">
        <v>57</v>
      </c>
      <c r="J1337" s="579" t="s">
        <v>48</v>
      </c>
      <c r="K1337" s="579" t="s">
        <v>709</v>
      </c>
      <c r="L1337" s="604"/>
      <c r="M1337" s="586" t="s">
        <v>1764</v>
      </c>
      <c r="N1337" s="746">
        <v>65029</v>
      </c>
      <c r="O1337" s="582">
        <v>65029</v>
      </c>
      <c r="P1337" s="582">
        <v>65044</v>
      </c>
      <c r="Q1337" s="578" t="s">
        <v>51</v>
      </c>
      <c r="R1337" s="350"/>
      <c r="S1337" s="360"/>
    </row>
    <row r="1338" spans="1:19">
      <c r="A1338" s="512">
        <f t="shared" si="13"/>
        <v>491</v>
      </c>
      <c r="B1338" s="438" t="s">
        <v>524</v>
      </c>
      <c r="C1338" s="438" t="s">
        <v>44</v>
      </c>
      <c r="D1338" s="438" t="s">
        <v>449</v>
      </c>
      <c r="E1338" s="148" t="s">
        <v>1729</v>
      </c>
      <c r="F1338" s="591" t="s">
        <v>1738</v>
      </c>
      <c r="G1338" s="438"/>
      <c r="H1338" s="436"/>
      <c r="I1338" s="591">
        <v>36</v>
      </c>
      <c r="J1338" s="438" t="s">
        <v>90</v>
      </c>
      <c r="K1338" s="438"/>
      <c r="L1338" s="438"/>
      <c r="M1338" s="592" t="s">
        <v>54</v>
      </c>
      <c r="N1338" s="754">
        <v>65029</v>
      </c>
      <c r="O1338" s="610">
        <v>65029</v>
      </c>
      <c r="P1338" s="526">
        <v>65028</v>
      </c>
      <c r="Q1338" s="611" t="s">
        <v>51</v>
      </c>
    </row>
    <row r="1339" spans="1:19">
      <c r="A1339" s="512">
        <f t="shared" si="13"/>
        <v>492</v>
      </c>
      <c r="B1339" s="579" t="s">
        <v>524</v>
      </c>
      <c r="C1339" s="579" t="s">
        <v>44</v>
      </c>
      <c r="D1339" s="579" t="s">
        <v>449</v>
      </c>
      <c r="E1339" s="580" t="s">
        <v>1780</v>
      </c>
      <c r="F1339" s="581" t="s">
        <v>529</v>
      </c>
      <c r="G1339" s="581">
        <v>9823121269</v>
      </c>
      <c r="H1339" s="578"/>
      <c r="I1339" s="581">
        <v>30</v>
      </c>
      <c r="J1339" s="579" t="s">
        <v>48</v>
      </c>
      <c r="K1339" s="579" t="s">
        <v>709</v>
      </c>
      <c r="L1339" s="604"/>
      <c r="M1339" s="586" t="s">
        <v>1764</v>
      </c>
      <c r="N1339" s="746">
        <v>65029</v>
      </c>
      <c r="O1339" s="582">
        <v>65029</v>
      </c>
      <c r="P1339" s="582">
        <v>65044</v>
      </c>
      <c r="Q1339" s="578" t="s">
        <v>51</v>
      </c>
      <c r="R1339" s="350"/>
      <c r="S1339" s="360"/>
    </row>
    <row r="1340" spans="1:19">
      <c r="A1340" s="512">
        <f t="shared" si="13"/>
        <v>493</v>
      </c>
      <c r="B1340" s="579" t="s">
        <v>524</v>
      </c>
      <c r="C1340" s="579" t="s">
        <v>44</v>
      </c>
      <c r="D1340" s="579" t="s">
        <v>449</v>
      </c>
      <c r="E1340" s="584" t="s">
        <v>1730</v>
      </c>
      <c r="F1340" s="585" t="s">
        <v>1743</v>
      </c>
      <c r="G1340" s="579">
        <v>9847825867</v>
      </c>
      <c r="H1340" s="578"/>
      <c r="I1340" s="585">
        <v>38</v>
      </c>
      <c r="J1340" s="579" t="s">
        <v>48</v>
      </c>
      <c r="K1340" s="579" t="s">
        <v>1480</v>
      </c>
      <c r="L1340" s="579"/>
      <c r="M1340" s="586" t="s">
        <v>119</v>
      </c>
      <c r="N1340" s="753">
        <v>65029</v>
      </c>
      <c r="O1340" s="605">
        <v>65029</v>
      </c>
      <c r="P1340" s="582">
        <v>65044</v>
      </c>
      <c r="Q1340" s="578" t="s">
        <v>51</v>
      </c>
      <c r="R1340" s="350"/>
      <c r="S1340" s="360"/>
    </row>
    <row r="1341" spans="1:19">
      <c r="A1341" s="512">
        <f t="shared" si="13"/>
        <v>494</v>
      </c>
      <c r="B1341" s="579" t="s">
        <v>524</v>
      </c>
      <c r="C1341" s="579" t="s">
        <v>44</v>
      </c>
      <c r="D1341" s="579" t="s">
        <v>449</v>
      </c>
      <c r="E1341" s="580" t="s">
        <v>1772</v>
      </c>
      <c r="F1341" s="581" t="s">
        <v>497</v>
      </c>
      <c r="G1341" s="581">
        <v>9847947206</v>
      </c>
      <c r="H1341" s="578"/>
      <c r="I1341" s="581">
        <v>60</v>
      </c>
      <c r="J1341" s="579" t="s">
        <v>90</v>
      </c>
      <c r="K1341" s="579" t="s">
        <v>709</v>
      </c>
      <c r="L1341" s="604"/>
      <c r="M1341" s="586" t="s">
        <v>1764</v>
      </c>
      <c r="N1341" s="746">
        <v>65029</v>
      </c>
      <c r="O1341" s="582">
        <v>65029</v>
      </c>
      <c r="P1341" s="582">
        <v>65044</v>
      </c>
      <c r="Q1341" s="578" t="s">
        <v>51</v>
      </c>
      <c r="R1341" s="361"/>
      <c r="S1341" s="360"/>
    </row>
    <row r="1342" spans="1:19">
      <c r="A1342" s="512">
        <f t="shared" si="13"/>
        <v>495</v>
      </c>
      <c r="B1342" s="579" t="s">
        <v>524</v>
      </c>
      <c r="C1342" s="579" t="s">
        <v>44</v>
      </c>
      <c r="D1342" s="579" t="s">
        <v>449</v>
      </c>
      <c r="E1342" s="580" t="s">
        <v>1805</v>
      </c>
      <c r="F1342" s="581" t="s">
        <v>557</v>
      </c>
      <c r="G1342" s="581">
        <v>9869152472</v>
      </c>
      <c r="H1342" s="578"/>
      <c r="I1342" s="581">
        <v>67</v>
      </c>
      <c r="J1342" s="579" t="s">
        <v>90</v>
      </c>
      <c r="K1342" s="579" t="s">
        <v>709</v>
      </c>
      <c r="L1342" s="604"/>
      <c r="M1342" s="586" t="s">
        <v>1764</v>
      </c>
      <c r="N1342" s="746">
        <v>65029</v>
      </c>
      <c r="O1342" s="582">
        <v>65029</v>
      </c>
      <c r="P1342" s="582">
        <v>65044</v>
      </c>
      <c r="Q1342" s="578" t="s">
        <v>51</v>
      </c>
      <c r="R1342" s="350"/>
      <c r="S1342" s="360"/>
    </row>
    <row r="1343" spans="1:19">
      <c r="A1343" s="512">
        <f t="shared" si="13"/>
        <v>496</v>
      </c>
      <c r="B1343" s="579" t="s">
        <v>524</v>
      </c>
      <c r="C1343" s="579" t="s">
        <v>44</v>
      </c>
      <c r="D1343" s="579" t="s">
        <v>449</v>
      </c>
      <c r="E1343" s="580" t="s">
        <v>1813</v>
      </c>
      <c r="F1343" s="581" t="s">
        <v>502</v>
      </c>
      <c r="G1343" s="581">
        <v>9866901792</v>
      </c>
      <c r="H1343" s="578"/>
      <c r="I1343" s="581">
        <v>53</v>
      </c>
      <c r="J1343" s="606" t="s">
        <v>1762</v>
      </c>
      <c r="K1343" s="579" t="s">
        <v>1480</v>
      </c>
      <c r="L1343" s="604"/>
      <c r="M1343" s="586" t="s">
        <v>1764</v>
      </c>
      <c r="N1343" s="746">
        <v>65029</v>
      </c>
      <c r="O1343" s="582">
        <v>65029</v>
      </c>
      <c r="P1343" s="582">
        <v>65044</v>
      </c>
      <c r="Q1343" s="578" t="s">
        <v>51</v>
      </c>
      <c r="R1343" s="361"/>
      <c r="S1343" s="360"/>
    </row>
    <row r="1344" spans="1:19">
      <c r="A1344" s="512">
        <f t="shared" si="13"/>
        <v>497</v>
      </c>
      <c r="B1344" s="579" t="s">
        <v>524</v>
      </c>
      <c r="C1344" s="579" t="s">
        <v>44</v>
      </c>
      <c r="D1344" s="579" t="s">
        <v>449</v>
      </c>
      <c r="E1344" s="580" t="s">
        <v>1791</v>
      </c>
      <c r="F1344" s="581" t="s">
        <v>491</v>
      </c>
      <c r="G1344" s="581">
        <v>9847881778</v>
      </c>
      <c r="H1344" s="578"/>
      <c r="I1344" s="581">
        <v>35</v>
      </c>
      <c r="J1344" s="579" t="s">
        <v>48</v>
      </c>
      <c r="K1344" s="579" t="s">
        <v>709</v>
      </c>
      <c r="L1344" s="604"/>
      <c r="M1344" s="586" t="s">
        <v>1764</v>
      </c>
      <c r="N1344" s="746">
        <v>65029</v>
      </c>
      <c r="O1344" s="582">
        <v>65029</v>
      </c>
      <c r="P1344" s="582">
        <v>65044</v>
      </c>
      <c r="Q1344" s="578" t="s">
        <v>51</v>
      </c>
      <c r="R1344" s="350"/>
      <c r="S1344" s="360"/>
    </row>
    <row r="1345" spans="1:31">
      <c r="A1345" s="512">
        <f t="shared" si="13"/>
        <v>498</v>
      </c>
      <c r="B1345" s="579" t="s">
        <v>524</v>
      </c>
      <c r="C1345" s="579" t="s">
        <v>44</v>
      </c>
      <c r="D1345" s="579" t="s">
        <v>449</v>
      </c>
      <c r="E1345" s="580" t="s">
        <v>1814</v>
      </c>
      <c r="F1345" s="581" t="s">
        <v>124</v>
      </c>
      <c r="G1345" s="581">
        <v>9847835847</v>
      </c>
      <c r="H1345" s="578"/>
      <c r="I1345" s="581">
        <v>48</v>
      </c>
      <c r="J1345" s="606" t="s">
        <v>1762</v>
      </c>
      <c r="K1345" s="579" t="s">
        <v>1480</v>
      </c>
      <c r="L1345" s="604"/>
      <c r="M1345" s="586" t="s">
        <v>1764</v>
      </c>
      <c r="N1345" s="746">
        <v>65029</v>
      </c>
      <c r="O1345" s="582">
        <v>65029</v>
      </c>
      <c r="P1345" s="582">
        <v>65044</v>
      </c>
      <c r="Q1345" s="578" t="s">
        <v>51</v>
      </c>
      <c r="R1345" s="350"/>
      <c r="S1345" s="360"/>
    </row>
    <row r="1346" spans="1:31">
      <c r="A1346" s="512">
        <f t="shared" si="13"/>
        <v>499</v>
      </c>
      <c r="B1346" s="579" t="s">
        <v>524</v>
      </c>
      <c r="C1346" s="579" t="s">
        <v>44</v>
      </c>
      <c r="D1346" s="579" t="s">
        <v>449</v>
      </c>
      <c r="E1346" s="580" t="s">
        <v>1786</v>
      </c>
      <c r="F1346" s="581" t="s">
        <v>598</v>
      </c>
      <c r="G1346" s="581">
        <v>9812866900</v>
      </c>
      <c r="H1346" s="578"/>
      <c r="I1346" s="581">
        <v>48</v>
      </c>
      <c r="J1346" s="579" t="s">
        <v>48</v>
      </c>
      <c r="K1346" s="579" t="s">
        <v>709</v>
      </c>
      <c r="L1346" s="604"/>
      <c r="M1346" s="586" t="s">
        <v>1764</v>
      </c>
      <c r="N1346" s="746">
        <v>65029</v>
      </c>
      <c r="O1346" s="582">
        <v>65029</v>
      </c>
      <c r="P1346" s="582">
        <v>65044</v>
      </c>
      <c r="Q1346" s="578" t="s">
        <v>51</v>
      </c>
      <c r="R1346" s="361"/>
      <c r="S1346" s="360"/>
    </row>
    <row r="1347" spans="1:31">
      <c r="A1347" s="512">
        <f t="shared" si="13"/>
        <v>500</v>
      </c>
      <c r="B1347" s="579" t="s">
        <v>524</v>
      </c>
      <c r="C1347" s="579" t="s">
        <v>44</v>
      </c>
      <c r="D1347" s="579" t="s">
        <v>449</v>
      </c>
      <c r="E1347" s="580" t="s">
        <v>1785</v>
      </c>
      <c r="F1347" s="581" t="s">
        <v>1009</v>
      </c>
      <c r="G1347" s="581">
        <v>9801191375</v>
      </c>
      <c r="H1347" s="578"/>
      <c r="I1347" s="581">
        <v>23</v>
      </c>
      <c r="J1347" s="579" t="s">
        <v>48</v>
      </c>
      <c r="K1347" s="579" t="s">
        <v>709</v>
      </c>
      <c r="L1347" s="604"/>
      <c r="M1347" s="586" t="s">
        <v>1764</v>
      </c>
      <c r="N1347" s="746">
        <v>65029</v>
      </c>
      <c r="O1347" s="582">
        <v>65029</v>
      </c>
      <c r="P1347" s="582">
        <v>65044</v>
      </c>
      <c r="Q1347" s="578" t="s">
        <v>51</v>
      </c>
    </row>
    <row r="1348" spans="1:31">
      <c r="A1348" s="512">
        <f t="shared" si="13"/>
        <v>501</v>
      </c>
      <c r="B1348" s="579" t="s">
        <v>524</v>
      </c>
      <c r="C1348" s="579" t="s">
        <v>44</v>
      </c>
      <c r="D1348" s="579" t="s">
        <v>449</v>
      </c>
      <c r="E1348" s="580" t="s">
        <v>1815</v>
      </c>
      <c r="F1348" s="581" t="s">
        <v>529</v>
      </c>
      <c r="G1348" s="581">
        <v>9845454238</v>
      </c>
      <c r="H1348" s="578"/>
      <c r="I1348" s="581">
        <v>38</v>
      </c>
      <c r="J1348" s="606" t="s">
        <v>1762</v>
      </c>
      <c r="K1348" s="579" t="s">
        <v>1480</v>
      </c>
      <c r="L1348" s="604"/>
      <c r="M1348" s="586" t="s">
        <v>1764</v>
      </c>
      <c r="N1348" s="746">
        <v>65029</v>
      </c>
      <c r="O1348" s="582">
        <v>65029</v>
      </c>
      <c r="P1348" s="582">
        <v>65044</v>
      </c>
      <c r="Q1348" s="578" t="s">
        <v>51</v>
      </c>
      <c r="R1348" s="361"/>
      <c r="S1348" s="360"/>
    </row>
    <row r="1349" spans="1:31">
      <c r="A1349" s="512">
        <f t="shared" si="13"/>
        <v>502</v>
      </c>
      <c r="B1349" s="579" t="s">
        <v>524</v>
      </c>
      <c r="C1349" s="579" t="s">
        <v>44</v>
      </c>
      <c r="D1349" s="579" t="s">
        <v>449</v>
      </c>
      <c r="E1349" s="584" t="s">
        <v>1731</v>
      </c>
      <c r="F1349" s="585" t="s">
        <v>1739</v>
      </c>
      <c r="G1349" s="579">
        <v>9847853629</v>
      </c>
      <c r="H1349" s="578"/>
      <c r="I1349" s="585">
        <v>46</v>
      </c>
      <c r="J1349" s="579" t="s">
        <v>90</v>
      </c>
      <c r="K1349" s="579" t="s">
        <v>1480</v>
      </c>
      <c r="L1349" s="579"/>
      <c r="M1349" s="586" t="s">
        <v>119</v>
      </c>
      <c r="N1349" s="753">
        <v>65029</v>
      </c>
      <c r="O1349" s="605">
        <v>65029</v>
      </c>
      <c r="P1349" s="582">
        <v>65044</v>
      </c>
      <c r="Q1349" s="578" t="s">
        <v>51</v>
      </c>
      <c r="R1349" s="350"/>
      <c r="S1349" s="360"/>
    </row>
    <row r="1350" spans="1:31">
      <c r="A1350" s="512">
        <f t="shared" si="13"/>
        <v>503</v>
      </c>
      <c r="B1350" s="579" t="s">
        <v>524</v>
      </c>
      <c r="C1350" s="579" t="s">
        <v>44</v>
      </c>
      <c r="D1350" s="579" t="s">
        <v>449</v>
      </c>
      <c r="E1350" s="580" t="s">
        <v>1823</v>
      </c>
      <c r="F1350" s="581" t="s">
        <v>491</v>
      </c>
      <c r="G1350" s="581">
        <v>9844913103</v>
      </c>
      <c r="H1350" s="578"/>
      <c r="I1350" s="581">
        <v>63</v>
      </c>
      <c r="J1350" s="579" t="s">
        <v>90</v>
      </c>
      <c r="K1350" s="579" t="s">
        <v>1480</v>
      </c>
      <c r="L1350" s="604"/>
      <c r="M1350" s="586" t="s">
        <v>1764</v>
      </c>
      <c r="N1350" s="746">
        <v>65029</v>
      </c>
      <c r="O1350" s="582">
        <v>65029</v>
      </c>
      <c r="P1350" s="582">
        <v>65044</v>
      </c>
      <c r="Q1350" s="578" t="s">
        <v>51</v>
      </c>
      <c r="T1350" s="326"/>
      <c r="U1350" s="326"/>
      <c r="V1350" s="326"/>
      <c r="W1350" s="326"/>
      <c r="X1350" s="326"/>
      <c r="Y1350" s="326"/>
      <c r="Z1350" s="326"/>
      <c r="AA1350" s="326"/>
      <c r="AB1350" s="326"/>
      <c r="AC1350" s="326"/>
      <c r="AD1350" s="326"/>
      <c r="AE1350" s="326"/>
    </row>
    <row r="1351" spans="1:31">
      <c r="A1351" s="512">
        <f t="shared" si="13"/>
        <v>504</v>
      </c>
      <c r="B1351" s="579" t="s">
        <v>524</v>
      </c>
      <c r="C1351" s="579" t="s">
        <v>44</v>
      </c>
      <c r="D1351" s="579" t="s">
        <v>449</v>
      </c>
      <c r="E1351" s="580" t="s">
        <v>1808</v>
      </c>
      <c r="F1351" s="581" t="s">
        <v>1008</v>
      </c>
      <c r="G1351" s="581">
        <v>9844902727</v>
      </c>
      <c r="H1351" s="578"/>
      <c r="I1351" s="581">
        <v>29</v>
      </c>
      <c r="J1351" s="579" t="s">
        <v>48</v>
      </c>
      <c r="K1351" s="579" t="s">
        <v>709</v>
      </c>
      <c r="L1351" s="604"/>
      <c r="M1351" s="586" t="s">
        <v>1764</v>
      </c>
      <c r="N1351" s="746">
        <v>65029</v>
      </c>
      <c r="O1351" s="582">
        <v>65029</v>
      </c>
      <c r="P1351" s="582">
        <v>65044</v>
      </c>
      <c r="Q1351" s="578" t="s">
        <v>51</v>
      </c>
      <c r="R1351" s="354"/>
      <c r="S1351" s="359"/>
    </row>
    <row r="1352" spans="1:31">
      <c r="A1352" s="512">
        <f t="shared" si="13"/>
        <v>505</v>
      </c>
      <c r="B1352" s="423" t="s">
        <v>524</v>
      </c>
      <c r="C1352" s="423" t="s">
        <v>44</v>
      </c>
      <c r="D1352" s="423" t="s">
        <v>449</v>
      </c>
      <c r="E1352" s="557" t="s">
        <v>2011</v>
      </c>
      <c r="F1352" s="402" t="s">
        <v>491</v>
      </c>
      <c r="G1352" s="402">
        <v>9844935236</v>
      </c>
      <c r="H1352" s="422"/>
      <c r="I1352" s="402">
        <v>46</v>
      </c>
      <c r="J1352" s="423" t="s">
        <v>48</v>
      </c>
      <c r="K1352" s="423" t="s">
        <v>345</v>
      </c>
      <c r="L1352" s="547"/>
      <c r="M1352" s="597" t="s">
        <v>262</v>
      </c>
      <c r="N1352" s="726">
        <v>65029</v>
      </c>
      <c r="O1352" s="476">
        <v>65029</v>
      </c>
      <c r="P1352" s="422" t="s">
        <v>2012</v>
      </c>
      <c r="Q1352" s="422" t="s">
        <v>940</v>
      </c>
      <c r="R1352" s="350"/>
      <c r="S1352" s="360"/>
    </row>
    <row r="1353" spans="1:31">
      <c r="A1353" s="512">
        <f t="shared" si="13"/>
        <v>506</v>
      </c>
      <c r="B1353" s="579" t="s">
        <v>524</v>
      </c>
      <c r="C1353" s="579" t="s">
        <v>44</v>
      </c>
      <c r="D1353" s="579" t="s">
        <v>449</v>
      </c>
      <c r="E1353" s="580" t="s">
        <v>1800</v>
      </c>
      <c r="F1353" s="581" t="s">
        <v>124</v>
      </c>
      <c r="G1353" s="581">
        <v>9860954927</v>
      </c>
      <c r="H1353" s="578"/>
      <c r="I1353" s="581">
        <v>48</v>
      </c>
      <c r="J1353" s="579" t="s">
        <v>48</v>
      </c>
      <c r="K1353" s="579" t="s">
        <v>709</v>
      </c>
      <c r="L1353" s="604"/>
      <c r="M1353" s="586" t="s">
        <v>1764</v>
      </c>
      <c r="N1353" s="746">
        <v>65029</v>
      </c>
      <c r="O1353" s="582">
        <v>65029</v>
      </c>
      <c r="P1353" s="582">
        <v>65044</v>
      </c>
      <c r="Q1353" s="578" t="s">
        <v>51</v>
      </c>
    </row>
    <row r="1354" spans="1:31">
      <c r="A1354" s="512">
        <f t="shared" si="13"/>
        <v>507</v>
      </c>
      <c r="B1354" s="579" t="s">
        <v>524</v>
      </c>
      <c r="C1354" s="579" t="s">
        <v>44</v>
      </c>
      <c r="D1354" s="579" t="s">
        <v>449</v>
      </c>
      <c r="E1354" s="580" t="s">
        <v>1795</v>
      </c>
      <c r="F1354" s="581" t="s">
        <v>124</v>
      </c>
      <c r="G1354" s="581">
        <v>9841640352</v>
      </c>
      <c r="H1354" s="578"/>
      <c r="I1354" s="581">
        <v>49</v>
      </c>
      <c r="J1354" s="579" t="s">
        <v>48</v>
      </c>
      <c r="K1354" s="579" t="s">
        <v>709</v>
      </c>
      <c r="L1354" s="604"/>
      <c r="M1354" s="586" t="s">
        <v>1764</v>
      </c>
      <c r="N1354" s="746">
        <v>65029</v>
      </c>
      <c r="O1354" s="582">
        <v>65029</v>
      </c>
      <c r="P1354" s="582">
        <v>65044</v>
      </c>
      <c r="Q1354" s="578" t="s">
        <v>51</v>
      </c>
      <c r="R1354" s="361"/>
      <c r="S1354" s="360"/>
    </row>
    <row r="1355" spans="1:31">
      <c r="A1355" s="512">
        <f t="shared" si="13"/>
        <v>508</v>
      </c>
      <c r="B1355" s="579" t="s">
        <v>524</v>
      </c>
      <c r="C1355" s="579" t="s">
        <v>44</v>
      </c>
      <c r="D1355" s="579" t="s">
        <v>449</v>
      </c>
      <c r="E1355" s="584" t="s">
        <v>1732</v>
      </c>
      <c r="F1355" s="585" t="s">
        <v>1742</v>
      </c>
      <c r="G1355" s="579">
        <v>9868600995</v>
      </c>
      <c r="H1355" s="578"/>
      <c r="I1355" s="585">
        <v>27</v>
      </c>
      <c r="J1355" s="579" t="s">
        <v>48</v>
      </c>
      <c r="K1355" s="579" t="s">
        <v>1480</v>
      </c>
      <c r="L1355" s="579"/>
      <c r="M1355" s="586" t="s">
        <v>119</v>
      </c>
      <c r="N1355" s="753">
        <v>65029</v>
      </c>
      <c r="O1355" s="605">
        <v>65029</v>
      </c>
      <c r="P1355" s="582">
        <v>65044</v>
      </c>
      <c r="Q1355" s="578" t="s">
        <v>51</v>
      </c>
      <c r="R1355" s="350"/>
      <c r="S1355" s="360"/>
    </row>
    <row r="1356" spans="1:31">
      <c r="A1356" s="512">
        <f t="shared" si="13"/>
        <v>509</v>
      </c>
      <c r="B1356" s="579" t="s">
        <v>524</v>
      </c>
      <c r="C1356" s="579" t="s">
        <v>44</v>
      </c>
      <c r="D1356" s="579" t="s">
        <v>449</v>
      </c>
      <c r="E1356" s="580" t="s">
        <v>1816</v>
      </c>
      <c r="F1356" s="581" t="s">
        <v>488</v>
      </c>
      <c r="G1356" s="581">
        <v>9857835053</v>
      </c>
      <c r="H1356" s="578"/>
      <c r="I1356" s="581">
        <v>30</v>
      </c>
      <c r="J1356" s="606" t="s">
        <v>1762</v>
      </c>
      <c r="K1356" s="579" t="s">
        <v>1480</v>
      </c>
      <c r="L1356" s="604"/>
      <c r="M1356" s="586" t="s">
        <v>1764</v>
      </c>
      <c r="N1356" s="746">
        <v>65029</v>
      </c>
      <c r="O1356" s="582">
        <v>65029</v>
      </c>
      <c r="P1356" s="582">
        <v>65044</v>
      </c>
      <c r="Q1356" s="578" t="s">
        <v>51</v>
      </c>
      <c r="R1356" s="350"/>
      <c r="S1356" s="360"/>
    </row>
    <row r="1357" spans="1:31">
      <c r="A1357" s="512">
        <f t="shared" si="13"/>
        <v>510</v>
      </c>
      <c r="B1357" s="579" t="s">
        <v>524</v>
      </c>
      <c r="C1357" s="579" t="s">
        <v>44</v>
      </c>
      <c r="D1357" s="579" t="s">
        <v>449</v>
      </c>
      <c r="E1357" s="580" t="s">
        <v>1804</v>
      </c>
      <c r="F1357" s="581" t="s">
        <v>491</v>
      </c>
      <c r="G1357" s="581">
        <v>9847888706</v>
      </c>
      <c r="H1357" s="578"/>
      <c r="I1357" s="581">
        <v>44</v>
      </c>
      <c r="J1357" s="579" t="s">
        <v>90</v>
      </c>
      <c r="K1357" s="579" t="s">
        <v>709</v>
      </c>
      <c r="L1357" s="604"/>
      <c r="M1357" s="586" t="s">
        <v>1764</v>
      </c>
      <c r="N1357" s="746">
        <v>65029</v>
      </c>
      <c r="O1357" s="582">
        <v>65029</v>
      </c>
      <c r="P1357" s="582">
        <v>65044</v>
      </c>
      <c r="Q1357" s="578" t="s">
        <v>51</v>
      </c>
      <c r="R1357" s="350"/>
      <c r="S1357" s="360"/>
    </row>
    <row r="1358" spans="1:31">
      <c r="A1358" s="512">
        <f t="shared" si="13"/>
        <v>511</v>
      </c>
      <c r="B1358" s="579" t="s">
        <v>524</v>
      </c>
      <c r="C1358" s="579" t="s">
        <v>44</v>
      </c>
      <c r="D1358" s="579" t="s">
        <v>449</v>
      </c>
      <c r="E1358" s="580" t="s">
        <v>1788</v>
      </c>
      <c r="F1358" s="581" t="s">
        <v>502</v>
      </c>
      <c r="G1358" s="581">
        <v>9860050576</v>
      </c>
      <c r="H1358" s="578"/>
      <c r="I1358" s="581">
        <v>31</v>
      </c>
      <c r="J1358" s="579" t="s">
        <v>90</v>
      </c>
      <c r="K1358" s="579" t="s">
        <v>709</v>
      </c>
      <c r="L1358" s="604"/>
      <c r="M1358" s="586" t="s">
        <v>1764</v>
      </c>
      <c r="N1358" s="746">
        <v>65029</v>
      </c>
      <c r="O1358" s="582">
        <v>65029</v>
      </c>
      <c r="P1358" s="582">
        <v>65044</v>
      </c>
      <c r="Q1358" s="578" t="s">
        <v>51</v>
      </c>
      <c r="R1358" s="361"/>
      <c r="S1358" s="360"/>
    </row>
    <row r="1359" spans="1:31">
      <c r="A1359" s="512">
        <f t="shared" si="13"/>
        <v>512</v>
      </c>
      <c r="B1359" s="579" t="s">
        <v>524</v>
      </c>
      <c r="C1359" s="579" t="s">
        <v>44</v>
      </c>
      <c r="D1359" s="579" t="s">
        <v>449</v>
      </c>
      <c r="E1359" s="580" t="s">
        <v>1776</v>
      </c>
      <c r="F1359" s="581" t="s">
        <v>502</v>
      </c>
      <c r="G1359" s="581">
        <v>9847885007</v>
      </c>
      <c r="H1359" s="578"/>
      <c r="I1359" s="581">
        <v>39</v>
      </c>
      <c r="J1359" s="579" t="s">
        <v>90</v>
      </c>
      <c r="K1359" s="579" t="s">
        <v>709</v>
      </c>
      <c r="L1359" s="604"/>
      <c r="M1359" s="586" t="s">
        <v>1764</v>
      </c>
      <c r="N1359" s="746">
        <v>65029</v>
      </c>
      <c r="O1359" s="582">
        <v>65029</v>
      </c>
      <c r="P1359" s="582">
        <v>65044</v>
      </c>
      <c r="Q1359" s="578" t="s">
        <v>51</v>
      </c>
      <c r="R1359" s="361"/>
      <c r="S1359" s="360"/>
    </row>
    <row r="1360" spans="1:31">
      <c r="A1360" s="512">
        <f t="shared" si="13"/>
        <v>513</v>
      </c>
      <c r="B1360" s="579" t="s">
        <v>524</v>
      </c>
      <c r="C1360" s="579" t="s">
        <v>44</v>
      </c>
      <c r="D1360" s="579" t="s">
        <v>449</v>
      </c>
      <c r="E1360" s="580" t="s">
        <v>1817</v>
      </c>
      <c r="F1360" s="581" t="s">
        <v>124</v>
      </c>
      <c r="G1360" s="581">
        <v>9843696153</v>
      </c>
      <c r="H1360" s="578"/>
      <c r="I1360" s="581">
        <v>24</v>
      </c>
      <c r="J1360" s="606" t="s">
        <v>1762</v>
      </c>
      <c r="K1360" s="579" t="s">
        <v>1480</v>
      </c>
      <c r="L1360" s="604"/>
      <c r="M1360" s="586" t="s">
        <v>1764</v>
      </c>
      <c r="N1360" s="746">
        <v>65029</v>
      </c>
      <c r="O1360" s="582">
        <v>65029</v>
      </c>
      <c r="P1360" s="582">
        <v>65044</v>
      </c>
      <c r="Q1360" s="578" t="s">
        <v>51</v>
      </c>
    </row>
    <row r="1361" spans="1:19">
      <c r="A1361" s="512">
        <f t="shared" si="13"/>
        <v>514</v>
      </c>
      <c r="B1361" s="579" t="s">
        <v>524</v>
      </c>
      <c r="C1361" s="579" t="s">
        <v>44</v>
      </c>
      <c r="D1361" s="579" t="s">
        <v>449</v>
      </c>
      <c r="E1361" s="580" t="s">
        <v>1824</v>
      </c>
      <c r="F1361" s="581" t="s">
        <v>502</v>
      </c>
      <c r="G1361" s="581">
        <v>9847830547</v>
      </c>
      <c r="H1361" s="578"/>
      <c r="I1361" s="581">
        <v>83</v>
      </c>
      <c r="J1361" s="579" t="s">
        <v>90</v>
      </c>
      <c r="K1361" s="579" t="s">
        <v>1480</v>
      </c>
      <c r="L1361" s="604"/>
      <c r="M1361" s="586" t="s">
        <v>1764</v>
      </c>
      <c r="N1361" s="746">
        <v>65029</v>
      </c>
      <c r="O1361" s="582">
        <v>65029</v>
      </c>
      <c r="P1361" s="582">
        <v>65044</v>
      </c>
      <c r="Q1361" s="578" t="s">
        <v>51</v>
      </c>
      <c r="R1361" s="350"/>
      <c r="S1361" s="360"/>
    </row>
    <row r="1362" spans="1:19">
      <c r="A1362" s="512">
        <f t="shared" ref="A1362:A1425" si="14">A1361+1</f>
        <v>515</v>
      </c>
      <c r="B1362" s="579" t="s">
        <v>524</v>
      </c>
      <c r="C1362" s="579" t="s">
        <v>44</v>
      </c>
      <c r="D1362" s="579" t="s">
        <v>449</v>
      </c>
      <c r="E1362" s="584" t="s">
        <v>1733</v>
      </c>
      <c r="F1362" s="585" t="s">
        <v>603</v>
      </c>
      <c r="G1362" s="579">
        <v>9847822698</v>
      </c>
      <c r="H1362" s="578"/>
      <c r="I1362" s="585">
        <v>28</v>
      </c>
      <c r="J1362" s="579" t="s">
        <v>90</v>
      </c>
      <c r="K1362" s="579" t="s">
        <v>1480</v>
      </c>
      <c r="L1362" s="579"/>
      <c r="M1362" s="586" t="s">
        <v>119</v>
      </c>
      <c r="N1362" s="753">
        <v>65029</v>
      </c>
      <c r="O1362" s="605">
        <v>65029</v>
      </c>
      <c r="P1362" s="582">
        <v>65044</v>
      </c>
      <c r="Q1362" s="578" t="s">
        <v>51</v>
      </c>
      <c r="R1362" s="350"/>
      <c r="S1362" s="360"/>
    </row>
    <row r="1363" spans="1:19">
      <c r="A1363" s="512">
        <f t="shared" si="14"/>
        <v>516</v>
      </c>
      <c r="B1363" s="579" t="s">
        <v>524</v>
      </c>
      <c r="C1363" s="579" t="s">
        <v>44</v>
      </c>
      <c r="D1363" s="579" t="s">
        <v>449</v>
      </c>
      <c r="E1363" s="580" t="s">
        <v>1779</v>
      </c>
      <c r="F1363" s="581" t="s">
        <v>491</v>
      </c>
      <c r="G1363" s="581">
        <v>9812848877</v>
      </c>
      <c r="H1363" s="578"/>
      <c r="I1363" s="581">
        <v>33</v>
      </c>
      <c r="J1363" s="579" t="s">
        <v>90</v>
      </c>
      <c r="K1363" s="579" t="s">
        <v>709</v>
      </c>
      <c r="L1363" s="604"/>
      <c r="M1363" s="586" t="s">
        <v>1764</v>
      </c>
      <c r="N1363" s="746">
        <v>65029</v>
      </c>
      <c r="O1363" s="582">
        <v>65029</v>
      </c>
      <c r="P1363" s="582">
        <v>65044</v>
      </c>
      <c r="Q1363" s="578" t="s">
        <v>51</v>
      </c>
    </row>
    <row r="1364" spans="1:19">
      <c r="A1364" s="512">
        <f t="shared" si="14"/>
        <v>517</v>
      </c>
      <c r="B1364" s="579" t="s">
        <v>524</v>
      </c>
      <c r="C1364" s="579" t="s">
        <v>44</v>
      </c>
      <c r="D1364" s="579" t="s">
        <v>449</v>
      </c>
      <c r="E1364" s="580" t="s">
        <v>1789</v>
      </c>
      <c r="F1364" s="581" t="s">
        <v>441</v>
      </c>
      <c r="G1364" s="581">
        <v>9847978942</v>
      </c>
      <c r="H1364" s="578"/>
      <c r="I1364" s="581">
        <v>17</v>
      </c>
      <c r="J1364" s="579" t="s">
        <v>48</v>
      </c>
      <c r="K1364" s="579" t="s">
        <v>709</v>
      </c>
      <c r="L1364" s="604"/>
      <c r="M1364" s="586" t="s">
        <v>1764</v>
      </c>
      <c r="N1364" s="746">
        <v>65029</v>
      </c>
      <c r="O1364" s="582">
        <v>65029</v>
      </c>
      <c r="P1364" s="582">
        <v>65044</v>
      </c>
      <c r="Q1364" s="578" t="s">
        <v>51</v>
      </c>
      <c r="R1364" s="350"/>
      <c r="S1364" s="360"/>
    </row>
    <row r="1365" spans="1:19">
      <c r="A1365" s="512">
        <f t="shared" si="14"/>
        <v>518</v>
      </c>
      <c r="B1365" s="579" t="s">
        <v>524</v>
      </c>
      <c r="C1365" s="579" t="s">
        <v>44</v>
      </c>
      <c r="D1365" s="579" t="s">
        <v>449</v>
      </c>
      <c r="E1365" s="584" t="s">
        <v>1734</v>
      </c>
      <c r="F1365" s="585" t="s">
        <v>1739</v>
      </c>
      <c r="G1365" s="579">
        <v>9847853629</v>
      </c>
      <c r="H1365" s="578"/>
      <c r="I1365" s="585">
        <v>19</v>
      </c>
      <c r="J1365" s="579" t="s">
        <v>90</v>
      </c>
      <c r="K1365" s="579" t="s">
        <v>1480</v>
      </c>
      <c r="L1365" s="579"/>
      <c r="M1365" s="586" t="s">
        <v>119</v>
      </c>
      <c r="N1365" s="753">
        <v>65029</v>
      </c>
      <c r="O1365" s="605">
        <v>65029</v>
      </c>
      <c r="P1365" s="582">
        <v>65044</v>
      </c>
      <c r="Q1365" s="578" t="s">
        <v>51</v>
      </c>
      <c r="R1365" s="350"/>
      <c r="S1365" s="360"/>
    </row>
    <row r="1366" spans="1:19">
      <c r="A1366" s="512">
        <f t="shared" si="14"/>
        <v>519</v>
      </c>
      <c r="B1366" s="579" t="s">
        <v>524</v>
      </c>
      <c r="C1366" s="579" t="s">
        <v>44</v>
      </c>
      <c r="D1366" s="579" t="s">
        <v>449</v>
      </c>
      <c r="E1366" s="580" t="s">
        <v>1782</v>
      </c>
      <c r="F1366" s="581" t="s">
        <v>1204</v>
      </c>
      <c r="G1366" s="581">
        <v>9847846006</v>
      </c>
      <c r="H1366" s="578"/>
      <c r="I1366" s="581">
        <v>11</v>
      </c>
      <c r="J1366" s="579" t="s">
        <v>90</v>
      </c>
      <c r="K1366" s="579" t="s">
        <v>709</v>
      </c>
      <c r="L1366" s="604"/>
      <c r="M1366" s="586" t="s">
        <v>1764</v>
      </c>
      <c r="N1366" s="746">
        <v>65029</v>
      </c>
      <c r="O1366" s="582">
        <v>65029</v>
      </c>
      <c r="P1366" s="582">
        <v>65044</v>
      </c>
      <c r="Q1366" s="578" t="s">
        <v>51</v>
      </c>
      <c r="R1366" s="350"/>
      <c r="S1366" s="360"/>
    </row>
    <row r="1367" spans="1:19">
      <c r="A1367" s="512">
        <f t="shared" si="14"/>
        <v>520</v>
      </c>
      <c r="B1367" s="579" t="s">
        <v>524</v>
      </c>
      <c r="C1367" s="579" t="s">
        <v>44</v>
      </c>
      <c r="D1367" s="579" t="s">
        <v>449</v>
      </c>
      <c r="E1367" s="580" t="s">
        <v>1792</v>
      </c>
      <c r="F1367" s="581" t="s">
        <v>491</v>
      </c>
      <c r="G1367" s="581">
        <v>9844903830</v>
      </c>
      <c r="H1367" s="578"/>
      <c r="I1367" s="581">
        <v>10</v>
      </c>
      <c r="J1367" s="579" t="s">
        <v>90</v>
      </c>
      <c r="K1367" s="579" t="s">
        <v>709</v>
      </c>
      <c r="L1367" s="604"/>
      <c r="M1367" s="586" t="s">
        <v>1764</v>
      </c>
      <c r="N1367" s="746">
        <v>65029</v>
      </c>
      <c r="O1367" s="582">
        <v>65029</v>
      </c>
      <c r="P1367" s="582">
        <v>65044</v>
      </c>
      <c r="Q1367" s="578" t="s">
        <v>51</v>
      </c>
      <c r="R1367" s="361"/>
      <c r="S1367" s="360"/>
    </row>
    <row r="1368" spans="1:19">
      <c r="A1368" s="512">
        <f t="shared" si="14"/>
        <v>521</v>
      </c>
      <c r="B1368" s="579" t="s">
        <v>524</v>
      </c>
      <c r="C1368" s="579" t="s">
        <v>44</v>
      </c>
      <c r="D1368" s="579" t="s">
        <v>449</v>
      </c>
      <c r="E1368" s="580" t="s">
        <v>1796</v>
      </c>
      <c r="F1368" s="581" t="s">
        <v>124</v>
      </c>
      <c r="G1368" s="581">
        <v>98807598500</v>
      </c>
      <c r="H1368" s="578"/>
      <c r="I1368" s="581">
        <v>20</v>
      </c>
      <c r="J1368" s="579" t="s">
        <v>48</v>
      </c>
      <c r="K1368" s="579" t="s">
        <v>709</v>
      </c>
      <c r="L1368" s="604"/>
      <c r="M1368" s="586" t="s">
        <v>1764</v>
      </c>
      <c r="N1368" s="746">
        <v>65029</v>
      </c>
      <c r="O1368" s="582">
        <v>65029</v>
      </c>
      <c r="P1368" s="582">
        <v>65044</v>
      </c>
      <c r="Q1368" s="578" t="s">
        <v>51</v>
      </c>
      <c r="R1368" s="350"/>
      <c r="S1368" s="360"/>
    </row>
    <row r="1369" spans="1:19">
      <c r="A1369" s="512">
        <f t="shared" si="14"/>
        <v>522</v>
      </c>
      <c r="B1369" s="579" t="s">
        <v>524</v>
      </c>
      <c r="C1369" s="579" t="s">
        <v>44</v>
      </c>
      <c r="D1369" s="579" t="s">
        <v>449</v>
      </c>
      <c r="E1369" s="580" t="s">
        <v>1818</v>
      </c>
      <c r="F1369" s="581" t="s">
        <v>502</v>
      </c>
      <c r="G1369" s="581">
        <v>9810826170</v>
      </c>
      <c r="H1369" s="578"/>
      <c r="I1369" s="581">
        <v>35</v>
      </c>
      <c r="J1369" s="606" t="s">
        <v>1762</v>
      </c>
      <c r="K1369" s="579" t="s">
        <v>1480</v>
      </c>
      <c r="L1369" s="604"/>
      <c r="M1369" s="586" t="s">
        <v>1764</v>
      </c>
      <c r="N1369" s="746">
        <v>65029</v>
      </c>
      <c r="O1369" s="582">
        <v>65029</v>
      </c>
      <c r="P1369" s="582">
        <v>65044</v>
      </c>
      <c r="Q1369" s="578" t="s">
        <v>51</v>
      </c>
      <c r="R1369" s="350"/>
      <c r="S1369" s="360"/>
    </row>
    <row r="1370" spans="1:19">
      <c r="A1370" s="512">
        <f t="shared" si="14"/>
        <v>523</v>
      </c>
      <c r="B1370" s="579" t="s">
        <v>524</v>
      </c>
      <c r="C1370" s="579" t="s">
        <v>44</v>
      </c>
      <c r="D1370" s="579" t="s">
        <v>449</v>
      </c>
      <c r="E1370" s="580" t="s">
        <v>1783</v>
      </c>
      <c r="F1370" s="581" t="s">
        <v>1008</v>
      </c>
      <c r="G1370" s="581">
        <v>9809777044</v>
      </c>
      <c r="H1370" s="578"/>
      <c r="I1370" s="581">
        <v>30</v>
      </c>
      <c r="J1370" s="579" t="s">
        <v>90</v>
      </c>
      <c r="K1370" s="579" t="s">
        <v>709</v>
      </c>
      <c r="L1370" s="604"/>
      <c r="M1370" s="586" t="s">
        <v>1764</v>
      </c>
      <c r="N1370" s="746">
        <v>65029</v>
      </c>
      <c r="O1370" s="582">
        <v>65029</v>
      </c>
      <c r="P1370" s="582">
        <v>65044</v>
      </c>
      <c r="Q1370" s="578" t="s">
        <v>51</v>
      </c>
      <c r="R1370" s="361"/>
      <c r="S1370" s="360"/>
    </row>
    <row r="1371" spans="1:19" s="326" customFormat="1">
      <c r="A1371" s="512">
        <f t="shared" si="14"/>
        <v>524</v>
      </c>
      <c r="B1371" s="579" t="s">
        <v>524</v>
      </c>
      <c r="C1371" s="579" t="s">
        <v>44</v>
      </c>
      <c r="D1371" s="579" t="s">
        <v>449</v>
      </c>
      <c r="E1371" s="580" t="s">
        <v>1794</v>
      </c>
      <c r="F1371" s="581" t="s">
        <v>441</v>
      </c>
      <c r="G1371" s="581">
        <v>9809830636</v>
      </c>
      <c r="H1371" s="578"/>
      <c r="I1371" s="581">
        <v>19</v>
      </c>
      <c r="J1371" s="579" t="s">
        <v>90</v>
      </c>
      <c r="K1371" s="579" t="s">
        <v>709</v>
      </c>
      <c r="L1371" s="604"/>
      <c r="M1371" s="586" t="s">
        <v>1764</v>
      </c>
      <c r="N1371" s="746">
        <v>65029</v>
      </c>
      <c r="O1371" s="582">
        <v>65029</v>
      </c>
      <c r="P1371" s="582">
        <v>65044</v>
      </c>
      <c r="Q1371" s="578" t="s">
        <v>51</v>
      </c>
      <c r="R1371" s="354"/>
      <c r="S1371" s="359"/>
    </row>
    <row r="1372" spans="1:19">
      <c r="A1372" s="512">
        <f t="shared" si="14"/>
        <v>525</v>
      </c>
      <c r="B1372" s="423" t="s">
        <v>524</v>
      </c>
      <c r="C1372" s="423" t="s">
        <v>44</v>
      </c>
      <c r="D1372" s="423" t="s">
        <v>449</v>
      </c>
      <c r="E1372" s="557" t="s">
        <v>1819</v>
      </c>
      <c r="F1372" s="402" t="s">
        <v>598</v>
      </c>
      <c r="G1372" s="402">
        <v>9847944588</v>
      </c>
      <c r="H1372" s="422"/>
      <c r="I1372" s="402">
        <v>55</v>
      </c>
      <c r="J1372" s="402" t="s">
        <v>1762</v>
      </c>
      <c r="K1372" s="423" t="s">
        <v>1480</v>
      </c>
      <c r="L1372" s="547"/>
      <c r="M1372" s="597" t="s">
        <v>1764</v>
      </c>
      <c r="N1372" s="726">
        <v>65029</v>
      </c>
      <c r="O1372" s="476">
        <v>65029</v>
      </c>
      <c r="P1372" s="476">
        <v>65039</v>
      </c>
      <c r="Q1372" s="422" t="s">
        <v>940</v>
      </c>
      <c r="R1372" s="350"/>
      <c r="S1372" s="360"/>
    </row>
    <row r="1373" spans="1:19">
      <c r="A1373" s="512">
        <f t="shared" si="14"/>
        <v>526</v>
      </c>
      <c r="B1373" s="579" t="s">
        <v>524</v>
      </c>
      <c r="C1373" s="579" t="s">
        <v>44</v>
      </c>
      <c r="D1373" s="579" t="s">
        <v>449</v>
      </c>
      <c r="E1373" s="580" t="s">
        <v>1820</v>
      </c>
      <c r="F1373" s="581" t="s">
        <v>441</v>
      </c>
      <c r="G1373" s="581">
        <v>9869382823</v>
      </c>
      <c r="H1373" s="578"/>
      <c r="I1373" s="581">
        <v>51</v>
      </c>
      <c r="J1373" s="606" t="s">
        <v>1762</v>
      </c>
      <c r="K1373" s="579" t="s">
        <v>1480</v>
      </c>
      <c r="L1373" s="604"/>
      <c r="M1373" s="586" t="s">
        <v>1764</v>
      </c>
      <c r="N1373" s="746">
        <v>65029</v>
      </c>
      <c r="O1373" s="582">
        <v>65029</v>
      </c>
      <c r="P1373" s="582">
        <v>65044</v>
      </c>
      <c r="Q1373" s="578" t="s">
        <v>51</v>
      </c>
      <c r="R1373" s="350"/>
      <c r="S1373" s="360"/>
    </row>
    <row r="1374" spans="1:19">
      <c r="A1374" s="512">
        <f t="shared" si="14"/>
        <v>527</v>
      </c>
      <c r="B1374" s="613" t="s">
        <v>524</v>
      </c>
      <c r="C1374" s="613" t="s">
        <v>44</v>
      </c>
      <c r="D1374" s="613" t="s">
        <v>449</v>
      </c>
      <c r="E1374" s="614" t="s">
        <v>1766</v>
      </c>
      <c r="F1374" s="615" t="s">
        <v>529</v>
      </c>
      <c r="G1374" s="615">
        <v>9801333970</v>
      </c>
      <c r="H1374" s="612"/>
      <c r="I1374" s="615">
        <v>36</v>
      </c>
      <c r="J1374" s="613" t="s">
        <v>48</v>
      </c>
      <c r="K1374" s="613" t="s">
        <v>709</v>
      </c>
      <c r="L1374" s="616"/>
      <c r="M1374" s="571" t="s">
        <v>1764</v>
      </c>
      <c r="N1374" s="730">
        <v>65029</v>
      </c>
      <c r="O1374" s="617">
        <v>65029</v>
      </c>
      <c r="P1374" s="617">
        <v>65028</v>
      </c>
      <c r="Q1374" s="578" t="s">
        <v>51</v>
      </c>
      <c r="R1374" s="350"/>
      <c r="S1374" s="360"/>
    </row>
    <row r="1375" spans="1:19">
      <c r="A1375" s="512">
        <f t="shared" si="14"/>
        <v>528</v>
      </c>
      <c r="B1375" s="507" t="s">
        <v>524</v>
      </c>
      <c r="C1375" s="507" t="s">
        <v>44</v>
      </c>
      <c r="D1375" s="507" t="s">
        <v>449</v>
      </c>
      <c r="E1375" s="618" t="s">
        <v>1802</v>
      </c>
      <c r="F1375" s="505" t="s">
        <v>124</v>
      </c>
      <c r="G1375" s="505">
        <v>9840602702</v>
      </c>
      <c r="H1375" s="527"/>
      <c r="I1375" s="505">
        <v>34</v>
      </c>
      <c r="J1375" s="579" t="s">
        <v>90</v>
      </c>
      <c r="K1375" s="507" t="s">
        <v>709</v>
      </c>
      <c r="L1375" s="619"/>
      <c r="M1375" s="620" t="s">
        <v>54</v>
      </c>
      <c r="N1375" s="755">
        <v>65029</v>
      </c>
      <c r="O1375" s="559">
        <v>65029</v>
      </c>
      <c r="P1375" s="559">
        <v>65045</v>
      </c>
      <c r="Q1375" s="527" t="s">
        <v>940</v>
      </c>
      <c r="R1375" s="350"/>
      <c r="S1375" s="360"/>
    </row>
    <row r="1376" spans="1:19" s="163" customFormat="1">
      <c r="A1376" s="512">
        <f t="shared" si="14"/>
        <v>529</v>
      </c>
      <c r="B1376" s="579" t="s">
        <v>524</v>
      </c>
      <c r="C1376" s="579" t="s">
        <v>44</v>
      </c>
      <c r="D1376" s="579" t="s">
        <v>449</v>
      </c>
      <c r="E1376" s="580" t="s">
        <v>1797</v>
      </c>
      <c r="F1376" s="581" t="s">
        <v>1009</v>
      </c>
      <c r="G1376" s="581">
        <v>9857834885</v>
      </c>
      <c r="H1376" s="578"/>
      <c r="I1376" s="581">
        <v>31</v>
      </c>
      <c r="J1376" s="579" t="s">
        <v>48</v>
      </c>
      <c r="K1376" s="579" t="s">
        <v>709</v>
      </c>
      <c r="L1376" s="604"/>
      <c r="M1376" s="586" t="s">
        <v>1764</v>
      </c>
      <c r="N1376" s="746">
        <v>65029</v>
      </c>
      <c r="O1376" s="582">
        <v>65029</v>
      </c>
      <c r="P1376" s="582">
        <v>65044</v>
      </c>
      <c r="Q1376" s="578" t="s">
        <v>51</v>
      </c>
    </row>
    <row r="1377" spans="1:31">
      <c r="A1377" s="512">
        <f t="shared" si="14"/>
        <v>530</v>
      </c>
      <c r="B1377" s="490" t="s">
        <v>524</v>
      </c>
      <c r="C1377" s="490" t="s">
        <v>44</v>
      </c>
      <c r="D1377" s="490" t="s">
        <v>449</v>
      </c>
      <c r="E1377" s="607" t="s">
        <v>1801</v>
      </c>
      <c r="F1377" s="608" t="s">
        <v>730</v>
      </c>
      <c r="G1377" s="608">
        <v>9847832893</v>
      </c>
      <c r="H1377" s="509"/>
      <c r="I1377" s="608">
        <v>41</v>
      </c>
      <c r="J1377" s="490" t="s">
        <v>48</v>
      </c>
      <c r="K1377" s="490" t="s">
        <v>709</v>
      </c>
      <c r="L1377" s="299"/>
      <c r="M1377" s="609" t="s">
        <v>1764</v>
      </c>
      <c r="N1377" s="749">
        <v>65029</v>
      </c>
      <c r="O1377" s="511">
        <v>65029</v>
      </c>
      <c r="P1377" s="617">
        <v>65028</v>
      </c>
      <c r="Q1377" s="578" t="s">
        <v>51</v>
      </c>
      <c r="R1377" s="361"/>
      <c r="S1377" s="360"/>
    </row>
    <row r="1378" spans="1:31">
      <c r="A1378" s="512">
        <f t="shared" si="14"/>
        <v>531</v>
      </c>
      <c r="B1378" s="438" t="s">
        <v>524</v>
      </c>
      <c r="C1378" s="438" t="s">
        <v>44</v>
      </c>
      <c r="D1378" s="438" t="s">
        <v>449</v>
      </c>
      <c r="E1378" s="148" t="s">
        <v>1735</v>
      </c>
      <c r="F1378" s="591" t="s">
        <v>1739</v>
      </c>
      <c r="G1378" s="438"/>
      <c r="H1378" s="436"/>
      <c r="I1378" s="591">
        <v>30</v>
      </c>
      <c r="J1378" s="438" t="s">
        <v>48</v>
      </c>
      <c r="K1378" s="438"/>
      <c r="L1378" s="438"/>
      <c r="M1378" s="592" t="s">
        <v>54</v>
      </c>
      <c r="N1378" s="754">
        <v>65029</v>
      </c>
      <c r="O1378" s="610">
        <v>65029</v>
      </c>
      <c r="P1378" s="465">
        <v>65061</v>
      </c>
      <c r="Q1378" s="436" t="s">
        <v>51</v>
      </c>
      <c r="R1378" s="350"/>
      <c r="S1378" s="360"/>
    </row>
    <row r="1379" spans="1:31">
      <c r="A1379" s="512">
        <f t="shared" si="14"/>
        <v>532</v>
      </c>
      <c r="B1379" s="579" t="s">
        <v>524</v>
      </c>
      <c r="C1379" s="579" t="s">
        <v>44</v>
      </c>
      <c r="D1379" s="579" t="s">
        <v>449</v>
      </c>
      <c r="E1379" s="580" t="s">
        <v>1825</v>
      </c>
      <c r="F1379" s="581" t="s">
        <v>124</v>
      </c>
      <c r="G1379" s="581">
        <v>9809776232</v>
      </c>
      <c r="H1379" s="578"/>
      <c r="I1379" s="581">
        <v>26</v>
      </c>
      <c r="J1379" s="579" t="s">
        <v>90</v>
      </c>
      <c r="K1379" s="579" t="s">
        <v>1480</v>
      </c>
      <c r="L1379" s="604"/>
      <c r="M1379" s="586" t="s">
        <v>1764</v>
      </c>
      <c r="N1379" s="746">
        <v>65029</v>
      </c>
      <c r="O1379" s="582">
        <v>65028</v>
      </c>
      <c r="P1379" s="582">
        <v>65044</v>
      </c>
      <c r="Q1379" s="578" t="s">
        <v>51</v>
      </c>
    </row>
    <row r="1380" spans="1:31">
      <c r="A1380" s="512">
        <f t="shared" si="14"/>
        <v>533</v>
      </c>
      <c r="B1380" s="579" t="s">
        <v>524</v>
      </c>
      <c r="C1380" s="579" t="s">
        <v>44</v>
      </c>
      <c r="D1380" s="579" t="s">
        <v>449</v>
      </c>
      <c r="E1380" s="580" t="s">
        <v>1807</v>
      </c>
      <c r="F1380" s="581" t="s">
        <v>441</v>
      </c>
      <c r="G1380" s="581">
        <v>9847836872</v>
      </c>
      <c r="H1380" s="578"/>
      <c r="I1380" s="581">
        <v>7</v>
      </c>
      <c r="J1380" s="579" t="s">
        <v>48</v>
      </c>
      <c r="K1380" s="579" t="s">
        <v>709</v>
      </c>
      <c r="L1380" s="604"/>
      <c r="M1380" s="586" t="s">
        <v>1764</v>
      </c>
      <c r="N1380" s="746">
        <v>65029</v>
      </c>
      <c r="O1380" s="582">
        <v>65029</v>
      </c>
      <c r="P1380" s="582">
        <v>65044</v>
      </c>
      <c r="Q1380" s="578" t="s">
        <v>51</v>
      </c>
    </row>
    <row r="1381" spans="1:31">
      <c r="A1381" s="512">
        <f t="shared" si="14"/>
        <v>534</v>
      </c>
      <c r="B1381" s="579" t="s">
        <v>524</v>
      </c>
      <c r="C1381" s="579" t="s">
        <v>44</v>
      </c>
      <c r="D1381" s="579" t="s">
        <v>449</v>
      </c>
      <c r="E1381" s="584" t="s">
        <v>1736</v>
      </c>
      <c r="F1381" s="585" t="s">
        <v>603</v>
      </c>
      <c r="G1381" s="579">
        <v>9857825354</v>
      </c>
      <c r="H1381" s="578"/>
      <c r="I1381" s="585">
        <v>32</v>
      </c>
      <c r="J1381" s="579" t="s">
        <v>48</v>
      </c>
      <c r="K1381" s="579" t="s">
        <v>1480</v>
      </c>
      <c r="L1381" s="579"/>
      <c r="M1381" s="586" t="s">
        <v>119</v>
      </c>
      <c r="N1381" s="753">
        <v>65029</v>
      </c>
      <c r="O1381" s="605">
        <v>65029</v>
      </c>
      <c r="P1381" s="582">
        <v>65044</v>
      </c>
      <c r="Q1381" s="578" t="s">
        <v>51</v>
      </c>
    </row>
    <row r="1382" spans="1:31" s="326" customFormat="1">
      <c r="A1382" s="512">
        <f t="shared" si="14"/>
        <v>535</v>
      </c>
      <c r="B1382" s="513" t="s">
        <v>524</v>
      </c>
      <c r="C1382" s="513" t="s">
        <v>44</v>
      </c>
      <c r="D1382" s="513" t="s">
        <v>449</v>
      </c>
      <c r="E1382" s="561" t="s">
        <v>1892</v>
      </c>
      <c r="F1382" s="562" t="s">
        <v>730</v>
      </c>
      <c r="G1382" s="562">
        <v>9867870043</v>
      </c>
      <c r="H1382" s="512"/>
      <c r="I1382" s="562">
        <v>34</v>
      </c>
      <c r="J1382" s="562" t="s">
        <v>1762</v>
      </c>
      <c r="K1382" s="513" t="s">
        <v>1480</v>
      </c>
      <c r="L1382" s="513"/>
      <c r="M1382" s="544" t="s">
        <v>1764</v>
      </c>
      <c r="N1382" s="732">
        <v>65030</v>
      </c>
      <c r="O1382" s="514">
        <v>65030</v>
      </c>
      <c r="P1382" s="514">
        <v>65045</v>
      </c>
      <c r="Q1382" s="512" t="s">
        <v>51</v>
      </c>
      <c r="R1382" s="322"/>
      <c r="S1382" s="322"/>
      <c r="T1382" s="322"/>
      <c r="U1382" s="322"/>
      <c r="V1382" s="322"/>
      <c r="W1382" s="322"/>
      <c r="X1382" s="322"/>
      <c r="Y1382" s="322"/>
      <c r="Z1382" s="322"/>
      <c r="AA1382" s="322"/>
      <c r="AB1382" s="322"/>
      <c r="AC1382" s="322"/>
      <c r="AD1382" s="322"/>
      <c r="AE1382" s="322"/>
    </row>
    <row r="1383" spans="1:31">
      <c r="A1383" s="512">
        <f t="shared" si="14"/>
        <v>536</v>
      </c>
      <c r="B1383" s="513" t="s">
        <v>524</v>
      </c>
      <c r="C1383" s="513" t="s">
        <v>44</v>
      </c>
      <c r="D1383" s="513" t="s">
        <v>449</v>
      </c>
      <c r="E1383" s="530" t="s">
        <v>1845</v>
      </c>
      <c r="F1383" s="523" t="s">
        <v>124</v>
      </c>
      <c r="G1383" s="523">
        <v>9847861455</v>
      </c>
      <c r="H1383" s="512"/>
      <c r="I1383" s="523">
        <v>21</v>
      </c>
      <c r="J1383" s="523" t="s">
        <v>1915</v>
      </c>
      <c r="K1383" s="513" t="s">
        <v>709</v>
      </c>
      <c r="L1383" s="513"/>
      <c r="M1383" s="544" t="s">
        <v>1764</v>
      </c>
      <c r="N1383" s="732">
        <v>65030</v>
      </c>
      <c r="O1383" s="514">
        <v>65030</v>
      </c>
      <c r="P1383" s="514">
        <v>65045</v>
      </c>
      <c r="Q1383" s="512" t="s">
        <v>51</v>
      </c>
    </row>
    <row r="1384" spans="1:31">
      <c r="A1384" s="512">
        <f t="shared" si="14"/>
        <v>537</v>
      </c>
      <c r="B1384" s="513" t="s">
        <v>524</v>
      </c>
      <c r="C1384" s="513" t="s">
        <v>44</v>
      </c>
      <c r="D1384" s="513" t="s">
        <v>449</v>
      </c>
      <c r="E1384" s="561" t="s">
        <v>1893</v>
      </c>
      <c r="F1384" s="562" t="s">
        <v>1008</v>
      </c>
      <c r="G1384" s="562">
        <v>9847861874</v>
      </c>
      <c r="H1384" s="512"/>
      <c r="I1384" s="562">
        <v>31</v>
      </c>
      <c r="J1384" s="562" t="s">
        <v>1762</v>
      </c>
      <c r="K1384" s="513" t="s">
        <v>1480</v>
      </c>
      <c r="L1384" s="513"/>
      <c r="M1384" s="544" t="s">
        <v>1764</v>
      </c>
      <c r="N1384" s="732">
        <v>65030</v>
      </c>
      <c r="O1384" s="514">
        <v>65030</v>
      </c>
      <c r="P1384" s="514">
        <v>65045</v>
      </c>
      <c r="Q1384" s="512" t="s">
        <v>51</v>
      </c>
    </row>
    <row r="1385" spans="1:31">
      <c r="A1385" s="512">
        <f t="shared" si="14"/>
        <v>538</v>
      </c>
      <c r="B1385" s="513" t="s">
        <v>524</v>
      </c>
      <c r="C1385" s="513" t="s">
        <v>44</v>
      </c>
      <c r="D1385" s="513" t="s">
        <v>449</v>
      </c>
      <c r="E1385" s="561" t="s">
        <v>1908</v>
      </c>
      <c r="F1385" s="562" t="s">
        <v>1009</v>
      </c>
      <c r="G1385" s="562">
        <v>9822567760</v>
      </c>
      <c r="H1385" s="512"/>
      <c r="I1385" s="562">
        <v>42</v>
      </c>
      <c r="J1385" s="562" t="s">
        <v>1915</v>
      </c>
      <c r="K1385" s="513" t="s">
        <v>1480</v>
      </c>
      <c r="L1385" s="513"/>
      <c r="M1385" s="544" t="s">
        <v>1764</v>
      </c>
      <c r="N1385" s="732">
        <v>65030</v>
      </c>
      <c r="O1385" s="514">
        <v>65030</v>
      </c>
      <c r="P1385" s="514">
        <v>65045</v>
      </c>
      <c r="Q1385" s="512" t="s">
        <v>51</v>
      </c>
    </row>
    <row r="1386" spans="1:31">
      <c r="A1386" s="512">
        <f t="shared" si="14"/>
        <v>539</v>
      </c>
      <c r="B1386" s="513" t="s">
        <v>524</v>
      </c>
      <c r="C1386" s="513" t="s">
        <v>44</v>
      </c>
      <c r="D1386" s="513" t="s">
        <v>449</v>
      </c>
      <c r="E1386" s="561" t="s">
        <v>1894</v>
      </c>
      <c r="F1386" s="562" t="s">
        <v>1008</v>
      </c>
      <c r="G1386" s="562">
        <v>9802053042</v>
      </c>
      <c r="H1386" s="512"/>
      <c r="I1386" s="562">
        <v>28</v>
      </c>
      <c r="J1386" s="562" t="s">
        <v>1762</v>
      </c>
      <c r="K1386" s="513" t="s">
        <v>1480</v>
      </c>
      <c r="L1386" s="513"/>
      <c r="M1386" s="544" t="s">
        <v>1764</v>
      </c>
      <c r="N1386" s="732">
        <v>65030</v>
      </c>
      <c r="O1386" s="514">
        <v>65030</v>
      </c>
      <c r="P1386" s="514">
        <v>65045</v>
      </c>
      <c r="Q1386" s="512" t="s">
        <v>51</v>
      </c>
    </row>
    <row r="1387" spans="1:31">
      <c r="A1387" s="512">
        <f t="shared" si="14"/>
        <v>540</v>
      </c>
      <c r="B1387" s="513" t="s">
        <v>524</v>
      </c>
      <c r="C1387" s="513" t="s">
        <v>44</v>
      </c>
      <c r="D1387" s="513" t="s">
        <v>449</v>
      </c>
      <c r="E1387" s="561" t="s">
        <v>1909</v>
      </c>
      <c r="F1387" s="562" t="s">
        <v>529</v>
      </c>
      <c r="G1387" s="562">
        <v>9847985200</v>
      </c>
      <c r="H1387" s="512"/>
      <c r="I1387" s="562">
        <v>53</v>
      </c>
      <c r="J1387" s="562" t="s">
        <v>1915</v>
      </c>
      <c r="K1387" s="513" t="s">
        <v>1480</v>
      </c>
      <c r="L1387" s="513"/>
      <c r="M1387" s="544" t="s">
        <v>1764</v>
      </c>
      <c r="N1387" s="732">
        <v>65030</v>
      </c>
      <c r="O1387" s="514">
        <v>65030</v>
      </c>
      <c r="P1387" s="514">
        <v>65045</v>
      </c>
      <c r="Q1387" s="512" t="s">
        <v>51</v>
      </c>
    </row>
    <row r="1388" spans="1:31">
      <c r="A1388" s="512">
        <f t="shared" si="14"/>
        <v>541</v>
      </c>
      <c r="B1388" s="513" t="s">
        <v>524</v>
      </c>
      <c r="C1388" s="513" t="s">
        <v>44</v>
      </c>
      <c r="D1388" s="513" t="s">
        <v>449</v>
      </c>
      <c r="E1388" s="561" t="s">
        <v>1895</v>
      </c>
      <c r="F1388" s="562" t="s">
        <v>1008</v>
      </c>
      <c r="G1388" s="562">
        <v>9802053141</v>
      </c>
      <c r="H1388" s="512"/>
      <c r="I1388" s="562">
        <v>32</v>
      </c>
      <c r="J1388" s="562" t="s">
        <v>1762</v>
      </c>
      <c r="K1388" s="513" t="s">
        <v>1480</v>
      </c>
      <c r="L1388" s="513"/>
      <c r="M1388" s="544" t="s">
        <v>1764</v>
      </c>
      <c r="N1388" s="732">
        <v>65030</v>
      </c>
      <c r="O1388" s="514">
        <v>65030</v>
      </c>
      <c r="P1388" s="514">
        <v>65045</v>
      </c>
      <c r="Q1388" s="512" t="s">
        <v>51</v>
      </c>
    </row>
    <row r="1389" spans="1:31">
      <c r="A1389" s="512">
        <f t="shared" si="14"/>
        <v>542</v>
      </c>
      <c r="B1389" s="513" t="s">
        <v>524</v>
      </c>
      <c r="C1389" s="513" t="s">
        <v>44</v>
      </c>
      <c r="D1389" s="513" t="s">
        <v>449</v>
      </c>
      <c r="E1389" s="561" t="s">
        <v>1896</v>
      </c>
      <c r="F1389" s="562" t="s">
        <v>1008</v>
      </c>
      <c r="G1389" s="562">
        <v>9847974281</v>
      </c>
      <c r="H1389" s="512"/>
      <c r="I1389" s="562">
        <v>58</v>
      </c>
      <c r="J1389" s="562" t="s">
        <v>1762</v>
      </c>
      <c r="K1389" s="513" t="s">
        <v>1480</v>
      </c>
      <c r="L1389" s="513"/>
      <c r="M1389" s="544" t="s">
        <v>1764</v>
      </c>
      <c r="N1389" s="732">
        <v>65030</v>
      </c>
      <c r="O1389" s="514">
        <v>65030</v>
      </c>
      <c r="P1389" s="514">
        <v>65045</v>
      </c>
      <c r="Q1389" s="512" t="s">
        <v>51</v>
      </c>
    </row>
    <row r="1390" spans="1:31">
      <c r="A1390" s="512">
        <f t="shared" si="14"/>
        <v>543</v>
      </c>
      <c r="B1390" s="490" t="s">
        <v>524</v>
      </c>
      <c r="C1390" s="490" t="s">
        <v>44</v>
      </c>
      <c r="D1390" s="490" t="s">
        <v>449</v>
      </c>
      <c r="E1390" s="887" t="s">
        <v>1910</v>
      </c>
      <c r="F1390" s="888" t="s">
        <v>1008</v>
      </c>
      <c r="G1390" s="888">
        <v>9847830030</v>
      </c>
      <c r="H1390" s="509"/>
      <c r="I1390" s="888">
        <v>28</v>
      </c>
      <c r="J1390" s="888" t="s">
        <v>1915</v>
      </c>
      <c r="K1390" s="490" t="s">
        <v>1480</v>
      </c>
      <c r="L1390" s="490"/>
      <c r="M1390" s="609" t="s">
        <v>1764</v>
      </c>
      <c r="N1390" s="749">
        <v>65030</v>
      </c>
      <c r="O1390" s="511">
        <v>65030</v>
      </c>
      <c r="P1390" s="541">
        <v>65076</v>
      </c>
      <c r="Q1390" s="533" t="s">
        <v>51</v>
      </c>
    </row>
    <row r="1391" spans="1:31">
      <c r="A1391" s="512">
        <f t="shared" si="14"/>
        <v>544</v>
      </c>
      <c r="B1391" s="513" t="s">
        <v>524</v>
      </c>
      <c r="C1391" s="513" t="s">
        <v>44</v>
      </c>
      <c r="D1391" s="513" t="s">
        <v>449</v>
      </c>
      <c r="E1391" s="561" t="s">
        <v>1897</v>
      </c>
      <c r="F1391" s="562" t="s">
        <v>1008</v>
      </c>
      <c r="G1391" s="562">
        <v>9806293552</v>
      </c>
      <c r="H1391" s="512"/>
      <c r="I1391" s="562">
        <v>25</v>
      </c>
      <c r="J1391" s="562" t="s">
        <v>1762</v>
      </c>
      <c r="K1391" s="513" t="s">
        <v>1480</v>
      </c>
      <c r="L1391" s="513"/>
      <c r="M1391" s="544" t="s">
        <v>1764</v>
      </c>
      <c r="N1391" s="732">
        <v>65030</v>
      </c>
      <c r="O1391" s="514">
        <v>65030</v>
      </c>
      <c r="P1391" s="514">
        <v>65045</v>
      </c>
      <c r="Q1391" s="512" t="s">
        <v>51</v>
      </c>
    </row>
    <row r="1392" spans="1:31">
      <c r="A1392" s="512">
        <f t="shared" si="14"/>
        <v>545</v>
      </c>
      <c r="B1392" s="513" t="s">
        <v>524</v>
      </c>
      <c r="C1392" s="513" t="s">
        <v>44</v>
      </c>
      <c r="D1392" s="513" t="s">
        <v>449</v>
      </c>
      <c r="E1392" s="530" t="s">
        <v>1843</v>
      </c>
      <c r="F1392" s="523" t="s">
        <v>557</v>
      </c>
      <c r="G1392" s="523">
        <v>9847947245</v>
      </c>
      <c r="H1392" s="512"/>
      <c r="I1392" s="523">
        <v>50</v>
      </c>
      <c r="J1392" s="523" t="s">
        <v>1762</v>
      </c>
      <c r="K1392" s="513" t="s">
        <v>709</v>
      </c>
      <c r="L1392" s="513"/>
      <c r="M1392" s="544" t="s">
        <v>1764</v>
      </c>
      <c r="N1392" s="732">
        <v>65030</v>
      </c>
      <c r="O1392" s="514">
        <v>65030</v>
      </c>
      <c r="P1392" s="514">
        <v>65045</v>
      </c>
      <c r="Q1392" s="512" t="s">
        <v>51</v>
      </c>
    </row>
    <row r="1393" spans="1:31">
      <c r="A1393" s="512">
        <f t="shared" si="14"/>
        <v>546</v>
      </c>
      <c r="B1393" s="513" t="s">
        <v>524</v>
      </c>
      <c r="C1393" s="513" t="s">
        <v>44</v>
      </c>
      <c r="D1393" s="513" t="s">
        <v>449</v>
      </c>
      <c r="E1393" s="530" t="s">
        <v>1889</v>
      </c>
      <c r="F1393" s="523" t="s">
        <v>441</v>
      </c>
      <c r="G1393" s="523">
        <v>9829598252</v>
      </c>
      <c r="H1393" s="512"/>
      <c r="I1393" s="523">
        <v>26</v>
      </c>
      <c r="J1393" s="523" t="s">
        <v>1915</v>
      </c>
      <c r="K1393" s="513" t="s">
        <v>709</v>
      </c>
      <c r="L1393" s="513"/>
      <c r="M1393" s="544" t="s">
        <v>1764</v>
      </c>
      <c r="N1393" s="732">
        <v>65030</v>
      </c>
      <c r="O1393" s="514">
        <v>65030</v>
      </c>
      <c r="P1393" s="514">
        <v>65045</v>
      </c>
      <c r="Q1393" s="512" t="s">
        <v>51</v>
      </c>
    </row>
    <row r="1394" spans="1:31">
      <c r="A1394" s="512">
        <f t="shared" si="14"/>
        <v>547</v>
      </c>
      <c r="B1394" s="513" t="s">
        <v>524</v>
      </c>
      <c r="C1394" s="513" t="s">
        <v>44</v>
      </c>
      <c r="D1394" s="513" t="s">
        <v>449</v>
      </c>
      <c r="E1394" s="561" t="s">
        <v>1911</v>
      </c>
      <c r="F1394" s="562" t="s">
        <v>529</v>
      </c>
      <c r="G1394" s="562">
        <v>9861610581</v>
      </c>
      <c r="H1394" s="512"/>
      <c r="I1394" s="562">
        <v>27</v>
      </c>
      <c r="J1394" s="562" t="s">
        <v>1915</v>
      </c>
      <c r="K1394" s="513" t="s">
        <v>1480</v>
      </c>
      <c r="L1394" s="513"/>
      <c r="M1394" s="544" t="s">
        <v>1764</v>
      </c>
      <c r="N1394" s="732">
        <v>65030</v>
      </c>
      <c r="O1394" s="514">
        <v>65030</v>
      </c>
      <c r="P1394" s="514">
        <v>65045</v>
      </c>
      <c r="Q1394" s="512" t="s">
        <v>51</v>
      </c>
    </row>
    <row r="1395" spans="1:31">
      <c r="A1395" s="512">
        <f t="shared" si="14"/>
        <v>548</v>
      </c>
      <c r="B1395" s="513" t="s">
        <v>524</v>
      </c>
      <c r="C1395" s="513" t="s">
        <v>44</v>
      </c>
      <c r="D1395" s="513" t="s">
        <v>449</v>
      </c>
      <c r="E1395" s="530" t="s">
        <v>1870</v>
      </c>
      <c r="F1395" s="523" t="s">
        <v>1204</v>
      </c>
      <c r="G1395" s="523">
        <v>9866517203</v>
      </c>
      <c r="H1395" s="512"/>
      <c r="I1395" s="523">
        <v>25</v>
      </c>
      <c r="J1395" s="523" t="s">
        <v>1762</v>
      </c>
      <c r="K1395" s="513" t="s">
        <v>709</v>
      </c>
      <c r="L1395" s="513"/>
      <c r="M1395" s="544" t="s">
        <v>1764</v>
      </c>
      <c r="N1395" s="732">
        <v>65030</v>
      </c>
      <c r="O1395" s="514">
        <v>65030</v>
      </c>
      <c r="P1395" s="514">
        <v>65045</v>
      </c>
      <c r="Q1395" s="512" t="s">
        <v>51</v>
      </c>
    </row>
    <row r="1396" spans="1:31">
      <c r="A1396" s="512">
        <f t="shared" si="14"/>
        <v>549</v>
      </c>
      <c r="B1396" s="513" t="s">
        <v>524</v>
      </c>
      <c r="C1396" s="513" t="s">
        <v>44</v>
      </c>
      <c r="D1396" s="513" t="s">
        <v>449</v>
      </c>
      <c r="E1396" s="530" t="s">
        <v>1857</v>
      </c>
      <c r="F1396" s="523" t="s">
        <v>791</v>
      </c>
      <c r="G1396" s="523">
        <v>9868151614</v>
      </c>
      <c r="H1396" s="512"/>
      <c r="I1396" s="523">
        <v>20</v>
      </c>
      <c r="J1396" s="523" t="s">
        <v>1762</v>
      </c>
      <c r="K1396" s="513" t="s">
        <v>709</v>
      </c>
      <c r="L1396" s="513"/>
      <c r="M1396" s="544" t="s">
        <v>1764</v>
      </c>
      <c r="N1396" s="732">
        <v>65030</v>
      </c>
      <c r="O1396" s="514">
        <v>65030</v>
      </c>
      <c r="P1396" s="514">
        <v>65045</v>
      </c>
      <c r="Q1396" s="512" t="s">
        <v>51</v>
      </c>
    </row>
    <row r="1397" spans="1:31" s="326" customFormat="1">
      <c r="A1397" s="512">
        <f t="shared" si="14"/>
        <v>550</v>
      </c>
      <c r="B1397" s="513" t="s">
        <v>524</v>
      </c>
      <c r="C1397" s="513" t="s">
        <v>44</v>
      </c>
      <c r="D1397" s="513" t="s">
        <v>449</v>
      </c>
      <c r="E1397" s="530" t="s">
        <v>1878</v>
      </c>
      <c r="F1397" s="523" t="s">
        <v>491</v>
      </c>
      <c r="G1397" s="523">
        <v>9857824209</v>
      </c>
      <c r="H1397" s="512"/>
      <c r="I1397" s="523">
        <v>33</v>
      </c>
      <c r="J1397" s="523" t="s">
        <v>1915</v>
      </c>
      <c r="K1397" s="513" t="s">
        <v>709</v>
      </c>
      <c r="L1397" s="513"/>
      <c r="M1397" s="544" t="s">
        <v>1764</v>
      </c>
      <c r="N1397" s="732">
        <v>65030</v>
      </c>
      <c r="O1397" s="514">
        <v>65030</v>
      </c>
      <c r="P1397" s="514">
        <v>65045</v>
      </c>
      <c r="Q1397" s="512" t="s">
        <v>51</v>
      </c>
      <c r="R1397" s="322"/>
      <c r="S1397" s="322"/>
      <c r="T1397" s="322"/>
      <c r="U1397" s="322"/>
      <c r="V1397" s="322"/>
      <c r="W1397" s="322"/>
      <c r="X1397" s="322"/>
      <c r="Y1397" s="322"/>
      <c r="Z1397" s="322"/>
      <c r="AA1397" s="322"/>
      <c r="AB1397" s="322"/>
      <c r="AC1397" s="322"/>
      <c r="AD1397" s="322"/>
      <c r="AE1397" s="322"/>
    </row>
    <row r="1398" spans="1:31">
      <c r="A1398" s="512">
        <f t="shared" si="14"/>
        <v>551</v>
      </c>
      <c r="B1398" s="513" t="s">
        <v>524</v>
      </c>
      <c r="C1398" s="513" t="s">
        <v>44</v>
      </c>
      <c r="D1398" s="513" t="s">
        <v>449</v>
      </c>
      <c r="E1398" s="530" t="s">
        <v>1850</v>
      </c>
      <c r="F1398" s="523" t="s">
        <v>730</v>
      </c>
      <c r="G1398" s="523">
        <v>9809531638</v>
      </c>
      <c r="H1398" s="512"/>
      <c r="I1398" s="523">
        <v>45</v>
      </c>
      <c r="J1398" s="523" t="s">
        <v>1915</v>
      </c>
      <c r="K1398" s="513" t="s">
        <v>709</v>
      </c>
      <c r="L1398" s="513"/>
      <c r="M1398" s="544" t="s">
        <v>1764</v>
      </c>
      <c r="N1398" s="732">
        <v>65030</v>
      </c>
      <c r="O1398" s="514">
        <v>65030</v>
      </c>
      <c r="P1398" s="514">
        <v>65045</v>
      </c>
      <c r="Q1398" s="512" t="s">
        <v>51</v>
      </c>
    </row>
    <row r="1399" spans="1:31" ht="18">
      <c r="A1399" s="512">
        <f t="shared" si="14"/>
        <v>552</v>
      </c>
      <c r="B1399" s="621" t="s">
        <v>43</v>
      </c>
      <c r="C1399" s="513" t="s">
        <v>44</v>
      </c>
      <c r="D1399" s="513" t="s">
        <v>45</v>
      </c>
      <c r="E1399" s="561" t="s">
        <v>1919</v>
      </c>
      <c r="F1399" s="543" t="s">
        <v>502</v>
      </c>
      <c r="G1399" s="549">
        <v>9855023155</v>
      </c>
      <c r="H1399" s="512"/>
      <c r="I1399" s="549">
        <v>27</v>
      </c>
      <c r="J1399" s="549" t="s">
        <v>48</v>
      </c>
      <c r="K1399" s="549" t="s">
        <v>1480</v>
      </c>
      <c r="L1399" s="513"/>
      <c r="M1399" s="544" t="s">
        <v>119</v>
      </c>
      <c r="N1399" s="756">
        <v>65030</v>
      </c>
      <c r="O1399" s="514">
        <v>65030</v>
      </c>
      <c r="P1399" s="514">
        <v>65045</v>
      </c>
      <c r="Q1399" s="512" t="s">
        <v>51</v>
      </c>
    </row>
    <row r="1400" spans="1:31">
      <c r="A1400" s="512">
        <f t="shared" si="14"/>
        <v>553</v>
      </c>
      <c r="B1400" s="513" t="s">
        <v>43</v>
      </c>
      <c r="C1400" s="513" t="s">
        <v>44</v>
      </c>
      <c r="D1400" s="513" t="s">
        <v>45</v>
      </c>
      <c r="E1400" s="561" t="s">
        <v>1920</v>
      </c>
      <c r="F1400" s="543" t="s">
        <v>415</v>
      </c>
      <c r="G1400" s="549">
        <v>9855023155</v>
      </c>
      <c r="H1400" s="512"/>
      <c r="I1400" s="549">
        <v>67</v>
      </c>
      <c r="J1400" s="549" t="s">
        <v>48</v>
      </c>
      <c r="K1400" s="549" t="s">
        <v>1480</v>
      </c>
      <c r="L1400" s="513"/>
      <c r="M1400" s="544" t="s">
        <v>119</v>
      </c>
      <c r="N1400" s="756">
        <v>65030</v>
      </c>
      <c r="O1400" s="514">
        <v>65030</v>
      </c>
      <c r="P1400" s="514">
        <v>65045</v>
      </c>
      <c r="Q1400" s="512" t="s">
        <v>51</v>
      </c>
    </row>
    <row r="1401" spans="1:31">
      <c r="A1401" s="512">
        <f t="shared" si="14"/>
        <v>554</v>
      </c>
      <c r="B1401" s="513" t="s">
        <v>524</v>
      </c>
      <c r="C1401" s="513" t="s">
        <v>44</v>
      </c>
      <c r="D1401" s="513" t="s">
        <v>449</v>
      </c>
      <c r="E1401" s="530" t="s">
        <v>1859</v>
      </c>
      <c r="F1401" s="523" t="s">
        <v>529</v>
      </c>
      <c r="G1401" s="523">
        <v>9851162216</v>
      </c>
      <c r="H1401" s="512"/>
      <c r="I1401" s="523">
        <v>35</v>
      </c>
      <c r="J1401" s="523" t="s">
        <v>1762</v>
      </c>
      <c r="K1401" s="513" t="s">
        <v>709</v>
      </c>
      <c r="L1401" s="513"/>
      <c r="M1401" s="544" t="s">
        <v>1764</v>
      </c>
      <c r="N1401" s="732">
        <v>65030</v>
      </c>
      <c r="O1401" s="514">
        <v>65030</v>
      </c>
      <c r="P1401" s="514">
        <v>65045</v>
      </c>
      <c r="Q1401" s="512" t="s">
        <v>51</v>
      </c>
    </row>
    <row r="1402" spans="1:31">
      <c r="A1402" s="512">
        <f t="shared" si="14"/>
        <v>555</v>
      </c>
      <c r="B1402" s="513" t="s">
        <v>524</v>
      </c>
      <c r="C1402" s="513" t="s">
        <v>44</v>
      </c>
      <c r="D1402" s="513" t="s">
        <v>449</v>
      </c>
      <c r="E1402" s="530" t="s">
        <v>1836</v>
      </c>
      <c r="F1402" s="523" t="s">
        <v>491</v>
      </c>
      <c r="G1402" s="523">
        <v>9847879332</v>
      </c>
      <c r="H1402" s="512"/>
      <c r="I1402" s="523">
        <v>30</v>
      </c>
      <c r="J1402" s="523" t="s">
        <v>1915</v>
      </c>
      <c r="K1402" s="513" t="s">
        <v>709</v>
      </c>
      <c r="L1402" s="513"/>
      <c r="M1402" s="544" t="s">
        <v>1764</v>
      </c>
      <c r="N1402" s="732">
        <v>65030</v>
      </c>
      <c r="O1402" s="514">
        <v>65030</v>
      </c>
      <c r="P1402" s="514">
        <v>65045</v>
      </c>
      <c r="Q1402" s="512" t="s">
        <v>51</v>
      </c>
    </row>
    <row r="1403" spans="1:31">
      <c r="A1403" s="512">
        <f t="shared" si="14"/>
        <v>556</v>
      </c>
      <c r="B1403" s="513" t="s">
        <v>524</v>
      </c>
      <c r="C1403" s="513" t="s">
        <v>44</v>
      </c>
      <c r="D1403" s="513" t="s">
        <v>449</v>
      </c>
      <c r="E1403" s="530" t="s">
        <v>1831</v>
      </c>
      <c r="F1403" s="523" t="s">
        <v>124</v>
      </c>
      <c r="G1403" s="523">
        <v>9847885702</v>
      </c>
      <c r="H1403" s="512"/>
      <c r="I1403" s="523">
        <v>42</v>
      </c>
      <c r="J1403" s="523" t="s">
        <v>1762</v>
      </c>
      <c r="K1403" s="513" t="s">
        <v>709</v>
      </c>
      <c r="L1403" s="513"/>
      <c r="M1403" s="544" t="s">
        <v>1764</v>
      </c>
      <c r="N1403" s="732">
        <v>65030</v>
      </c>
      <c r="O1403" s="514">
        <v>65030</v>
      </c>
      <c r="P1403" s="514">
        <v>65045</v>
      </c>
      <c r="Q1403" s="512" t="s">
        <v>51</v>
      </c>
    </row>
    <row r="1404" spans="1:31">
      <c r="A1404" s="512">
        <f t="shared" si="14"/>
        <v>557</v>
      </c>
      <c r="B1404" s="438" t="s">
        <v>524</v>
      </c>
      <c r="C1404" s="438" t="s">
        <v>44</v>
      </c>
      <c r="D1404" s="438" t="s">
        <v>449</v>
      </c>
      <c r="E1404" s="141" t="s">
        <v>1846</v>
      </c>
      <c r="F1404" s="525" t="s">
        <v>1008</v>
      </c>
      <c r="G1404" s="525">
        <v>9841095708</v>
      </c>
      <c r="H1404" s="436"/>
      <c r="I1404" s="525">
        <v>34</v>
      </c>
      <c r="J1404" s="525" t="s">
        <v>1762</v>
      </c>
      <c r="K1404" s="438" t="s">
        <v>709</v>
      </c>
      <c r="L1404" s="438"/>
      <c r="M1404" s="592" t="s">
        <v>2651</v>
      </c>
      <c r="N1404" s="731">
        <v>65030</v>
      </c>
      <c r="O1404" s="465">
        <v>65030</v>
      </c>
      <c r="P1404" s="465">
        <v>65074</v>
      </c>
      <c r="Q1404" s="436" t="s">
        <v>51</v>
      </c>
    </row>
    <row r="1405" spans="1:31">
      <c r="A1405" s="512">
        <f t="shared" si="14"/>
        <v>558</v>
      </c>
      <c r="B1405" s="513" t="s">
        <v>524</v>
      </c>
      <c r="C1405" s="513" t="s">
        <v>44</v>
      </c>
      <c r="D1405" s="513" t="s">
        <v>449</v>
      </c>
      <c r="E1405" s="530" t="s">
        <v>1853</v>
      </c>
      <c r="F1405" s="523" t="s">
        <v>491</v>
      </c>
      <c r="G1405" s="523">
        <v>9866816598</v>
      </c>
      <c r="H1405" s="512"/>
      <c r="I1405" s="523">
        <v>63</v>
      </c>
      <c r="J1405" s="523" t="s">
        <v>1762</v>
      </c>
      <c r="K1405" s="513" t="s">
        <v>709</v>
      </c>
      <c r="L1405" s="513"/>
      <c r="M1405" s="544" t="s">
        <v>1764</v>
      </c>
      <c r="N1405" s="732">
        <v>65030</v>
      </c>
      <c r="O1405" s="514">
        <v>65030</v>
      </c>
      <c r="P1405" s="514">
        <v>65045</v>
      </c>
      <c r="Q1405" s="512" t="s">
        <v>51</v>
      </c>
    </row>
    <row r="1406" spans="1:31">
      <c r="A1406" s="512">
        <f t="shared" si="14"/>
        <v>559</v>
      </c>
      <c r="B1406" s="513" t="s">
        <v>524</v>
      </c>
      <c r="C1406" s="513" t="s">
        <v>44</v>
      </c>
      <c r="D1406" s="513" t="s">
        <v>449</v>
      </c>
      <c r="E1406" s="561" t="s">
        <v>1912</v>
      </c>
      <c r="F1406" s="562" t="s">
        <v>1008</v>
      </c>
      <c r="G1406" s="562">
        <v>9812666617</v>
      </c>
      <c r="H1406" s="512"/>
      <c r="I1406" s="562">
        <v>40</v>
      </c>
      <c r="J1406" s="562" t="s">
        <v>1915</v>
      </c>
      <c r="K1406" s="513" t="s">
        <v>1480</v>
      </c>
      <c r="L1406" s="513"/>
      <c r="M1406" s="544" t="s">
        <v>1764</v>
      </c>
      <c r="N1406" s="732">
        <v>65030</v>
      </c>
      <c r="O1406" s="514">
        <v>65030</v>
      </c>
      <c r="P1406" s="514">
        <v>65045</v>
      </c>
      <c r="Q1406" s="512" t="s">
        <v>51</v>
      </c>
    </row>
    <row r="1407" spans="1:31">
      <c r="A1407" s="512">
        <f t="shared" si="14"/>
        <v>560</v>
      </c>
      <c r="B1407" s="513" t="s">
        <v>524</v>
      </c>
      <c r="C1407" s="513" t="s">
        <v>44</v>
      </c>
      <c r="D1407" s="513" t="s">
        <v>449</v>
      </c>
      <c r="E1407" s="530" t="s">
        <v>1885</v>
      </c>
      <c r="F1407" s="523" t="s">
        <v>491</v>
      </c>
      <c r="G1407" s="523">
        <v>9858440227</v>
      </c>
      <c r="H1407" s="512"/>
      <c r="I1407" s="523">
        <v>25</v>
      </c>
      <c r="J1407" s="523" t="s">
        <v>1915</v>
      </c>
      <c r="K1407" s="513" t="s">
        <v>709</v>
      </c>
      <c r="L1407" s="513"/>
      <c r="M1407" s="544" t="s">
        <v>1764</v>
      </c>
      <c r="N1407" s="732">
        <v>65030</v>
      </c>
      <c r="O1407" s="514">
        <v>65030</v>
      </c>
      <c r="P1407" s="514">
        <v>65045</v>
      </c>
      <c r="Q1407" s="512" t="s">
        <v>51</v>
      </c>
    </row>
    <row r="1408" spans="1:31">
      <c r="A1408" s="512">
        <f t="shared" si="14"/>
        <v>561</v>
      </c>
      <c r="B1408" s="513" t="s">
        <v>524</v>
      </c>
      <c r="C1408" s="513" t="s">
        <v>44</v>
      </c>
      <c r="D1408" s="513" t="s">
        <v>449</v>
      </c>
      <c r="E1408" s="561" t="s">
        <v>1898</v>
      </c>
      <c r="F1408" s="562" t="s">
        <v>1008</v>
      </c>
      <c r="G1408" s="562">
        <v>9802053058</v>
      </c>
      <c r="H1408" s="512"/>
      <c r="I1408" s="562">
        <v>45</v>
      </c>
      <c r="J1408" s="562" t="s">
        <v>1762</v>
      </c>
      <c r="K1408" s="513" t="s">
        <v>1480</v>
      </c>
      <c r="L1408" s="513"/>
      <c r="M1408" s="544" t="s">
        <v>1764</v>
      </c>
      <c r="N1408" s="732">
        <v>65030</v>
      </c>
      <c r="O1408" s="514">
        <v>65030</v>
      </c>
      <c r="P1408" s="514">
        <v>65045</v>
      </c>
      <c r="Q1408" s="512" t="s">
        <v>51</v>
      </c>
    </row>
    <row r="1409" spans="1:17">
      <c r="A1409" s="512">
        <f t="shared" si="14"/>
        <v>562</v>
      </c>
      <c r="B1409" s="513" t="s">
        <v>524</v>
      </c>
      <c r="C1409" s="513" t="s">
        <v>44</v>
      </c>
      <c r="D1409" s="513" t="s">
        <v>449</v>
      </c>
      <c r="E1409" s="530" t="s">
        <v>1888</v>
      </c>
      <c r="F1409" s="523" t="s">
        <v>441</v>
      </c>
      <c r="G1409" s="523">
        <v>9829598252</v>
      </c>
      <c r="H1409" s="512"/>
      <c r="I1409" s="523">
        <v>42</v>
      </c>
      <c r="J1409" s="523" t="s">
        <v>1915</v>
      </c>
      <c r="K1409" s="513" t="s">
        <v>709</v>
      </c>
      <c r="L1409" s="513"/>
      <c r="M1409" s="544" t="s">
        <v>1764</v>
      </c>
      <c r="N1409" s="732">
        <v>65030</v>
      </c>
      <c r="O1409" s="514">
        <v>65030</v>
      </c>
      <c r="P1409" s="514">
        <v>65045</v>
      </c>
      <c r="Q1409" s="512" t="s">
        <v>51</v>
      </c>
    </row>
    <row r="1410" spans="1:17">
      <c r="A1410" s="512">
        <f t="shared" si="14"/>
        <v>563</v>
      </c>
      <c r="B1410" s="513" t="s">
        <v>524</v>
      </c>
      <c r="C1410" s="513" t="s">
        <v>44</v>
      </c>
      <c r="D1410" s="513" t="s">
        <v>449</v>
      </c>
      <c r="E1410" s="561" t="s">
        <v>1899</v>
      </c>
      <c r="F1410" s="562" t="s">
        <v>1008</v>
      </c>
      <c r="G1410" s="562">
        <v>9812805452</v>
      </c>
      <c r="H1410" s="512"/>
      <c r="I1410" s="562">
        <v>27</v>
      </c>
      <c r="J1410" s="562" t="s">
        <v>1762</v>
      </c>
      <c r="K1410" s="513" t="s">
        <v>1480</v>
      </c>
      <c r="L1410" s="513"/>
      <c r="M1410" s="544" t="s">
        <v>1764</v>
      </c>
      <c r="N1410" s="732">
        <v>65030</v>
      </c>
      <c r="O1410" s="514">
        <v>65030</v>
      </c>
      <c r="P1410" s="514">
        <v>65045</v>
      </c>
      <c r="Q1410" s="512" t="s">
        <v>51</v>
      </c>
    </row>
    <row r="1411" spans="1:17">
      <c r="A1411" s="512">
        <f t="shared" si="14"/>
        <v>564</v>
      </c>
      <c r="B1411" s="513" t="s">
        <v>524</v>
      </c>
      <c r="C1411" s="513" t="s">
        <v>44</v>
      </c>
      <c r="D1411" s="513" t="s">
        <v>449</v>
      </c>
      <c r="E1411" s="530" t="s">
        <v>1860</v>
      </c>
      <c r="F1411" s="523" t="s">
        <v>441</v>
      </c>
      <c r="G1411" s="523">
        <v>9857823987</v>
      </c>
      <c r="H1411" s="512"/>
      <c r="I1411" s="523">
        <v>34</v>
      </c>
      <c r="J1411" s="523" t="s">
        <v>1762</v>
      </c>
      <c r="K1411" s="513" t="s">
        <v>709</v>
      </c>
      <c r="L1411" s="513"/>
      <c r="M1411" s="544" t="s">
        <v>1764</v>
      </c>
      <c r="N1411" s="732">
        <v>65030</v>
      </c>
      <c r="O1411" s="514">
        <v>65030</v>
      </c>
      <c r="P1411" s="514">
        <v>65045</v>
      </c>
      <c r="Q1411" s="512" t="s">
        <v>51</v>
      </c>
    </row>
    <row r="1412" spans="1:17">
      <c r="A1412" s="512">
        <f t="shared" si="14"/>
        <v>565</v>
      </c>
      <c r="B1412" s="513" t="s">
        <v>524</v>
      </c>
      <c r="C1412" s="513" t="s">
        <v>44</v>
      </c>
      <c r="D1412" s="513" t="s">
        <v>449</v>
      </c>
      <c r="E1412" s="530" t="s">
        <v>1876</v>
      </c>
      <c r="F1412" s="523" t="s">
        <v>1046</v>
      </c>
      <c r="G1412" s="523">
        <v>9810987067</v>
      </c>
      <c r="H1412" s="512"/>
      <c r="I1412" s="523">
        <v>14</v>
      </c>
      <c r="J1412" s="523" t="s">
        <v>1762</v>
      </c>
      <c r="K1412" s="513" t="s">
        <v>709</v>
      </c>
      <c r="L1412" s="513"/>
      <c r="M1412" s="544" t="s">
        <v>1764</v>
      </c>
      <c r="N1412" s="732">
        <v>65030</v>
      </c>
      <c r="O1412" s="514">
        <v>65030</v>
      </c>
      <c r="P1412" s="514">
        <v>65045</v>
      </c>
      <c r="Q1412" s="512" t="s">
        <v>51</v>
      </c>
    </row>
    <row r="1413" spans="1:17">
      <c r="A1413" s="512">
        <f t="shared" si="14"/>
        <v>566</v>
      </c>
      <c r="B1413" s="423" t="s">
        <v>524</v>
      </c>
      <c r="C1413" s="423" t="s">
        <v>44</v>
      </c>
      <c r="D1413" s="423" t="s">
        <v>449</v>
      </c>
      <c r="E1413" s="622" t="s">
        <v>1854</v>
      </c>
      <c r="F1413" s="619" t="s">
        <v>512</v>
      </c>
      <c r="G1413" s="619">
        <v>9812872412</v>
      </c>
      <c r="H1413" s="527"/>
      <c r="I1413" s="619">
        <v>32</v>
      </c>
      <c r="J1413" s="619" t="s">
        <v>1762</v>
      </c>
      <c r="K1413" s="423" t="s">
        <v>709</v>
      </c>
      <c r="L1413" s="423"/>
      <c r="M1413" s="597" t="s">
        <v>1764</v>
      </c>
      <c r="N1413" s="726">
        <v>65030</v>
      </c>
      <c r="O1413" s="476">
        <v>65030</v>
      </c>
      <c r="P1413" s="476">
        <v>65039</v>
      </c>
      <c r="Q1413" s="422" t="s">
        <v>940</v>
      </c>
    </row>
    <row r="1414" spans="1:17">
      <c r="A1414" s="512">
        <f t="shared" si="14"/>
        <v>567</v>
      </c>
      <c r="B1414" s="513" t="s">
        <v>524</v>
      </c>
      <c r="C1414" s="513" t="s">
        <v>44</v>
      </c>
      <c r="D1414" s="513" t="s">
        <v>449</v>
      </c>
      <c r="E1414" s="561" t="s">
        <v>1913</v>
      </c>
      <c r="F1414" s="562" t="s">
        <v>441</v>
      </c>
      <c r="G1414" s="562">
        <v>9810961477</v>
      </c>
      <c r="H1414" s="512"/>
      <c r="I1414" s="562">
        <v>32</v>
      </c>
      <c r="J1414" s="562" t="s">
        <v>1915</v>
      </c>
      <c r="K1414" s="513" t="s">
        <v>1480</v>
      </c>
      <c r="L1414" s="513"/>
      <c r="M1414" s="544" t="s">
        <v>1764</v>
      </c>
      <c r="N1414" s="732">
        <v>65030</v>
      </c>
      <c r="O1414" s="514">
        <v>65030</v>
      </c>
      <c r="P1414" s="514">
        <v>65045</v>
      </c>
      <c r="Q1414" s="512" t="s">
        <v>51</v>
      </c>
    </row>
    <row r="1415" spans="1:17">
      <c r="A1415" s="512">
        <f t="shared" si="14"/>
        <v>568</v>
      </c>
      <c r="B1415" s="513" t="s">
        <v>524</v>
      </c>
      <c r="C1415" s="513" t="s">
        <v>44</v>
      </c>
      <c r="D1415" s="513" t="s">
        <v>449</v>
      </c>
      <c r="E1415" s="561" t="s">
        <v>1914</v>
      </c>
      <c r="F1415" s="562" t="s">
        <v>491</v>
      </c>
      <c r="G1415" s="562">
        <v>9847890803</v>
      </c>
      <c r="H1415" s="512"/>
      <c r="I1415" s="562">
        <v>41</v>
      </c>
      <c r="J1415" s="562" t="s">
        <v>1915</v>
      </c>
      <c r="K1415" s="513" t="s">
        <v>1480</v>
      </c>
      <c r="L1415" s="513"/>
      <c r="M1415" s="544" t="s">
        <v>1764</v>
      </c>
      <c r="N1415" s="732">
        <v>65030</v>
      </c>
      <c r="O1415" s="514">
        <v>65030</v>
      </c>
      <c r="P1415" s="514">
        <v>65045</v>
      </c>
      <c r="Q1415" s="512" t="s">
        <v>51</v>
      </c>
    </row>
    <row r="1416" spans="1:17">
      <c r="A1416" s="512">
        <f t="shared" si="14"/>
        <v>569</v>
      </c>
      <c r="B1416" s="513" t="s">
        <v>524</v>
      </c>
      <c r="C1416" s="513" t="s">
        <v>44</v>
      </c>
      <c r="D1416" s="513" t="s">
        <v>449</v>
      </c>
      <c r="E1416" s="561" t="s">
        <v>1900</v>
      </c>
      <c r="F1416" s="562" t="s">
        <v>1008</v>
      </c>
      <c r="G1416" s="562">
        <v>9802053211</v>
      </c>
      <c r="H1416" s="512"/>
      <c r="I1416" s="562">
        <v>28</v>
      </c>
      <c r="J1416" s="562" t="s">
        <v>1762</v>
      </c>
      <c r="K1416" s="513" t="s">
        <v>1480</v>
      </c>
      <c r="L1416" s="513"/>
      <c r="M1416" s="544" t="s">
        <v>1764</v>
      </c>
      <c r="N1416" s="732">
        <v>65030</v>
      </c>
      <c r="O1416" s="514">
        <v>65030</v>
      </c>
      <c r="P1416" s="514">
        <v>65045</v>
      </c>
      <c r="Q1416" s="512" t="s">
        <v>51</v>
      </c>
    </row>
    <row r="1417" spans="1:17">
      <c r="A1417" s="512">
        <f t="shared" si="14"/>
        <v>570</v>
      </c>
      <c r="B1417" s="423" t="s">
        <v>524</v>
      </c>
      <c r="C1417" s="423" t="s">
        <v>44</v>
      </c>
      <c r="D1417" s="423" t="s">
        <v>449</v>
      </c>
      <c r="E1417" s="622" t="s">
        <v>1849</v>
      </c>
      <c r="F1417" s="619" t="s">
        <v>502</v>
      </c>
      <c r="G1417" s="619">
        <v>9868080241</v>
      </c>
      <c r="H1417" s="527"/>
      <c r="I1417" s="619">
        <v>31</v>
      </c>
      <c r="J1417" s="619" t="s">
        <v>1915</v>
      </c>
      <c r="K1417" s="423" t="s">
        <v>709</v>
      </c>
      <c r="L1417" s="423"/>
      <c r="M1417" s="597" t="s">
        <v>1764</v>
      </c>
      <c r="N1417" s="726">
        <v>65030</v>
      </c>
      <c r="O1417" s="476">
        <v>65030</v>
      </c>
      <c r="P1417" s="476">
        <v>65032</v>
      </c>
      <c r="Q1417" s="422" t="s">
        <v>940</v>
      </c>
    </row>
    <row r="1418" spans="1:17">
      <c r="A1418" s="512">
        <f t="shared" si="14"/>
        <v>571</v>
      </c>
      <c r="B1418" s="513" t="s">
        <v>524</v>
      </c>
      <c r="C1418" s="513" t="s">
        <v>44</v>
      </c>
      <c r="D1418" s="513" t="s">
        <v>449</v>
      </c>
      <c r="E1418" s="561" t="s">
        <v>1901</v>
      </c>
      <c r="F1418" s="562" t="s">
        <v>1008</v>
      </c>
      <c r="G1418" s="562">
        <v>9819409264</v>
      </c>
      <c r="H1418" s="512"/>
      <c r="I1418" s="562">
        <v>27</v>
      </c>
      <c r="J1418" s="562" t="s">
        <v>1762</v>
      </c>
      <c r="K1418" s="513" t="s">
        <v>1480</v>
      </c>
      <c r="L1418" s="513"/>
      <c r="M1418" s="544" t="s">
        <v>1764</v>
      </c>
      <c r="N1418" s="732">
        <v>65030</v>
      </c>
      <c r="O1418" s="514">
        <v>65030</v>
      </c>
      <c r="P1418" s="514">
        <v>65045</v>
      </c>
      <c r="Q1418" s="512" t="s">
        <v>51</v>
      </c>
    </row>
    <row r="1419" spans="1:17">
      <c r="A1419" s="512">
        <f t="shared" si="14"/>
        <v>572</v>
      </c>
      <c r="B1419" s="513" t="s">
        <v>524</v>
      </c>
      <c r="C1419" s="513" t="s">
        <v>44</v>
      </c>
      <c r="D1419" s="513" t="s">
        <v>449</v>
      </c>
      <c r="E1419" s="561" t="s">
        <v>1902</v>
      </c>
      <c r="F1419" s="562" t="s">
        <v>502</v>
      </c>
      <c r="G1419" s="562">
        <v>9857820744</v>
      </c>
      <c r="H1419" s="512"/>
      <c r="I1419" s="562">
        <v>21</v>
      </c>
      <c r="J1419" s="562" t="s">
        <v>1762</v>
      </c>
      <c r="K1419" s="513" t="s">
        <v>1480</v>
      </c>
      <c r="L1419" s="513"/>
      <c r="M1419" s="544" t="s">
        <v>1764</v>
      </c>
      <c r="N1419" s="732">
        <v>65030</v>
      </c>
      <c r="O1419" s="514">
        <v>65030</v>
      </c>
      <c r="P1419" s="514">
        <v>65045</v>
      </c>
      <c r="Q1419" s="512" t="s">
        <v>51</v>
      </c>
    </row>
    <row r="1420" spans="1:17">
      <c r="A1420" s="512">
        <f t="shared" si="14"/>
        <v>573</v>
      </c>
      <c r="B1420" s="513" t="s">
        <v>43</v>
      </c>
      <c r="C1420" s="513" t="s">
        <v>44</v>
      </c>
      <c r="D1420" s="513" t="s">
        <v>45</v>
      </c>
      <c r="E1420" s="561" t="s">
        <v>1921</v>
      </c>
      <c r="F1420" s="543" t="s">
        <v>502</v>
      </c>
      <c r="G1420" s="549">
        <v>9847832237</v>
      </c>
      <c r="H1420" s="512"/>
      <c r="I1420" s="549">
        <v>57</v>
      </c>
      <c r="J1420" s="549" t="s">
        <v>48</v>
      </c>
      <c r="K1420" s="549" t="s">
        <v>1480</v>
      </c>
      <c r="L1420" s="513"/>
      <c r="M1420" s="544" t="s">
        <v>119</v>
      </c>
      <c r="N1420" s="756">
        <v>65030</v>
      </c>
      <c r="O1420" s="514">
        <v>65030</v>
      </c>
      <c r="P1420" s="514">
        <v>65045</v>
      </c>
      <c r="Q1420" s="512" t="s">
        <v>51</v>
      </c>
    </row>
    <row r="1421" spans="1:17">
      <c r="A1421" s="512">
        <f t="shared" si="14"/>
        <v>574</v>
      </c>
      <c r="B1421" s="513" t="s">
        <v>524</v>
      </c>
      <c r="C1421" s="513" t="s">
        <v>44</v>
      </c>
      <c r="D1421" s="513" t="s">
        <v>449</v>
      </c>
      <c r="E1421" s="561" t="s">
        <v>1903</v>
      </c>
      <c r="F1421" s="562" t="s">
        <v>1009</v>
      </c>
      <c r="G1421" s="562">
        <v>9822567760</v>
      </c>
      <c r="H1421" s="512"/>
      <c r="I1421" s="562">
        <v>31</v>
      </c>
      <c r="J1421" s="562" t="s">
        <v>1762</v>
      </c>
      <c r="K1421" s="513" t="s">
        <v>1480</v>
      </c>
      <c r="L1421" s="513"/>
      <c r="M1421" s="544" t="s">
        <v>1764</v>
      </c>
      <c r="N1421" s="732">
        <v>65030</v>
      </c>
      <c r="O1421" s="514">
        <v>65030</v>
      </c>
      <c r="P1421" s="514">
        <v>65045</v>
      </c>
      <c r="Q1421" s="512" t="s">
        <v>51</v>
      </c>
    </row>
    <row r="1422" spans="1:17">
      <c r="A1422" s="512">
        <f t="shared" si="14"/>
        <v>575</v>
      </c>
      <c r="B1422" s="513" t="s">
        <v>43</v>
      </c>
      <c r="C1422" s="513" t="s">
        <v>44</v>
      </c>
      <c r="D1422" s="513" t="s">
        <v>45</v>
      </c>
      <c r="E1422" s="561" t="s">
        <v>1922</v>
      </c>
      <c r="F1422" s="543" t="s">
        <v>502</v>
      </c>
      <c r="G1422" s="549">
        <v>9809878605</v>
      </c>
      <c r="H1422" s="512"/>
      <c r="I1422" s="549">
        <v>27</v>
      </c>
      <c r="J1422" s="549" t="s">
        <v>90</v>
      </c>
      <c r="K1422" s="549" t="s">
        <v>1480</v>
      </c>
      <c r="L1422" s="513"/>
      <c r="M1422" s="544" t="s">
        <v>119</v>
      </c>
      <c r="N1422" s="756">
        <v>65030</v>
      </c>
      <c r="O1422" s="514">
        <v>65030</v>
      </c>
      <c r="P1422" s="514">
        <v>65045</v>
      </c>
      <c r="Q1422" s="512" t="s">
        <v>51</v>
      </c>
    </row>
    <row r="1423" spans="1:17">
      <c r="A1423" s="512">
        <f t="shared" si="14"/>
        <v>576</v>
      </c>
      <c r="B1423" s="513" t="s">
        <v>524</v>
      </c>
      <c r="C1423" s="513" t="s">
        <v>44</v>
      </c>
      <c r="D1423" s="513" t="s">
        <v>449</v>
      </c>
      <c r="E1423" s="561" t="s">
        <v>1904</v>
      </c>
      <c r="F1423" s="562" t="s">
        <v>1008</v>
      </c>
      <c r="G1423" s="562">
        <v>9802053081</v>
      </c>
      <c r="H1423" s="512"/>
      <c r="I1423" s="562">
        <v>34</v>
      </c>
      <c r="J1423" s="562" t="s">
        <v>1762</v>
      </c>
      <c r="K1423" s="513" t="s">
        <v>1480</v>
      </c>
      <c r="L1423" s="513"/>
      <c r="M1423" s="544" t="s">
        <v>1764</v>
      </c>
      <c r="N1423" s="732">
        <v>65030</v>
      </c>
      <c r="O1423" s="514">
        <v>65030</v>
      </c>
      <c r="P1423" s="514">
        <v>65045</v>
      </c>
      <c r="Q1423" s="512" t="s">
        <v>51</v>
      </c>
    </row>
    <row r="1424" spans="1:17">
      <c r="A1424" s="512">
        <f t="shared" si="14"/>
        <v>577</v>
      </c>
      <c r="B1424" s="513" t="s">
        <v>524</v>
      </c>
      <c r="C1424" s="513" t="s">
        <v>44</v>
      </c>
      <c r="D1424" s="513" t="s">
        <v>449</v>
      </c>
      <c r="E1424" s="561" t="s">
        <v>1905</v>
      </c>
      <c r="F1424" s="562" t="s">
        <v>1008</v>
      </c>
      <c r="G1424" s="562">
        <v>9829557734</v>
      </c>
      <c r="H1424" s="512"/>
      <c r="I1424" s="562">
        <v>18</v>
      </c>
      <c r="J1424" s="562" t="s">
        <v>1762</v>
      </c>
      <c r="K1424" s="513" t="s">
        <v>1480</v>
      </c>
      <c r="L1424" s="513"/>
      <c r="M1424" s="544" t="s">
        <v>1764</v>
      </c>
      <c r="N1424" s="732">
        <v>65030</v>
      </c>
      <c r="O1424" s="514">
        <v>65030</v>
      </c>
      <c r="P1424" s="514">
        <v>65045</v>
      </c>
      <c r="Q1424" s="512" t="s">
        <v>51</v>
      </c>
    </row>
    <row r="1425" spans="1:31">
      <c r="A1425" s="512">
        <f t="shared" si="14"/>
        <v>578</v>
      </c>
      <c r="B1425" s="513" t="s">
        <v>524</v>
      </c>
      <c r="C1425" s="513" t="s">
        <v>44</v>
      </c>
      <c r="D1425" s="513" t="s">
        <v>449</v>
      </c>
      <c r="E1425" s="561" t="s">
        <v>1906</v>
      </c>
      <c r="F1425" s="562" t="s">
        <v>491</v>
      </c>
      <c r="G1425" s="562">
        <v>9847890805</v>
      </c>
      <c r="H1425" s="512"/>
      <c r="I1425" s="562">
        <v>21</v>
      </c>
      <c r="J1425" s="562" t="s">
        <v>1762</v>
      </c>
      <c r="K1425" s="513" t="s">
        <v>1480</v>
      </c>
      <c r="L1425" s="513"/>
      <c r="M1425" s="544" t="s">
        <v>1764</v>
      </c>
      <c r="N1425" s="732">
        <v>65030</v>
      </c>
      <c r="O1425" s="514">
        <v>65030</v>
      </c>
      <c r="P1425" s="514">
        <v>65045</v>
      </c>
      <c r="Q1425" s="512" t="s">
        <v>51</v>
      </c>
    </row>
    <row r="1426" spans="1:31">
      <c r="A1426" s="512">
        <f t="shared" ref="A1426:A1489" si="15">A1425+1</f>
        <v>579</v>
      </c>
      <c r="B1426" s="513" t="s">
        <v>524</v>
      </c>
      <c r="C1426" s="513" t="s">
        <v>44</v>
      </c>
      <c r="D1426" s="513" t="s">
        <v>449</v>
      </c>
      <c r="E1426" s="561" t="s">
        <v>1907</v>
      </c>
      <c r="F1426" s="562" t="s">
        <v>502</v>
      </c>
      <c r="G1426" s="562">
        <v>9865481038</v>
      </c>
      <c r="H1426" s="512"/>
      <c r="I1426" s="562">
        <v>26</v>
      </c>
      <c r="J1426" s="562" t="s">
        <v>1762</v>
      </c>
      <c r="K1426" s="513" t="s">
        <v>1480</v>
      </c>
      <c r="L1426" s="513"/>
      <c r="M1426" s="544" t="s">
        <v>1764</v>
      </c>
      <c r="N1426" s="732">
        <v>65030</v>
      </c>
      <c r="O1426" s="514">
        <v>65030</v>
      </c>
      <c r="P1426" s="514">
        <v>65045</v>
      </c>
      <c r="Q1426" s="512" t="s">
        <v>51</v>
      </c>
    </row>
    <row r="1427" spans="1:31">
      <c r="A1427" s="512">
        <f t="shared" si="15"/>
        <v>580</v>
      </c>
      <c r="B1427" s="513" t="s">
        <v>43</v>
      </c>
      <c r="C1427" s="513" t="s">
        <v>44</v>
      </c>
      <c r="D1427" s="513" t="s">
        <v>45</v>
      </c>
      <c r="E1427" s="561" t="s">
        <v>1923</v>
      </c>
      <c r="F1427" s="543" t="s">
        <v>502</v>
      </c>
      <c r="G1427" s="549">
        <v>9855023155</v>
      </c>
      <c r="H1427" s="512"/>
      <c r="I1427" s="549">
        <v>57</v>
      </c>
      <c r="J1427" s="549" t="s">
        <v>90</v>
      </c>
      <c r="K1427" s="549" t="s">
        <v>1480</v>
      </c>
      <c r="L1427" s="513"/>
      <c r="M1427" s="544" t="s">
        <v>119</v>
      </c>
      <c r="N1427" s="756">
        <v>65030</v>
      </c>
      <c r="O1427" s="514">
        <v>65030</v>
      </c>
      <c r="P1427" s="514">
        <v>65045</v>
      </c>
      <c r="Q1427" s="512" t="s">
        <v>51</v>
      </c>
    </row>
    <row r="1428" spans="1:31">
      <c r="A1428" s="512">
        <f t="shared" si="15"/>
        <v>581</v>
      </c>
      <c r="B1428" s="423" t="s">
        <v>524</v>
      </c>
      <c r="C1428" s="423" t="s">
        <v>44</v>
      </c>
      <c r="D1428" s="423" t="s">
        <v>449</v>
      </c>
      <c r="E1428" s="557" t="s">
        <v>1058</v>
      </c>
      <c r="F1428" s="402" t="s">
        <v>491</v>
      </c>
      <c r="G1428" s="402"/>
      <c r="H1428" s="422"/>
      <c r="I1428" s="402">
        <v>57</v>
      </c>
      <c r="J1428" s="423" t="s">
        <v>90</v>
      </c>
      <c r="K1428" s="423" t="s">
        <v>709</v>
      </c>
      <c r="L1428" s="547"/>
      <c r="M1428" s="597" t="s">
        <v>1764</v>
      </c>
      <c r="N1428" s="726">
        <v>65030</v>
      </c>
      <c r="O1428" s="476"/>
      <c r="P1428" s="602">
        <v>65031</v>
      </c>
      <c r="Q1428" s="603" t="s">
        <v>940</v>
      </c>
    </row>
    <row r="1429" spans="1:31">
      <c r="A1429" s="512">
        <f t="shared" si="15"/>
        <v>582</v>
      </c>
      <c r="B1429" s="513" t="s">
        <v>524</v>
      </c>
      <c r="C1429" s="513" t="s">
        <v>44</v>
      </c>
      <c r="D1429" s="513" t="s">
        <v>449</v>
      </c>
      <c r="E1429" s="530" t="s">
        <v>1883</v>
      </c>
      <c r="F1429" s="523" t="s">
        <v>1046</v>
      </c>
      <c r="G1429" s="523">
        <v>9866902098</v>
      </c>
      <c r="H1429" s="512"/>
      <c r="I1429" s="523">
        <v>30</v>
      </c>
      <c r="J1429" s="523" t="s">
        <v>1915</v>
      </c>
      <c r="K1429" s="513" t="s">
        <v>709</v>
      </c>
      <c r="L1429" s="513"/>
      <c r="M1429" s="544" t="s">
        <v>1764</v>
      </c>
      <c r="N1429" s="732">
        <v>65030</v>
      </c>
      <c r="O1429" s="514">
        <v>65030</v>
      </c>
      <c r="P1429" s="514">
        <v>65045</v>
      </c>
      <c r="Q1429" s="512" t="s">
        <v>51</v>
      </c>
    </row>
    <row r="1430" spans="1:31">
      <c r="A1430" s="512">
        <f t="shared" si="15"/>
        <v>583</v>
      </c>
      <c r="B1430" s="423" t="s">
        <v>524</v>
      </c>
      <c r="C1430" s="423" t="s">
        <v>44</v>
      </c>
      <c r="D1430" s="423" t="s">
        <v>449</v>
      </c>
      <c r="E1430" s="423" t="s">
        <v>1750</v>
      </c>
      <c r="F1430" s="423" t="s">
        <v>441</v>
      </c>
      <c r="G1430" s="423"/>
      <c r="H1430" s="423"/>
      <c r="I1430" s="423">
        <v>62</v>
      </c>
      <c r="J1430" s="423" t="s">
        <v>48</v>
      </c>
      <c r="K1430" s="423" t="s">
        <v>709</v>
      </c>
      <c r="L1430" s="423"/>
      <c r="M1430" s="423" t="s">
        <v>54</v>
      </c>
      <c r="N1430" s="726">
        <v>65030</v>
      </c>
      <c r="O1430" s="476">
        <v>65030</v>
      </c>
      <c r="P1430" s="422"/>
      <c r="Q1430" s="476" t="s">
        <v>940</v>
      </c>
    </row>
    <row r="1431" spans="1:31">
      <c r="A1431" s="512">
        <f t="shared" si="15"/>
        <v>584</v>
      </c>
      <c r="B1431" s="513" t="s">
        <v>43</v>
      </c>
      <c r="C1431" s="513" t="s">
        <v>44</v>
      </c>
      <c r="D1431" s="513" t="s">
        <v>45</v>
      </c>
      <c r="E1431" s="561" t="s">
        <v>1924</v>
      </c>
      <c r="F1431" s="543" t="s">
        <v>502</v>
      </c>
      <c r="G1431" s="549"/>
      <c r="H1431" s="512"/>
      <c r="I1431" s="549">
        <v>52</v>
      </c>
      <c r="J1431" s="549" t="s">
        <v>48</v>
      </c>
      <c r="K1431" s="549" t="s">
        <v>1480</v>
      </c>
      <c r="L1431" s="513"/>
      <c r="M1431" s="544" t="s">
        <v>119</v>
      </c>
      <c r="N1431" s="756">
        <v>65030</v>
      </c>
      <c r="O1431" s="514">
        <v>65030</v>
      </c>
      <c r="P1431" s="514">
        <v>65045</v>
      </c>
      <c r="Q1431" s="512" t="s">
        <v>51</v>
      </c>
    </row>
    <row r="1432" spans="1:31">
      <c r="A1432" s="512">
        <f t="shared" si="15"/>
        <v>585</v>
      </c>
      <c r="B1432" s="513" t="s">
        <v>43</v>
      </c>
      <c r="C1432" s="513" t="s">
        <v>44</v>
      </c>
      <c r="D1432" s="513" t="s">
        <v>45</v>
      </c>
      <c r="E1432" s="561" t="s">
        <v>1925</v>
      </c>
      <c r="F1432" s="543" t="s">
        <v>502</v>
      </c>
      <c r="G1432" s="549">
        <v>9847823774</v>
      </c>
      <c r="H1432" s="512"/>
      <c r="I1432" s="549">
        <v>60</v>
      </c>
      <c r="J1432" s="549" t="s">
        <v>48</v>
      </c>
      <c r="K1432" s="549" t="s">
        <v>1480</v>
      </c>
      <c r="L1432" s="513"/>
      <c r="M1432" s="544" t="s">
        <v>119</v>
      </c>
      <c r="N1432" s="756">
        <v>65030</v>
      </c>
      <c r="O1432" s="514">
        <v>65030</v>
      </c>
      <c r="P1432" s="514">
        <v>65045</v>
      </c>
      <c r="Q1432" s="512" t="s">
        <v>51</v>
      </c>
    </row>
    <row r="1433" spans="1:31">
      <c r="A1433" s="512">
        <f t="shared" si="15"/>
        <v>586</v>
      </c>
      <c r="B1433" s="434" t="s">
        <v>43</v>
      </c>
      <c r="C1433" s="434" t="s">
        <v>44</v>
      </c>
      <c r="D1433" s="531" t="s">
        <v>45</v>
      </c>
      <c r="E1433" s="624" t="s">
        <v>1841</v>
      </c>
      <c r="F1433" s="575" t="s">
        <v>502</v>
      </c>
      <c r="G1433" s="575">
        <v>9847821757</v>
      </c>
      <c r="H1433" s="626"/>
      <c r="I1433" s="575">
        <v>25</v>
      </c>
      <c r="J1433" s="575" t="s">
        <v>90</v>
      </c>
      <c r="K1433" s="575" t="s">
        <v>53</v>
      </c>
      <c r="L1433" s="575"/>
      <c r="M1433" s="560" t="s">
        <v>1764</v>
      </c>
      <c r="N1433" s="752">
        <v>65031</v>
      </c>
      <c r="O1433" s="533"/>
      <c r="P1433" s="541">
        <v>65046</v>
      </c>
      <c r="Q1433" s="533" t="s">
        <v>51</v>
      </c>
      <c r="R1433" s="163"/>
      <c r="S1433" s="163"/>
      <c r="T1433" s="163"/>
      <c r="U1433" s="163"/>
      <c r="V1433" s="163"/>
      <c r="W1433" s="163"/>
      <c r="X1433" s="163"/>
      <c r="Y1433" s="163"/>
      <c r="Z1433" s="163"/>
      <c r="AA1433" s="163"/>
      <c r="AB1433" s="163"/>
      <c r="AC1433" s="163"/>
      <c r="AD1433" s="163"/>
      <c r="AE1433" s="163"/>
    </row>
    <row r="1434" spans="1:31">
      <c r="A1434" s="512">
        <f t="shared" si="15"/>
        <v>587</v>
      </c>
      <c r="B1434" s="434" t="s">
        <v>43</v>
      </c>
      <c r="C1434" s="434" t="s">
        <v>44</v>
      </c>
      <c r="D1434" s="531" t="s">
        <v>45</v>
      </c>
      <c r="E1434" s="626" t="s">
        <v>1844</v>
      </c>
      <c r="F1434" s="575" t="s">
        <v>124</v>
      </c>
      <c r="G1434" s="575">
        <v>9847861455</v>
      </c>
      <c r="H1434" s="626"/>
      <c r="I1434" s="575">
        <v>29</v>
      </c>
      <c r="J1434" s="575" t="s">
        <v>90</v>
      </c>
      <c r="K1434" s="575" t="s">
        <v>53</v>
      </c>
      <c r="L1434" s="575"/>
      <c r="M1434" s="560" t="s">
        <v>1764</v>
      </c>
      <c r="N1434" s="752">
        <v>65031</v>
      </c>
      <c r="O1434" s="533"/>
      <c r="P1434" s="541">
        <v>65046</v>
      </c>
      <c r="Q1434" s="533" t="s">
        <v>51</v>
      </c>
    </row>
    <row r="1435" spans="1:31">
      <c r="A1435" s="512">
        <f t="shared" si="15"/>
        <v>588</v>
      </c>
      <c r="B1435" s="434" t="s">
        <v>43</v>
      </c>
      <c r="C1435" s="434" t="s">
        <v>44</v>
      </c>
      <c r="D1435" s="531" t="s">
        <v>45</v>
      </c>
      <c r="E1435" s="626" t="s">
        <v>1881</v>
      </c>
      <c r="F1435" s="575" t="s">
        <v>491</v>
      </c>
      <c r="G1435" s="575">
        <v>9849643672</v>
      </c>
      <c r="H1435" s="626"/>
      <c r="I1435" s="575">
        <v>35</v>
      </c>
      <c r="J1435" s="575" t="s">
        <v>48</v>
      </c>
      <c r="K1435" s="575" t="s">
        <v>53</v>
      </c>
      <c r="L1435" s="575"/>
      <c r="M1435" s="560" t="s">
        <v>1764</v>
      </c>
      <c r="N1435" s="752">
        <v>65031</v>
      </c>
      <c r="O1435" s="533"/>
      <c r="P1435" s="541">
        <v>65046</v>
      </c>
      <c r="Q1435" s="533" t="s">
        <v>51</v>
      </c>
    </row>
    <row r="1436" spans="1:31">
      <c r="A1436" s="512">
        <f t="shared" si="15"/>
        <v>589</v>
      </c>
      <c r="B1436" s="434" t="s">
        <v>43</v>
      </c>
      <c r="C1436" s="434" t="s">
        <v>44</v>
      </c>
      <c r="D1436" s="531" t="s">
        <v>45</v>
      </c>
      <c r="E1436" s="626" t="s">
        <v>1848</v>
      </c>
      <c r="F1436" s="575" t="s">
        <v>502</v>
      </c>
      <c r="G1436" s="575">
        <v>9847940930</v>
      </c>
      <c r="H1436" s="626"/>
      <c r="I1436" s="575">
        <v>35</v>
      </c>
      <c r="J1436" s="575" t="s">
        <v>90</v>
      </c>
      <c r="K1436" s="575" t="s">
        <v>53</v>
      </c>
      <c r="L1436" s="575"/>
      <c r="M1436" s="560" t="s">
        <v>1764</v>
      </c>
      <c r="N1436" s="752">
        <v>65031</v>
      </c>
      <c r="O1436" s="533"/>
      <c r="P1436" s="541">
        <v>65046</v>
      </c>
      <c r="Q1436" s="533" t="s">
        <v>51</v>
      </c>
    </row>
    <row r="1437" spans="1:31">
      <c r="A1437" s="512">
        <f t="shared" si="15"/>
        <v>590</v>
      </c>
      <c r="B1437" s="434" t="s">
        <v>43</v>
      </c>
      <c r="C1437" s="434" t="s">
        <v>44</v>
      </c>
      <c r="D1437" s="531" t="s">
        <v>45</v>
      </c>
      <c r="E1437" s="626" t="s">
        <v>1976</v>
      </c>
      <c r="F1437" s="575" t="s">
        <v>1009</v>
      </c>
      <c r="G1437" s="575">
        <v>9847810824</v>
      </c>
      <c r="H1437" s="626"/>
      <c r="I1437" s="575">
        <v>50</v>
      </c>
      <c r="J1437" s="575" t="s">
        <v>90</v>
      </c>
      <c r="K1437" s="575" t="s">
        <v>53</v>
      </c>
      <c r="L1437" s="575"/>
      <c r="M1437" s="560" t="s">
        <v>1764</v>
      </c>
      <c r="N1437" s="752">
        <v>65031</v>
      </c>
      <c r="O1437" s="533"/>
      <c r="P1437" s="541">
        <v>65046</v>
      </c>
      <c r="Q1437" s="533" t="s">
        <v>51</v>
      </c>
      <c r="R1437" s="163"/>
      <c r="S1437" s="163"/>
      <c r="T1437" s="163"/>
      <c r="U1437" s="163"/>
      <c r="V1437" s="163"/>
      <c r="W1437" s="163"/>
      <c r="X1437" s="163"/>
      <c r="Y1437" s="163"/>
      <c r="Z1437" s="163"/>
      <c r="AA1437" s="163"/>
      <c r="AB1437" s="163"/>
      <c r="AC1437" s="163"/>
      <c r="AD1437" s="163"/>
      <c r="AE1437" s="163"/>
    </row>
    <row r="1438" spans="1:31">
      <c r="A1438" s="512">
        <f t="shared" si="15"/>
        <v>591</v>
      </c>
      <c r="B1438" s="434" t="s">
        <v>43</v>
      </c>
      <c r="C1438" s="434" t="s">
        <v>44</v>
      </c>
      <c r="D1438" s="531" t="s">
        <v>45</v>
      </c>
      <c r="E1438" s="626" t="s">
        <v>1855</v>
      </c>
      <c r="F1438" s="575" t="s">
        <v>491</v>
      </c>
      <c r="G1438" s="575">
        <v>9857821327</v>
      </c>
      <c r="H1438" s="626"/>
      <c r="I1438" s="575">
        <v>64</v>
      </c>
      <c r="J1438" s="575" t="s">
        <v>48</v>
      </c>
      <c r="K1438" s="575" t="s">
        <v>53</v>
      </c>
      <c r="L1438" s="575"/>
      <c r="M1438" s="560" t="s">
        <v>1764</v>
      </c>
      <c r="N1438" s="752">
        <v>65031</v>
      </c>
      <c r="O1438" s="533"/>
      <c r="P1438" s="541">
        <v>65046</v>
      </c>
      <c r="Q1438" s="533" t="s">
        <v>51</v>
      </c>
    </row>
    <row r="1439" spans="1:31">
      <c r="A1439" s="512">
        <f t="shared" si="15"/>
        <v>592</v>
      </c>
      <c r="B1439" s="434" t="s">
        <v>43</v>
      </c>
      <c r="C1439" s="434" t="s">
        <v>44</v>
      </c>
      <c r="D1439" s="531" t="s">
        <v>45</v>
      </c>
      <c r="E1439" s="626" t="s">
        <v>1847</v>
      </c>
      <c r="F1439" s="575" t="s">
        <v>730</v>
      </c>
      <c r="G1439" s="575">
        <v>9857835228</v>
      </c>
      <c r="H1439" s="626"/>
      <c r="I1439" s="575">
        <v>38</v>
      </c>
      <c r="J1439" s="575" t="s">
        <v>48</v>
      </c>
      <c r="K1439" s="575" t="s">
        <v>53</v>
      </c>
      <c r="L1439" s="575"/>
      <c r="M1439" s="560" t="s">
        <v>1764</v>
      </c>
      <c r="N1439" s="752">
        <v>65031</v>
      </c>
      <c r="O1439" s="533"/>
      <c r="P1439" s="541">
        <v>65046</v>
      </c>
      <c r="Q1439" s="533" t="s">
        <v>51</v>
      </c>
    </row>
    <row r="1440" spans="1:31">
      <c r="A1440" s="512">
        <f t="shared" si="15"/>
        <v>593</v>
      </c>
      <c r="B1440" s="490" t="s">
        <v>43</v>
      </c>
      <c r="C1440" s="490" t="s">
        <v>44</v>
      </c>
      <c r="D1440" s="490" t="s">
        <v>45</v>
      </c>
      <c r="E1440" s="627" t="s">
        <v>1872</v>
      </c>
      <c r="F1440" s="628" t="s">
        <v>529</v>
      </c>
      <c r="G1440" s="628">
        <v>9857824470</v>
      </c>
      <c r="H1440" s="627"/>
      <c r="I1440" s="628">
        <v>31</v>
      </c>
      <c r="J1440" s="628" t="s">
        <v>90</v>
      </c>
      <c r="K1440" s="628" t="s">
        <v>53</v>
      </c>
      <c r="L1440" s="628"/>
      <c r="M1440" s="609" t="s">
        <v>1764</v>
      </c>
      <c r="N1440" s="757">
        <v>65031</v>
      </c>
      <c r="O1440" s="509"/>
      <c r="P1440" s="511">
        <v>65086</v>
      </c>
      <c r="Q1440" s="533" t="s">
        <v>51</v>
      </c>
    </row>
    <row r="1441" spans="1:31">
      <c r="A1441" s="512">
        <f t="shared" si="15"/>
        <v>594</v>
      </c>
      <c r="B1441" s="434" t="s">
        <v>43</v>
      </c>
      <c r="C1441" s="434" t="s">
        <v>44</v>
      </c>
      <c r="D1441" s="531" t="s">
        <v>45</v>
      </c>
      <c r="E1441" s="626" t="s">
        <v>1840</v>
      </c>
      <c r="F1441" s="575" t="s">
        <v>636</v>
      </c>
      <c r="G1441" s="575">
        <v>9806220358</v>
      </c>
      <c r="H1441" s="626"/>
      <c r="I1441" s="575">
        <v>26</v>
      </c>
      <c r="J1441" s="575" t="s">
        <v>90</v>
      </c>
      <c r="K1441" s="575" t="s">
        <v>53</v>
      </c>
      <c r="L1441" s="575"/>
      <c r="M1441" s="560" t="s">
        <v>1764</v>
      </c>
      <c r="N1441" s="752">
        <v>65031</v>
      </c>
      <c r="O1441" s="533"/>
      <c r="P1441" s="541">
        <v>65046</v>
      </c>
      <c r="Q1441" s="533" t="s">
        <v>51</v>
      </c>
    </row>
    <row r="1442" spans="1:31">
      <c r="A1442" s="512">
        <f t="shared" si="15"/>
        <v>595</v>
      </c>
      <c r="B1442" s="434" t="s">
        <v>43</v>
      </c>
      <c r="C1442" s="434" t="s">
        <v>44</v>
      </c>
      <c r="D1442" s="531" t="s">
        <v>45</v>
      </c>
      <c r="E1442" s="626" t="s">
        <v>1868</v>
      </c>
      <c r="F1442" s="575" t="s">
        <v>124</v>
      </c>
      <c r="G1442" s="575">
        <v>9857823909</v>
      </c>
      <c r="H1442" s="626"/>
      <c r="I1442" s="575">
        <v>52</v>
      </c>
      <c r="J1442" s="575" t="s">
        <v>48</v>
      </c>
      <c r="K1442" s="575" t="s">
        <v>53</v>
      </c>
      <c r="L1442" s="575"/>
      <c r="M1442" s="560" t="s">
        <v>1764</v>
      </c>
      <c r="N1442" s="752">
        <v>65031</v>
      </c>
      <c r="O1442" s="533"/>
      <c r="P1442" s="541">
        <v>65046</v>
      </c>
      <c r="Q1442" s="533" t="s">
        <v>51</v>
      </c>
    </row>
    <row r="1443" spans="1:31">
      <c r="A1443" s="512">
        <f t="shared" si="15"/>
        <v>596</v>
      </c>
      <c r="B1443" s="434" t="s">
        <v>43</v>
      </c>
      <c r="C1443" s="434" t="s">
        <v>44</v>
      </c>
      <c r="D1443" s="531" t="s">
        <v>45</v>
      </c>
      <c r="E1443" s="629" t="s">
        <v>1837</v>
      </c>
      <c r="F1443" s="575" t="s">
        <v>497</v>
      </c>
      <c r="G1443" s="560">
        <v>9810872246</v>
      </c>
      <c r="H1443" s="626"/>
      <c r="I1443" s="560">
        <v>70</v>
      </c>
      <c r="J1443" s="560" t="s">
        <v>48</v>
      </c>
      <c r="K1443" s="575" t="s">
        <v>53</v>
      </c>
      <c r="L1443" s="560"/>
      <c r="M1443" s="560" t="s">
        <v>1764</v>
      </c>
      <c r="N1443" s="752">
        <v>65031</v>
      </c>
      <c r="O1443" s="533"/>
      <c r="P1443" s="541">
        <v>65046</v>
      </c>
      <c r="Q1443" s="533" t="s">
        <v>51</v>
      </c>
      <c r="R1443" s="326"/>
      <c r="S1443" s="326"/>
      <c r="T1443" s="326"/>
      <c r="U1443" s="326"/>
      <c r="V1443" s="326"/>
      <c r="W1443" s="326"/>
      <c r="X1443" s="326"/>
      <c r="Y1443" s="326"/>
      <c r="Z1443" s="326"/>
      <c r="AA1443" s="326"/>
      <c r="AB1443" s="326"/>
      <c r="AC1443" s="326"/>
      <c r="AD1443" s="326"/>
      <c r="AE1443" s="326"/>
    </row>
    <row r="1444" spans="1:31">
      <c r="A1444" s="512">
        <f t="shared" si="15"/>
        <v>597</v>
      </c>
      <c r="B1444" s="434" t="s">
        <v>43</v>
      </c>
      <c r="C1444" s="434" t="s">
        <v>44</v>
      </c>
      <c r="D1444" s="531" t="s">
        <v>45</v>
      </c>
      <c r="E1444" s="626" t="s">
        <v>1979</v>
      </c>
      <c r="F1444" s="575" t="s">
        <v>491</v>
      </c>
      <c r="G1444" s="575">
        <v>9841212328</v>
      </c>
      <c r="H1444" s="626"/>
      <c r="I1444" s="575">
        <v>50</v>
      </c>
      <c r="J1444" s="575" t="s">
        <v>48</v>
      </c>
      <c r="K1444" s="575" t="s">
        <v>53</v>
      </c>
      <c r="L1444" s="575"/>
      <c r="M1444" s="560" t="s">
        <v>1764</v>
      </c>
      <c r="N1444" s="752">
        <v>65031</v>
      </c>
      <c r="O1444" s="533"/>
      <c r="P1444" s="541">
        <v>65046</v>
      </c>
      <c r="Q1444" s="533" t="s">
        <v>51</v>
      </c>
    </row>
    <row r="1445" spans="1:31">
      <c r="A1445" s="512">
        <f t="shared" si="15"/>
        <v>598</v>
      </c>
      <c r="B1445" s="423" t="s">
        <v>43</v>
      </c>
      <c r="C1445" s="423" t="s">
        <v>44</v>
      </c>
      <c r="D1445" s="423" t="s">
        <v>45</v>
      </c>
      <c r="E1445" s="630" t="s">
        <v>1866</v>
      </c>
      <c r="F1445" s="597" t="s">
        <v>1046</v>
      </c>
      <c r="G1445" s="597">
        <v>9840125230</v>
      </c>
      <c r="H1445" s="630"/>
      <c r="I1445" s="597">
        <v>27</v>
      </c>
      <c r="J1445" s="597" t="s">
        <v>48</v>
      </c>
      <c r="K1445" s="597" t="s">
        <v>53</v>
      </c>
      <c r="L1445" s="597"/>
      <c r="M1445" s="597" t="s">
        <v>1764</v>
      </c>
      <c r="N1445" s="758">
        <v>65031</v>
      </c>
      <c r="O1445" s="476">
        <v>65043</v>
      </c>
      <c r="P1445" s="422" t="s">
        <v>940</v>
      </c>
      <c r="R1445" s="361"/>
      <c r="S1445" s="361"/>
    </row>
    <row r="1446" spans="1:31">
      <c r="A1446" s="512">
        <f t="shared" si="15"/>
        <v>599</v>
      </c>
      <c r="B1446" s="434" t="s">
        <v>43</v>
      </c>
      <c r="C1446" s="434" t="s">
        <v>44</v>
      </c>
      <c r="D1446" s="531" t="s">
        <v>45</v>
      </c>
      <c r="E1446" s="624" t="s">
        <v>1956</v>
      </c>
      <c r="F1446" s="575" t="s">
        <v>502</v>
      </c>
      <c r="G1446" s="575">
        <v>9812444729</v>
      </c>
      <c r="H1446" s="625"/>
      <c r="I1446" s="575">
        <v>25</v>
      </c>
      <c r="J1446" s="575" t="s">
        <v>90</v>
      </c>
      <c r="K1446" s="575" t="s">
        <v>345</v>
      </c>
      <c r="L1446" s="575"/>
      <c r="M1446" s="560" t="s">
        <v>1764</v>
      </c>
      <c r="N1446" s="752">
        <v>65031</v>
      </c>
      <c r="O1446" s="533"/>
      <c r="P1446" s="541">
        <v>65046</v>
      </c>
      <c r="Q1446" s="533" t="s">
        <v>51</v>
      </c>
    </row>
    <row r="1447" spans="1:31">
      <c r="A1447" s="512">
        <f t="shared" si="15"/>
        <v>600</v>
      </c>
      <c r="B1447" s="434" t="s">
        <v>43</v>
      </c>
      <c r="C1447" s="434" t="s">
        <v>44</v>
      </c>
      <c r="D1447" s="531" t="s">
        <v>45</v>
      </c>
      <c r="E1447" s="626" t="s">
        <v>1830</v>
      </c>
      <c r="F1447" s="575" t="s">
        <v>502</v>
      </c>
      <c r="G1447" s="575">
        <v>9857834386</v>
      </c>
      <c r="H1447" s="626"/>
      <c r="I1447" s="575">
        <v>48</v>
      </c>
      <c r="J1447" s="575" t="s">
        <v>90</v>
      </c>
      <c r="K1447" s="575" t="s">
        <v>53</v>
      </c>
      <c r="L1447" s="575"/>
      <c r="M1447" s="560" t="s">
        <v>1764</v>
      </c>
      <c r="N1447" s="752">
        <v>65031</v>
      </c>
      <c r="O1447" s="533"/>
      <c r="P1447" s="541">
        <v>65046</v>
      </c>
      <c r="Q1447" s="533" t="s">
        <v>51</v>
      </c>
    </row>
    <row r="1448" spans="1:31">
      <c r="A1448" s="512">
        <f t="shared" si="15"/>
        <v>601</v>
      </c>
      <c r="B1448" s="434" t="s">
        <v>43</v>
      </c>
      <c r="C1448" s="434" t="s">
        <v>44</v>
      </c>
      <c r="D1448" s="531" t="s">
        <v>45</v>
      </c>
      <c r="E1448" s="626" t="s">
        <v>1882</v>
      </c>
      <c r="F1448" s="575" t="s">
        <v>1046</v>
      </c>
      <c r="G1448" s="575">
        <v>9866902098</v>
      </c>
      <c r="H1448" s="626"/>
      <c r="I1448" s="575">
        <v>32</v>
      </c>
      <c r="J1448" s="575" t="s">
        <v>48</v>
      </c>
      <c r="K1448" s="575" t="s">
        <v>53</v>
      </c>
      <c r="L1448" s="575"/>
      <c r="M1448" s="560" t="s">
        <v>1764</v>
      </c>
      <c r="N1448" s="752">
        <v>65031</v>
      </c>
      <c r="O1448" s="533"/>
      <c r="P1448" s="541">
        <v>65046</v>
      </c>
      <c r="Q1448" s="533" t="s">
        <v>51</v>
      </c>
      <c r="R1448" s="326"/>
      <c r="S1448" s="326"/>
      <c r="T1448" s="326"/>
      <c r="U1448" s="326"/>
      <c r="V1448" s="326"/>
      <c r="W1448" s="326"/>
      <c r="X1448" s="326"/>
      <c r="Y1448" s="326"/>
      <c r="Z1448" s="326"/>
      <c r="AA1448" s="326"/>
      <c r="AB1448" s="326"/>
      <c r="AC1448" s="326"/>
      <c r="AD1448" s="326"/>
      <c r="AE1448" s="326"/>
    </row>
    <row r="1449" spans="1:31">
      <c r="A1449" s="512">
        <f t="shared" si="15"/>
        <v>602</v>
      </c>
      <c r="B1449" s="434" t="s">
        <v>43</v>
      </c>
      <c r="C1449" s="434" t="s">
        <v>44</v>
      </c>
      <c r="D1449" s="531" t="s">
        <v>45</v>
      </c>
      <c r="E1449" s="626" t="s">
        <v>1832</v>
      </c>
      <c r="F1449" s="575" t="s">
        <v>491</v>
      </c>
      <c r="G1449" s="575">
        <v>9847836421</v>
      </c>
      <c r="H1449" s="626"/>
      <c r="I1449" s="575">
        <v>70</v>
      </c>
      <c r="J1449" s="575" t="s">
        <v>48</v>
      </c>
      <c r="K1449" s="575" t="s">
        <v>53</v>
      </c>
      <c r="L1449" s="575"/>
      <c r="M1449" s="560" t="s">
        <v>1764</v>
      </c>
      <c r="N1449" s="752">
        <v>65031</v>
      </c>
      <c r="O1449" s="533"/>
      <c r="P1449" s="541">
        <v>65046</v>
      </c>
      <c r="Q1449" s="533" t="s">
        <v>51</v>
      </c>
    </row>
    <row r="1450" spans="1:31">
      <c r="A1450" s="512">
        <f t="shared" si="15"/>
        <v>603</v>
      </c>
      <c r="B1450" s="434" t="s">
        <v>43</v>
      </c>
      <c r="C1450" s="434" t="s">
        <v>44</v>
      </c>
      <c r="D1450" s="531" t="s">
        <v>45</v>
      </c>
      <c r="E1450" s="626" t="s">
        <v>1833</v>
      </c>
      <c r="F1450" s="575" t="s">
        <v>441</v>
      </c>
      <c r="G1450" s="575">
        <v>9868625778</v>
      </c>
      <c r="H1450" s="626"/>
      <c r="I1450" s="575">
        <v>65</v>
      </c>
      <c r="J1450" s="575" t="s">
        <v>48</v>
      </c>
      <c r="K1450" s="575" t="s">
        <v>53</v>
      </c>
      <c r="L1450" s="575"/>
      <c r="M1450" s="560" t="s">
        <v>1764</v>
      </c>
      <c r="N1450" s="752">
        <v>65031</v>
      </c>
      <c r="O1450" s="533"/>
      <c r="P1450" s="541">
        <v>65046</v>
      </c>
      <c r="Q1450" s="533" t="s">
        <v>51</v>
      </c>
    </row>
    <row r="1451" spans="1:31">
      <c r="A1451" s="512">
        <f t="shared" si="15"/>
        <v>604</v>
      </c>
      <c r="B1451" s="434" t="s">
        <v>43</v>
      </c>
      <c r="C1451" s="434" t="s">
        <v>44</v>
      </c>
      <c r="D1451" s="531" t="s">
        <v>45</v>
      </c>
      <c r="E1451" s="626" t="s">
        <v>1834</v>
      </c>
      <c r="F1451" s="575" t="s">
        <v>441</v>
      </c>
      <c r="G1451" s="575">
        <v>9810987701</v>
      </c>
      <c r="H1451" s="626"/>
      <c r="I1451" s="575">
        <v>29</v>
      </c>
      <c r="J1451" s="575" t="s">
        <v>48</v>
      </c>
      <c r="K1451" s="575" t="s">
        <v>53</v>
      </c>
      <c r="L1451" s="575"/>
      <c r="M1451" s="560" t="s">
        <v>1764</v>
      </c>
      <c r="N1451" s="752">
        <v>65031</v>
      </c>
      <c r="O1451" s="533"/>
      <c r="P1451" s="541">
        <v>65046</v>
      </c>
      <c r="Q1451" s="533" t="s">
        <v>51</v>
      </c>
    </row>
    <row r="1452" spans="1:31">
      <c r="A1452" s="512">
        <f t="shared" si="15"/>
        <v>605</v>
      </c>
      <c r="B1452" s="434" t="s">
        <v>43</v>
      </c>
      <c r="C1452" s="434" t="s">
        <v>44</v>
      </c>
      <c r="D1452" s="531" t="s">
        <v>45</v>
      </c>
      <c r="E1452" s="626" t="s">
        <v>1877</v>
      </c>
      <c r="F1452" s="575" t="s">
        <v>1046</v>
      </c>
      <c r="G1452" s="575">
        <v>9810987067</v>
      </c>
      <c r="H1452" s="626"/>
      <c r="I1452" s="575">
        <v>33</v>
      </c>
      <c r="J1452" s="575" t="s">
        <v>90</v>
      </c>
      <c r="K1452" s="575" t="s">
        <v>53</v>
      </c>
      <c r="L1452" s="575"/>
      <c r="M1452" s="560" t="s">
        <v>1764</v>
      </c>
      <c r="N1452" s="752">
        <v>65031</v>
      </c>
      <c r="O1452" s="533"/>
      <c r="P1452" s="541">
        <v>65046</v>
      </c>
      <c r="Q1452" s="533" t="s">
        <v>51</v>
      </c>
    </row>
    <row r="1453" spans="1:31">
      <c r="A1453" s="512">
        <f t="shared" si="15"/>
        <v>606</v>
      </c>
      <c r="B1453" s="434" t="s">
        <v>43</v>
      </c>
      <c r="C1453" s="434" t="s">
        <v>44</v>
      </c>
      <c r="D1453" s="531" t="s">
        <v>45</v>
      </c>
      <c r="E1453" s="626" t="s">
        <v>1827</v>
      </c>
      <c r="F1453" s="575" t="s">
        <v>491</v>
      </c>
      <c r="G1453" s="575">
        <v>9801347929</v>
      </c>
      <c r="H1453" s="626"/>
      <c r="I1453" s="575">
        <v>40</v>
      </c>
      <c r="J1453" s="575" t="s">
        <v>48</v>
      </c>
      <c r="K1453" s="575" t="s">
        <v>53</v>
      </c>
      <c r="L1453" s="575"/>
      <c r="M1453" s="560" t="s">
        <v>1764</v>
      </c>
      <c r="N1453" s="752">
        <v>65031</v>
      </c>
      <c r="O1453" s="533"/>
      <c r="P1453" s="541">
        <v>65046</v>
      </c>
      <c r="Q1453" s="533" t="s">
        <v>51</v>
      </c>
    </row>
    <row r="1454" spans="1:31">
      <c r="A1454" s="512">
        <f t="shared" si="15"/>
        <v>607</v>
      </c>
      <c r="B1454" s="434" t="s">
        <v>43</v>
      </c>
      <c r="C1454" s="434" t="s">
        <v>44</v>
      </c>
      <c r="D1454" s="531" t="s">
        <v>45</v>
      </c>
      <c r="E1454" s="626" t="s">
        <v>1884</v>
      </c>
      <c r="F1454" s="575" t="s">
        <v>491</v>
      </c>
      <c r="G1454" s="575">
        <v>9858440227</v>
      </c>
      <c r="H1454" s="626"/>
      <c r="I1454" s="575">
        <v>27</v>
      </c>
      <c r="J1454" s="575" t="s">
        <v>48</v>
      </c>
      <c r="K1454" s="575" t="s">
        <v>53</v>
      </c>
      <c r="L1454" s="575"/>
      <c r="M1454" s="560" t="s">
        <v>1764</v>
      </c>
      <c r="N1454" s="752">
        <v>65031</v>
      </c>
      <c r="O1454" s="533"/>
      <c r="P1454" s="541">
        <v>65046</v>
      </c>
      <c r="Q1454" s="533" t="s">
        <v>51</v>
      </c>
    </row>
    <row r="1455" spans="1:31">
      <c r="A1455" s="512">
        <f t="shared" si="15"/>
        <v>608</v>
      </c>
      <c r="B1455" s="434" t="s">
        <v>43</v>
      </c>
      <c r="C1455" s="434" t="s">
        <v>44</v>
      </c>
      <c r="D1455" s="531" t="s">
        <v>45</v>
      </c>
      <c r="E1455" s="626" t="s">
        <v>1879</v>
      </c>
      <c r="F1455" s="575" t="s">
        <v>124</v>
      </c>
      <c r="G1455" s="575">
        <v>9869346214</v>
      </c>
      <c r="H1455" s="626"/>
      <c r="I1455" s="575">
        <v>42</v>
      </c>
      <c r="J1455" s="575" t="s">
        <v>48</v>
      </c>
      <c r="K1455" s="575" t="s">
        <v>53</v>
      </c>
      <c r="L1455" s="575"/>
      <c r="M1455" s="560" t="s">
        <v>1764</v>
      </c>
      <c r="N1455" s="752">
        <v>65031</v>
      </c>
      <c r="O1455" s="533"/>
      <c r="P1455" s="541">
        <v>65046</v>
      </c>
      <c r="Q1455" s="533" t="s">
        <v>51</v>
      </c>
    </row>
    <row r="1456" spans="1:31">
      <c r="A1456" s="512">
        <f t="shared" si="15"/>
        <v>609</v>
      </c>
      <c r="B1456" s="434" t="s">
        <v>43</v>
      </c>
      <c r="C1456" s="434" t="s">
        <v>44</v>
      </c>
      <c r="D1456" s="531" t="s">
        <v>45</v>
      </c>
      <c r="E1456" s="626" t="s">
        <v>1984</v>
      </c>
      <c r="F1456" s="575" t="s">
        <v>1046</v>
      </c>
      <c r="G1456" s="575">
        <v>9849758776</v>
      </c>
      <c r="H1456" s="626"/>
      <c r="I1456" s="575">
        <v>60</v>
      </c>
      <c r="J1456" s="575" t="s">
        <v>90</v>
      </c>
      <c r="K1456" s="575" t="s">
        <v>53</v>
      </c>
      <c r="L1456" s="575"/>
      <c r="M1456" s="560" t="s">
        <v>1764</v>
      </c>
      <c r="N1456" s="752">
        <v>65031</v>
      </c>
      <c r="O1456" s="533"/>
      <c r="P1456" s="541">
        <v>65046</v>
      </c>
      <c r="Q1456" s="533" t="s">
        <v>51</v>
      </c>
    </row>
    <row r="1457" spans="1:19">
      <c r="A1457" s="512">
        <f t="shared" si="15"/>
        <v>610</v>
      </c>
      <c r="B1457" s="434" t="s">
        <v>43</v>
      </c>
      <c r="C1457" s="434" t="s">
        <v>44</v>
      </c>
      <c r="D1457" s="531" t="s">
        <v>45</v>
      </c>
      <c r="E1457" s="626" t="s">
        <v>1861</v>
      </c>
      <c r="F1457" s="575" t="s">
        <v>1008</v>
      </c>
      <c r="G1457" s="575">
        <v>9863124481</v>
      </c>
      <c r="H1457" s="626"/>
      <c r="I1457" s="575">
        <v>24</v>
      </c>
      <c r="J1457" s="575" t="s">
        <v>90</v>
      </c>
      <c r="K1457" s="575" t="s">
        <v>53</v>
      </c>
      <c r="L1457" s="575"/>
      <c r="M1457" s="560" t="s">
        <v>1764</v>
      </c>
      <c r="N1457" s="752">
        <v>65031</v>
      </c>
      <c r="O1457" s="533"/>
      <c r="P1457" s="541">
        <v>65046</v>
      </c>
      <c r="Q1457" s="533" t="s">
        <v>51</v>
      </c>
    </row>
    <row r="1458" spans="1:19">
      <c r="A1458" s="512">
        <f t="shared" si="15"/>
        <v>611</v>
      </c>
      <c r="B1458" s="434" t="s">
        <v>43</v>
      </c>
      <c r="C1458" s="434" t="s">
        <v>44</v>
      </c>
      <c r="D1458" s="531" t="s">
        <v>45</v>
      </c>
      <c r="E1458" s="566" t="s">
        <v>1918</v>
      </c>
      <c r="F1458" s="601" t="s">
        <v>1008</v>
      </c>
      <c r="G1458" s="575">
        <v>9863117825</v>
      </c>
      <c r="H1458" s="533"/>
      <c r="I1458" s="575">
        <v>24</v>
      </c>
      <c r="J1458" s="575" t="s">
        <v>48</v>
      </c>
      <c r="K1458" s="575" t="s">
        <v>1480</v>
      </c>
      <c r="L1458" s="531"/>
      <c r="M1458" s="560" t="s">
        <v>119</v>
      </c>
      <c r="N1458" s="752">
        <v>65031</v>
      </c>
      <c r="O1458" s="533"/>
      <c r="P1458" s="541">
        <v>65046</v>
      </c>
      <c r="Q1458" s="533" t="s">
        <v>51</v>
      </c>
    </row>
    <row r="1459" spans="1:19">
      <c r="A1459" s="512">
        <f t="shared" si="15"/>
        <v>612</v>
      </c>
      <c r="B1459" s="434" t="s">
        <v>43</v>
      </c>
      <c r="C1459" s="434" t="s">
        <v>44</v>
      </c>
      <c r="D1459" s="531" t="s">
        <v>45</v>
      </c>
      <c r="E1459" s="626" t="s">
        <v>1959</v>
      </c>
      <c r="F1459" s="575" t="s">
        <v>441</v>
      </c>
      <c r="G1459" s="575">
        <v>9829598252</v>
      </c>
      <c r="H1459" s="626"/>
      <c r="I1459" s="575">
        <v>26</v>
      </c>
      <c r="J1459" s="575" t="s">
        <v>90</v>
      </c>
      <c r="K1459" s="575" t="s">
        <v>53</v>
      </c>
      <c r="L1459" s="575"/>
      <c r="M1459" s="560" t="s">
        <v>1764</v>
      </c>
      <c r="N1459" s="752">
        <v>65031</v>
      </c>
      <c r="O1459" s="533"/>
      <c r="P1459" s="541">
        <v>65046</v>
      </c>
      <c r="Q1459" s="533" t="s">
        <v>51</v>
      </c>
    </row>
    <row r="1460" spans="1:19">
      <c r="A1460" s="512">
        <f t="shared" si="15"/>
        <v>613</v>
      </c>
      <c r="B1460" s="434" t="s">
        <v>43</v>
      </c>
      <c r="C1460" s="434" t="s">
        <v>44</v>
      </c>
      <c r="D1460" s="531" t="s">
        <v>45</v>
      </c>
      <c r="E1460" s="626" t="s">
        <v>1952</v>
      </c>
      <c r="F1460" s="575" t="s">
        <v>791</v>
      </c>
      <c r="G1460" s="575">
        <v>9868151614</v>
      </c>
      <c r="H1460" s="626"/>
      <c r="I1460" s="575">
        <v>20</v>
      </c>
      <c r="J1460" s="575" t="s">
        <v>48</v>
      </c>
      <c r="K1460" s="575" t="s">
        <v>53</v>
      </c>
      <c r="L1460" s="575"/>
      <c r="M1460" s="560" t="s">
        <v>1764</v>
      </c>
      <c r="N1460" s="752">
        <v>65031</v>
      </c>
      <c r="O1460" s="533"/>
      <c r="P1460" s="541">
        <v>65046</v>
      </c>
      <c r="Q1460" s="533" t="s">
        <v>51</v>
      </c>
    </row>
    <row r="1461" spans="1:19">
      <c r="A1461" s="512">
        <f t="shared" si="15"/>
        <v>614</v>
      </c>
      <c r="B1461" s="434" t="s">
        <v>43</v>
      </c>
      <c r="C1461" s="434" t="s">
        <v>44</v>
      </c>
      <c r="D1461" s="531" t="s">
        <v>45</v>
      </c>
      <c r="E1461" s="626" t="s">
        <v>1865</v>
      </c>
      <c r="F1461" s="575" t="s">
        <v>557</v>
      </c>
      <c r="G1461" s="575">
        <v>9868996099</v>
      </c>
      <c r="H1461" s="626"/>
      <c r="I1461" s="575">
        <v>22</v>
      </c>
      <c r="J1461" s="575" t="s">
        <v>48</v>
      </c>
      <c r="K1461" s="575" t="s">
        <v>53</v>
      </c>
      <c r="L1461" s="575"/>
      <c r="M1461" s="560" t="s">
        <v>1764</v>
      </c>
      <c r="N1461" s="752">
        <v>65031</v>
      </c>
      <c r="O1461" s="533"/>
      <c r="P1461" s="541">
        <v>65046</v>
      </c>
      <c r="Q1461" s="533" t="s">
        <v>51</v>
      </c>
    </row>
    <row r="1462" spans="1:19">
      <c r="A1462" s="512">
        <f t="shared" si="15"/>
        <v>615</v>
      </c>
      <c r="B1462" s="423" t="s">
        <v>43</v>
      </c>
      <c r="C1462" s="423" t="s">
        <v>44</v>
      </c>
      <c r="D1462" s="423" t="s">
        <v>45</v>
      </c>
      <c r="E1462" s="630" t="s">
        <v>1988</v>
      </c>
      <c r="F1462" s="597" t="s">
        <v>1046</v>
      </c>
      <c r="G1462" s="597"/>
      <c r="H1462" s="630"/>
      <c r="I1462" s="597">
        <v>70</v>
      </c>
      <c r="J1462" s="597" t="s">
        <v>90</v>
      </c>
      <c r="K1462" s="597" t="s">
        <v>53</v>
      </c>
      <c r="L1462" s="597"/>
      <c r="M1462" s="620" t="s">
        <v>2009</v>
      </c>
      <c r="N1462" s="758">
        <v>65031</v>
      </c>
      <c r="O1462" s="476">
        <v>65032</v>
      </c>
      <c r="P1462" s="422" t="s">
        <v>940</v>
      </c>
    </row>
    <row r="1463" spans="1:19">
      <c r="A1463" s="512">
        <f t="shared" si="15"/>
        <v>616</v>
      </c>
      <c r="B1463" s="531" t="s">
        <v>43</v>
      </c>
      <c r="C1463" s="531" t="s">
        <v>44</v>
      </c>
      <c r="D1463" s="531" t="s">
        <v>45</v>
      </c>
      <c r="E1463" s="626" t="s">
        <v>1880</v>
      </c>
      <c r="F1463" s="575" t="s">
        <v>124</v>
      </c>
      <c r="G1463" s="575">
        <v>9866749774</v>
      </c>
      <c r="H1463" s="626"/>
      <c r="I1463" s="575">
        <v>40</v>
      </c>
      <c r="J1463" s="575" t="s">
        <v>90</v>
      </c>
      <c r="K1463" s="575" t="s">
        <v>53</v>
      </c>
      <c r="L1463" s="575"/>
      <c r="M1463" s="560" t="s">
        <v>1764</v>
      </c>
      <c r="N1463" s="752">
        <v>65031</v>
      </c>
      <c r="O1463" s="533"/>
      <c r="P1463" s="541">
        <v>65046</v>
      </c>
      <c r="Q1463" s="533" t="s">
        <v>51</v>
      </c>
    </row>
    <row r="1464" spans="1:19">
      <c r="A1464" s="512">
        <f t="shared" si="15"/>
        <v>617</v>
      </c>
      <c r="B1464" s="531" t="s">
        <v>43</v>
      </c>
      <c r="C1464" s="531" t="s">
        <v>44</v>
      </c>
      <c r="D1464" s="531" t="s">
        <v>45</v>
      </c>
      <c r="E1464" s="626" t="s">
        <v>1826</v>
      </c>
      <c r="F1464" s="575" t="s">
        <v>529</v>
      </c>
      <c r="G1464" s="575">
        <v>9810939324</v>
      </c>
      <c r="H1464" s="626"/>
      <c r="I1464" s="575">
        <v>55</v>
      </c>
      <c r="J1464" s="575" t="s">
        <v>48</v>
      </c>
      <c r="K1464" s="575" t="s">
        <v>53</v>
      </c>
      <c r="L1464" s="575"/>
      <c r="M1464" s="560" t="s">
        <v>1764</v>
      </c>
      <c r="N1464" s="752">
        <v>65031</v>
      </c>
      <c r="O1464" s="533"/>
      <c r="P1464" s="541">
        <v>65046</v>
      </c>
      <c r="Q1464" s="533" t="s">
        <v>51</v>
      </c>
    </row>
    <row r="1465" spans="1:19">
      <c r="A1465" s="512">
        <f t="shared" si="15"/>
        <v>618</v>
      </c>
      <c r="B1465" s="531" t="s">
        <v>43</v>
      </c>
      <c r="C1465" s="531" t="s">
        <v>44</v>
      </c>
      <c r="D1465" s="531" t="s">
        <v>45</v>
      </c>
      <c r="E1465" s="626" t="s">
        <v>1875</v>
      </c>
      <c r="F1465" s="575" t="s">
        <v>491</v>
      </c>
      <c r="G1465" s="575">
        <v>9844056220</v>
      </c>
      <c r="H1465" s="626"/>
      <c r="I1465" s="575">
        <v>31</v>
      </c>
      <c r="J1465" s="575" t="s">
        <v>48</v>
      </c>
      <c r="K1465" s="575" t="s">
        <v>53</v>
      </c>
      <c r="L1465" s="575"/>
      <c r="M1465" s="560" t="s">
        <v>1764</v>
      </c>
      <c r="N1465" s="752">
        <v>65031</v>
      </c>
      <c r="O1465" s="533"/>
      <c r="P1465" s="541">
        <v>65046</v>
      </c>
      <c r="Q1465" s="533" t="s">
        <v>51</v>
      </c>
    </row>
    <row r="1466" spans="1:19">
      <c r="A1466" s="512">
        <f t="shared" si="15"/>
        <v>619</v>
      </c>
      <c r="B1466" s="531" t="s">
        <v>43</v>
      </c>
      <c r="C1466" s="531" t="s">
        <v>44</v>
      </c>
      <c r="D1466" s="531" t="s">
        <v>45</v>
      </c>
      <c r="E1466" s="626" t="s">
        <v>1842</v>
      </c>
      <c r="F1466" s="575" t="s">
        <v>1008</v>
      </c>
      <c r="G1466" s="575">
        <v>9868999141</v>
      </c>
      <c r="H1466" s="626"/>
      <c r="I1466" s="575">
        <v>53</v>
      </c>
      <c r="J1466" s="575" t="s">
        <v>48</v>
      </c>
      <c r="K1466" s="575" t="s">
        <v>53</v>
      </c>
      <c r="L1466" s="575"/>
      <c r="M1466" s="560" t="s">
        <v>1764</v>
      </c>
      <c r="N1466" s="752">
        <v>65031</v>
      </c>
      <c r="O1466" s="533"/>
      <c r="P1466" s="541">
        <v>65046</v>
      </c>
      <c r="Q1466" s="533" t="s">
        <v>51</v>
      </c>
    </row>
    <row r="1467" spans="1:19">
      <c r="A1467" s="512">
        <f t="shared" si="15"/>
        <v>620</v>
      </c>
      <c r="B1467" s="531" t="s">
        <v>43</v>
      </c>
      <c r="C1467" s="531" t="s">
        <v>44</v>
      </c>
      <c r="D1467" s="531" t="s">
        <v>45</v>
      </c>
      <c r="E1467" s="626" t="s">
        <v>1871</v>
      </c>
      <c r="F1467" s="575" t="s">
        <v>124</v>
      </c>
      <c r="G1467" s="575">
        <v>9848456383</v>
      </c>
      <c r="H1467" s="626"/>
      <c r="I1467" s="575">
        <v>41</v>
      </c>
      <c r="J1467" s="575" t="s">
        <v>48</v>
      </c>
      <c r="K1467" s="575" t="s">
        <v>53</v>
      </c>
      <c r="L1467" s="575"/>
      <c r="M1467" s="560" t="s">
        <v>1764</v>
      </c>
      <c r="N1467" s="752">
        <v>65031</v>
      </c>
      <c r="O1467" s="533"/>
      <c r="P1467" s="541">
        <v>65046</v>
      </c>
      <c r="Q1467" s="533" t="s">
        <v>51</v>
      </c>
    </row>
    <row r="1468" spans="1:19">
      <c r="A1468" s="512">
        <f t="shared" si="15"/>
        <v>621</v>
      </c>
      <c r="B1468" s="531" t="s">
        <v>43</v>
      </c>
      <c r="C1468" s="531" t="s">
        <v>44</v>
      </c>
      <c r="D1468" s="531" t="s">
        <v>45</v>
      </c>
      <c r="E1468" s="626" t="s">
        <v>1862</v>
      </c>
      <c r="F1468" s="575" t="s">
        <v>1008</v>
      </c>
      <c r="G1468" s="575">
        <v>9863124481</v>
      </c>
      <c r="H1468" s="626"/>
      <c r="I1468" s="575">
        <v>26</v>
      </c>
      <c r="J1468" s="575" t="s">
        <v>48</v>
      </c>
      <c r="K1468" s="575" t="s">
        <v>53</v>
      </c>
      <c r="L1468" s="575"/>
      <c r="M1468" s="560" t="s">
        <v>1764</v>
      </c>
      <c r="N1468" s="752">
        <v>65031</v>
      </c>
      <c r="O1468" s="533"/>
      <c r="P1468" s="541">
        <v>65046</v>
      </c>
      <c r="Q1468" s="533" t="s">
        <v>51</v>
      </c>
      <c r="R1468" s="350"/>
      <c r="S1468" s="360"/>
    </row>
    <row r="1469" spans="1:19">
      <c r="A1469" s="512">
        <f t="shared" si="15"/>
        <v>622</v>
      </c>
      <c r="B1469" s="531" t="s">
        <v>43</v>
      </c>
      <c r="C1469" s="531" t="s">
        <v>44</v>
      </c>
      <c r="D1469" s="531" t="s">
        <v>45</v>
      </c>
      <c r="E1469" s="626" t="s">
        <v>1863</v>
      </c>
      <c r="F1469" s="575" t="s">
        <v>1008</v>
      </c>
      <c r="G1469" s="575">
        <v>9863124481</v>
      </c>
      <c r="H1469" s="626"/>
      <c r="I1469" s="575">
        <v>27</v>
      </c>
      <c r="J1469" s="575" t="s">
        <v>48</v>
      </c>
      <c r="K1469" s="575" t="s">
        <v>53</v>
      </c>
      <c r="L1469" s="575"/>
      <c r="M1469" s="560" t="s">
        <v>1764</v>
      </c>
      <c r="N1469" s="752">
        <v>65031</v>
      </c>
      <c r="O1469" s="533"/>
      <c r="P1469" s="541">
        <v>65046</v>
      </c>
      <c r="Q1469" s="533" t="s">
        <v>51</v>
      </c>
    </row>
    <row r="1470" spans="1:19">
      <c r="A1470" s="512">
        <f t="shared" si="15"/>
        <v>623</v>
      </c>
      <c r="B1470" s="531" t="s">
        <v>43</v>
      </c>
      <c r="C1470" s="531" t="s">
        <v>44</v>
      </c>
      <c r="D1470" s="531" t="s">
        <v>45</v>
      </c>
      <c r="E1470" s="626" t="s">
        <v>1869</v>
      </c>
      <c r="F1470" s="575" t="s">
        <v>598</v>
      </c>
      <c r="G1470" s="575">
        <v>9809560020</v>
      </c>
      <c r="H1470" s="626"/>
      <c r="I1470" s="575">
        <v>17</v>
      </c>
      <c r="J1470" s="575" t="s">
        <v>48</v>
      </c>
      <c r="K1470" s="575" t="s">
        <v>53</v>
      </c>
      <c r="L1470" s="575"/>
      <c r="M1470" s="560" t="s">
        <v>1764</v>
      </c>
      <c r="N1470" s="752">
        <v>65031</v>
      </c>
      <c r="O1470" s="533"/>
      <c r="P1470" s="541">
        <v>65046</v>
      </c>
      <c r="Q1470" s="533" t="s">
        <v>51</v>
      </c>
    </row>
    <row r="1471" spans="1:19">
      <c r="A1471" s="512">
        <f t="shared" si="15"/>
        <v>624</v>
      </c>
      <c r="B1471" s="531" t="s">
        <v>43</v>
      </c>
      <c r="C1471" s="531" t="s">
        <v>44</v>
      </c>
      <c r="D1471" s="531" t="s">
        <v>45</v>
      </c>
      <c r="E1471" s="626" t="s">
        <v>1891</v>
      </c>
      <c r="F1471" s="575" t="s">
        <v>491</v>
      </c>
      <c r="G1471" s="575">
        <v>9857821351</v>
      </c>
      <c r="H1471" s="626"/>
      <c r="I1471" s="575">
        <v>36</v>
      </c>
      <c r="J1471" s="575" t="s">
        <v>48</v>
      </c>
      <c r="K1471" s="575" t="s">
        <v>53</v>
      </c>
      <c r="L1471" s="575"/>
      <c r="M1471" s="560" t="s">
        <v>1764</v>
      </c>
      <c r="N1471" s="752">
        <v>65031</v>
      </c>
      <c r="O1471" s="533"/>
      <c r="P1471" s="541">
        <v>65046</v>
      </c>
      <c r="Q1471" s="533" t="s">
        <v>51</v>
      </c>
    </row>
    <row r="1472" spans="1:19">
      <c r="A1472" s="512">
        <f t="shared" si="15"/>
        <v>625</v>
      </c>
      <c r="B1472" s="531" t="s">
        <v>43</v>
      </c>
      <c r="C1472" s="531" t="s">
        <v>44</v>
      </c>
      <c r="D1472" s="531" t="s">
        <v>45</v>
      </c>
      <c r="E1472" s="626" t="s">
        <v>1961</v>
      </c>
      <c r="F1472" s="575" t="s">
        <v>730</v>
      </c>
      <c r="G1472" s="575">
        <v>9867092768</v>
      </c>
      <c r="H1472" s="626"/>
      <c r="I1472" s="575">
        <v>28</v>
      </c>
      <c r="J1472" s="575" t="s">
        <v>48</v>
      </c>
      <c r="K1472" s="575" t="s">
        <v>53</v>
      </c>
      <c r="L1472" s="575"/>
      <c r="M1472" s="560" t="s">
        <v>1764</v>
      </c>
      <c r="N1472" s="752">
        <v>65031</v>
      </c>
      <c r="O1472" s="533"/>
      <c r="P1472" s="541">
        <v>65046</v>
      </c>
      <c r="Q1472" s="533" t="s">
        <v>51</v>
      </c>
    </row>
    <row r="1473" spans="1:31">
      <c r="A1473" s="512">
        <f t="shared" si="15"/>
        <v>626</v>
      </c>
      <c r="B1473" s="531" t="s">
        <v>43</v>
      </c>
      <c r="C1473" s="531" t="s">
        <v>44</v>
      </c>
      <c r="D1473" s="531" t="s">
        <v>45</v>
      </c>
      <c r="E1473" s="626" t="s">
        <v>1874</v>
      </c>
      <c r="F1473" s="575" t="s">
        <v>491</v>
      </c>
      <c r="G1473" s="575">
        <v>9847100938</v>
      </c>
      <c r="H1473" s="626"/>
      <c r="I1473" s="575">
        <v>35</v>
      </c>
      <c r="J1473" s="575" t="s">
        <v>48</v>
      </c>
      <c r="K1473" s="575" t="s">
        <v>53</v>
      </c>
      <c r="L1473" s="575"/>
      <c r="M1473" s="560" t="s">
        <v>1764</v>
      </c>
      <c r="N1473" s="752">
        <v>65031</v>
      </c>
      <c r="O1473" s="533"/>
      <c r="P1473" s="541">
        <v>65046</v>
      </c>
      <c r="Q1473" s="533" t="s">
        <v>51</v>
      </c>
    </row>
    <row r="1474" spans="1:31">
      <c r="A1474" s="512">
        <f t="shared" si="15"/>
        <v>627</v>
      </c>
      <c r="B1474" s="531" t="s">
        <v>43</v>
      </c>
      <c r="C1474" s="531" t="s">
        <v>44</v>
      </c>
      <c r="D1474" s="531" t="s">
        <v>45</v>
      </c>
      <c r="E1474" s="626" t="s">
        <v>1890</v>
      </c>
      <c r="F1474" s="575" t="s">
        <v>510</v>
      </c>
      <c r="G1474" s="575">
        <v>9863133456</v>
      </c>
      <c r="H1474" s="626"/>
      <c r="I1474" s="575">
        <v>23</v>
      </c>
      <c r="J1474" s="575" t="s">
        <v>90</v>
      </c>
      <c r="K1474" s="575" t="s">
        <v>53</v>
      </c>
      <c r="L1474" s="575"/>
      <c r="M1474" s="560" t="s">
        <v>1764</v>
      </c>
      <c r="N1474" s="752">
        <v>65031</v>
      </c>
      <c r="O1474" s="533"/>
      <c r="P1474" s="541">
        <v>65046</v>
      </c>
      <c r="Q1474" s="533" t="s">
        <v>51</v>
      </c>
    </row>
    <row r="1475" spans="1:31">
      <c r="A1475" s="512">
        <f t="shared" si="15"/>
        <v>628</v>
      </c>
      <c r="B1475" s="531" t="s">
        <v>43</v>
      </c>
      <c r="C1475" s="531" t="s">
        <v>44</v>
      </c>
      <c r="D1475" s="531" t="s">
        <v>45</v>
      </c>
      <c r="E1475" s="626" t="s">
        <v>1873</v>
      </c>
      <c r="F1475" s="575" t="s">
        <v>529</v>
      </c>
      <c r="G1475" s="575">
        <v>9857824470</v>
      </c>
      <c r="H1475" s="626"/>
      <c r="I1475" s="575">
        <v>5</v>
      </c>
      <c r="J1475" s="575" t="s">
        <v>90</v>
      </c>
      <c r="K1475" s="575" t="s">
        <v>53</v>
      </c>
      <c r="L1475" s="575"/>
      <c r="M1475" s="560" t="s">
        <v>1764</v>
      </c>
      <c r="N1475" s="752">
        <v>65031</v>
      </c>
      <c r="O1475" s="533"/>
      <c r="P1475" s="541">
        <v>65046</v>
      </c>
      <c r="Q1475" s="533" t="s">
        <v>51</v>
      </c>
    </row>
    <row r="1476" spans="1:31">
      <c r="A1476" s="512">
        <f t="shared" si="15"/>
        <v>629</v>
      </c>
      <c r="B1476" s="531" t="s">
        <v>43</v>
      </c>
      <c r="C1476" s="531" t="s">
        <v>44</v>
      </c>
      <c r="D1476" s="531" t="s">
        <v>45</v>
      </c>
      <c r="E1476" s="626" t="s">
        <v>1886</v>
      </c>
      <c r="F1476" s="575" t="s">
        <v>491</v>
      </c>
      <c r="G1476" s="575">
        <v>9858440227</v>
      </c>
      <c r="H1476" s="626"/>
      <c r="I1476" s="575">
        <v>17</v>
      </c>
      <c r="J1476" s="575" t="s">
        <v>90</v>
      </c>
      <c r="K1476" s="575" t="s">
        <v>53</v>
      </c>
      <c r="L1476" s="575"/>
      <c r="M1476" s="560" t="s">
        <v>1764</v>
      </c>
      <c r="N1476" s="752">
        <v>65031</v>
      </c>
      <c r="O1476" s="533"/>
      <c r="P1476" s="541">
        <v>65046</v>
      </c>
      <c r="Q1476" s="533" t="s">
        <v>51</v>
      </c>
    </row>
    <row r="1477" spans="1:31">
      <c r="A1477" s="512">
        <f t="shared" si="15"/>
        <v>630</v>
      </c>
      <c r="B1477" s="531" t="s">
        <v>43</v>
      </c>
      <c r="C1477" s="531" t="s">
        <v>44</v>
      </c>
      <c r="D1477" s="531" t="s">
        <v>45</v>
      </c>
      <c r="E1477" s="626" t="s">
        <v>1851</v>
      </c>
      <c r="F1477" s="575" t="s">
        <v>491</v>
      </c>
      <c r="G1477" s="575">
        <v>9866816598</v>
      </c>
      <c r="H1477" s="626"/>
      <c r="I1477" s="575">
        <v>58</v>
      </c>
      <c r="J1477" s="575" t="s">
        <v>90</v>
      </c>
      <c r="K1477" s="575" t="s">
        <v>53</v>
      </c>
      <c r="L1477" s="575"/>
      <c r="M1477" s="560" t="s">
        <v>1764</v>
      </c>
      <c r="N1477" s="752">
        <v>65031</v>
      </c>
      <c r="O1477" s="533"/>
      <c r="P1477" s="541">
        <v>65046</v>
      </c>
      <c r="Q1477" s="533" t="s">
        <v>51</v>
      </c>
    </row>
    <row r="1478" spans="1:31">
      <c r="A1478" s="512">
        <f t="shared" si="15"/>
        <v>631</v>
      </c>
      <c r="B1478" s="531" t="s">
        <v>43</v>
      </c>
      <c r="C1478" s="531" t="s">
        <v>44</v>
      </c>
      <c r="D1478" s="531" t="s">
        <v>45</v>
      </c>
      <c r="E1478" s="626" t="s">
        <v>1838</v>
      </c>
      <c r="F1478" s="575" t="s">
        <v>491</v>
      </c>
      <c r="G1478" s="575">
        <v>9806239251</v>
      </c>
      <c r="H1478" s="626"/>
      <c r="I1478" s="575">
        <v>33</v>
      </c>
      <c r="J1478" s="575" t="s">
        <v>90</v>
      </c>
      <c r="K1478" s="575" t="s">
        <v>53</v>
      </c>
      <c r="L1478" s="575"/>
      <c r="M1478" s="560" t="s">
        <v>1764</v>
      </c>
      <c r="N1478" s="752">
        <v>65031</v>
      </c>
      <c r="O1478" s="533"/>
      <c r="P1478" s="541">
        <v>65046</v>
      </c>
      <c r="Q1478" s="533" t="s">
        <v>51</v>
      </c>
    </row>
    <row r="1479" spans="1:31">
      <c r="A1479" s="512">
        <f t="shared" si="15"/>
        <v>632</v>
      </c>
      <c r="B1479" s="531" t="s">
        <v>43</v>
      </c>
      <c r="C1479" s="531" t="s">
        <v>44</v>
      </c>
      <c r="D1479" s="531" t="s">
        <v>45</v>
      </c>
      <c r="E1479" s="626" t="s">
        <v>1835</v>
      </c>
      <c r="F1479" s="575" t="s">
        <v>491</v>
      </c>
      <c r="G1479" s="575">
        <v>9847879332</v>
      </c>
      <c r="H1479" s="626"/>
      <c r="I1479" s="575">
        <v>45</v>
      </c>
      <c r="J1479" s="575" t="s">
        <v>90</v>
      </c>
      <c r="K1479" s="575" t="s">
        <v>53</v>
      </c>
      <c r="L1479" s="575"/>
      <c r="M1479" s="560" t="s">
        <v>1764</v>
      </c>
      <c r="N1479" s="752">
        <v>65031</v>
      </c>
      <c r="O1479" s="533"/>
      <c r="P1479" s="541">
        <v>65046</v>
      </c>
      <c r="Q1479" s="533" t="s">
        <v>51</v>
      </c>
    </row>
    <row r="1480" spans="1:31">
      <c r="A1480" s="512">
        <f t="shared" si="15"/>
        <v>633</v>
      </c>
      <c r="B1480" s="531" t="s">
        <v>43</v>
      </c>
      <c r="C1480" s="531" t="s">
        <v>44</v>
      </c>
      <c r="D1480" s="531" t="s">
        <v>45</v>
      </c>
      <c r="E1480" s="626" t="s">
        <v>1828</v>
      </c>
      <c r="F1480" s="575" t="s">
        <v>491</v>
      </c>
      <c r="G1480" s="575">
        <v>9801347929</v>
      </c>
      <c r="H1480" s="626"/>
      <c r="I1480" s="575">
        <v>63</v>
      </c>
      <c r="J1480" s="575" t="s">
        <v>90</v>
      </c>
      <c r="K1480" s="575" t="s">
        <v>53</v>
      </c>
      <c r="L1480" s="575"/>
      <c r="M1480" s="560" t="s">
        <v>1764</v>
      </c>
      <c r="N1480" s="752">
        <v>65031</v>
      </c>
      <c r="O1480" s="533"/>
      <c r="P1480" s="541">
        <v>65046</v>
      </c>
      <c r="Q1480" s="533" t="s">
        <v>51</v>
      </c>
    </row>
    <row r="1481" spans="1:31">
      <c r="A1481" s="512">
        <f t="shared" si="15"/>
        <v>634</v>
      </c>
      <c r="B1481" s="531" t="s">
        <v>43</v>
      </c>
      <c r="C1481" s="531" t="s">
        <v>44</v>
      </c>
      <c r="D1481" s="531" t="s">
        <v>45</v>
      </c>
      <c r="E1481" s="626" t="s">
        <v>1953</v>
      </c>
      <c r="F1481" s="575" t="s">
        <v>557</v>
      </c>
      <c r="G1481" s="575">
        <v>9812859693</v>
      </c>
      <c r="H1481" s="626"/>
      <c r="I1481" s="575">
        <v>21</v>
      </c>
      <c r="J1481" s="575" t="s">
        <v>90</v>
      </c>
      <c r="K1481" s="575" t="s">
        <v>53</v>
      </c>
      <c r="L1481" s="575"/>
      <c r="M1481" s="560" t="s">
        <v>1764</v>
      </c>
      <c r="N1481" s="752">
        <v>65031</v>
      </c>
      <c r="O1481" s="533"/>
      <c r="P1481" s="541">
        <v>65046</v>
      </c>
      <c r="Q1481" s="533" t="s">
        <v>51</v>
      </c>
    </row>
    <row r="1482" spans="1:31" s="326" customFormat="1">
      <c r="A1482" s="512">
        <f t="shared" si="15"/>
        <v>635</v>
      </c>
      <c r="B1482" s="531" t="s">
        <v>43</v>
      </c>
      <c r="C1482" s="531" t="s">
        <v>44</v>
      </c>
      <c r="D1482" s="531" t="s">
        <v>45</v>
      </c>
      <c r="E1482" s="626" t="s">
        <v>1852</v>
      </c>
      <c r="F1482" s="575" t="s">
        <v>1008</v>
      </c>
      <c r="G1482" s="575">
        <v>9812893295</v>
      </c>
      <c r="H1482" s="626"/>
      <c r="I1482" s="575">
        <v>26</v>
      </c>
      <c r="J1482" s="575" t="s">
        <v>90</v>
      </c>
      <c r="K1482" s="575" t="s">
        <v>53</v>
      </c>
      <c r="L1482" s="575"/>
      <c r="M1482" s="560" t="s">
        <v>1764</v>
      </c>
      <c r="N1482" s="752">
        <v>65031</v>
      </c>
      <c r="O1482" s="533"/>
      <c r="P1482" s="541">
        <v>65046</v>
      </c>
      <c r="Q1482" s="533" t="s">
        <v>51</v>
      </c>
      <c r="R1482" s="322"/>
      <c r="S1482" s="322"/>
      <c r="T1482" s="322"/>
      <c r="U1482" s="322"/>
      <c r="V1482" s="322"/>
      <c r="W1482" s="322"/>
      <c r="X1482" s="322"/>
      <c r="Y1482" s="322"/>
      <c r="Z1482" s="322"/>
      <c r="AA1482" s="322"/>
      <c r="AB1482" s="322"/>
      <c r="AC1482" s="322"/>
      <c r="AD1482" s="322"/>
      <c r="AE1482" s="322"/>
    </row>
    <row r="1483" spans="1:31">
      <c r="A1483" s="512">
        <f t="shared" si="15"/>
        <v>636</v>
      </c>
      <c r="B1483" s="531" t="s">
        <v>43</v>
      </c>
      <c r="C1483" s="531" t="s">
        <v>44</v>
      </c>
      <c r="D1483" s="531" t="s">
        <v>45</v>
      </c>
      <c r="E1483" s="626" t="s">
        <v>1839</v>
      </c>
      <c r="F1483" s="575" t="s">
        <v>124</v>
      </c>
      <c r="G1483" s="575">
        <v>9860901242</v>
      </c>
      <c r="H1483" s="626"/>
      <c r="I1483" s="575">
        <v>28</v>
      </c>
      <c r="J1483" s="575" t="s">
        <v>48</v>
      </c>
      <c r="K1483" s="575" t="s">
        <v>53</v>
      </c>
      <c r="L1483" s="575"/>
      <c r="M1483" s="560" t="s">
        <v>1764</v>
      </c>
      <c r="N1483" s="752">
        <v>65031</v>
      </c>
      <c r="O1483" s="533"/>
      <c r="P1483" s="541">
        <v>65046</v>
      </c>
      <c r="Q1483" s="533" t="s">
        <v>51</v>
      </c>
    </row>
    <row r="1484" spans="1:31">
      <c r="A1484" s="512">
        <f t="shared" si="15"/>
        <v>637</v>
      </c>
      <c r="B1484" s="531" t="s">
        <v>43</v>
      </c>
      <c r="C1484" s="531" t="s">
        <v>44</v>
      </c>
      <c r="D1484" s="531" t="s">
        <v>45</v>
      </c>
      <c r="E1484" s="624" t="s">
        <v>1864</v>
      </c>
      <c r="F1484" s="575" t="s">
        <v>557</v>
      </c>
      <c r="G1484" s="575">
        <v>9806228686</v>
      </c>
      <c r="H1484" s="626"/>
      <c r="I1484" s="575">
        <v>21</v>
      </c>
      <c r="J1484" s="575" t="s">
        <v>90</v>
      </c>
      <c r="K1484" s="575" t="s">
        <v>53</v>
      </c>
      <c r="L1484" s="575"/>
      <c r="M1484" s="560" t="s">
        <v>1764</v>
      </c>
      <c r="N1484" s="752">
        <v>65031</v>
      </c>
      <c r="O1484" s="533"/>
      <c r="P1484" s="541">
        <v>65046</v>
      </c>
      <c r="Q1484" s="533" t="s">
        <v>51</v>
      </c>
    </row>
    <row r="1485" spans="1:31">
      <c r="A1485" s="512">
        <f t="shared" si="15"/>
        <v>638</v>
      </c>
      <c r="B1485" s="531" t="s">
        <v>43</v>
      </c>
      <c r="C1485" s="531" t="s">
        <v>44</v>
      </c>
      <c r="D1485" s="531" t="s">
        <v>45</v>
      </c>
      <c r="E1485" s="626" t="s">
        <v>1856</v>
      </c>
      <c r="F1485" s="575" t="s">
        <v>791</v>
      </c>
      <c r="G1485" s="575">
        <v>9847846005</v>
      </c>
      <c r="H1485" s="626"/>
      <c r="I1485" s="575">
        <v>57</v>
      </c>
      <c r="J1485" s="575" t="s">
        <v>48</v>
      </c>
      <c r="K1485" s="575" t="s">
        <v>53</v>
      </c>
      <c r="L1485" s="575"/>
      <c r="M1485" s="560" t="s">
        <v>1764</v>
      </c>
      <c r="N1485" s="752">
        <v>65031</v>
      </c>
      <c r="O1485" s="533"/>
      <c r="P1485" s="541">
        <v>65046</v>
      </c>
      <c r="Q1485" s="533" t="s">
        <v>51</v>
      </c>
    </row>
    <row r="1486" spans="1:31">
      <c r="A1486" s="512">
        <f t="shared" si="15"/>
        <v>639</v>
      </c>
      <c r="B1486" s="531" t="s">
        <v>43</v>
      </c>
      <c r="C1486" s="531" t="s">
        <v>44</v>
      </c>
      <c r="D1486" s="531" t="s">
        <v>45</v>
      </c>
      <c r="E1486" s="626" t="s">
        <v>1829</v>
      </c>
      <c r="F1486" s="575" t="s">
        <v>502</v>
      </c>
      <c r="G1486" s="575">
        <v>9843699469</v>
      </c>
      <c r="H1486" s="626"/>
      <c r="I1486" s="575">
        <v>30</v>
      </c>
      <c r="J1486" s="575" t="s">
        <v>48</v>
      </c>
      <c r="K1486" s="575" t="s">
        <v>53</v>
      </c>
      <c r="L1486" s="575"/>
      <c r="M1486" s="560" t="s">
        <v>1764</v>
      </c>
      <c r="N1486" s="752">
        <v>65031</v>
      </c>
      <c r="O1486" s="533"/>
      <c r="P1486" s="541">
        <v>65046</v>
      </c>
      <c r="Q1486" s="533" t="s">
        <v>51</v>
      </c>
      <c r="T1486" s="163"/>
      <c r="U1486" s="163"/>
      <c r="V1486" s="163"/>
      <c r="W1486" s="163"/>
      <c r="X1486" s="163"/>
      <c r="Y1486" s="163"/>
      <c r="Z1486" s="163"/>
      <c r="AA1486" s="163"/>
      <c r="AB1486" s="163"/>
      <c r="AC1486" s="163"/>
      <c r="AD1486" s="163"/>
      <c r="AE1486" s="163"/>
    </row>
    <row r="1487" spans="1:31">
      <c r="A1487" s="512">
        <f t="shared" si="15"/>
        <v>640</v>
      </c>
      <c r="B1487" s="531" t="s">
        <v>43</v>
      </c>
      <c r="C1487" s="531" t="s">
        <v>44</v>
      </c>
      <c r="D1487" s="531" t="s">
        <v>45</v>
      </c>
      <c r="E1487" s="626" t="s">
        <v>1867</v>
      </c>
      <c r="F1487" s="575" t="s">
        <v>1046</v>
      </c>
      <c r="G1487" s="575">
        <v>9840125230</v>
      </c>
      <c r="H1487" s="626"/>
      <c r="I1487" s="575">
        <v>23</v>
      </c>
      <c r="J1487" s="575" t="s">
        <v>48</v>
      </c>
      <c r="K1487" s="575" t="s">
        <v>53</v>
      </c>
      <c r="L1487" s="575"/>
      <c r="M1487" s="560" t="s">
        <v>1764</v>
      </c>
      <c r="N1487" s="752">
        <v>65031</v>
      </c>
      <c r="O1487" s="533"/>
      <c r="P1487" s="541">
        <v>65046</v>
      </c>
      <c r="Q1487" s="533" t="s">
        <v>51</v>
      </c>
      <c r="R1487" s="163"/>
      <c r="S1487" s="163"/>
    </row>
    <row r="1488" spans="1:31" s="163" customFormat="1">
      <c r="A1488" s="512">
        <f t="shared" si="15"/>
        <v>641</v>
      </c>
      <c r="B1488" s="438" t="s">
        <v>43</v>
      </c>
      <c r="C1488" s="438" t="s">
        <v>44</v>
      </c>
      <c r="D1488" s="438" t="s">
        <v>45</v>
      </c>
      <c r="E1488" s="633" t="s">
        <v>1926</v>
      </c>
      <c r="F1488" s="437" t="s">
        <v>124</v>
      </c>
      <c r="G1488" s="438"/>
      <c r="H1488" s="436"/>
      <c r="I1488" s="635">
        <v>33</v>
      </c>
      <c r="J1488" s="635" t="s">
        <v>48</v>
      </c>
      <c r="K1488" s="635" t="s">
        <v>53</v>
      </c>
      <c r="L1488" s="438"/>
      <c r="M1488" s="592" t="s">
        <v>54</v>
      </c>
      <c r="N1488" s="748">
        <v>65031</v>
      </c>
      <c r="O1488" s="436"/>
      <c r="P1488" s="465">
        <v>65061</v>
      </c>
      <c r="Q1488" s="436" t="s">
        <v>51</v>
      </c>
      <c r="R1488" s="322"/>
      <c r="S1488" s="322"/>
      <c r="T1488" s="322"/>
      <c r="U1488" s="322"/>
      <c r="V1488" s="322"/>
      <c r="W1488" s="322"/>
      <c r="X1488" s="322"/>
      <c r="Y1488" s="322"/>
      <c r="Z1488" s="322"/>
      <c r="AA1488" s="322"/>
      <c r="AB1488" s="322"/>
      <c r="AC1488" s="322"/>
      <c r="AD1488" s="322"/>
      <c r="AE1488" s="322"/>
    </row>
    <row r="1489" spans="1:17">
      <c r="A1489" s="512">
        <f t="shared" si="15"/>
        <v>642</v>
      </c>
      <c r="B1489" s="531" t="s">
        <v>43</v>
      </c>
      <c r="C1489" s="531" t="s">
        <v>44</v>
      </c>
      <c r="D1489" s="531" t="s">
        <v>45</v>
      </c>
      <c r="E1489" s="626" t="s">
        <v>1887</v>
      </c>
      <c r="F1489" s="575" t="s">
        <v>441</v>
      </c>
      <c r="G1489" s="575">
        <v>9809889336</v>
      </c>
      <c r="H1489" s="626"/>
      <c r="I1489" s="575">
        <v>49</v>
      </c>
      <c r="J1489" s="575" t="s">
        <v>90</v>
      </c>
      <c r="K1489" s="575" t="s">
        <v>53</v>
      </c>
      <c r="L1489" s="575"/>
      <c r="M1489" s="560" t="s">
        <v>1764</v>
      </c>
      <c r="N1489" s="752">
        <v>65031</v>
      </c>
      <c r="O1489" s="533"/>
      <c r="P1489" s="541">
        <v>65046</v>
      </c>
      <c r="Q1489" s="533" t="s">
        <v>51</v>
      </c>
    </row>
    <row r="1490" spans="1:17">
      <c r="A1490" s="512">
        <f t="shared" ref="A1490:A1553" si="16">A1489+1</f>
        <v>643</v>
      </c>
      <c r="B1490" s="531" t="s">
        <v>43</v>
      </c>
      <c r="C1490" s="531" t="s">
        <v>44</v>
      </c>
      <c r="D1490" s="531" t="s">
        <v>45</v>
      </c>
      <c r="E1490" s="566" t="s">
        <v>1927</v>
      </c>
      <c r="F1490" s="601" t="s">
        <v>491</v>
      </c>
      <c r="G1490" s="575">
        <v>9847988947</v>
      </c>
      <c r="H1490" s="533"/>
      <c r="I1490" s="575">
        <v>30</v>
      </c>
      <c r="J1490" s="575" t="s">
        <v>90</v>
      </c>
      <c r="K1490" s="575" t="s">
        <v>1480</v>
      </c>
      <c r="L1490" s="531"/>
      <c r="M1490" s="560" t="s">
        <v>119</v>
      </c>
      <c r="N1490" s="752">
        <v>65031</v>
      </c>
      <c r="O1490" s="533"/>
      <c r="P1490" s="541">
        <v>65046</v>
      </c>
      <c r="Q1490" s="533" t="s">
        <v>51</v>
      </c>
    </row>
    <row r="1491" spans="1:17">
      <c r="A1491" s="512">
        <f t="shared" si="16"/>
        <v>644</v>
      </c>
      <c r="B1491" s="531" t="s">
        <v>43</v>
      </c>
      <c r="C1491" s="531" t="s">
        <v>44</v>
      </c>
      <c r="D1491" s="531" t="s">
        <v>45</v>
      </c>
      <c r="E1491" s="626" t="s">
        <v>1858</v>
      </c>
      <c r="F1491" s="575" t="s">
        <v>502</v>
      </c>
      <c r="G1491" s="575">
        <v>9847823718</v>
      </c>
      <c r="H1491" s="626"/>
      <c r="I1491" s="575">
        <v>38</v>
      </c>
      <c r="J1491" s="575" t="s">
        <v>48</v>
      </c>
      <c r="K1491" s="575" t="s">
        <v>53</v>
      </c>
      <c r="L1491" s="575"/>
      <c r="M1491" s="560" t="s">
        <v>1764</v>
      </c>
      <c r="N1491" s="752">
        <v>65031</v>
      </c>
      <c r="O1491" s="533"/>
      <c r="P1491" s="541">
        <v>65046</v>
      </c>
      <c r="Q1491" s="533" t="s">
        <v>51</v>
      </c>
    </row>
    <row r="1492" spans="1:17">
      <c r="A1492" s="512">
        <f t="shared" si="16"/>
        <v>645</v>
      </c>
      <c r="B1492" s="531" t="s">
        <v>524</v>
      </c>
      <c r="C1492" s="531" t="s">
        <v>44</v>
      </c>
      <c r="D1492" s="531" t="s">
        <v>449</v>
      </c>
      <c r="E1492" s="636"/>
      <c r="F1492" s="531" t="s">
        <v>598</v>
      </c>
      <c r="G1492" s="601">
        <v>981415991</v>
      </c>
      <c r="H1492" s="533"/>
      <c r="I1492" s="531"/>
      <c r="J1492" s="575" t="s">
        <v>48</v>
      </c>
      <c r="K1492" s="531" t="s">
        <v>1763</v>
      </c>
      <c r="L1492" s="531"/>
      <c r="M1492" s="560" t="s">
        <v>1764</v>
      </c>
      <c r="N1492" s="711">
        <v>65031</v>
      </c>
      <c r="O1492" s="541">
        <v>65031</v>
      </c>
      <c r="P1492" s="541">
        <v>65046</v>
      </c>
      <c r="Q1492" s="533" t="s">
        <v>51</v>
      </c>
    </row>
    <row r="1493" spans="1:17">
      <c r="A1493" s="512">
        <f t="shared" si="16"/>
        <v>646</v>
      </c>
      <c r="B1493" s="531" t="s">
        <v>524</v>
      </c>
      <c r="C1493" s="531" t="s">
        <v>44</v>
      </c>
      <c r="D1493" s="531" t="s">
        <v>449</v>
      </c>
      <c r="E1493" s="636"/>
      <c r="F1493" s="531" t="s">
        <v>598</v>
      </c>
      <c r="G1493" s="531"/>
      <c r="H1493" s="533"/>
      <c r="I1493" s="531"/>
      <c r="J1493" s="575" t="s">
        <v>48</v>
      </c>
      <c r="K1493" s="531" t="s">
        <v>1763</v>
      </c>
      <c r="L1493" s="531"/>
      <c r="M1493" s="560" t="s">
        <v>1764</v>
      </c>
      <c r="N1493" s="711">
        <v>65031</v>
      </c>
      <c r="O1493" s="541">
        <v>65031</v>
      </c>
      <c r="P1493" s="541">
        <v>65046</v>
      </c>
      <c r="Q1493" s="533" t="s">
        <v>51</v>
      </c>
    </row>
    <row r="1494" spans="1:17">
      <c r="A1494" s="512">
        <f t="shared" si="16"/>
        <v>647</v>
      </c>
      <c r="B1494" s="531" t="s">
        <v>524</v>
      </c>
      <c r="C1494" s="531" t="s">
        <v>44</v>
      </c>
      <c r="D1494" s="531" t="s">
        <v>449</v>
      </c>
      <c r="E1494" s="636"/>
      <c r="F1494" s="531" t="s">
        <v>502</v>
      </c>
      <c r="G1494" s="531"/>
      <c r="H1494" s="533"/>
      <c r="I1494" s="531"/>
      <c r="J1494" s="575" t="s">
        <v>48</v>
      </c>
      <c r="K1494" s="531" t="s">
        <v>1763</v>
      </c>
      <c r="L1494" s="531"/>
      <c r="M1494" s="560" t="s">
        <v>1764</v>
      </c>
      <c r="N1494" s="711">
        <v>65031</v>
      </c>
      <c r="O1494" s="541">
        <v>65031</v>
      </c>
      <c r="P1494" s="541">
        <v>65046</v>
      </c>
      <c r="Q1494" s="533" t="s">
        <v>51</v>
      </c>
    </row>
    <row r="1495" spans="1:17">
      <c r="A1495" s="512">
        <f t="shared" si="16"/>
        <v>648</v>
      </c>
      <c r="B1495" s="531" t="s">
        <v>524</v>
      </c>
      <c r="C1495" s="531" t="s">
        <v>44</v>
      </c>
      <c r="D1495" s="531" t="s">
        <v>449</v>
      </c>
      <c r="E1495" s="636"/>
      <c r="F1495" s="531" t="s">
        <v>502</v>
      </c>
      <c r="G1495" s="531"/>
      <c r="H1495" s="533"/>
      <c r="I1495" s="531"/>
      <c r="J1495" s="575" t="s">
        <v>48</v>
      </c>
      <c r="K1495" s="531" t="s">
        <v>1763</v>
      </c>
      <c r="L1495" s="531"/>
      <c r="M1495" s="560" t="s">
        <v>1764</v>
      </c>
      <c r="N1495" s="711">
        <v>65031</v>
      </c>
      <c r="O1495" s="541">
        <v>65031</v>
      </c>
      <c r="P1495" s="541">
        <v>65046</v>
      </c>
      <c r="Q1495" s="533" t="s">
        <v>51</v>
      </c>
    </row>
    <row r="1496" spans="1:17">
      <c r="A1496" s="512">
        <f t="shared" si="16"/>
        <v>649</v>
      </c>
      <c r="B1496" s="531" t="s">
        <v>524</v>
      </c>
      <c r="C1496" s="531" t="s">
        <v>44</v>
      </c>
      <c r="D1496" s="531" t="s">
        <v>449</v>
      </c>
      <c r="E1496" s="636"/>
      <c r="F1496" s="531" t="s">
        <v>502</v>
      </c>
      <c r="G1496" s="531"/>
      <c r="H1496" s="533"/>
      <c r="I1496" s="531"/>
      <c r="J1496" s="575" t="s">
        <v>48</v>
      </c>
      <c r="K1496" s="531" t="s">
        <v>1763</v>
      </c>
      <c r="L1496" s="531"/>
      <c r="M1496" s="560" t="s">
        <v>1764</v>
      </c>
      <c r="N1496" s="711">
        <v>65031</v>
      </c>
      <c r="O1496" s="541">
        <v>65031</v>
      </c>
      <c r="P1496" s="541">
        <v>65046</v>
      </c>
      <c r="Q1496" s="533" t="s">
        <v>51</v>
      </c>
    </row>
    <row r="1497" spans="1:17">
      <c r="A1497" s="512">
        <f t="shared" si="16"/>
        <v>650</v>
      </c>
      <c r="B1497" s="531" t="s">
        <v>524</v>
      </c>
      <c r="C1497" s="531" t="s">
        <v>44</v>
      </c>
      <c r="D1497" s="531" t="s">
        <v>449</v>
      </c>
      <c r="E1497" s="636"/>
      <c r="F1497" s="531" t="s">
        <v>502</v>
      </c>
      <c r="G1497" s="531"/>
      <c r="H1497" s="533"/>
      <c r="I1497" s="531"/>
      <c r="J1497" s="575" t="s">
        <v>90</v>
      </c>
      <c r="K1497" s="531" t="s">
        <v>1763</v>
      </c>
      <c r="L1497" s="531"/>
      <c r="M1497" s="560" t="s">
        <v>1764</v>
      </c>
      <c r="N1497" s="711">
        <v>65031</v>
      </c>
      <c r="O1497" s="541">
        <v>65031</v>
      </c>
      <c r="P1497" s="541">
        <v>65046</v>
      </c>
      <c r="Q1497" s="533" t="s">
        <v>51</v>
      </c>
    </row>
    <row r="1498" spans="1:17">
      <c r="A1498" s="512">
        <f t="shared" si="16"/>
        <v>651</v>
      </c>
      <c r="B1498" s="531" t="s">
        <v>524</v>
      </c>
      <c r="C1498" s="531" t="s">
        <v>44</v>
      </c>
      <c r="D1498" s="531" t="s">
        <v>449</v>
      </c>
      <c r="E1498" s="636"/>
      <c r="F1498" s="531" t="s">
        <v>502</v>
      </c>
      <c r="G1498" s="531"/>
      <c r="H1498" s="533"/>
      <c r="I1498" s="531"/>
      <c r="J1498" s="575" t="s">
        <v>90</v>
      </c>
      <c r="K1498" s="531" t="s">
        <v>1763</v>
      </c>
      <c r="L1498" s="531"/>
      <c r="M1498" s="560" t="s">
        <v>1764</v>
      </c>
      <c r="N1498" s="711">
        <v>65031</v>
      </c>
      <c r="O1498" s="541">
        <v>65031</v>
      </c>
      <c r="P1498" s="541">
        <v>65046</v>
      </c>
      <c r="Q1498" s="533" t="s">
        <v>51</v>
      </c>
    </row>
    <row r="1499" spans="1:17">
      <c r="A1499" s="512">
        <f t="shared" si="16"/>
        <v>652</v>
      </c>
      <c r="B1499" s="531" t="s">
        <v>524</v>
      </c>
      <c r="C1499" s="531" t="s">
        <v>44</v>
      </c>
      <c r="D1499" s="531" t="s">
        <v>449</v>
      </c>
      <c r="E1499" s="636"/>
      <c r="F1499" s="531" t="s">
        <v>491</v>
      </c>
      <c r="G1499" s="531"/>
      <c r="H1499" s="533"/>
      <c r="I1499" s="531"/>
      <c r="J1499" s="575" t="s">
        <v>90</v>
      </c>
      <c r="K1499" s="531" t="s">
        <v>1763</v>
      </c>
      <c r="L1499" s="531"/>
      <c r="M1499" s="560" t="s">
        <v>1764</v>
      </c>
      <c r="N1499" s="711">
        <v>65031</v>
      </c>
      <c r="O1499" s="541">
        <v>65031</v>
      </c>
      <c r="P1499" s="541">
        <v>65046</v>
      </c>
      <c r="Q1499" s="533" t="s">
        <v>51</v>
      </c>
    </row>
    <row r="1500" spans="1:17">
      <c r="A1500" s="512">
        <f t="shared" si="16"/>
        <v>653</v>
      </c>
      <c r="B1500" s="531" t="s">
        <v>524</v>
      </c>
      <c r="C1500" s="531" t="s">
        <v>44</v>
      </c>
      <c r="D1500" s="531" t="s">
        <v>449</v>
      </c>
      <c r="E1500" s="636"/>
      <c r="F1500" s="531" t="s">
        <v>491</v>
      </c>
      <c r="G1500" s="531"/>
      <c r="H1500" s="533"/>
      <c r="I1500" s="531"/>
      <c r="J1500" s="575" t="s">
        <v>90</v>
      </c>
      <c r="K1500" s="531" t="s">
        <v>1763</v>
      </c>
      <c r="L1500" s="531"/>
      <c r="M1500" s="560" t="s">
        <v>1764</v>
      </c>
      <c r="N1500" s="711">
        <v>65031</v>
      </c>
      <c r="O1500" s="541">
        <v>65031</v>
      </c>
      <c r="P1500" s="541">
        <v>65046</v>
      </c>
      <c r="Q1500" s="533" t="s">
        <v>51</v>
      </c>
    </row>
    <row r="1501" spans="1:17">
      <c r="A1501" s="512">
        <f t="shared" si="16"/>
        <v>654</v>
      </c>
      <c r="B1501" s="531" t="s">
        <v>524</v>
      </c>
      <c r="C1501" s="531" t="s">
        <v>44</v>
      </c>
      <c r="D1501" s="531" t="s">
        <v>449</v>
      </c>
      <c r="E1501" s="636"/>
      <c r="F1501" s="531" t="s">
        <v>491</v>
      </c>
      <c r="G1501" s="531"/>
      <c r="H1501" s="533"/>
      <c r="I1501" s="531"/>
      <c r="J1501" s="575" t="s">
        <v>90</v>
      </c>
      <c r="K1501" s="531" t="s">
        <v>1763</v>
      </c>
      <c r="L1501" s="531"/>
      <c r="M1501" s="560" t="s">
        <v>1764</v>
      </c>
      <c r="N1501" s="711">
        <v>65031</v>
      </c>
      <c r="O1501" s="541">
        <v>65031</v>
      </c>
      <c r="P1501" s="541">
        <v>65046</v>
      </c>
      <c r="Q1501" s="533" t="s">
        <v>51</v>
      </c>
    </row>
    <row r="1502" spans="1:17">
      <c r="A1502" s="512">
        <f t="shared" si="16"/>
        <v>655</v>
      </c>
      <c r="B1502" s="531" t="s">
        <v>524</v>
      </c>
      <c r="C1502" s="531" t="s">
        <v>44</v>
      </c>
      <c r="D1502" s="531" t="s">
        <v>449</v>
      </c>
      <c r="E1502" s="636"/>
      <c r="F1502" s="531" t="s">
        <v>491</v>
      </c>
      <c r="G1502" s="531"/>
      <c r="H1502" s="533"/>
      <c r="I1502" s="531"/>
      <c r="J1502" s="575" t="s">
        <v>90</v>
      </c>
      <c r="K1502" s="531" t="s">
        <v>1763</v>
      </c>
      <c r="L1502" s="531"/>
      <c r="M1502" s="560" t="s">
        <v>1764</v>
      </c>
      <c r="N1502" s="711">
        <v>65031</v>
      </c>
      <c r="O1502" s="541">
        <v>65031</v>
      </c>
      <c r="P1502" s="541">
        <v>65046</v>
      </c>
      <c r="Q1502" s="533" t="s">
        <v>51</v>
      </c>
    </row>
    <row r="1503" spans="1:17">
      <c r="A1503" s="512">
        <f t="shared" si="16"/>
        <v>656</v>
      </c>
      <c r="B1503" s="531" t="s">
        <v>524</v>
      </c>
      <c r="C1503" s="531" t="s">
        <v>44</v>
      </c>
      <c r="D1503" s="531" t="s">
        <v>449</v>
      </c>
      <c r="E1503" s="636"/>
      <c r="F1503" s="531" t="s">
        <v>491</v>
      </c>
      <c r="G1503" s="531"/>
      <c r="H1503" s="533"/>
      <c r="I1503" s="531"/>
      <c r="J1503" s="575" t="s">
        <v>48</v>
      </c>
      <c r="K1503" s="531" t="s">
        <v>1763</v>
      </c>
      <c r="L1503" s="531"/>
      <c r="M1503" s="560" t="s">
        <v>1764</v>
      </c>
      <c r="N1503" s="711">
        <v>65031</v>
      </c>
      <c r="O1503" s="541">
        <v>65031</v>
      </c>
      <c r="P1503" s="541">
        <v>65046</v>
      </c>
      <c r="Q1503" s="533" t="s">
        <v>51</v>
      </c>
    </row>
    <row r="1504" spans="1:17">
      <c r="A1504" s="512">
        <f t="shared" si="16"/>
        <v>657</v>
      </c>
      <c r="B1504" s="531" t="s">
        <v>524</v>
      </c>
      <c r="C1504" s="531" t="s">
        <v>44</v>
      </c>
      <c r="D1504" s="531" t="s">
        <v>449</v>
      </c>
      <c r="E1504" s="636"/>
      <c r="F1504" s="531" t="s">
        <v>441</v>
      </c>
      <c r="G1504" s="531"/>
      <c r="H1504" s="533"/>
      <c r="I1504" s="531"/>
      <c r="J1504" s="575" t="s">
        <v>90</v>
      </c>
      <c r="K1504" s="531" t="s">
        <v>1763</v>
      </c>
      <c r="L1504" s="531"/>
      <c r="M1504" s="560" t="s">
        <v>1764</v>
      </c>
      <c r="N1504" s="711">
        <v>65031</v>
      </c>
      <c r="O1504" s="541">
        <v>65031</v>
      </c>
      <c r="P1504" s="541">
        <v>65046</v>
      </c>
      <c r="Q1504" s="533" t="s">
        <v>51</v>
      </c>
    </row>
    <row r="1505" spans="1:17">
      <c r="A1505" s="512">
        <f t="shared" si="16"/>
        <v>658</v>
      </c>
      <c r="B1505" s="531" t="s">
        <v>524</v>
      </c>
      <c r="C1505" s="531" t="s">
        <v>44</v>
      </c>
      <c r="D1505" s="531" t="s">
        <v>449</v>
      </c>
      <c r="E1505" s="636"/>
      <c r="F1505" s="531" t="s">
        <v>441</v>
      </c>
      <c r="G1505" s="531"/>
      <c r="H1505" s="533"/>
      <c r="I1505" s="531"/>
      <c r="J1505" s="575" t="s">
        <v>90</v>
      </c>
      <c r="K1505" s="531" t="s">
        <v>1763</v>
      </c>
      <c r="L1505" s="531"/>
      <c r="M1505" s="560" t="s">
        <v>1764</v>
      </c>
      <c r="N1505" s="711">
        <v>65031</v>
      </c>
      <c r="O1505" s="541">
        <v>65031</v>
      </c>
      <c r="P1505" s="541">
        <v>65046</v>
      </c>
      <c r="Q1505" s="533" t="s">
        <v>51</v>
      </c>
    </row>
    <row r="1506" spans="1:17">
      <c r="A1506" s="512">
        <f t="shared" si="16"/>
        <v>659</v>
      </c>
      <c r="B1506" s="531" t="s">
        <v>524</v>
      </c>
      <c r="C1506" s="531" t="s">
        <v>44</v>
      </c>
      <c r="D1506" s="531" t="s">
        <v>449</v>
      </c>
      <c r="E1506" s="636"/>
      <c r="F1506" s="531" t="s">
        <v>529</v>
      </c>
      <c r="G1506" s="531"/>
      <c r="H1506" s="533"/>
      <c r="I1506" s="531"/>
      <c r="J1506" s="575" t="s">
        <v>48</v>
      </c>
      <c r="K1506" s="531" t="s">
        <v>1763</v>
      </c>
      <c r="L1506" s="531"/>
      <c r="M1506" s="560" t="s">
        <v>1764</v>
      </c>
      <c r="N1506" s="711">
        <v>65031</v>
      </c>
      <c r="O1506" s="541">
        <v>65031</v>
      </c>
      <c r="P1506" s="541">
        <v>65046</v>
      </c>
      <c r="Q1506" s="533" t="s">
        <v>51</v>
      </c>
    </row>
    <row r="1507" spans="1:17">
      <c r="A1507" s="512">
        <f t="shared" si="16"/>
        <v>660</v>
      </c>
      <c r="B1507" s="531" t="s">
        <v>524</v>
      </c>
      <c r="C1507" s="531" t="s">
        <v>44</v>
      </c>
      <c r="D1507" s="531" t="s">
        <v>449</v>
      </c>
      <c r="E1507" s="636"/>
      <c r="F1507" s="531" t="s">
        <v>124</v>
      </c>
      <c r="G1507" s="531"/>
      <c r="H1507" s="533"/>
      <c r="I1507" s="531"/>
      <c r="J1507" s="575" t="s">
        <v>48</v>
      </c>
      <c r="K1507" s="531" t="s">
        <v>1763</v>
      </c>
      <c r="L1507" s="531"/>
      <c r="M1507" s="560" t="s">
        <v>1764</v>
      </c>
      <c r="N1507" s="711">
        <v>65031</v>
      </c>
      <c r="O1507" s="541">
        <v>65031</v>
      </c>
      <c r="P1507" s="541">
        <v>65046</v>
      </c>
      <c r="Q1507" s="533" t="s">
        <v>51</v>
      </c>
    </row>
    <row r="1508" spans="1:17">
      <c r="A1508" s="512">
        <f t="shared" si="16"/>
        <v>661</v>
      </c>
      <c r="B1508" s="531" t="s">
        <v>524</v>
      </c>
      <c r="C1508" s="531" t="s">
        <v>44</v>
      </c>
      <c r="D1508" s="531" t="s">
        <v>449</v>
      </c>
      <c r="E1508" s="636"/>
      <c r="F1508" s="531" t="s">
        <v>124</v>
      </c>
      <c r="G1508" s="531"/>
      <c r="H1508" s="533"/>
      <c r="I1508" s="531"/>
      <c r="J1508" s="575" t="s">
        <v>48</v>
      </c>
      <c r="K1508" s="531" t="s">
        <v>1763</v>
      </c>
      <c r="L1508" s="531"/>
      <c r="M1508" s="560" t="s">
        <v>1764</v>
      </c>
      <c r="N1508" s="711">
        <v>65031</v>
      </c>
      <c r="O1508" s="541">
        <v>65031</v>
      </c>
      <c r="P1508" s="541">
        <v>65046</v>
      </c>
      <c r="Q1508" s="533" t="s">
        <v>51</v>
      </c>
    </row>
    <row r="1509" spans="1:17">
      <c r="A1509" s="512">
        <f t="shared" si="16"/>
        <v>662</v>
      </c>
      <c r="B1509" s="531" t="s">
        <v>524</v>
      </c>
      <c r="C1509" s="531" t="s">
        <v>44</v>
      </c>
      <c r="D1509" s="531" t="s">
        <v>449</v>
      </c>
      <c r="E1509" s="636"/>
      <c r="F1509" s="531" t="s">
        <v>124</v>
      </c>
      <c r="G1509" s="531"/>
      <c r="H1509" s="533"/>
      <c r="I1509" s="531"/>
      <c r="J1509" s="575" t="s">
        <v>48</v>
      </c>
      <c r="K1509" s="531" t="s">
        <v>1763</v>
      </c>
      <c r="L1509" s="531"/>
      <c r="M1509" s="560" t="s">
        <v>1764</v>
      </c>
      <c r="N1509" s="711">
        <v>65031</v>
      </c>
      <c r="O1509" s="541">
        <v>65031</v>
      </c>
      <c r="P1509" s="541">
        <v>65046</v>
      </c>
      <c r="Q1509" s="533" t="s">
        <v>51</v>
      </c>
    </row>
    <row r="1510" spans="1:17">
      <c r="A1510" s="512">
        <f t="shared" si="16"/>
        <v>663</v>
      </c>
      <c r="B1510" s="531" t="s">
        <v>524</v>
      </c>
      <c r="C1510" s="531" t="s">
        <v>44</v>
      </c>
      <c r="D1510" s="531" t="s">
        <v>449</v>
      </c>
      <c r="E1510" s="636"/>
      <c r="F1510" s="531" t="s">
        <v>124</v>
      </c>
      <c r="G1510" s="531"/>
      <c r="H1510" s="533"/>
      <c r="I1510" s="531"/>
      <c r="J1510" s="575" t="s">
        <v>90</v>
      </c>
      <c r="K1510" s="531" t="s">
        <v>1763</v>
      </c>
      <c r="L1510" s="531"/>
      <c r="M1510" s="560" t="s">
        <v>1764</v>
      </c>
      <c r="N1510" s="711">
        <v>65031</v>
      </c>
      <c r="O1510" s="541">
        <v>65031</v>
      </c>
      <c r="P1510" s="541">
        <v>65046</v>
      </c>
      <c r="Q1510" s="533" t="s">
        <v>51</v>
      </c>
    </row>
    <row r="1511" spans="1:17">
      <c r="A1511" s="512">
        <f t="shared" si="16"/>
        <v>664</v>
      </c>
      <c r="B1511" s="531" t="s">
        <v>524</v>
      </c>
      <c r="C1511" s="531" t="s">
        <v>44</v>
      </c>
      <c r="D1511" s="531" t="s">
        <v>449</v>
      </c>
      <c r="E1511" s="636"/>
      <c r="F1511" s="531" t="s">
        <v>791</v>
      </c>
      <c r="G1511" s="531"/>
      <c r="H1511" s="533"/>
      <c r="I1511" s="531"/>
      <c r="J1511" s="575" t="s">
        <v>48</v>
      </c>
      <c r="K1511" s="531" t="s">
        <v>1763</v>
      </c>
      <c r="L1511" s="531"/>
      <c r="M1511" s="560" t="s">
        <v>1764</v>
      </c>
      <c r="N1511" s="711">
        <v>65031</v>
      </c>
      <c r="O1511" s="541">
        <v>65031</v>
      </c>
      <c r="P1511" s="541">
        <v>65046</v>
      </c>
      <c r="Q1511" s="533" t="s">
        <v>51</v>
      </c>
    </row>
    <row r="1512" spans="1:17">
      <c r="A1512" s="512">
        <f t="shared" si="16"/>
        <v>665</v>
      </c>
      <c r="B1512" s="531" t="s">
        <v>524</v>
      </c>
      <c r="C1512" s="531" t="s">
        <v>44</v>
      </c>
      <c r="D1512" s="531" t="s">
        <v>449</v>
      </c>
      <c r="E1512" s="636"/>
      <c r="F1512" s="531" t="s">
        <v>1046</v>
      </c>
      <c r="G1512" s="531"/>
      <c r="H1512" s="533"/>
      <c r="I1512" s="531"/>
      <c r="J1512" s="575" t="s">
        <v>48</v>
      </c>
      <c r="K1512" s="531" t="s">
        <v>1763</v>
      </c>
      <c r="L1512" s="531"/>
      <c r="M1512" s="560" t="s">
        <v>1764</v>
      </c>
      <c r="N1512" s="711">
        <v>65031</v>
      </c>
      <c r="O1512" s="541">
        <v>65031</v>
      </c>
      <c r="P1512" s="541">
        <v>65046</v>
      </c>
      <c r="Q1512" s="533" t="s">
        <v>51</v>
      </c>
    </row>
    <row r="1513" spans="1:17">
      <c r="A1513" s="512">
        <f t="shared" si="16"/>
        <v>666</v>
      </c>
      <c r="B1513" s="531" t="s">
        <v>524</v>
      </c>
      <c r="C1513" s="531" t="s">
        <v>44</v>
      </c>
      <c r="D1513" s="531" t="s">
        <v>449</v>
      </c>
      <c r="E1513" s="636"/>
      <c r="F1513" s="531" t="s">
        <v>1046</v>
      </c>
      <c r="G1513" s="531"/>
      <c r="H1513" s="533"/>
      <c r="I1513" s="531"/>
      <c r="J1513" s="575" t="s">
        <v>90</v>
      </c>
      <c r="K1513" s="531" t="s">
        <v>1763</v>
      </c>
      <c r="L1513" s="531"/>
      <c r="M1513" s="560" t="s">
        <v>1764</v>
      </c>
      <c r="N1513" s="711">
        <v>65031</v>
      </c>
      <c r="O1513" s="541">
        <v>65031</v>
      </c>
      <c r="P1513" s="541">
        <v>65046</v>
      </c>
      <c r="Q1513" s="533" t="s">
        <v>51</v>
      </c>
    </row>
    <row r="1514" spans="1:17">
      <c r="A1514" s="512">
        <f t="shared" si="16"/>
        <v>667</v>
      </c>
      <c r="B1514" s="531" t="s">
        <v>524</v>
      </c>
      <c r="C1514" s="531" t="s">
        <v>44</v>
      </c>
      <c r="D1514" s="531" t="s">
        <v>449</v>
      </c>
      <c r="E1514" s="636"/>
      <c r="F1514" s="531" t="s">
        <v>1008</v>
      </c>
      <c r="G1514" s="531"/>
      <c r="H1514" s="533"/>
      <c r="I1514" s="531"/>
      <c r="J1514" s="575" t="s">
        <v>48</v>
      </c>
      <c r="K1514" s="531" t="s">
        <v>1763</v>
      </c>
      <c r="L1514" s="531"/>
      <c r="M1514" s="560" t="s">
        <v>1764</v>
      </c>
      <c r="N1514" s="711">
        <v>65031</v>
      </c>
      <c r="O1514" s="541">
        <v>65031</v>
      </c>
      <c r="P1514" s="541">
        <v>65046</v>
      </c>
      <c r="Q1514" s="533" t="s">
        <v>51</v>
      </c>
    </row>
    <row r="1515" spans="1:17">
      <c r="A1515" s="512">
        <f t="shared" si="16"/>
        <v>668</v>
      </c>
      <c r="B1515" s="531" t="s">
        <v>524</v>
      </c>
      <c r="C1515" s="531" t="s">
        <v>44</v>
      </c>
      <c r="D1515" s="531" t="s">
        <v>449</v>
      </c>
      <c r="E1515" s="636"/>
      <c r="F1515" s="531" t="s">
        <v>1008</v>
      </c>
      <c r="G1515" s="531"/>
      <c r="H1515" s="533"/>
      <c r="I1515" s="531"/>
      <c r="J1515" s="575" t="s">
        <v>48</v>
      </c>
      <c r="K1515" s="531" t="s">
        <v>1763</v>
      </c>
      <c r="L1515" s="531"/>
      <c r="M1515" s="560" t="s">
        <v>1764</v>
      </c>
      <c r="N1515" s="711">
        <v>65031</v>
      </c>
      <c r="O1515" s="541">
        <v>65031</v>
      </c>
      <c r="P1515" s="541">
        <v>65046</v>
      </c>
      <c r="Q1515" s="533" t="s">
        <v>51</v>
      </c>
    </row>
    <row r="1516" spans="1:17">
      <c r="A1516" s="512">
        <f t="shared" si="16"/>
        <v>669</v>
      </c>
      <c r="B1516" s="531" t="s">
        <v>524</v>
      </c>
      <c r="C1516" s="531" t="s">
        <v>44</v>
      </c>
      <c r="D1516" s="531" t="s">
        <v>449</v>
      </c>
      <c r="E1516" s="636"/>
      <c r="F1516" s="531" t="s">
        <v>1008</v>
      </c>
      <c r="G1516" s="531"/>
      <c r="H1516" s="533"/>
      <c r="I1516" s="531"/>
      <c r="J1516" s="575" t="s">
        <v>90</v>
      </c>
      <c r="K1516" s="531" t="s">
        <v>1763</v>
      </c>
      <c r="L1516" s="531"/>
      <c r="M1516" s="560" t="s">
        <v>1764</v>
      </c>
      <c r="N1516" s="711">
        <v>65031</v>
      </c>
      <c r="O1516" s="541">
        <v>65031</v>
      </c>
      <c r="P1516" s="541">
        <v>65046</v>
      </c>
      <c r="Q1516" s="533" t="s">
        <v>51</v>
      </c>
    </row>
    <row r="1517" spans="1:17">
      <c r="A1517" s="512">
        <f t="shared" si="16"/>
        <v>670</v>
      </c>
      <c r="B1517" s="531" t="s">
        <v>524</v>
      </c>
      <c r="C1517" s="531" t="s">
        <v>44</v>
      </c>
      <c r="D1517" s="531" t="s">
        <v>449</v>
      </c>
      <c r="E1517" s="636"/>
      <c r="F1517" s="531" t="s">
        <v>491</v>
      </c>
      <c r="G1517" s="531"/>
      <c r="H1517" s="533"/>
      <c r="I1517" s="531"/>
      <c r="J1517" s="575" t="s">
        <v>48</v>
      </c>
      <c r="K1517" s="531" t="s">
        <v>1763</v>
      </c>
      <c r="L1517" s="531"/>
      <c r="M1517" s="560" t="s">
        <v>1764</v>
      </c>
      <c r="N1517" s="711">
        <v>65031</v>
      </c>
      <c r="O1517" s="541">
        <v>65031</v>
      </c>
      <c r="P1517" s="541">
        <v>65046</v>
      </c>
      <c r="Q1517" s="533" t="s">
        <v>51</v>
      </c>
    </row>
    <row r="1518" spans="1:17">
      <c r="A1518" s="512">
        <f t="shared" si="16"/>
        <v>671</v>
      </c>
      <c r="B1518" s="531" t="s">
        <v>524</v>
      </c>
      <c r="C1518" s="531" t="s">
        <v>44</v>
      </c>
      <c r="D1518" s="531" t="s">
        <v>449</v>
      </c>
      <c r="E1518" s="636"/>
      <c r="F1518" s="531" t="s">
        <v>502</v>
      </c>
      <c r="G1518" s="531"/>
      <c r="H1518" s="533"/>
      <c r="I1518" s="531"/>
      <c r="J1518" s="575" t="s">
        <v>90</v>
      </c>
      <c r="K1518" s="531" t="s">
        <v>1763</v>
      </c>
      <c r="L1518" s="531"/>
      <c r="M1518" s="560" t="s">
        <v>1764</v>
      </c>
      <c r="N1518" s="711">
        <v>65031</v>
      </c>
      <c r="O1518" s="541">
        <v>65031</v>
      </c>
      <c r="P1518" s="541">
        <v>65046</v>
      </c>
      <c r="Q1518" s="533" t="s">
        <v>51</v>
      </c>
    </row>
    <row r="1519" spans="1:17">
      <c r="A1519" s="512">
        <f t="shared" si="16"/>
        <v>672</v>
      </c>
      <c r="B1519" s="579" t="s">
        <v>43</v>
      </c>
      <c r="C1519" s="579" t="s">
        <v>44</v>
      </c>
      <c r="D1519" s="579" t="s">
        <v>45</v>
      </c>
      <c r="E1519" s="637" t="s">
        <v>1940</v>
      </c>
      <c r="F1519" s="606" t="s">
        <v>502</v>
      </c>
      <c r="G1519" s="606">
        <v>9847945322</v>
      </c>
      <c r="H1519" s="578"/>
      <c r="I1519" s="606">
        <v>68</v>
      </c>
      <c r="J1519" s="583" t="s">
        <v>90</v>
      </c>
      <c r="K1519" s="583" t="s">
        <v>1950</v>
      </c>
      <c r="L1519" s="579"/>
      <c r="M1519" s="586" t="s">
        <v>1764</v>
      </c>
      <c r="N1519" s="746">
        <v>65032</v>
      </c>
      <c r="O1519" s="582">
        <v>65032</v>
      </c>
      <c r="P1519" s="582">
        <v>65047</v>
      </c>
      <c r="Q1519" s="578" t="s">
        <v>51</v>
      </c>
    </row>
    <row r="1520" spans="1:17">
      <c r="A1520" s="512">
        <f t="shared" si="16"/>
        <v>673</v>
      </c>
      <c r="B1520" s="579" t="s">
        <v>43</v>
      </c>
      <c r="C1520" s="579" t="s">
        <v>44</v>
      </c>
      <c r="D1520" s="579" t="s">
        <v>45</v>
      </c>
      <c r="E1520" s="638" t="s">
        <v>1951</v>
      </c>
      <c r="F1520" s="583" t="s">
        <v>491</v>
      </c>
      <c r="G1520" s="583">
        <v>9867473475</v>
      </c>
      <c r="H1520" s="638"/>
      <c r="I1520" s="583">
        <v>18</v>
      </c>
      <c r="J1520" s="583" t="s">
        <v>90</v>
      </c>
      <c r="K1520" s="583" t="s">
        <v>1480</v>
      </c>
      <c r="L1520" s="583"/>
      <c r="M1520" s="586" t="s">
        <v>1764</v>
      </c>
      <c r="N1520" s="753">
        <v>65032</v>
      </c>
      <c r="O1520" s="578"/>
      <c r="P1520" s="582">
        <v>65047</v>
      </c>
      <c r="Q1520" s="578" t="s">
        <v>51</v>
      </c>
    </row>
    <row r="1521" spans="1:17">
      <c r="A1521" s="512">
        <f t="shared" si="16"/>
        <v>674</v>
      </c>
      <c r="B1521" s="579" t="s">
        <v>43</v>
      </c>
      <c r="C1521" s="579" t="s">
        <v>44</v>
      </c>
      <c r="D1521" s="579" t="s">
        <v>45</v>
      </c>
      <c r="E1521" s="637" t="s">
        <v>1928</v>
      </c>
      <c r="F1521" s="606" t="s">
        <v>491</v>
      </c>
      <c r="G1521" s="606">
        <v>9847846999</v>
      </c>
      <c r="H1521" s="578"/>
      <c r="I1521" s="606">
        <v>56</v>
      </c>
      <c r="J1521" s="583" t="s">
        <v>48</v>
      </c>
      <c r="K1521" s="583" t="s">
        <v>1950</v>
      </c>
      <c r="L1521" s="579"/>
      <c r="M1521" s="586" t="s">
        <v>1764</v>
      </c>
      <c r="N1521" s="746">
        <v>65032</v>
      </c>
      <c r="O1521" s="578"/>
      <c r="P1521" s="582">
        <v>65047</v>
      </c>
      <c r="Q1521" s="578" t="s">
        <v>51</v>
      </c>
    </row>
    <row r="1522" spans="1:17">
      <c r="A1522" s="512">
        <f t="shared" si="16"/>
        <v>675</v>
      </c>
      <c r="B1522" s="579" t="s">
        <v>43</v>
      </c>
      <c r="C1522" s="579" t="s">
        <v>44</v>
      </c>
      <c r="D1522" s="579" t="s">
        <v>45</v>
      </c>
      <c r="E1522" s="637" t="s">
        <v>1929</v>
      </c>
      <c r="F1522" s="606" t="s">
        <v>557</v>
      </c>
      <c r="G1522" s="606">
        <v>9847869299</v>
      </c>
      <c r="H1522" s="578"/>
      <c r="I1522" s="606">
        <v>36</v>
      </c>
      <c r="J1522" s="583" t="s">
        <v>48</v>
      </c>
      <c r="K1522" s="583" t="s">
        <v>1950</v>
      </c>
      <c r="L1522" s="579"/>
      <c r="M1522" s="586" t="s">
        <v>1764</v>
      </c>
      <c r="N1522" s="746">
        <v>65032</v>
      </c>
      <c r="O1522" s="582">
        <v>65032</v>
      </c>
      <c r="P1522" s="582">
        <v>65047</v>
      </c>
      <c r="Q1522" s="578" t="s">
        <v>51</v>
      </c>
    </row>
    <row r="1523" spans="1:17">
      <c r="A1523" s="512">
        <f t="shared" si="16"/>
        <v>676</v>
      </c>
      <c r="B1523" s="579" t="s">
        <v>43</v>
      </c>
      <c r="C1523" s="579" t="s">
        <v>44</v>
      </c>
      <c r="D1523" s="579" t="s">
        <v>45</v>
      </c>
      <c r="E1523" s="637" t="s">
        <v>1941</v>
      </c>
      <c r="F1523" s="606" t="s">
        <v>491</v>
      </c>
      <c r="G1523" s="606">
        <v>9866838061</v>
      </c>
      <c r="H1523" s="578"/>
      <c r="I1523" s="606">
        <v>31</v>
      </c>
      <c r="J1523" s="583" t="s">
        <v>90</v>
      </c>
      <c r="K1523" s="583" t="s">
        <v>1950</v>
      </c>
      <c r="L1523" s="579"/>
      <c r="M1523" s="586" t="s">
        <v>1764</v>
      </c>
      <c r="N1523" s="746">
        <v>65032</v>
      </c>
      <c r="O1523" s="582">
        <v>65032</v>
      </c>
      <c r="P1523" s="582">
        <v>65047</v>
      </c>
      <c r="Q1523" s="578" t="s">
        <v>51</v>
      </c>
    </row>
    <row r="1524" spans="1:17">
      <c r="A1524" s="512">
        <f t="shared" si="16"/>
        <v>677</v>
      </c>
      <c r="B1524" s="579" t="s">
        <v>43</v>
      </c>
      <c r="C1524" s="579" t="s">
        <v>44</v>
      </c>
      <c r="D1524" s="579" t="s">
        <v>45</v>
      </c>
      <c r="E1524" s="638" t="s">
        <v>1969</v>
      </c>
      <c r="F1524" s="583" t="s">
        <v>636</v>
      </c>
      <c r="G1524" s="583">
        <v>9803286581</v>
      </c>
      <c r="H1524" s="638"/>
      <c r="I1524" s="583">
        <v>42</v>
      </c>
      <c r="J1524" s="583" t="s">
        <v>90</v>
      </c>
      <c r="K1524" s="583" t="s">
        <v>1480</v>
      </c>
      <c r="L1524" s="583"/>
      <c r="M1524" s="586" t="s">
        <v>1764</v>
      </c>
      <c r="N1524" s="753">
        <v>65032</v>
      </c>
      <c r="O1524" s="578"/>
      <c r="P1524" s="582">
        <v>65047</v>
      </c>
      <c r="Q1524" s="578" t="s">
        <v>51</v>
      </c>
    </row>
    <row r="1525" spans="1:17">
      <c r="A1525" s="512">
        <f t="shared" si="16"/>
        <v>678</v>
      </c>
      <c r="B1525" s="579" t="s">
        <v>43</v>
      </c>
      <c r="C1525" s="579" t="s">
        <v>44</v>
      </c>
      <c r="D1525" s="579" t="s">
        <v>45</v>
      </c>
      <c r="E1525" s="638" t="s">
        <v>1981</v>
      </c>
      <c r="F1525" s="583" t="s">
        <v>502</v>
      </c>
      <c r="G1525" s="583">
        <v>9866941980</v>
      </c>
      <c r="H1525" s="638"/>
      <c r="I1525" s="583">
        <v>52</v>
      </c>
      <c r="J1525" s="583" t="s">
        <v>48</v>
      </c>
      <c r="K1525" s="583" t="s">
        <v>1480</v>
      </c>
      <c r="L1525" s="583"/>
      <c r="M1525" s="586" t="s">
        <v>1764</v>
      </c>
      <c r="N1525" s="753">
        <v>65032</v>
      </c>
      <c r="O1525" s="578"/>
      <c r="P1525" s="582">
        <v>65047</v>
      </c>
      <c r="Q1525" s="578" t="s">
        <v>51</v>
      </c>
    </row>
    <row r="1526" spans="1:17">
      <c r="A1526" s="512">
        <f t="shared" si="16"/>
        <v>679</v>
      </c>
      <c r="B1526" s="579" t="s">
        <v>43</v>
      </c>
      <c r="C1526" s="579" t="s">
        <v>44</v>
      </c>
      <c r="D1526" s="579" t="s">
        <v>45</v>
      </c>
      <c r="E1526" s="638" t="s">
        <v>1963</v>
      </c>
      <c r="F1526" s="583" t="s">
        <v>441</v>
      </c>
      <c r="G1526" s="583">
        <v>9841881806</v>
      </c>
      <c r="H1526" s="638"/>
      <c r="I1526" s="583">
        <v>30</v>
      </c>
      <c r="J1526" s="583" t="s">
        <v>90</v>
      </c>
      <c r="K1526" s="583" t="s">
        <v>1480</v>
      </c>
      <c r="L1526" s="583"/>
      <c r="M1526" s="586" t="s">
        <v>1764</v>
      </c>
      <c r="N1526" s="753">
        <v>65032</v>
      </c>
      <c r="O1526" s="578"/>
      <c r="P1526" s="582">
        <v>65047</v>
      </c>
      <c r="Q1526" s="578" t="s">
        <v>51</v>
      </c>
    </row>
    <row r="1527" spans="1:17">
      <c r="A1527" s="512">
        <f t="shared" si="16"/>
        <v>680</v>
      </c>
      <c r="B1527" s="579" t="s">
        <v>43</v>
      </c>
      <c r="C1527" s="579" t="s">
        <v>44</v>
      </c>
      <c r="D1527" s="579" t="s">
        <v>45</v>
      </c>
      <c r="E1527" s="638" t="s">
        <v>1980</v>
      </c>
      <c r="F1527" s="583" t="s">
        <v>124</v>
      </c>
      <c r="G1527" s="583">
        <v>9868625141</v>
      </c>
      <c r="H1527" s="638"/>
      <c r="I1527" s="583">
        <v>50</v>
      </c>
      <c r="J1527" s="583" t="s">
        <v>48</v>
      </c>
      <c r="K1527" s="583" t="s">
        <v>1480</v>
      </c>
      <c r="L1527" s="583"/>
      <c r="M1527" s="586" t="s">
        <v>1764</v>
      </c>
      <c r="N1527" s="753">
        <v>65032</v>
      </c>
      <c r="O1527" s="578"/>
      <c r="P1527" s="582">
        <v>65047</v>
      </c>
      <c r="Q1527" s="578" t="s">
        <v>51</v>
      </c>
    </row>
    <row r="1528" spans="1:17">
      <c r="A1528" s="512">
        <f t="shared" si="16"/>
        <v>681</v>
      </c>
      <c r="B1528" s="579" t="s">
        <v>43</v>
      </c>
      <c r="C1528" s="579" t="s">
        <v>44</v>
      </c>
      <c r="D1528" s="579" t="s">
        <v>45</v>
      </c>
      <c r="E1528" s="638" t="s">
        <v>1986</v>
      </c>
      <c r="F1528" s="583" t="s">
        <v>491</v>
      </c>
      <c r="G1528" s="583">
        <v>9868090673</v>
      </c>
      <c r="H1528" s="638"/>
      <c r="I1528" s="583">
        <v>61</v>
      </c>
      <c r="J1528" s="583" t="s">
        <v>48</v>
      </c>
      <c r="K1528" s="583" t="s">
        <v>1480</v>
      </c>
      <c r="L1528" s="583"/>
      <c r="M1528" s="586" t="s">
        <v>1764</v>
      </c>
      <c r="N1528" s="753">
        <v>65032</v>
      </c>
      <c r="O1528" s="578"/>
      <c r="P1528" s="582">
        <v>65047</v>
      </c>
      <c r="Q1528" s="578" t="s">
        <v>51</v>
      </c>
    </row>
    <row r="1529" spans="1:17">
      <c r="A1529" s="512">
        <f t="shared" si="16"/>
        <v>682</v>
      </c>
      <c r="B1529" s="579" t="s">
        <v>43</v>
      </c>
      <c r="C1529" s="579" t="s">
        <v>44</v>
      </c>
      <c r="D1529" s="579" t="s">
        <v>45</v>
      </c>
      <c r="E1529" s="638" t="s">
        <v>1966</v>
      </c>
      <c r="F1529" s="583" t="s">
        <v>502</v>
      </c>
      <c r="G1529" s="583">
        <v>9847885713</v>
      </c>
      <c r="H1529" s="638"/>
      <c r="I1529" s="583">
        <v>33</v>
      </c>
      <c r="J1529" s="583" t="s">
        <v>90</v>
      </c>
      <c r="K1529" s="583" t="s">
        <v>1480</v>
      </c>
      <c r="L1529" s="583"/>
      <c r="M1529" s="586" t="s">
        <v>1764</v>
      </c>
      <c r="N1529" s="753">
        <v>65032</v>
      </c>
      <c r="O1529" s="578"/>
      <c r="P1529" s="582">
        <v>65047</v>
      </c>
      <c r="Q1529" s="578" t="s">
        <v>51</v>
      </c>
    </row>
    <row r="1530" spans="1:17">
      <c r="A1530" s="512">
        <f t="shared" si="16"/>
        <v>683</v>
      </c>
      <c r="B1530" s="579" t="s">
        <v>43</v>
      </c>
      <c r="C1530" s="579" t="s">
        <v>44</v>
      </c>
      <c r="D1530" s="579" t="s">
        <v>45</v>
      </c>
      <c r="E1530" s="637" t="s">
        <v>1930</v>
      </c>
      <c r="F1530" s="606" t="s">
        <v>491</v>
      </c>
      <c r="G1530" s="606">
        <v>9847834402</v>
      </c>
      <c r="H1530" s="578"/>
      <c r="I1530" s="606">
        <v>59</v>
      </c>
      <c r="J1530" s="583" t="s">
        <v>48</v>
      </c>
      <c r="K1530" s="583" t="s">
        <v>1950</v>
      </c>
      <c r="L1530" s="579"/>
      <c r="M1530" s="586" t="s">
        <v>1764</v>
      </c>
      <c r="N1530" s="746">
        <v>65032</v>
      </c>
      <c r="O1530" s="582">
        <v>65032</v>
      </c>
      <c r="P1530" s="582">
        <v>65047</v>
      </c>
      <c r="Q1530" s="578" t="s">
        <v>51</v>
      </c>
    </row>
    <row r="1531" spans="1:17">
      <c r="A1531" s="512">
        <f t="shared" si="16"/>
        <v>684</v>
      </c>
      <c r="B1531" s="579" t="s">
        <v>43</v>
      </c>
      <c r="C1531" s="579" t="s">
        <v>44</v>
      </c>
      <c r="D1531" s="579" t="s">
        <v>45</v>
      </c>
      <c r="E1531" s="637" t="s">
        <v>1942</v>
      </c>
      <c r="F1531" s="606" t="s">
        <v>1009</v>
      </c>
      <c r="G1531" s="606">
        <v>9847859070</v>
      </c>
      <c r="H1531" s="578"/>
      <c r="I1531" s="606">
        <v>45</v>
      </c>
      <c r="J1531" s="583" t="s">
        <v>90</v>
      </c>
      <c r="K1531" s="583" t="s">
        <v>1950</v>
      </c>
      <c r="L1531" s="579"/>
      <c r="M1531" s="586" t="s">
        <v>1764</v>
      </c>
      <c r="N1531" s="746">
        <v>65032</v>
      </c>
      <c r="O1531" s="582">
        <v>65032</v>
      </c>
      <c r="P1531" s="582">
        <v>65047</v>
      </c>
      <c r="Q1531" s="578" t="s">
        <v>51</v>
      </c>
    </row>
    <row r="1532" spans="1:17">
      <c r="A1532" s="512">
        <f t="shared" si="16"/>
        <v>685</v>
      </c>
      <c r="B1532" s="579" t="s">
        <v>43</v>
      </c>
      <c r="C1532" s="579" t="s">
        <v>44</v>
      </c>
      <c r="D1532" s="579" t="s">
        <v>45</v>
      </c>
      <c r="E1532" s="638" t="s">
        <v>1972</v>
      </c>
      <c r="F1532" s="583" t="s">
        <v>1046</v>
      </c>
      <c r="G1532" s="583">
        <v>9857822701</v>
      </c>
      <c r="H1532" s="638"/>
      <c r="I1532" s="583">
        <v>42</v>
      </c>
      <c r="J1532" s="583" t="s">
        <v>48</v>
      </c>
      <c r="K1532" s="583" t="s">
        <v>1480</v>
      </c>
      <c r="L1532" s="583"/>
      <c r="M1532" s="586" t="s">
        <v>1764</v>
      </c>
      <c r="N1532" s="753">
        <v>65032</v>
      </c>
      <c r="O1532" s="578"/>
      <c r="P1532" s="582">
        <v>65047</v>
      </c>
      <c r="Q1532" s="578" t="s">
        <v>51</v>
      </c>
    </row>
    <row r="1533" spans="1:17">
      <c r="A1533" s="512">
        <f t="shared" si="16"/>
        <v>686</v>
      </c>
      <c r="B1533" s="579" t="s">
        <v>43</v>
      </c>
      <c r="C1533" s="579" t="s">
        <v>44</v>
      </c>
      <c r="D1533" s="579" t="s">
        <v>45</v>
      </c>
      <c r="E1533" s="638" t="s">
        <v>1982</v>
      </c>
      <c r="F1533" s="583" t="s">
        <v>491</v>
      </c>
      <c r="G1533" s="583">
        <v>9866529531</v>
      </c>
      <c r="H1533" s="638"/>
      <c r="I1533" s="583">
        <v>52</v>
      </c>
      <c r="J1533" s="583" t="s">
        <v>90</v>
      </c>
      <c r="K1533" s="583" t="s">
        <v>1480</v>
      </c>
      <c r="L1533" s="583"/>
      <c r="M1533" s="586" t="s">
        <v>1764</v>
      </c>
      <c r="N1533" s="753">
        <v>65032</v>
      </c>
      <c r="O1533" s="578"/>
      <c r="P1533" s="582">
        <v>65047</v>
      </c>
      <c r="Q1533" s="578" t="s">
        <v>51</v>
      </c>
    </row>
    <row r="1534" spans="1:17">
      <c r="A1534" s="512">
        <f t="shared" si="16"/>
        <v>687</v>
      </c>
      <c r="B1534" s="579" t="s">
        <v>43</v>
      </c>
      <c r="C1534" s="579" t="s">
        <v>44</v>
      </c>
      <c r="D1534" s="579" t="s">
        <v>45</v>
      </c>
      <c r="E1534" s="638" t="s">
        <v>1965</v>
      </c>
      <c r="F1534" s="583" t="s">
        <v>502</v>
      </c>
      <c r="G1534" s="583">
        <v>9866963035</v>
      </c>
      <c r="H1534" s="638"/>
      <c r="I1534" s="583">
        <v>32</v>
      </c>
      <c r="J1534" s="583" t="s">
        <v>90</v>
      </c>
      <c r="K1534" s="583" t="s">
        <v>1480</v>
      </c>
      <c r="L1534" s="583"/>
      <c r="M1534" s="586" t="s">
        <v>1764</v>
      </c>
      <c r="N1534" s="753">
        <v>65032</v>
      </c>
      <c r="O1534" s="578"/>
      <c r="P1534" s="582">
        <v>65047</v>
      </c>
      <c r="Q1534" s="578" t="s">
        <v>51</v>
      </c>
    </row>
    <row r="1535" spans="1:17">
      <c r="A1535" s="512">
        <f t="shared" si="16"/>
        <v>688</v>
      </c>
      <c r="B1535" s="579" t="s">
        <v>43</v>
      </c>
      <c r="C1535" s="579" t="s">
        <v>44</v>
      </c>
      <c r="D1535" s="579" t="s">
        <v>45</v>
      </c>
      <c r="E1535" s="638" t="s">
        <v>1974</v>
      </c>
      <c r="F1535" s="583" t="s">
        <v>598</v>
      </c>
      <c r="G1535" s="583">
        <v>9849491434</v>
      </c>
      <c r="H1535" s="638"/>
      <c r="I1535" s="583">
        <v>45</v>
      </c>
      <c r="J1535" s="583" t="s">
        <v>48</v>
      </c>
      <c r="K1535" s="583" t="s">
        <v>1480</v>
      </c>
      <c r="L1535" s="583"/>
      <c r="M1535" s="586" t="s">
        <v>1764</v>
      </c>
      <c r="N1535" s="753">
        <v>65032</v>
      </c>
      <c r="O1535" s="578"/>
      <c r="P1535" s="582">
        <v>65047</v>
      </c>
      <c r="Q1535" s="578" t="s">
        <v>51</v>
      </c>
    </row>
    <row r="1536" spans="1:17">
      <c r="A1536" s="512">
        <f t="shared" si="16"/>
        <v>689</v>
      </c>
      <c r="B1536" s="579" t="s">
        <v>43</v>
      </c>
      <c r="C1536" s="579" t="s">
        <v>44</v>
      </c>
      <c r="D1536" s="579" t="s">
        <v>45</v>
      </c>
      <c r="E1536" s="637" t="s">
        <v>1943</v>
      </c>
      <c r="F1536" s="606" t="s">
        <v>510</v>
      </c>
      <c r="G1536" s="606">
        <v>9847823218</v>
      </c>
      <c r="H1536" s="578"/>
      <c r="I1536" s="606">
        <v>48</v>
      </c>
      <c r="J1536" s="583" t="s">
        <v>90</v>
      </c>
      <c r="K1536" s="583" t="s">
        <v>1950</v>
      </c>
      <c r="L1536" s="579"/>
      <c r="M1536" s="586" t="s">
        <v>1764</v>
      </c>
      <c r="N1536" s="746">
        <v>65032</v>
      </c>
      <c r="O1536" s="582">
        <v>65032</v>
      </c>
      <c r="P1536" s="582">
        <v>65047</v>
      </c>
      <c r="Q1536" s="578" t="s">
        <v>51</v>
      </c>
    </row>
    <row r="1537" spans="1:17">
      <c r="A1537" s="512">
        <f t="shared" si="16"/>
        <v>690</v>
      </c>
      <c r="B1537" s="579" t="s">
        <v>43</v>
      </c>
      <c r="C1537" s="579" t="s">
        <v>44</v>
      </c>
      <c r="D1537" s="579" t="s">
        <v>45</v>
      </c>
      <c r="E1537" s="638" t="s">
        <v>1955</v>
      </c>
      <c r="F1537" s="583" t="s">
        <v>491</v>
      </c>
      <c r="G1537" s="583">
        <v>9847702189</v>
      </c>
      <c r="H1537" s="638"/>
      <c r="I1537" s="583">
        <v>23</v>
      </c>
      <c r="J1537" s="583" t="s">
        <v>90</v>
      </c>
      <c r="K1537" s="583" t="s">
        <v>1480</v>
      </c>
      <c r="L1537" s="583"/>
      <c r="M1537" s="586" t="s">
        <v>1764</v>
      </c>
      <c r="N1537" s="753">
        <v>65032</v>
      </c>
      <c r="O1537" s="578"/>
      <c r="P1537" s="582">
        <v>65047</v>
      </c>
      <c r="Q1537" s="578" t="s">
        <v>51</v>
      </c>
    </row>
    <row r="1538" spans="1:17">
      <c r="A1538" s="512">
        <f t="shared" si="16"/>
        <v>691</v>
      </c>
      <c r="B1538" s="579" t="s">
        <v>43</v>
      </c>
      <c r="C1538" s="579" t="s">
        <v>44</v>
      </c>
      <c r="D1538" s="579" t="s">
        <v>45</v>
      </c>
      <c r="E1538" s="638" t="s">
        <v>1957</v>
      </c>
      <c r="F1538" s="583" t="s">
        <v>502</v>
      </c>
      <c r="G1538" s="583">
        <v>9864918510</v>
      </c>
      <c r="H1538" s="638"/>
      <c r="I1538" s="583">
        <v>25</v>
      </c>
      <c r="J1538" s="583" t="s">
        <v>48</v>
      </c>
      <c r="K1538" s="583" t="s">
        <v>1480</v>
      </c>
      <c r="L1538" s="583"/>
      <c r="M1538" s="586" t="s">
        <v>1764</v>
      </c>
      <c r="N1538" s="753">
        <v>65032</v>
      </c>
      <c r="O1538" s="578"/>
      <c r="P1538" s="582">
        <v>65047</v>
      </c>
      <c r="Q1538" s="578" t="s">
        <v>51</v>
      </c>
    </row>
    <row r="1539" spans="1:17">
      <c r="A1539" s="512">
        <f t="shared" si="16"/>
        <v>692</v>
      </c>
      <c r="B1539" s="579" t="s">
        <v>43</v>
      </c>
      <c r="C1539" s="579" t="s">
        <v>44</v>
      </c>
      <c r="D1539" s="579" t="s">
        <v>45</v>
      </c>
      <c r="E1539" s="638" t="s">
        <v>1964</v>
      </c>
      <c r="F1539" s="583" t="s">
        <v>491</v>
      </c>
      <c r="G1539" s="583">
        <v>9867473475</v>
      </c>
      <c r="H1539" s="638"/>
      <c r="I1539" s="583">
        <v>31</v>
      </c>
      <c r="J1539" s="583" t="s">
        <v>90</v>
      </c>
      <c r="K1539" s="583" t="s">
        <v>1480</v>
      </c>
      <c r="L1539" s="583"/>
      <c r="M1539" s="586" t="s">
        <v>1764</v>
      </c>
      <c r="N1539" s="753">
        <v>65032</v>
      </c>
      <c r="O1539" s="578"/>
      <c r="P1539" s="582">
        <v>65047</v>
      </c>
      <c r="Q1539" s="578" t="s">
        <v>51</v>
      </c>
    </row>
    <row r="1540" spans="1:17">
      <c r="A1540" s="512">
        <f t="shared" si="16"/>
        <v>693</v>
      </c>
      <c r="B1540" s="579" t="s">
        <v>43</v>
      </c>
      <c r="C1540" s="579" t="s">
        <v>44</v>
      </c>
      <c r="D1540" s="579" t="s">
        <v>45</v>
      </c>
      <c r="E1540" s="637" t="s">
        <v>1931</v>
      </c>
      <c r="F1540" s="606" t="s">
        <v>1009</v>
      </c>
      <c r="G1540" s="606">
        <v>9847859070</v>
      </c>
      <c r="H1540" s="578"/>
      <c r="I1540" s="606">
        <v>53</v>
      </c>
      <c r="J1540" s="583" t="s">
        <v>48</v>
      </c>
      <c r="K1540" s="583" t="s">
        <v>1950</v>
      </c>
      <c r="L1540" s="579"/>
      <c r="M1540" s="586" t="s">
        <v>1764</v>
      </c>
      <c r="N1540" s="746">
        <v>65032</v>
      </c>
      <c r="O1540" s="582">
        <v>65032</v>
      </c>
      <c r="P1540" s="582">
        <v>65047</v>
      </c>
      <c r="Q1540" s="578" t="s">
        <v>51</v>
      </c>
    </row>
    <row r="1541" spans="1:17">
      <c r="A1541" s="512">
        <f t="shared" si="16"/>
        <v>694</v>
      </c>
      <c r="B1541" s="579" t="s">
        <v>43</v>
      </c>
      <c r="C1541" s="579" t="s">
        <v>44</v>
      </c>
      <c r="D1541" s="579" t="s">
        <v>45</v>
      </c>
      <c r="E1541" s="637" t="s">
        <v>1932</v>
      </c>
      <c r="F1541" s="606" t="s">
        <v>491</v>
      </c>
      <c r="G1541" s="606">
        <v>9844965460</v>
      </c>
      <c r="H1541" s="578"/>
      <c r="I1541" s="606">
        <v>47</v>
      </c>
      <c r="J1541" s="583" t="s">
        <v>48</v>
      </c>
      <c r="K1541" s="583" t="s">
        <v>1950</v>
      </c>
      <c r="L1541" s="579"/>
      <c r="M1541" s="586" t="s">
        <v>1764</v>
      </c>
      <c r="N1541" s="746">
        <v>65032</v>
      </c>
      <c r="O1541" s="582">
        <v>65032</v>
      </c>
      <c r="P1541" s="582">
        <v>65047</v>
      </c>
      <c r="Q1541" s="578" t="s">
        <v>51</v>
      </c>
    </row>
    <row r="1542" spans="1:17">
      <c r="A1542" s="512">
        <f t="shared" si="16"/>
        <v>695</v>
      </c>
      <c r="B1542" s="579" t="s">
        <v>43</v>
      </c>
      <c r="C1542" s="579" t="s">
        <v>44</v>
      </c>
      <c r="D1542" s="579" t="s">
        <v>45</v>
      </c>
      <c r="E1542" s="638" t="s">
        <v>1977</v>
      </c>
      <c r="F1542" s="583" t="s">
        <v>502</v>
      </c>
      <c r="G1542" s="583">
        <v>9847990881</v>
      </c>
      <c r="H1542" s="638"/>
      <c r="I1542" s="583">
        <v>50</v>
      </c>
      <c r="J1542" s="583" t="s">
        <v>90</v>
      </c>
      <c r="K1542" s="583" t="s">
        <v>1480</v>
      </c>
      <c r="L1542" s="583"/>
      <c r="M1542" s="586" t="s">
        <v>1764</v>
      </c>
      <c r="N1542" s="753">
        <v>65032</v>
      </c>
      <c r="O1542" s="578"/>
      <c r="P1542" s="582">
        <v>65047</v>
      </c>
      <c r="Q1542" s="578" t="s">
        <v>51</v>
      </c>
    </row>
    <row r="1543" spans="1:17">
      <c r="A1543" s="512">
        <f t="shared" si="16"/>
        <v>696</v>
      </c>
      <c r="B1543" s="579" t="s">
        <v>43</v>
      </c>
      <c r="C1543" s="579" t="s">
        <v>44</v>
      </c>
      <c r="D1543" s="579" t="s">
        <v>45</v>
      </c>
      <c r="E1543" s="637" t="s">
        <v>1933</v>
      </c>
      <c r="F1543" s="606" t="s">
        <v>1046</v>
      </c>
      <c r="G1543" s="606">
        <v>9849715424</v>
      </c>
      <c r="H1543" s="578"/>
      <c r="I1543" s="606">
        <v>31</v>
      </c>
      <c r="J1543" s="583" t="s">
        <v>48</v>
      </c>
      <c r="K1543" s="583" t="s">
        <v>1950</v>
      </c>
      <c r="L1543" s="579"/>
      <c r="M1543" s="586" t="s">
        <v>1764</v>
      </c>
      <c r="N1543" s="746">
        <v>65032</v>
      </c>
      <c r="O1543" s="582">
        <v>65032</v>
      </c>
      <c r="P1543" s="582">
        <v>65047</v>
      </c>
      <c r="Q1543" s="578" t="s">
        <v>51</v>
      </c>
    </row>
    <row r="1544" spans="1:17">
      <c r="A1544" s="512">
        <f t="shared" si="16"/>
        <v>697</v>
      </c>
      <c r="B1544" s="579" t="s">
        <v>43</v>
      </c>
      <c r="C1544" s="579" t="s">
        <v>44</v>
      </c>
      <c r="D1544" s="579" t="s">
        <v>45</v>
      </c>
      <c r="E1544" s="637" t="s">
        <v>1944</v>
      </c>
      <c r="F1544" s="606" t="s">
        <v>124</v>
      </c>
      <c r="G1544" s="606">
        <v>9809831350</v>
      </c>
      <c r="H1544" s="578"/>
      <c r="I1544" s="606">
        <v>53</v>
      </c>
      <c r="J1544" s="583" t="s">
        <v>90</v>
      </c>
      <c r="K1544" s="583" t="s">
        <v>1950</v>
      </c>
      <c r="L1544" s="579"/>
      <c r="M1544" s="586" t="s">
        <v>1764</v>
      </c>
      <c r="N1544" s="746">
        <v>65032</v>
      </c>
      <c r="O1544" s="582">
        <v>65032</v>
      </c>
      <c r="P1544" s="582">
        <v>65047</v>
      </c>
      <c r="Q1544" s="578" t="s">
        <v>51</v>
      </c>
    </row>
    <row r="1545" spans="1:17">
      <c r="A1545" s="512">
        <f t="shared" si="16"/>
        <v>698</v>
      </c>
      <c r="B1545" s="579" t="s">
        <v>43</v>
      </c>
      <c r="C1545" s="579" t="s">
        <v>44</v>
      </c>
      <c r="D1545" s="579" t="s">
        <v>45</v>
      </c>
      <c r="E1545" s="638" t="s">
        <v>1975</v>
      </c>
      <c r="F1545" s="583" t="s">
        <v>491</v>
      </c>
      <c r="G1545" s="583">
        <v>9843891362</v>
      </c>
      <c r="H1545" s="638"/>
      <c r="I1545" s="583">
        <v>48</v>
      </c>
      <c r="J1545" s="583" t="s">
        <v>90</v>
      </c>
      <c r="K1545" s="583" t="s">
        <v>1480</v>
      </c>
      <c r="L1545" s="583"/>
      <c r="M1545" s="586" t="s">
        <v>1764</v>
      </c>
      <c r="N1545" s="753">
        <v>65032</v>
      </c>
      <c r="O1545" s="578"/>
      <c r="P1545" s="582">
        <v>65047</v>
      </c>
      <c r="Q1545" s="578" t="s">
        <v>51</v>
      </c>
    </row>
    <row r="1546" spans="1:17">
      <c r="A1546" s="512">
        <f t="shared" si="16"/>
        <v>699</v>
      </c>
      <c r="B1546" s="579" t="s">
        <v>43</v>
      </c>
      <c r="C1546" s="579" t="s">
        <v>44</v>
      </c>
      <c r="D1546" s="579" t="s">
        <v>45</v>
      </c>
      <c r="E1546" s="637" t="s">
        <v>1945</v>
      </c>
      <c r="F1546" s="606" t="s">
        <v>502</v>
      </c>
      <c r="G1546" s="606">
        <v>9868627641</v>
      </c>
      <c r="H1546" s="578"/>
      <c r="I1546" s="606">
        <v>25</v>
      </c>
      <c r="J1546" s="583" t="s">
        <v>90</v>
      </c>
      <c r="K1546" s="583" t="s">
        <v>1950</v>
      </c>
      <c r="L1546" s="579"/>
      <c r="M1546" s="586" t="s">
        <v>1764</v>
      </c>
      <c r="N1546" s="746">
        <v>65032</v>
      </c>
      <c r="O1546" s="582">
        <v>65032</v>
      </c>
      <c r="P1546" s="582">
        <v>65047</v>
      </c>
      <c r="Q1546" s="578" t="s">
        <v>51</v>
      </c>
    </row>
    <row r="1547" spans="1:17">
      <c r="A1547" s="512">
        <f t="shared" si="16"/>
        <v>700</v>
      </c>
      <c r="B1547" s="579" t="s">
        <v>43</v>
      </c>
      <c r="C1547" s="579" t="s">
        <v>44</v>
      </c>
      <c r="D1547" s="579" t="s">
        <v>45</v>
      </c>
      <c r="E1547" s="638" t="s">
        <v>1987</v>
      </c>
      <c r="F1547" s="583" t="s">
        <v>491</v>
      </c>
      <c r="G1547" s="583">
        <v>9847861226</v>
      </c>
      <c r="H1547" s="638"/>
      <c r="I1547" s="583">
        <v>80</v>
      </c>
      <c r="J1547" s="583" t="s">
        <v>90</v>
      </c>
      <c r="K1547" s="583" t="s">
        <v>1480</v>
      </c>
      <c r="L1547" s="583"/>
      <c r="M1547" s="586" t="s">
        <v>1764</v>
      </c>
      <c r="N1547" s="753">
        <v>65032</v>
      </c>
      <c r="O1547" s="578"/>
      <c r="P1547" s="582">
        <v>65047</v>
      </c>
      <c r="Q1547" s="578" t="s">
        <v>51</v>
      </c>
    </row>
    <row r="1548" spans="1:17">
      <c r="A1548" s="512">
        <f t="shared" si="16"/>
        <v>701</v>
      </c>
      <c r="B1548" s="579" t="s">
        <v>43</v>
      </c>
      <c r="C1548" s="579" t="s">
        <v>44</v>
      </c>
      <c r="D1548" s="579" t="s">
        <v>45</v>
      </c>
      <c r="E1548" s="638" t="s">
        <v>1962</v>
      </c>
      <c r="F1548" s="583" t="s">
        <v>441</v>
      </c>
      <c r="G1548" s="583">
        <v>9866970680</v>
      </c>
      <c r="H1548" s="638"/>
      <c r="I1548" s="583">
        <v>29</v>
      </c>
      <c r="J1548" s="583" t="s">
        <v>48</v>
      </c>
      <c r="K1548" s="583" t="s">
        <v>1480</v>
      </c>
      <c r="L1548" s="583"/>
      <c r="M1548" s="586" t="s">
        <v>1764</v>
      </c>
      <c r="N1548" s="753">
        <v>65032</v>
      </c>
      <c r="O1548" s="578"/>
      <c r="P1548" s="582">
        <v>65047</v>
      </c>
      <c r="Q1548" s="578" t="s">
        <v>51</v>
      </c>
    </row>
    <row r="1549" spans="1:17">
      <c r="A1549" s="512">
        <f t="shared" si="16"/>
        <v>702</v>
      </c>
      <c r="B1549" s="579" t="s">
        <v>43</v>
      </c>
      <c r="C1549" s="579" t="s">
        <v>44</v>
      </c>
      <c r="D1549" s="579" t="s">
        <v>45</v>
      </c>
      <c r="E1549" s="637" t="s">
        <v>1934</v>
      </c>
      <c r="F1549" s="606" t="s">
        <v>491</v>
      </c>
      <c r="G1549" s="606">
        <v>9841873016</v>
      </c>
      <c r="H1549" s="578"/>
      <c r="I1549" s="606">
        <v>32</v>
      </c>
      <c r="J1549" s="583" t="s">
        <v>48</v>
      </c>
      <c r="K1549" s="583" t="s">
        <v>1950</v>
      </c>
      <c r="L1549" s="579"/>
      <c r="M1549" s="586" t="s">
        <v>1764</v>
      </c>
      <c r="N1549" s="746">
        <v>65032</v>
      </c>
      <c r="O1549" s="582">
        <v>65032</v>
      </c>
      <c r="P1549" s="582">
        <v>65047</v>
      </c>
      <c r="Q1549" s="578" t="s">
        <v>51</v>
      </c>
    </row>
    <row r="1550" spans="1:17">
      <c r="A1550" s="512">
        <f t="shared" si="16"/>
        <v>703</v>
      </c>
      <c r="B1550" s="579" t="s">
        <v>43</v>
      </c>
      <c r="C1550" s="579" t="s">
        <v>44</v>
      </c>
      <c r="D1550" s="579" t="s">
        <v>45</v>
      </c>
      <c r="E1550" s="637" t="s">
        <v>1935</v>
      </c>
      <c r="F1550" s="606" t="s">
        <v>491</v>
      </c>
      <c r="G1550" s="606">
        <v>9866838061</v>
      </c>
      <c r="H1550" s="578"/>
      <c r="I1550" s="606">
        <v>15</v>
      </c>
      <c r="J1550" s="583" t="s">
        <v>48</v>
      </c>
      <c r="K1550" s="583" t="s">
        <v>1950</v>
      </c>
      <c r="L1550" s="579"/>
      <c r="M1550" s="586" t="s">
        <v>1764</v>
      </c>
      <c r="N1550" s="746">
        <v>65032</v>
      </c>
      <c r="O1550" s="582">
        <v>65032</v>
      </c>
      <c r="P1550" s="582">
        <v>65047</v>
      </c>
      <c r="Q1550" s="578" t="s">
        <v>51</v>
      </c>
    </row>
    <row r="1551" spans="1:17">
      <c r="A1551" s="512">
        <f t="shared" si="16"/>
        <v>704</v>
      </c>
      <c r="B1551" s="579" t="s">
        <v>43</v>
      </c>
      <c r="C1551" s="579" t="s">
        <v>44</v>
      </c>
      <c r="D1551" s="579" t="s">
        <v>45</v>
      </c>
      <c r="E1551" s="637" t="s">
        <v>1936</v>
      </c>
      <c r="F1551" s="606" t="s">
        <v>529</v>
      </c>
      <c r="G1551" s="606">
        <v>9866934023</v>
      </c>
      <c r="H1551" s="578"/>
      <c r="I1551" s="606">
        <v>36</v>
      </c>
      <c r="J1551" s="583" t="s">
        <v>48</v>
      </c>
      <c r="K1551" s="583" t="s">
        <v>1950</v>
      </c>
      <c r="L1551" s="579"/>
      <c r="M1551" s="586" t="s">
        <v>1764</v>
      </c>
      <c r="N1551" s="746">
        <v>65032</v>
      </c>
      <c r="O1551" s="582">
        <v>65032</v>
      </c>
      <c r="P1551" s="582">
        <v>65047</v>
      </c>
      <c r="Q1551" s="578" t="s">
        <v>51</v>
      </c>
    </row>
    <row r="1552" spans="1:17">
      <c r="A1552" s="512">
        <f t="shared" si="16"/>
        <v>705</v>
      </c>
      <c r="B1552" s="579" t="s">
        <v>43</v>
      </c>
      <c r="C1552" s="579" t="s">
        <v>44</v>
      </c>
      <c r="D1552" s="579" t="s">
        <v>45</v>
      </c>
      <c r="E1552" s="639" t="s">
        <v>1968</v>
      </c>
      <c r="F1552" s="583" t="s">
        <v>598</v>
      </c>
      <c r="G1552" s="583">
        <v>9867761452</v>
      </c>
      <c r="H1552" s="638"/>
      <c r="I1552" s="583">
        <v>40</v>
      </c>
      <c r="J1552" s="583" t="s">
        <v>90</v>
      </c>
      <c r="K1552" s="583" t="s">
        <v>1480</v>
      </c>
      <c r="L1552" s="583"/>
      <c r="M1552" s="586" t="s">
        <v>1764</v>
      </c>
      <c r="N1552" s="753">
        <v>65032</v>
      </c>
      <c r="O1552" s="578"/>
      <c r="P1552" s="582">
        <v>65047</v>
      </c>
      <c r="Q1552" s="578" t="s">
        <v>51</v>
      </c>
    </row>
    <row r="1553" spans="1:17">
      <c r="A1553" s="512">
        <f t="shared" si="16"/>
        <v>706</v>
      </c>
      <c r="B1553" s="579" t="s">
        <v>43</v>
      </c>
      <c r="C1553" s="579" t="s">
        <v>44</v>
      </c>
      <c r="D1553" s="579" t="s">
        <v>45</v>
      </c>
      <c r="E1553" s="638" t="s">
        <v>1985</v>
      </c>
      <c r="F1553" s="583" t="s">
        <v>791</v>
      </c>
      <c r="G1553" s="583">
        <v>9847903577</v>
      </c>
      <c r="H1553" s="638"/>
      <c r="I1553" s="583">
        <v>61</v>
      </c>
      <c r="J1553" s="583" t="s">
        <v>48</v>
      </c>
      <c r="K1553" s="583" t="s">
        <v>1480</v>
      </c>
      <c r="L1553" s="583"/>
      <c r="M1553" s="586" t="s">
        <v>1764</v>
      </c>
      <c r="N1553" s="753">
        <v>65032</v>
      </c>
      <c r="O1553" s="578"/>
      <c r="P1553" s="582">
        <v>65047</v>
      </c>
      <c r="Q1553" s="578" t="s">
        <v>51</v>
      </c>
    </row>
    <row r="1554" spans="1:17" s="357" customFormat="1">
      <c r="A1554" s="512">
        <f t="shared" ref="A1554:A1617" si="17">A1553+1</f>
        <v>707</v>
      </c>
      <c r="B1554" s="438" t="s">
        <v>43</v>
      </c>
      <c r="C1554" s="438" t="s">
        <v>44</v>
      </c>
      <c r="D1554" s="438" t="s">
        <v>45</v>
      </c>
      <c r="E1554" s="640" t="s">
        <v>1967</v>
      </c>
      <c r="F1554" s="635" t="s">
        <v>491</v>
      </c>
      <c r="G1554" s="635">
        <v>9868630238</v>
      </c>
      <c r="H1554" s="640"/>
      <c r="I1554" s="635">
        <v>38</v>
      </c>
      <c r="J1554" s="635" t="s">
        <v>48</v>
      </c>
      <c r="K1554" s="635" t="s">
        <v>1480</v>
      </c>
      <c r="L1554" s="635"/>
      <c r="M1554" s="592" t="s">
        <v>2649</v>
      </c>
      <c r="N1554" s="754">
        <v>65032</v>
      </c>
      <c r="O1554" s="436"/>
      <c r="P1554" s="465">
        <v>65080</v>
      </c>
      <c r="Q1554" s="436" t="s">
        <v>51</v>
      </c>
    </row>
    <row r="1555" spans="1:17" s="357" customFormat="1">
      <c r="A1555" s="512">
        <f t="shared" si="17"/>
        <v>708</v>
      </c>
      <c r="B1555" s="579" t="s">
        <v>43</v>
      </c>
      <c r="C1555" s="579" t="s">
        <v>44</v>
      </c>
      <c r="D1555" s="579" t="s">
        <v>45</v>
      </c>
      <c r="E1555" s="638" t="s">
        <v>1960</v>
      </c>
      <c r="F1555" s="583" t="s">
        <v>491</v>
      </c>
      <c r="G1555" s="583">
        <v>9847978885</v>
      </c>
      <c r="H1555" s="638"/>
      <c r="I1555" s="583">
        <v>27</v>
      </c>
      <c r="J1555" s="583" t="s">
        <v>90</v>
      </c>
      <c r="K1555" s="583" t="s">
        <v>1480</v>
      </c>
      <c r="L1555" s="583"/>
      <c r="M1555" s="586" t="s">
        <v>1764</v>
      </c>
      <c r="N1555" s="753">
        <v>65032</v>
      </c>
      <c r="O1555" s="578"/>
      <c r="P1555" s="582">
        <v>65047</v>
      </c>
      <c r="Q1555" s="578" t="s">
        <v>51</v>
      </c>
    </row>
    <row r="1556" spans="1:17" s="357" customFormat="1">
      <c r="A1556" s="512">
        <f t="shared" si="17"/>
        <v>709</v>
      </c>
      <c r="B1556" s="579" t="s">
        <v>43</v>
      </c>
      <c r="C1556" s="579" t="s">
        <v>44</v>
      </c>
      <c r="D1556" s="579" t="s">
        <v>45</v>
      </c>
      <c r="E1556" s="637" t="s">
        <v>1937</v>
      </c>
      <c r="F1556" s="606" t="s">
        <v>502</v>
      </c>
      <c r="G1556" s="606">
        <v>9847945322</v>
      </c>
      <c r="H1556" s="578"/>
      <c r="I1556" s="606">
        <v>72</v>
      </c>
      <c r="J1556" s="583" t="s">
        <v>48</v>
      </c>
      <c r="K1556" s="583" t="s">
        <v>1950</v>
      </c>
      <c r="L1556" s="579"/>
      <c r="M1556" s="586" t="s">
        <v>1764</v>
      </c>
      <c r="N1556" s="746">
        <v>65032</v>
      </c>
      <c r="O1556" s="582">
        <v>65032</v>
      </c>
      <c r="P1556" s="582">
        <v>65047</v>
      </c>
      <c r="Q1556" s="578" t="s">
        <v>51</v>
      </c>
    </row>
    <row r="1557" spans="1:17" s="357" customFormat="1">
      <c r="A1557" s="512">
        <f t="shared" si="17"/>
        <v>710</v>
      </c>
      <c r="B1557" s="579" t="s">
        <v>43</v>
      </c>
      <c r="C1557" s="579" t="s">
        <v>44</v>
      </c>
      <c r="D1557" s="579" t="s">
        <v>45</v>
      </c>
      <c r="E1557" s="637" t="s">
        <v>1946</v>
      </c>
      <c r="F1557" s="606" t="s">
        <v>491</v>
      </c>
      <c r="G1557" s="606">
        <v>9847834402</v>
      </c>
      <c r="H1557" s="578"/>
      <c r="I1557" s="606">
        <v>34</v>
      </c>
      <c r="J1557" s="583" t="s">
        <v>90</v>
      </c>
      <c r="K1557" s="583" t="s">
        <v>1950</v>
      </c>
      <c r="L1557" s="579"/>
      <c r="M1557" s="586" t="s">
        <v>1764</v>
      </c>
      <c r="N1557" s="746">
        <v>65032</v>
      </c>
      <c r="O1557" s="582">
        <v>65032</v>
      </c>
      <c r="P1557" s="582">
        <v>65047</v>
      </c>
      <c r="Q1557" s="578" t="s">
        <v>51</v>
      </c>
    </row>
    <row r="1558" spans="1:17" s="357" customFormat="1">
      <c r="A1558" s="512">
        <f t="shared" si="17"/>
        <v>711</v>
      </c>
      <c r="B1558" s="579" t="s">
        <v>43</v>
      </c>
      <c r="C1558" s="579" t="s">
        <v>44</v>
      </c>
      <c r="D1558" s="579" t="s">
        <v>45</v>
      </c>
      <c r="E1558" s="638" t="s">
        <v>1970</v>
      </c>
      <c r="F1558" s="583" t="s">
        <v>791</v>
      </c>
      <c r="G1558" s="583">
        <v>9847865697</v>
      </c>
      <c r="H1558" s="638"/>
      <c r="I1558" s="583">
        <v>42</v>
      </c>
      <c r="J1558" s="583" t="s">
        <v>90</v>
      </c>
      <c r="K1558" s="583" t="s">
        <v>1480</v>
      </c>
      <c r="L1558" s="583"/>
      <c r="M1558" s="586" t="s">
        <v>1764</v>
      </c>
      <c r="N1558" s="753">
        <v>65032</v>
      </c>
      <c r="O1558" s="578"/>
      <c r="P1558" s="582">
        <v>65047</v>
      </c>
      <c r="Q1558" s="578" t="s">
        <v>51</v>
      </c>
    </row>
    <row r="1559" spans="1:17" s="357" customFormat="1">
      <c r="A1559" s="512">
        <f t="shared" si="17"/>
        <v>712</v>
      </c>
      <c r="B1559" s="579" t="s">
        <v>43</v>
      </c>
      <c r="C1559" s="579" t="s">
        <v>44</v>
      </c>
      <c r="D1559" s="579" t="s">
        <v>45</v>
      </c>
      <c r="E1559" s="638" t="s">
        <v>1954</v>
      </c>
      <c r="F1559" s="583" t="s">
        <v>598</v>
      </c>
      <c r="G1559" s="583">
        <v>9843982339</v>
      </c>
      <c r="H1559" s="638"/>
      <c r="I1559" s="583">
        <v>22</v>
      </c>
      <c r="J1559" s="583" t="s">
        <v>90</v>
      </c>
      <c r="K1559" s="583" t="s">
        <v>1480</v>
      </c>
      <c r="L1559" s="583"/>
      <c r="M1559" s="586" t="s">
        <v>1764</v>
      </c>
      <c r="N1559" s="753">
        <v>65032</v>
      </c>
      <c r="O1559" s="578"/>
      <c r="P1559" s="582">
        <v>65047</v>
      </c>
      <c r="Q1559" s="578" t="s">
        <v>51</v>
      </c>
    </row>
    <row r="1560" spans="1:17" s="357" customFormat="1">
      <c r="A1560" s="512">
        <f t="shared" si="17"/>
        <v>713</v>
      </c>
      <c r="B1560" s="579" t="s">
        <v>43</v>
      </c>
      <c r="C1560" s="579" t="s">
        <v>44</v>
      </c>
      <c r="D1560" s="579" t="s">
        <v>45</v>
      </c>
      <c r="E1560" s="637" t="s">
        <v>1938</v>
      </c>
      <c r="F1560" s="606" t="s">
        <v>491</v>
      </c>
      <c r="G1560" s="606">
        <v>9847834402</v>
      </c>
      <c r="H1560" s="578"/>
      <c r="I1560" s="606">
        <v>9</v>
      </c>
      <c r="J1560" s="583" t="s">
        <v>48</v>
      </c>
      <c r="K1560" s="583" t="s">
        <v>1950</v>
      </c>
      <c r="L1560" s="579"/>
      <c r="M1560" s="586" t="s">
        <v>1764</v>
      </c>
      <c r="N1560" s="746">
        <v>65032</v>
      </c>
      <c r="O1560" s="582">
        <v>65032</v>
      </c>
      <c r="P1560" s="582">
        <v>65047</v>
      </c>
      <c r="Q1560" s="578" t="s">
        <v>51</v>
      </c>
    </row>
    <row r="1561" spans="1:17" s="357" customFormat="1">
      <c r="A1561" s="512">
        <f t="shared" si="17"/>
        <v>714</v>
      </c>
      <c r="B1561" s="579" t="s">
        <v>43</v>
      </c>
      <c r="C1561" s="579" t="s">
        <v>44</v>
      </c>
      <c r="D1561" s="579" t="s">
        <v>45</v>
      </c>
      <c r="E1561" s="638" t="s">
        <v>1983</v>
      </c>
      <c r="F1561" s="583" t="s">
        <v>791</v>
      </c>
      <c r="G1561" s="583">
        <v>9847903577</v>
      </c>
      <c r="H1561" s="638"/>
      <c r="I1561" s="583">
        <v>60</v>
      </c>
      <c r="J1561" s="583" t="s">
        <v>90</v>
      </c>
      <c r="K1561" s="583" t="s">
        <v>1480</v>
      </c>
      <c r="L1561" s="583"/>
      <c r="M1561" s="586" t="s">
        <v>1764</v>
      </c>
      <c r="N1561" s="753">
        <v>65032</v>
      </c>
      <c r="O1561" s="578"/>
      <c r="P1561" s="582">
        <v>65047</v>
      </c>
      <c r="Q1561" s="578" t="s">
        <v>51</v>
      </c>
    </row>
    <row r="1562" spans="1:17" s="357" customFormat="1">
      <c r="A1562" s="512">
        <f t="shared" si="17"/>
        <v>715</v>
      </c>
      <c r="B1562" s="579" t="s">
        <v>43</v>
      </c>
      <c r="C1562" s="579" t="s">
        <v>44</v>
      </c>
      <c r="D1562" s="579" t="s">
        <v>45</v>
      </c>
      <c r="E1562" s="638" t="s">
        <v>1958</v>
      </c>
      <c r="F1562" s="583" t="s">
        <v>491</v>
      </c>
      <c r="G1562" s="583">
        <v>9843891362</v>
      </c>
      <c r="H1562" s="638"/>
      <c r="I1562" s="583">
        <v>26</v>
      </c>
      <c r="J1562" s="583" t="s">
        <v>90</v>
      </c>
      <c r="K1562" s="583" t="s">
        <v>1480</v>
      </c>
      <c r="L1562" s="583"/>
      <c r="M1562" s="586" t="s">
        <v>1764</v>
      </c>
      <c r="N1562" s="753">
        <v>65032</v>
      </c>
      <c r="O1562" s="578"/>
      <c r="P1562" s="582">
        <v>65047</v>
      </c>
      <c r="Q1562" s="578" t="s">
        <v>51</v>
      </c>
    </row>
    <row r="1563" spans="1:17" s="357" customFormat="1">
      <c r="A1563" s="512">
        <f t="shared" si="17"/>
        <v>716</v>
      </c>
      <c r="B1563" s="579" t="s">
        <v>43</v>
      </c>
      <c r="C1563" s="579" t="s">
        <v>44</v>
      </c>
      <c r="D1563" s="579" t="s">
        <v>45</v>
      </c>
      <c r="E1563" s="637" t="s">
        <v>1939</v>
      </c>
      <c r="F1563" s="606" t="s">
        <v>441</v>
      </c>
      <c r="G1563" s="606">
        <v>9847833930</v>
      </c>
      <c r="H1563" s="578"/>
      <c r="I1563" s="606">
        <v>31</v>
      </c>
      <c r="J1563" s="583" t="s">
        <v>48</v>
      </c>
      <c r="K1563" s="583" t="s">
        <v>1950</v>
      </c>
      <c r="L1563" s="579"/>
      <c r="M1563" s="586" t="s">
        <v>1764</v>
      </c>
      <c r="N1563" s="746">
        <v>65032</v>
      </c>
      <c r="O1563" s="582">
        <v>65032</v>
      </c>
      <c r="P1563" s="582">
        <v>65047</v>
      </c>
      <c r="Q1563" s="578" t="s">
        <v>51</v>
      </c>
    </row>
    <row r="1564" spans="1:17" s="357" customFormat="1">
      <c r="A1564" s="512">
        <f t="shared" si="17"/>
        <v>717</v>
      </c>
      <c r="B1564" s="579" t="s">
        <v>43</v>
      </c>
      <c r="C1564" s="579" t="s">
        <v>44</v>
      </c>
      <c r="D1564" s="579" t="s">
        <v>45</v>
      </c>
      <c r="E1564" s="638" t="s">
        <v>1973</v>
      </c>
      <c r="F1564" s="583" t="s">
        <v>512</v>
      </c>
      <c r="G1564" s="583">
        <v>9813671418</v>
      </c>
      <c r="H1564" s="638"/>
      <c r="I1564" s="583">
        <v>44</v>
      </c>
      <c r="J1564" s="583" t="s">
        <v>90</v>
      </c>
      <c r="K1564" s="583" t="s">
        <v>1480</v>
      </c>
      <c r="L1564" s="583"/>
      <c r="M1564" s="586" t="s">
        <v>1764</v>
      </c>
      <c r="N1564" s="753">
        <v>65032</v>
      </c>
      <c r="O1564" s="578"/>
      <c r="P1564" s="582">
        <v>65047</v>
      </c>
      <c r="Q1564" s="578" t="s">
        <v>51</v>
      </c>
    </row>
    <row r="1565" spans="1:17" s="357" customFormat="1">
      <c r="A1565" s="512">
        <f t="shared" si="17"/>
        <v>718</v>
      </c>
      <c r="B1565" s="579" t="s">
        <v>43</v>
      </c>
      <c r="C1565" s="579" t="s">
        <v>44</v>
      </c>
      <c r="D1565" s="579" t="s">
        <v>45</v>
      </c>
      <c r="E1565" s="638" t="s">
        <v>1971</v>
      </c>
      <c r="F1565" s="583" t="s">
        <v>791</v>
      </c>
      <c r="G1565" s="583">
        <v>9844941111</v>
      </c>
      <c r="H1565" s="638"/>
      <c r="I1565" s="583">
        <v>42</v>
      </c>
      <c r="J1565" s="583" t="s">
        <v>48</v>
      </c>
      <c r="K1565" s="583" t="s">
        <v>1480</v>
      </c>
      <c r="L1565" s="583"/>
      <c r="M1565" s="586" t="s">
        <v>1764</v>
      </c>
      <c r="N1565" s="753">
        <v>65032</v>
      </c>
      <c r="O1565" s="578"/>
      <c r="P1565" s="582">
        <v>65047</v>
      </c>
      <c r="Q1565" s="578" t="s">
        <v>51</v>
      </c>
    </row>
    <row r="1566" spans="1:17" s="357" customFormat="1">
      <c r="A1566" s="512">
        <f t="shared" si="17"/>
        <v>719</v>
      </c>
      <c r="B1566" s="579" t="s">
        <v>43</v>
      </c>
      <c r="C1566" s="579" t="s">
        <v>44</v>
      </c>
      <c r="D1566" s="579" t="s">
        <v>45</v>
      </c>
      <c r="E1566" s="637" t="s">
        <v>1947</v>
      </c>
      <c r="F1566" s="606" t="s">
        <v>441</v>
      </c>
      <c r="G1566" s="606">
        <v>9810837231</v>
      </c>
      <c r="H1566" s="578"/>
      <c r="I1566" s="606">
        <v>39</v>
      </c>
      <c r="J1566" s="583" t="s">
        <v>90</v>
      </c>
      <c r="K1566" s="583" t="s">
        <v>1950</v>
      </c>
      <c r="L1566" s="579"/>
      <c r="M1566" s="586" t="s">
        <v>1764</v>
      </c>
      <c r="N1566" s="746">
        <v>65032</v>
      </c>
      <c r="O1566" s="582">
        <v>65032</v>
      </c>
      <c r="P1566" s="582">
        <v>65047</v>
      </c>
      <c r="Q1566" s="578" t="s">
        <v>51</v>
      </c>
    </row>
    <row r="1567" spans="1:17" s="357" customFormat="1">
      <c r="A1567" s="512">
        <f t="shared" si="17"/>
        <v>720</v>
      </c>
      <c r="B1567" s="579" t="s">
        <v>43</v>
      </c>
      <c r="C1567" s="579" t="s">
        <v>44</v>
      </c>
      <c r="D1567" s="579" t="s">
        <v>45</v>
      </c>
      <c r="E1567" s="638" t="s">
        <v>1978</v>
      </c>
      <c r="F1567" s="583" t="s">
        <v>491</v>
      </c>
      <c r="G1567" s="583">
        <v>9847824777</v>
      </c>
      <c r="H1567" s="638"/>
      <c r="I1567" s="583">
        <v>50</v>
      </c>
      <c r="J1567" s="583" t="s">
        <v>90</v>
      </c>
      <c r="K1567" s="583" t="s">
        <v>1480</v>
      </c>
      <c r="L1567" s="583"/>
      <c r="M1567" s="586" t="s">
        <v>1764</v>
      </c>
      <c r="N1567" s="753">
        <v>65032</v>
      </c>
      <c r="O1567" s="578"/>
      <c r="P1567" s="582">
        <v>65047</v>
      </c>
      <c r="Q1567" s="578" t="s">
        <v>51</v>
      </c>
    </row>
    <row r="1568" spans="1:17" s="357" customFormat="1">
      <c r="A1568" s="512">
        <f t="shared" si="17"/>
        <v>721</v>
      </c>
      <c r="B1568" s="579" t="s">
        <v>43</v>
      </c>
      <c r="C1568" s="579" t="s">
        <v>44</v>
      </c>
      <c r="D1568" s="579" t="s">
        <v>45</v>
      </c>
      <c r="E1568" s="637" t="s">
        <v>1948</v>
      </c>
      <c r="F1568" s="606" t="s">
        <v>529</v>
      </c>
      <c r="G1568" s="606">
        <v>9847992006</v>
      </c>
      <c r="H1568" s="578"/>
      <c r="I1568" s="606">
        <v>39</v>
      </c>
      <c r="J1568" s="583" t="s">
        <v>90</v>
      </c>
      <c r="K1568" s="583" t="s">
        <v>1950</v>
      </c>
      <c r="L1568" s="579"/>
      <c r="M1568" s="586" t="s">
        <v>1764</v>
      </c>
      <c r="N1568" s="746">
        <v>65032</v>
      </c>
      <c r="O1568" s="582">
        <v>65032</v>
      </c>
      <c r="P1568" s="582">
        <v>65047</v>
      </c>
      <c r="Q1568" s="578" t="s">
        <v>51</v>
      </c>
    </row>
    <row r="1569" spans="1:17" s="357" customFormat="1">
      <c r="A1569" s="512">
        <f t="shared" si="17"/>
        <v>722</v>
      </c>
      <c r="B1569" s="579" t="s">
        <v>43</v>
      </c>
      <c r="C1569" s="579" t="s">
        <v>44</v>
      </c>
      <c r="D1569" s="579" t="s">
        <v>45</v>
      </c>
      <c r="E1569" s="637" t="s">
        <v>1949</v>
      </c>
      <c r="F1569" s="606" t="s">
        <v>441</v>
      </c>
      <c r="G1569" s="606">
        <v>9841755336</v>
      </c>
      <c r="H1569" s="578"/>
      <c r="I1569" s="606">
        <v>40</v>
      </c>
      <c r="J1569" s="583" t="s">
        <v>90</v>
      </c>
      <c r="K1569" s="583" t="s">
        <v>1950</v>
      </c>
      <c r="L1569" s="579"/>
      <c r="M1569" s="586" t="s">
        <v>1764</v>
      </c>
      <c r="N1569" s="746">
        <v>65032</v>
      </c>
      <c r="O1569" s="582">
        <v>65032</v>
      </c>
      <c r="P1569" s="582">
        <v>65047</v>
      </c>
      <c r="Q1569" s="578" t="s">
        <v>51</v>
      </c>
    </row>
    <row r="1570" spans="1:17" s="357" customFormat="1">
      <c r="A1570" s="512">
        <f t="shared" si="17"/>
        <v>723</v>
      </c>
      <c r="B1570" s="579" t="s">
        <v>43</v>
      </c>
      <c r="C1570" s="579" t="s">
        <v>44</v>
      </c>
      <c r="D1570" s="579" t="s">
        <v>45</v>
      </c>
      <c r="E1570" s="578"/>
      <c r="F1570" s="641" t="s">
        <v>636</v>
      </c>
      <c r="G1570" s="579"/>
      <c r="H1570" s="578"/>
      <c r="I1570" s="579"/>
      <c r="J1570" s="583" t="s">
        <v>48</v>
      </c>
      <c r="K1570" s="641" t="s">
        <v>1763</v>
      </c>
      <c r="L1570" s="579"/>
      <c r="M1570" s="586" t="s">
        <v>1764</v>
      </c>
      <c r="N1570" s="753">
        <v>65032</v>
      </c>
      <c r="O1570" s="605">
        <v>65032</v>
      </c>
      <c r="P1570" s="582">
        <v>65047</v>
      </c>
      <c r="Q1570" s="578" t="s">
        <v>51</v>
      </c>
    </row>
    <row r="1571" spans="1:17" s="357" customFormat="1">
      <c r="A1571" s="512">
        <f t="shared" si="17"/>
        <v>724</v>
      </c>
      <c r="B1571" s="579" t="s">
        <v>43</v>
      </c>
      <c r="C1571" s="579" t="s">
        <v>44</v>
      </c>
      <c r="D1571" s="579" t="s">
        <v>45</v>
      </c>
      <c r="E1571" s="578"/>
      <c r="F1571" s="641" t="s">
        <v>636</v>
      </c>
      <c r="G1571" s="579"/>
      <c r="H1571" s="578"/>
      <c r="I1571" s="579"/>
      <c r="J1571" s="583" t="s">
        <v>90</v>
      </c>
      <c r="K1571" s="641" t="s">
        <v>1763</v>
      </c>
      <c r="L1571" s="579"/>
      <c r="M1571" s="586" t="s">
        <v>1764</v>
      </c>
      <c r="N1571" s="753">
        <v>65032</v>
      </c>
      <c r="O1571" s="605">
        <v>65032</v>
      </c>
      <c r="P1571" s="582">
        <v>65047</v>
      </c>
      <c r="Q1571" s="578" t="s">
        <v>51</v>
      </c>
    </row>
    <row r="1572" spans="1:17" s="357" customFormat="1">
      <c r="A1572" s="512">
        <f t="shared" si="17"/>
        <v>725</v>
      </c>
      <c r="B1572" s="579" t="s">
        <v>43</v>
      </c>
      <c r="C1572" s="579" t="s">
        <v>44</v>
      </c>
      <c r="D1572" s="579" t="s">
        <v>45</v>
      </c>
      <c r="E1572" s="578"/>
      <c r="F1572" s="641" t="s">
        <v>598</v>
      </c>
      <c r="G1572" s="579"/>
      <c r="H1572" s="578"/>
      <c r="I1572" s="579"/>
      <c r="J1572" s="583" t="s">
        <v>90</v>
      </c>
      <c r="K1572" s="641" t="s">
        <v>1763</v>
      </c>
      <c r="L1572" s="579"/>
      <c r="M1572" s="586" t="s">
        <v>1764</v>
      </c>
      <c r="N1572" s="753">
        <v>65032</v>
      </c>
      <c r="O1572" s="605">
        <v>65032</v>
      </c>
      <c r="P1572" s="582">
        <v>65047</v>
      </c>
      <c r="Q1572" s="578" t="s">
        <v>51</v>
      </c>
    </row>
    <row r="1573" spans="1:17" s="357" customFormat="1">
      <c r="A1573" s="512">
        <f t="shared" si="17"/>
        <v>726</v>
      </c>
      <c r="B1573" s="579" t="s">
        <v>43</v>
      </c>
      <c r="C1573" s="579" t="s">
        <v>44</v>
      </c>
      <c r="D1573" s="579" t="s">
        <v>45</v>
      </c>
      <c r="E1573" s="578"/>
      <c r="F1573" s="641" t="s">
        <v>502</v>
      </c>
      <c r="G1573" s="579"/>
      <c r="H1573" s="578"/>
      <c r="I1573" s="579"/>
      <c r="J1573" s="583" t="s">
        <v>90</v>
      </c>
      <c r="K1573" s="641" t="s">
        <v>1763</v>
      </c>
      <c r="L1573" s="579"/>
      <c r="M1573" s="586" t="s">
        <v>1764</v>
      </c>
      <c r="N1573" s="753">
        <v>65032</v>
      </c>
      <c r="O1573" s="605">
        <v>65032</v>
      </c>
      <c r="P1573" s="582">
        <v>65047</v>
      </c>
      <c r="Q1573" s="578" t="s">
        <v>51</v>
      </c>
    </row>
    <row r="1574" spans="1:17" s="357" customFormat="1">
      <c r="A1574" s="512">
        <f t="shared" si="17"/>
        <v>727</v>
      </c>
      <c r="B1574" s="579" t="s">
        <v>43</v>
      </c>
      <c r="C1574" s="579" t="s">
        <v>44</v>
      </c>
      <c r="D1574" s="579" t="s">
        <v>45</v>
      </c>
      <c r="E1574" s="578"/>
      <c r="F1574" s="641" t="s">
        <v>502</v>
      </c>
      <c r="G1574" s="579"/>
      <c r="H1574" s="578"/>
      <c r="I1574" s="579"/>
      <c r="J1574" s="583" t="s">
        <v>90</v>
      </c>
      <c r="K1574" s="641" t="s">
        <v>1763</v>
      </c>
      <c r="L1574" s="579"/>
      <c r="M1574" s="586" t="s">
        <v>1764</v>
      </c>
      <c r="N1574" s="753">
        <v>65032</v>
      </c>
      <c r="O1574" s="605">
        <v>65032</v>
      </c>
      <c r="P1574" s="582">
        <v>65047</v>
      </c>
      <c r="Q1574" s="578" t="s">
        <v>51</v>
      </c>
    </row>
    <row r="1575" spans="1:17" s="357" customFormat="1">
      <c r="A1575" s="512">
        <f t="shared" si="17"/>
        <v>728</v>
      </c>
      <c r="B1575" s="579" t="s">
        <v>43</v>
      </c>
      <c r="C1575" s="579" t="s">
        <v>44</v>
      </c>
      <c r="D1575" s="579" t="s">
        <v>45</v>
      </c>
      <c r="E1575" s="578"/>
      <c r="F1575" s="641" t="s">
        <v>502</v>
      </c>
      <c r="G1575" s="579"/>
      <c r="H1575" s="578"/>
      <c r="I1575" s="579"/>
      <c r="J1575" s="583" t="s">
        <v>90</v>
      </c>
      <c r="K1575" s="641" t="s">
        <v>1763</v>
      </c>
      <c r="L1575" s="579"/>
      <c r="M1575" s="586" t="s">
        <v>1764</v>
      </c>
      <c r="N1575" s="753">
        <v>65032</v>
      </c>
      <c r="O1575" s="605">
        <v>65032</v>
      </c>
      <c r="P1575" s="582">
        <v>65047</v>
      </c>
      <c r="Q1575" s="578" t="s">
        <v>51</v>
      </c>
    </row>
    <row r="1576" spans="1:17" s="357" customFormat="1">
      <c r="A1576" s="512">
        <f t="shared" si="17"/>
        <v>729</v>
      </c>
      <c r="B1576" s="579" t="s">
        <v>43</v>
      </c>
      <c r="C1576" s="579" t="s">
        <v>44</v>
      </c>
      <c r="D1576" s="579" t="s">
        <v>45</v>
      </c>
      <c r="E1576" s="578"/>
      <c r="F1576" s="641" t="s">
        <v>502</v>
      </c>
      <c r="G1576" s="579"/>
      <c r="H1576" s="578"/>
      <c r="I1576" s="579"/>
      <c r="J1576" s="583" t="s">
        <v>90</v>
      </c>
      <c r="K1576" s="641" t="s">
        <v>1763</v>
      </c>
      <c r="L1576" s="579"/>
      <c r="M1576" s="586" t="s">
        <v>1764</v>
      </c>
      <c r="N1576" s="753">
        <v>65032</v>
      </c>
      <c r="O1576" s="605">
        <v>65032</v>
      </c>
      <c r="P1576" s="582">
        <v>65047</v>
      </c>
      <c r="Q1576" s="578" t="s">
        <v>51</v>
      </c>
    </row>
    <row r="1577" spans="1:17" s="357" customFormat="1">
      <c r="A1577" s="512">
        <f t="shared" si="17"/>
        <v>730</v>
      </c>
      <c r="B1577" s="579" t="s">
        <v>43</v>
      </c>
      <c r="C1577" s="579" t="s">
        <v>44</v>
      </c>
      <c r="D1577" s="579" t="s">
        <v>45</v>
      </c>
      <c r="E1577" s="578"/>
      <c r="F1577" s="641" t="s">
        <v>502</v>
      </c>
      <c r="G1577" s="579"/>
      <c r="H1577" s="578"/>
      <c r="I1577" s="579"/>
      <c r="J1577" s="583" t="s">
        <v>90</v>
      </c>
      <c r="K1577" s="641" t="s">
        <v>1763</v>
      </c>
      <c r="L1577" s="579"/>
      <c r="M1577" s="586" t="s">
        <v>1764</v>
      </c>
      <c r="N1577" s="753">
        <v>65032</v>
      </c>
      <c r="O1577" s="605">
        <v>65032</v>
      </c>
      <c r="P1577" s="582">
        <v>65047</v>
      </c>
      <c r="Q1577" s="578" t="s">
        <v>51</v>
      </c>
    </row>
    <row r="1578" spans="1:17" s="357" customFormat="1">
      <c r="A1578" s="512">
        <f t="shared" si="17"/>
        <v>731</v>
      </c>
      <c r="B1578" s="579" t="s">
        <v>43</v>
      </c>
      <c r="C1578" s="579" t="s">
        <v>44</v>
      </c>
      <c r="D1578" s="579" t="s">
        <v>45</v>
      </c>
      <c r="E1578" s="578"/>
      <c r="F1578" s="641" t="s">
        <v>502</v>
      </c>
      <c r="G1578" s="579"/>
      <c r="H1578" s="578"/>
      <c r="I1578" s="579"/>
      <c r="J1578" s="583" t="s">
        <v>90</v>
      </c>
      <c r="K1578" s="641" t="s">
        <v>1763</v>
      </c>
      <c r="L1578" s="579"/>
      <c r="M1578" s="586" t="s">
        <v>1764</v>
      </c>
      <c r="N1578" s="753">
        <v>65032</v>
      </c>
      <c r="O1578" s="605">
        <v>65032</v>
      </c>
      <c r="P1578" s="582">
        <v>65047</v>
      </c>
      <c r="Q1578" s="578" t="s">
        <v>51</v>
      </c>
    </row>
    <row r="1579" spans="1:17" s="357" customFormat="1">
      <c r="A1579" s="512">
        <f t="shared" si="17"/>
        <v>732</v>
      </c>
      <c r="B1579" s="579" t="s">
        <v>43</v>
      </c>
      <c r="C1579" s="579" t="s">
        <v>44</v>
      </c>
      <c r="D1579" s="579" t="s">
        <v>45</v>
      </c>
      <c r="E1579" s="578"/>
      <c r="F1579" s="641" t="s">
        <v>502</v>
      </c>
      <c r="G1579" s="579"/>
      <c r="H1579" s="578"/>
      <c r="I1579" s="579"/>
      <c r="J1579" s="583" t="s">
        <v>48</v>
      </c>
      <c r="K1579" s="641" t="s">
        <v>1763</v>
      </c>
      <c r="L1579" s="579"/>
      <c r="M1579" s="586" t="s">
        <v>1764</v>
      </c>
      <c r="N1579" s="753">
        <v>65032</v>
      </c>
      <c r="O1579" s="605">
        <v>65032</v>
      </c>
      <c r="P1579" s="582">
        <v>65047</v>
      </c>
      <c r="Q1579" s="578" t="s">
        <v>51</v>
      </c>
    </row>
    <row r="1580" spans="1:17" s="357" customFormat="1">
      <c r="A1580" s="512">
        <f t="shared" si="17"/>
        <v>733</v>
      </c>
      <c r="B1580" s="579" t="s">
        <v>43</v>
      </c>
      <c r="C1580" s="579" t="s">
        <v>44</v>
      </c>
      <c r="D1580" s="579" t="s">
        <v>45</v>
      </c>
      <c r="E1580" s="578"/>
      <c r="F1580" s="641" t="s">
        <v>502</v>
      </c>
      <c r="G1580" s="579"/>
      <c r="H1580" s="578"/>
      <c r="I1580" s="579"/>
      <c r="J1580" s="583" t="s">
        <v>48</v>
      </c>
      <c r="K1580" s="641" t="s">
        <v>1763</v>
      </c>
      <c r="L1580" s="579"/>
      <c r="M1580" s="586" t="s">
        <v>1764</v>
      </c>
      <c r="N1580" s="753">
        <v>65032</v>
      </c>
      <c r="O1580" s="605">
        <v>65032</v>
      </c>
      <c r="P1580" s="582">
        <v>65047</v>
      </c>
      <c r="Q1580" s="578" t="s">
        <v>51</v>
      </c>
    </row>
    <row r="1581" spans="1:17" s="357" customFormat="1">
      <c r="A1581" s="512">
        <f t="shared" si="17"/>
        <v>734</v>
      </c>
      <c r="B1581" s="579" t="s">
        <v>43</v>
      </c>
      <c r="C1581" s="579" t="s">
        <v>44</v>
      </c>
      <c r="D1581" s="579" t="s">
        <v>45</v>
      </c>
      <c r="E1581" s="578"/>
      <c r="F1581" s="641" t="s">
        <v>502</v>
      </c>
      <c r="G1581" s="579"/>
      <c r="H1581" s="578"/>
      <c r="I1581" s="579"/>
      <c r="J1581" s="583" t="s">
        <v>48</v>
      </c>
      <c r="K1581" s="641" t="s">
        <v>1763</v>
      </c>
      <c r="L1581" s="579"/>
      <c r="M1581" s="586" t="s">
        <v>1764</v>
      </c>
      <c r="N1581" s="753">
        <v>65032</v>
      </c>
      <c r="O1581" s="605">
        <v>65032</v>
      </c>
      <c r="P1581" s="582">
        <v>65047</v>
      </c>
      <c r="Q1581" s="578" t="s">
        <v>51</v>
      </c>
    </row>
    <row r="1582" spans="1:17" s="357" customFormat="1">
      <c r="A1582" s="512">
        <f t="shared" si="17"/>
        <v>735</v>
      </c>
      <c r="B1582" s="579" t="s">
        <v>43</v>
      </c>
      <c r="C1582" s="579" t="s">
        <v>44</v>
      </c>
      <c r="D1582" s="579" t="s">
        <v>45</v>
      </c>
      <c r="E1582" s="578"/>
      <c r="F1582" s="641" t="s">
        <v>502</v>
      </c>
      <c r="G1582" s="579"/>
      <c r="H1582" s="578"/>
      <c r="I1582" s="579"/>
      <c r="J1582" s="583" t="s">
        <v>48</v>
      </c>
      <c r="K1582" s="641" t="s">
        <v>1763</v>
      </c>
      <c r="L1582" s="579"/>
      <c r="M1582" s="586" t="s">
        <v>1764</v>
      </c>
      <c r="N1582" s="753">
        <v>65032</v>
      </c>
      <c r="O1582" s="605">
        <v>65032</v>
      </c>
      <c r="P1582" s="582">
        <v>65047</v>
      </c>
      <c r="Q1582" s="578" t="s">
        <v>51</v>
      </c>
    </row>
    <row r="1583" spans="1:17" s="357" customFormat="1">
      <c r="A1583" s="512">
        <f t="shared" si="17"/>
        <v>736</v>
      </c>
      <c r="B1583" s="579" t="s">
        <v>43</v>
      </c>
      <c r="C1583" s="579" t="s">
        <v>44</v>
      </c>
      <c r="D1583" s="579" t="s">
        <v>45</v>
      </c>
      <c r="E1583" s="578"/>
      <c r="F1583" s="641" t="s">
        <v>491</v>
      </c>
      <c r="G1583" s="579"/>
      <c r="H1583" s="578"/>
      <c r="I1583" s="579"/>
      <c r="J1583" s="583" t="s">
        <v>90</v>
      </c>
      <c r="K1583" s="641" t="s">
        <v>1763</v>
      </c>
      <c r="L1583" s="579"/>
      <c r="M1583" s="586" t="s">
        <v>1764</v>
      </c>
      <c r="N1583" s="753">
        <v>65032</v>
      </c>
      <c r="O1583" s="605">
        <v>65032</v>
      </c>
      <c r="P1583" s="582">
        <v>65047</v>
      </c>
      <c r="Q1583" s="578" t="s">
        <v>51</v>
      </c>
    </row>
    <row r="1584" spans="1:17" s="357" customFormat="1">
      <c r="A1584" s="512">
        <f t="shared" si="17"/>
        <v>737</v>
      </c>
      <c r="B1584" s="579" t="s">
        <v>43</v>
      </c>
      <c r="C1584" s="579" t="s">
        <v>44</v>
      </c>
      <c r="D1584" s="579" t="s">
        <v>45</v>
      </c>
      <c r="E1584" s="578"/>
      <c r="F1584" s="641" t="s">
        <v>491</v>
      </c>
      <c r="G1584" s="579"/>
      <c r="H1584" s="578"/>
      <c r="I1584" s="579"/>
      <c r="J1584" s="583" t="s">
        <v>90</v>
      </c>
      <c r="K1584" s="641" t="s">
        <v>1763</v>
      </c>
      <c r="L1584" s="579"/>
      <c r="M1584" s="586" t="s">
        <v>1764</v>
      </c>
      <c r="N1584" s="753">
        <v>65032</v>
      </c>
      <c r="O1584" s="605">
        <v>65032</v>
      </c>
      <c r="P1584" s="582">
        <v>65047</v>
      </c>
      <c r="Q1584" s="578" t="s">
        <v>51</v>
      </c>
    </row>
    <row r="1585" spans="1:17" s="357" customFormat="1">
      <c r="A1585" s="512">
        <f t="shared" si="17"/>
        <v>738</v>
      </c>
      <c r="B1585" s="579" t="s">
        <v>43</v>
      </c>
      <c r="C1585" s="579" t="s">
        <v>44</v>
      </c>
      <c r="D1585" s="579" t="s">
        <v>45</v>
      </c>
      <c r="E1585" s="578"/>
      <c r="F1585" s="641" t="s">
        <v>491</v>
      </c>
      <c r="G1585" s="579"/>
      <c r="H1585" s="578"/>
      <c r="I1585" s="579"/>
      <c r="J1585" s="583" t="s">
        <v>90</v>
      </c>
      <c r="K1585" s="641" t="s">
        <v>1763</v>
      </c>
      <c r="L1585" s="579"/>
      <c r="M1585" s="586" t="s">
        <v>1764</v>
      </c>
      <c r="N1585" s="753">
        <v>65032</v>
      </c>
      <c r="O1585" s="605">
        <v>65032</v>
      </c>
      <c r="P1585" s="582">
        <v>65047</v>
      </c>
      <c r="Q1585" s="578" t="s">
        <v>51</v>
      </c>
    </row>
    <row r="1586" spans="1:17" s="357" customFormat="1">
      <c r="A1586" s="512">
        <f t="shared" si="17"/>
        <v>739</v>
      </c>
      <c r="B1586" s="579" t="s">
        <v>43</v>
      </c>
      <c r="C1586" s="579" t="s">
        <v>44</v>
      </c>
      <c r="D1586" s="579" t="s">
        <v>45</v>
      </c>
      <c r="E1586" s="578"/>
      <c r="F1586" s="641" t="s">
        <v>491</v>
      </c>
      <c r="G1586" s="579"/>
      <c r="H1586" s="578"/>
      <c r="I1586" s="579"/>
      <c r="J1586" s="583" t="s">
        <v>90</v>
      </c>
      <c r="K1586" s="641" t="s">
        <v>1763</v>
      </c>
      <c r="L1586" s="579"/>
      <c r="M1586" s="586" t="s">
        <v>1764</v>
      </c>
      <c r="N1586" s="753">
        <v>65032</v>
      </c>
      <c r="O1586" s="605">
        <v>65032</v>
      </c>
      <c r="P1586" s="582">
        <v>65047</v>
      </c>
      <c r="Q1586" s="578" t="s">
        <v>51</v>
      </c>
    </row>
    <row r="1587" spans="1:17" s="357" customFormat="1">
      <c r="A1587" s="512">
        <f t="shared" si="17"/>
        <v>740</v>
      </c>
      <c r="B1587" s="579" t="s">
        <v>43</v>
      </c>
      <c r="C1587" s="579" t="s">
        <v>44</v>
      </c>
      <c r="D1587" s="579" t="s">
        <v>45</v>
      </c>
      <c r="E1587" s="578"/>
      <c r="F1587" s="641" t="s">
        <v>491</v>
      </c>
      <c r="G1587" s="579"/>
      <c r="H1587" s="578"/>
      <c r="I1587" s="579"/>
      <c r="J1587" s="583" t="s">
        <v>90</v>
      </c>
      <c r="K1587" s="641" t="s">
        <v>1763</v>
      </c>
      <c r="L1587" s="579"/>
      <c r="M1587" s="586" t="s">
        <v>1764</v>
      </c>
      <c r="N1587" s="753">
        <v>65032</v>
      </c>
      <c r="O1587" s="605">
        <v>65032</v>
      </c>
      <c r="P1587" s="582">
        <v>65047</v>
      </c>
      <c r="Q1587" s="578" t="s">
        <v>51</v>
      </c>
    </row>
    <row r="1588" spans="1:17" s="357" customFormat="1">
      <c r="A1588" s="512">
        <f t="shared" si="17"/>
        <v>741</v>
      </c>
      <c r="B1588" s="579" t="s">
        <v>43</v>
      </c>
      <c r="C1588" s="579" t="s">
        <v>44</v>
      </c>
      <c r="D1588" s="579" t="s">
        <v>45</v>
      </c>
      <c r="E1588" s="578"/>
      <c r="F1588" s="641" t="s">
        <v>491</v>
      </c>
      <c r="G1588" s="579"/>
      <c r="H1588" s="578"/>
      <c r="I1588" s="579"/>
      <c r="J1588" s="583" t="s">
        <v>90</v>
      </c>
      <c r="K1588" s="641" t="s">
        <v>1763</v>
      </c>
      <c r="L1588" s="579"/>
      <c r="M1588" s="586" t="s">
        <v>1764</v>
      </c>
      <c r="N1588" s="753">
        <v>65032</v>
      </c>
      <c r="O1588" s="605">
        <v>65032</v>
      </c>
      <c r="P1588" s="582">
        <v>65047</v>
      </c>
      <c r="Q1588" s="578" t="s">
        <v>51</v>
      </c>
    </row>
    <row r="1589" spans="1:17" s="357" customFormat="1">
      <c r="A1589" s="512">
        <f t="shared" si="17"/>
        <v>742</v>
      </c>
      <c r="B1589" s="579" t="s">
        <v>43</v>
      </c>
      <c r="C1589" s="579" t="s">
        <v>44</v>
      </c>
      <c r="D1589" s="579" t="s">
        <v>45</v>
      </c>
      <c r="E1589" s="578"/>
      <c r="F1589" s="641" t="s">
        <v>491</v>
      </c>
      <c r="G1589" s="579"/>
      <c r="H1589" s="578"/>
      <c r="I1589" s="579"/>
      <c r="J1589" s="583" t="s">
        <v>48</v>
      </c>
      <c r="K1589" s="641" t="s">
        <v>1763</v>
      </c>
      <c r="L1589" s="579"/>
      <c r="M1589" s="586" t="s">
        <v>1764</v>
      </c>
      <c r="N1589" s="753">
        <v>65032</v>
      </c>
      <c r="O1589" s="605">
        <v>65032</v>
      </c>
      <c r="P1589" s="582">
        <v>65047</v>
      </c>
      <c r="Q1589" s="578" t="s">
        <v>51</v>
      </c>
    </row>
    <row r="1590" spans="1:17" s="357" customFormat="1">
      <c r="A1590" s="512">
        <f t="shared" si="17"/>
        <v>743</v>
      </c>
      <c r="B1590" s="579" t="s">
        <v>43</v>
      </c>
      <c r="C1590" s="579" t="s">
        <v>44</v>
      </c>
      <c r="D1590" s="579" t="s">
        <v>45</v>
      </c>
      <c r="E1590" s="578"/>
      <c r="F1590" s="641" t="s">
        <v>491</v>
      </c>
      <c r="G1590" s="579"/>
      <c r="H1590" s="578"/>
      <c r="I1590" s="579"/>
      <c r="J1590" s="583" t="s">
        <v>48</v>
      </c>
      <c r="K1590" s="641" t="s">
        <v>1763</v>
      </c>
      <c r="L1590" s="579"/>
      <c r="M1590" s="586" t="s">
        <v>1764</v>
      </c>
      <c r="N1590" s="753">
        <v>65032</v>
      </c>
      <c r="O1590" s="605">
        <v>65032</v>
      </c>
      <c r="P1590" s="582">
        <v>65047</v>
      </c>
      <c r="Q1590" s="578" t="s">
        <v>51</v>
      </c>
    </row>
    <row r="1591" spans="1:17" s="357" customFormat="1">
      <c r="A1591" s="512">
        <f t="shared" si="17"/>
        <v>744</v>
      </c>
      <c r="B1591" s="579" t="s">
        <v>43</v>
      </c>
      <c r="C1591" s="579" t="s">
        <v>44</v>
      </c>
      <c r="D1591" s="579" t="s">
        <v>45</v>
      </c>
      <c r="E1591" s="578"/>
      <c r="F1591" s="641" t="s">
        <v>491</v>
      </c>
      <c r="G1591" s="579"/>
      <c r="H1591" s="578"/>
      <c r="I1591" s="579"/>
      <c r="J1591" s="583" t="s">
        <v>48</v>
      </c>
      <c r="K1591" s="641" t="s">
        <v>1763</v>
      </c>
      <c r="L1591" s="579"/>
      <c r="M1591" s="586" t="s">
        <v>1764</v>
      </c>
      <c r="N1591" s="753">
        <v>65032</v>
      </c>
      <c r="O1591" s="605">
        <v>65032</v>
      </c>
      <c r="P1591" s="582">
        <v>65047</v>
      </c>
      <c r="Q1591" s="578" t="s">
        <v>51</v>
      </c>
    </row>
    <row r="1592" spans="1:17" s="357" customFormat="1">
      <c r="A1592" s="512">
        <f t="shared" si="17"/>
        <v>745</v>
      </c>
      <c r="B1592" s="579" t="s">
        <v>43</v>
      </c>
      <c r="C1592" s="579" t="s">
        <v>44</v>
      </c>
      <c r="D1592" s="579" t="s">
        <v>45</v>
      </c>
      <c r="E1592" s="578"/>
      <c r="F1592" s="641" t="s">
        <v>491</v>
      </c>
      <c r="G1592" s="579"/>
      <c r="H1592" s="578"/>
      <c r="I1592" s="579"/>
      <c r="J1592" s="583" t="s">
        <v>48</v>
      </c>
      <c r="K1592" s="641" t="s">
        <v>1763</v>
      </c>
      <c r="L1592" s="579"/>
      <c r="M1592" s="586" t="s">
        <v>1764</v>
      </c>
      <c r="N1592" s="753">
        <v>65032</v>
      </c>
      <c r="O1592" s="605">
        <v>65032</v>
      </c>
      <c r="P1592" s="582">
        <v>65047</v>
      </c>
      <c r="Q1592" s="578" t="s">
        <v>51</v>
      </c>
    </row>
    <row r="1593" spans="1:17" s="357" customFormat="1">
      <c r="A1593" s="512">
        <f t="shared" si="17"/>
        <v>746</v>
      </c>
      <c r="B1593" s="579" t="s">
        <v>43</v>
      </c>
      <c r="C1593" s="579" t="s">
        <v>44</v>
      </c>
      <c r="D1593" s="579" t="s">
        <v>45</v>
      </c>
      <c r="E1593" s="578"/>
      <c r="F1593" s="641" t="s">
        <v>491</v>
      </c>
      <c r="G1593" s="579"/>
      <c r="H1593" s="578"/>
      <c r="I1593" s="579"/>
      <c r="J1593" s="583" t="s">
        <v>48</v>
      </c>
      <c r="K1593" s="641" t="s">
        <v>1763</v>
      </c>
      <c r="L1593" s="579"/>
      <c r="M1593" s="586" t="s">
        <v>1764</v>
      </c>
      <c r="N1593" s="753">
        <v>65032</v>
      </c>
      <c r="O1593" s="605">
        <v>65032</v>
      </c>
      <c r="P1593" s="582">
        <v>65047</v>
      </c>
      <c r="Q1593" s="578" t="s">
        <v>51</v>
      </c>
    </row>
    <row r="1594" spans="1:17" s="357" customFormat="1">
      <c r="A1594" s="512">
        <f t="shared" si="17"/>
        <v>747</v>
      </c>
      <c r="B1594" s="579" t="s">
        <v>43</v>
      </c>
      <c r="C1594" s="579" t="s">
        <v>44</v>
      </c>
      <c r="D1594" s="579" t="s">
        <v>45</v>
      </c>
      <c r="E1594" s="578"/>
      <c r="F1594" s="641" t="s">
        <v>491</v>
      </c>
      <c r="G1594" s="579"/>
      <c r="H1594" s="578"/>
      <c r="I1594" s="579"/>
      <c r="J1594" s="583" t="s">
        <v>48</v>
      </c>
      <c r="K1594" s="641" t="s">
        <v>1763</v>
      </c>
      <c r="L1594" s="579"/>
      <c r="M1594" s="586" t="s">
        <v>1764</v>
      </c>
      <c r="N1594" s="753">
        <v>65032</v>
      </c>
      <c r="O1594" s="605">
        <v>65032</v>
      </c>
      <c r="P1594" s="582">
        <v>65047</v>
      </c>
      <c r="Q1594" s="578" t="s">
        <v>51</v>
      </c>
    </row>
    <row r="1595" spans="1:17" s="357" customFormat="1">
      <c r="A1595" s="512">
        <f t="shared" si="17"/>
        <v>748</v>
      </c>
      <c r="B1595" s="579" t="s">
        <v>43</v>
      </c>
      <c r="C1595" s="579" t="s">
        <v>44</v>
      </c>
      <c r="D1595" s="579" t="s">
        <v>45</v>
      </c>
      <c r="E1595" s="578"/>
      <c r="F1595" s="641" t="s">
        <v>491</v>
      </c>
      <c r="G1595" s="579"/>
      <c r="H1595" s="578"/>
      <c r="I1595" s="579"/>
      <c r="J1595" s="583" t="s">
        <v>48</v>
      </c>
      <c r="K1595" s="641" t="s">
        <v>1763</v>
      </c>
      <c r="L1595" s="579"/>
      <c r="M1595" s="586" t="s">
        <v>1764</v>
      </c>
      <c r="N1595" s="753">
        <v>65032</v>
      </c>
      <c r="O1595" s="605">
        <v>65032</v>
      </c>
      <c r="P1595" s="582">
        <v>65047</v>
      </c>
      <c r="Q1595" s="578" t="s">
        <v>51</v>
      </c>
    </row>
    <row r="1596" spans="1:17" s="357" customFormat="1">
      <c r="A1596" s="512">
        <f t="shared" si="17"/>
        <v>749</v>
      </c>
      <c r="B1596" s="579" t="s">
        <v>43</v>
      </c>
      <c r="C1596" s="579" t="s">
        <v>44</v>
      </c>
      <c r="D1596" s="579" t="s">
        <v>45</v>
      </c>
      <c r="E1596" s="578"/>
      <c r="F1596" s="641" t="s">
        <v>491</v>
      </c>
      <c r="G1596" s="579"/>
      <c r="H1596" s="578"/>
      <c r="I1596" s="579"/>
      <c r="J1596" s="583" t="s">
        <v>48</v>
      </c>
      <c r="K1596" s="641" t="s">
        <v>1763</v>
      </c>
      <c r="L1596" s="579"/>
      <c r="M1596" s="586" t="s">
        <v>1764</v>
      </c>
      <c r="N1596" s="753">
        <v>65032</v>
      </c>
      <c r="O1596" s="605">
        <v>65032</v>
      </c>
      <c r="P1596" s="582">
        <v>65047</v>
      </c>
      <c r="Q1596" s="578" t="s">
        <v>51</v>
      </c>
    </row>
    <row r="1597" spans="1:17" s="357" customFormat="1">
      <c r="A1597" s="512">
        <f t="shared" si="17"/>
        <v>750</v>
      </c>
      <c r="B1597" s="579" t="s">
        <v>43</v>
      </c>
      <c r="C1597" s="579" t="s">
        <v>44</v>
      </c>
      <c r="D1597" s="579" t="s">
        <v>45</v>
      </c>
      <c r="E1597" s="578"/>
      <c r="F1597" s="641" t="s">
        <v>491</v>
      </c>
      <c r="G1597" s="579"/>
      <c r="H1597" s="578"/>
      <c r="I1597" s="579"/>
      <c r="J1597" s="583" t="s">
        <v>48</v>
      </c>
      <c r="K1597" s="641" t="s">
        <v>1763</v>
      </c>
      <c r="L1597" s="579"/>
      <c r="M1597" s="586" t="s">
        <v>1764</v>
      </c>
      <c r="N1597" s="753">
        <v>65032</v>
      </c>
      <c r="O1597" s="605">
        <v>65032</v>
      </c>
      <c r="P1597" s="582">
        <v>65047</v>
      </c>
      <c r="Q1597" s="578" t="s">
        <v>51</v>
      </c>
    </row>
    <row r="1598" spans="1:17" s="357" customFormat="1">
      <c r="A1598" s="512">
        <f t="shared" si="17"/>
        <v>751</v>
      </c>
      <c r="B1598" s="579" t="s">
        <v>43</v>
      </c>
      <c r="C1598" s="579" t="s">
        <v>44</v>
      </c>
      <c r="D1598" s="579" t="s">
        <v>45</v>
      </c>
      <c r="E1598" s="578"/>
      <c r="F1598" s="641" t="s">
        <v>491</v>
      </c>
      <c r="G1598" s="579"/>
      <c r="H1598" s="578"/>
      <c r="I1598" s="579"/>
      <c r="J1598" s="583" t="s">
        <v>48</v>
      </c>
      <c r="K1598" s="641" t="s">
        <v>1763</v>
      </c>
      <c r="L1598" s="579"/>
      <c r="M1598" s="586" t="s">
        <v>1764</v>
      </c>
      <c r="N1598" s="753">
        <v>65032</v>
      </c>
      <c r="O1598" s="605">
        <v>65032</v>
      </c>
      <c r="P1598" s="582">
        <v>65047</v>
      </c>
      <c r="Q1598" s="578" t="s">
        <v>51</v>
      </c>
    </row>
    <row r="1599" spans="1:17" s="357" customFormat="1">
      <c r="A1599" s="512">
        <f t="shared" si="17"/>
        <v>752</v>
      </c>
      <c r="B1599" s="579" t="s">
        <v>43</v>
      </c>
      <c r="C1599" s="579" t="s">
        <v>44</v>
      </c>
      <c r="D1599" s="579" t="s">
        <v>45</v>
      </c>
      <c r="E1599" s="578"/>
      <c r="F1599" s="641" t="s">
        <v>491</v>
      </c>
      <c r="G1599" s="579"/>
      <c r="H1599" s="578"/>
      <c r="I1599" s="579"/>
      <c r="J1599" s="583" t="s">
        <v>48</v>
      </c>
      <c r="K1599" s="641" t="s">
        <v>1763</v>
      </c>
      <c r="L1599" s="579"/>
      <c r="M1599" s="586" t="s">
        <v>1764</v>
      </c>
      <c r="N1599" s="753">
        <v>65032</v>
      </c>
      <c r="O1599" s="605">
        <v>65032</v>
      </c>
      <c r="P1599" s="582">
        <v>65047</v>
      </c>
      <c r="Q1599" s="578" t="s">
        <v>51</v>
      </c>
    </row>
    <row r="1600" spans="1:17" s="357" customFormat="1">
      <c r="A1600" s="512">
        <f t="shared" si="17"/>
        <v>753</v>
      </c>
      <c r="B1600" s="579" t="s">
        <v>43</v>
      </c>
      <c r="C1600" s="579" t="s">
        <v>44</v>
      </c>
      <c r="D1600" s="579" t="s">
        <v>45</v>
      </c>
      <c r="E1600" s="578"/>
      <c r="F1600" s="641" t="s">
        <v>491</v>
      </c>
      <c r="G1600" s="579"/>
      <c r="H1600" s="578"/>
      <c r="I1600" s="579"/>
      <c r="J1600" s="583" t="s">
        <v>48</v>
      </c>
      <c r="K1600" s="641" t="s">
        <v>1763</v>
      </c>
      <c r="L1600" s="579"/>
      <c r="M1600" s="586" t="s">
        <v>1764</v>
      </c>
      <c r="N1600" s="753">
        <v>65032</v>
      </c>
      <c r="O1600" s="605">
        <v>65032</v>
      </c>
      <c r="P1600" s="582">
        <v>65047</v>
      </c>
      <c r="Q1600" s="578" t="s">
        <v>51</v>
      </c>
    </row>
    <row r="1601" spans="1:17" s="357" customFormat="1">
      <c r="A1601" s="512">
        <f t="shared" si="17"/>
        <v>754</v>
      </c>
      <c r="B1601" s="579" t="s">
        <v>43</v>
      </c>
      <c r="C1601" s="579" t="s">
        <v>44</v>
      </c>
      <c r="D1601" s="579" t="s">
        <v>45</v>
      </c>
      <c r="E1601" s="578"/>
      <c r="F1601" s="641" t="s">
        <v>491</v>
      </c>
      <c r="G1601" s="579"/>
      <c r="H1601" s="578"/>
      <c r="I1601" s="579"/>
      <c r="J1601" s="583" t="s">
        <v>48</v>
      </c>
      <c r="K1601" s="641" t="s">
        <v>1763</v>
      </c>
      <c r="L1601" s="579"/>
      <c r="M1601" s="586" t="s">
        <v>1764</v>
      </c>
      <c r="N1601" s="753">
        <v>65032</v>
      </c>
      <c r="O1601" s="605">
        <v>65032</v>
      </c>
      <c r="P1601" s="582">
        <v>65047</v>
      </c>
      <c r="Q1601" s="578" t="s">
        <v>51</v>
      </c>
    </row>
    <row r="1602" spans="1:17" s="357" customFormat="1">
      <c r="A1602" s="512">
        <f t="shared" si="17"/>
        <v>755</v>
      </c>
      <c r="B1602" s="579" t="s">
        <v>43</v>
      </c>
      <c r="C1602" s="579" t="s">
        <v>44</v>
      </c>
      <c r="D1602" s="579" t="s">
        <v>45</v>
      </c>
      <c r="E1602" s="578"/>
      <c r="F1602" s="641" t="s">
        <v>491</v>
      </c>
      <c r="G1602" s="579"/>
      <c r="H1602" s="578"/>
      <c r="I1602" s="579"/>
      <c r="J1602" s="583" t="s">
        <v>48</v>
      </c>
      <c r="K1602" s="641" t="s">
        <v>1763</v>
      </c>
      <c r="L1602" s="579"/>
      <c r="M1602" s="586" t="s">
        <v>1764</v>
      </c>
      <c r="N1602" s="753">
        <v>65032</v>
      </c>
      <c r="O1602" s="605">
        <v>65032</v>
      </c>
      <c r="P1602" s="582">
        <v>65047</v>
      </c>
      <c r="Q1602" s="578" t="s">
        <v>51</v>
      </c>
    </row>
    <row r="1603" spans="1:17" s="357" customFormat="1">
      <c r="A1603" s="512">
        <f t="shared" si="17"/>
        <v>756</v>
      </c>
      <c r="B1603" s="579" t="s">
        <v>43</v>
      </c>
      <c r="C1603" s="579" t="s">
        <v>44</v>
      </c>
      <c r="D1603" s="579" t="s">
        <v>45</v>
      </c>
      <c r="E1603" s="578"/>
      <c r="F1603" s="641" t="s">
        <v>441</v>
      </c>
      <c r="G1603" s="579"/>
      <c r="H1603" s="578"/>
      <c r="I1603" s="579"/>
      <c r="J1603" s="583" t="s">
        <v>48</v>
      </c>
      <c r="K1603" s="641" t="s">
        <v>1763</v>
      </c>
      <c r="L1603" s="579"/>
      <c r="M1603" s="586" t="s">
        <v>1764</v>
      </c>
      <c r="N1603" s="753">
        <v>65032</v>
      </c>
      <c r="O1603" s="605">
        <v>65032</v>
      </c>
      <c r="P1603" s="582">
        <v>65047</v>
      </c>
      <c r="Q1603" s="578" t="s">
        <v>51</v>
      </c>
    </row>
    <row r="1604" spans="1:17" s="357" customFormat="1">
      <c r="A1604" s="512">
        <f t="shared" si="17"/>
        <v>757</v>
      </c>
      <c r="B1604" s="579" t="s">
        <v>43</v>
      </c>
      <c r="C1604" s="579" t="s">
        <v>44</v>
      </c>
      <c r="D1604" s="579" t="s">
        <v>45</v>
      </c>
      <c r="E1604" s="578"/>
      <c r="F1604" s="641" t="s">
        <v>441</v>
      </c>
      <c r="G1604" s="579"/>
      <c r="H1604" s="578"/>
      <c r="I1604" s="579"/>
      <c r="J1604" s="583" t="s">
        <v>48</v>
      </c>
      <c r="K1604" s="641" t="s">
        <v>1763</v>
      </c>
      <c r="L1604" s="579"/>
      <c r="M1604" s="586" t="s">
        <v>1764</v>
      </c>
      <c r="N1604" s="753">
        <v>65032</v>
      </c>
      <c r="O1604" s="605">
        <v>65032</v>
      </c>
      <c r="P1604" s="582">
        <v>65047</v>
      </c>
      <c r="Q1604" s="578" t="s">
        <v>51</v>
      </c>
    </row>
    <row r="1605" spans="1:17" s="357" customFormat="1">
      <c r="A1605" s="512">
        <f t="shared" si="17"/>
        <v>758</v>
      </c>
      <c r="B1605" s="579" t="s">
        <v>43</v>
      </c>
      <c r="C1605" s="579" t="s">
        <v>44</v>
      </c>
      <c r="D1605" s="579" t="s">
        <v>45</v>
      </c>
      <c r="E1605" s="578"/>
      <c r="F1605" s="641" t="s">
        <v>441</v>
      </c>
      <c r="G1605" s="579"/>
      <c r="H1605" s="578"/>
      <c r="I1605" s="579"/>
      <c r="J1605" s="583" t="s">
        <v>48</v>
      </c>
      <c r="K1605" s="641" t="s">
        <v>1763</v>
      </c>
      <c r="L1605" s="579"/>
      <c r="M1605" s="586" t="s">
        <v>1764</v>
      </c>
      <c r="N1605" s="753">
        <v>65032</v>
      </c>
      <c r="O1605" s="605">
        <v>65032</v>
      </c>
      <c r="P1605" s="582">
        <v>65047</v>
      </c>
      <c r="Q1605" s="578" t="s">
        <v>51</v>
      </c>
    </row>
    <row r="1606" spans="1:17" s="357" customFormat="1">
      <c r="A1606" s="512">
        <f t="shared" si="17"/>
        <v>759</v>
      </c>
      <c r="B1606" s="579" t="s">
        <v>43</v>
      </c>
      <c r="C1606" s="579" t="s">
        <v>44</v>
      </c>
      <c r="D1606" s="579" t="s">
        <v>45</v>
      </c>
      <c r="E1606" s="578"/>
      <c r="F1606" s="641" t="s">
        <v>441</v>
      </c>
      <c r="G1606" s="579"/>
      <c r="H1606" s="578"/>
      <c r="I1606" s="579"/>
      <c r="J1606" s="583" t="s">
        <v>48</v>
      </c>
      <c r="K1606" s="641" t="s">
        <v>1763</v>
      </c>
      <c r="L1606" s="579"/>
      <c r="M1606" s="586" t="s">
        <v>1764</v>
      </c>
      <c r="N1606" s="753">
        <v>65032</v>
      </c>
      <c r="O1606" s="605">
        <v>65032</v>
      </c>
      <c r="P1606" s="582">
        <v>65047</v>
      </c>
      <c r="Q1606" s="578" t="s">
        <v>51</v>
      </c>
    </row>
    <row r="1607" spans="1:17" s="357" customFormat="1">
      <c r="A1607" s="512">
        <f t="shared" si="17"/>
        <v>760</v>
      </c>
      <c r="B1607" s="579" t="s">
        <v>43</v>
      </c>
      <c r="C1607" s="579" t="s">
        <v>44</v>
      </c>
      <c r="D1607" s="579" t="s">
        <v>45</v>
      </c>
      <c r="E1607" s="578"/>
      <c r="F1607" s="641" t="s">
        <v>441</v>
      </c>
      <c r="G1607" s="579"/>
      <c r="H1607" s="578"/>
      <c r="I1607" s="579"/>
      <c r="J1607" s="583" t="s">
        <v>48</v>
      </c>
      <c r="K1607" s="641" t="s">
        <v>1763</v>
      </c>
      <c r="L1607" s="579"/>
      <c r="M1607" s="586" t="s">
        <v>1764</v>
      </c>
      <c r="N1607" s="753">
        <v>65032</v>
      </c>
      <c r="O1607" s="605">
        <v>65032</v>
      </c>
      <c r="P1607" s="582">
        <v>65047</v>
      </c>
      <c r="Q1607" s="578" t="s">
        <v>51</v>
      </c>
    </row>
    <row r="1608" spans="1:17" s="357" customFormat="1">
      <c r="A1608" s="512">
        <f t="shared" si="17"/>
        <v>761</v>
      </c>
      <c r="B1608" s="579" t="s">
        <v>43</v>
      </c>
      <c r="C1608" s="579" t="s">
        <v>44</v>
      </c>
      <c r="D1608" s="579" t="s">
        <v>45</v>
      </c>
      <c r="E1608" s="578"/>
      <c r="F1608" s="641" t="s">
        <v>441</v>
      </c>
      <c r="G1608" s="579"/>
      <c r="H1608" s="578"/>
      <c r="I1608" s="579"/>
      <c r="J1608" s="583" t="s">
        <v>48</v>
      </c>
      <c r="K1608" s="641" t="s">
        <v>1763</v>
      </c>
      <c r="L1608" s="579"/>
      <c r="M1608" s="586" t="s">
        <v>1764</v>
      </c>
      <c r="N1608" s="753">
        <v>65032</v>
      </c>
      <c r="O1608" s="605">
        <v>65032</v>
      </c>
      <c r="P1608" s="582">
        <v>65047</v>
      </c>
      <c r="Q1608" s="578" t="s">
        <v>51</v>
      </c>
    </row>
    <row r="1609" spans="1:17" s="357" customFormat="1">
      <c r="A1609" s="512">
        <f t="shared" si="17"/>
        <v>762</v>
      </c>
      <c r="B1609" s="579" t="s">
        <v>43</v>
      </c>
      <c r="C1609" s="579" t="s">
        <v>44</v>
      </c>
      <c r="D1609" s="579" t="s">
        <v>45</v>
      </c>
      <c r="E1609" s="578"/>
      <c r="F1609" s="641" t="s">
        <v>441</v>
      </c>
      <c r="G1609" s="579"/>
      <c r="H1609" s="578"/>
      <c r="I1609" s="579"/>
      <c r="J1609" s="583" t="s">
        <v>90</v>
      </c>
      <c r="K1609" s="641" t="s">
        <v>1763</v>
      </c>
      <c r="L1609" s="579"/>
      <c r="M1609" s="586" t="s">
        <v>1764</v>
      </c>
      <c r="N1609" s="753">
        <v>65032</v>
      </c>
      <c r="O1609" s="605">
        <v>65032</v>
      </c>
      <c r="P1609" s="582">
        <v>65047</v>
      </c>
      <c r="Q1609" s="578" t="s">
        <v>51</v>
      </c>
    </row>
    <row r="1610" spans="1:17" s="357" customFormat="1">
      <c r="A1610" s="512">
        <f t="shared" si="17"/>
        <v>763</v>
      </c>
      <c r="B1610" s="579" t="s">
        <v>43</v>
      </c>
      <c r="C1610" s="579" t="s">
        <v>44</v>
      </c>
      <c r="D1610" s="579" t="s">
        <v>45</v>
      </c>
      <c r="E1610" s="578"/>
      <c r="F1610" s="641" t="s">
        <v>441</v>
      </c>
      <c r="G1610" s="579"/>
      <c r="H1610" s="578"/>
      <c r="I1610" s="579"/>
      <c r="J1610" s="583" t="s">
        <v>90</v>
      </c>
      <c r="K1610" s="641" t="s">
        <v>1763</v>
      </c>
      <c r="L1610" s="579"/>
      <c r="M1610" s="586" t="s">
        <v>1764</v>
      </c>
      <c r="N1610" s="753">
        <v>65032</v>
      </c>
      <c r="O1610" s="605">
        <v>65032</v>
      </c>
      <c r="P1610" s="582">
        <v>65047</v>
      </c>
      <c r="Q1610" s="578" t="s">
        <v>51</v>
      </c>
    </row>
    <row r="1611" spans="1:17" s="357" customFormat="1">
      <c r="A1611" s="512">
        <f t="shared" si="17"/>
        <v>764</v>
      </c>
      <c r="B1611" s="579" t="s">
        <v>43</v>
      </c>
      <c r="C1611" s="579" t="s">
        <v>44</v>
      </c>
      <c r="D1611" s="579" t="s">
        <v>45</v>
      </c>
      <c r="E1611" s="578"/>
      <c r="F1611" s="641" t="s">
        <v>529</v>
      </c>
      <c r="G1611" s="579"/>
      <c r="H1611" s="578"/>
      <c r="I1611" s="579"/>
      <c r="J1611" s="583" t="s">
        <v>90</v>
      </c>
      <c r="K1611" s="641" t="s">
        <v>1763</v>
      </c>
      <c r="L1611" s="579"/>
      <c r="M1611" s="586" t="s">
        <v>1764</v>
      </c>
      <c r="N1611" s="753">
        <v>65032</v>
      </c>
      <c r="O1611" s="605">
        <v>65032</v>
      </c>
      <c r="P1611" s="582">
        <v>65047</v>
      </c>
      <c r="Q1611" s="578" t="s">
        <v>51</v>
      </c>
    </row>
    <row r="1612" spans="1:17" s="357" customFormat="1">
      <c r="A1612" s="512">
        <f t="shared" si="17"/>
        <v>765</v>
      </c>
      <c r="B1612" s="579" t="s">
        <v>43</v>
      </c>
      <c r="C1612" s="579" t="s">
        <v>44</v>
      </c>
      <c r="D1612" s="579" t="s">
        <v>45</v>
      </c>
      <c r="E1612" s="578"/>
      <c r="F1612" s="641" t="s">
        <v>529</v>
      </c>
      <c r="G1612" s="579"/>
      <c r="H1612" s="578"/>
      <c r="I1612" s="579"/>
      <c r="J1612" s="583" t="s">
        <v>48</v>
      </c>
      <c r="K1612" s="641" t="s">
        <v>1763</v>
      </c>
      <c r="L1612" s="579"/>
      <c r="M1612" s="586" t="s">
        <v>1764</v>
      </c>
      <c r="N1612" s="753">
        <v>65032</v>
      </c>
      <c r="O1612" s="605">
        <v>65032</v>
      </c>
      <c r="P1612" s="582">
        <v>65047</v>
      </c>
      <c r="Q1612" s="578" t="s">
        <v>51</v>
      </c>
    </row>
    <row r="1613" spans="1:17" s="357" customFormat="1">
      <c r="A1613" s="512">
        <f t="shared" si="17"/>
        <v>766</v>
      </c>
      <c r="B1613" s="579" t="s">
        <v>43</v>
      </c>
      <c r="C1613" s="579" t="s">
        <v>44</v>
      </c>
      <c r="D1613" s="579" t="s">
        <v>45</v>
      </c>
      <c r="E1613" s="578"/>
      <c r="F1613" s="641" t="s">
        <v>529</v>
      </c>
      <c r="G1613" s="579"/>
      <c r="H1613" s="578"/>
      <c r="I1613" s="579"/>
      <c r="J1613" s="583" t="s">
        <v>48</v>
      </c>
      <c r="K1613" s="641" t="s">
        <v>1763</v>
      </c>
      <c r="L1613" s="579"/>
      <c r="M1613" s="586" t="s">
        <v>1764</v>
      </c>
      <c r="N1613" s="753">
        <v>65032</v>
      </c>
      <c r="O1613" s="605">
        <v>65032</v>
      </c>
      <c r="P1613" s="582">
        <v>65047</v>
      </c>
      <c r="Q1613" s="578" t="s">
        <v>51</v>
      </c>
    </row>
    <row r="1614" spans="1:17" s="357" customFormat="1">
      <c r="A1614" s="512">
        <f t="shared" si="17"/>
        <v>767</v>
      </c>
      <c r="B1614" s="579" t="s">
        <v>43</v>
      </c>
      <c r="C1614" s="579" t="s">
        <v>44</v>
      </c>
      <c r="D1614" s="579" t="s">
        <v>45</v>
      </c>
      <c r="E1614" s="578"/>
      <c r="F1614" s="641" t="s">
        <v>529</v>
      </c>
      <c r="G1614" s="579"/>
      <c r="H1614" s="578"/>
      <c r="I1614" s="579"/>
      <c r="J1614" s="583" t="s">
        <v>48</v>
      </c>
      <c r="K1614" s="641" t="s">
        <v>1763</v>
      </c>
      <c r="L1614" s="579"/>
      <c r="M1614" s="586" t="s">
        <v>1764</v>
      </c>
      <c r="N1614" s="753">
        <v>65032</v>
      </c>
      <c r="O1614" s="605">
        <v>65032</v>
      </c>
      <c r="P1614" s="582">
        <v>65047</v>
      </c>
      <c r="Q1614" s="578" t="s">
        <v>51</v>
      </c>
    </row>
    <row r="1615" spans="1:17" s="357" customFormat="1">
      <c r="A1615" s="512">
        <f t="shared" si="17"/>
        <v>768</v>
      </c>
      <c r="B1615" s="579" t="s">
        <v>43</v>
      </c>
      <c r="C1615" s="579" t="s">
        <v>44</v>
      </c>
      <c r="D1615" s="579" t="s">
        <v>45</v>
      </c>
      <c r="E1615" s="578"/>
      <c r="F1615" s="641" t="s">
        <v>124</v>
      </c>
      <c r="G1615" s="579"/>
      <c r="H1615" s="578"/>
      <c r="I1615" s="579"/>
      <c r="J1615" s="583" t="s">
        <v>90</v>
      </c>
      <c r="K1615" s="641" t="s">
        <v>1763</v>
      </c>
      <c r="L1615" s="579"/>
      <c r="M1615" s="586" t="s">
        <v>1764</v>
      </c>
      <c r="N1615" s="753">
        <v>65032</v>
      </c>
      <c r="O1615" s="605">
        <v>65032</v>
      </c>
      <c r="P1615" s="582">
        <v>65047</v>
      </c>
      <c r="Q1615" s="578" t="s">
        <v>51</v>
      </c>
    </row>
    <row r="1616" spans="1:17" s="357" customFormat="1">
      <c r="A1616" s="512">
        <f t="shared" si="17"/>
        <v>769</v>
      </c>
      <c r="B1616" s="579" t="s">
        <v>43</v>
      </c>
      <c r="C1616" s="579" t="s">
        <v>44</v>
      </c>
      <c r="D1616" s="579" t="s">
        <v>45</v>
      </c>
      <c r="E1616" s="578"/>
      <c r="F1616" s="641" t="s">
        <v>124</v>
      </c>
      <c r="G1616" s="579"/>
      <c r="H1616" s="578"/>
      <c r="I1616" s="579"/>
      <c r="J1616" s="583" t="s">
        <v>90</v>
      </c>
      <c r="K1616" s="641" t="s">
        <v>1763</v>
      </c>
      <c r="L1616" s="579"/>
      <c r="M1616" s="586" t="s">
        <v>1764</v>
      </c>
      <c r="N1616" s="753">
        <v>65032</v>
      </c>
      <c r="O1616" s="605">
        <v>65032</v>
      </c>
      <c r="P1616" s="582">
        <v>65047</v>
      </c>
      <c r="Q1616" s="578" t="s">
        <v>51</v>
      </c>
    </row>
    <row r="1617" spans="1:17" s="357" customFormat="1">
      <c r="A1617" s="512">
        <f t="shared" si="17"/>
        <v>770</v>
      </c>
      <c r="B1617" s="579" t="s">
        <v>43</v>
      </c>
      <c r="C1617" s="579" t="s">
        <v>44</v>
      </c>
      <c r="D1617" s="579" t="s">
        <v>45</v>
      </c>
      <c r="E1617" s="578"/>
      <c r="F1617" s="641" t="s">
        <v>124</v>
      </c>
      <c r="G1617" s="579"/>
      <c r="H1617" s="578"/>
      <c r="I1617" s="579"/>
      <c r="J1617" s="583" t="s">
        <v>90</v>
      </c>
      <c r="K1617" s="641" t="s">
        <v>1763</v>
      </c>
      <c r="L1617" s="579"/>
      <c r="M1617" s="586" t="s">
        <v>1764</v>
      </c>
      <c r="N1617" s="753">
        <v>65032</v>
      </c>
      <c r="O1617" s="605">
        <v>65032</v>
      </c>
      <c r="P1617" s="582">
        <v>65047</v>
      </c>
      <c r="Q1617" s="578" t="s">
        <v>51</v>
      </c>
    </row>
    <row r="1618" spans="1:17" s="357" customFormat="1">
      <c r="A1618" s="512">
        <f t="shared" ref="A1618:A1681" si="18">A1617+1</f>
        <v>771</v>
      </c>
      <c r="B1618" s="579" t="s">
        <v>43</v>
      </c>
      <c r="C1618" s="579" t="s">
        <v>44</v>
      </c>
      <c r="D1618" s="579" t="s">
        <v>45</v>
      </c>
      <c r="E1618" s="578"/>
      <c r="F1618" s="641" t="s">
        <v>124</v>
      </c>
      <c r="G1618" s="579"/>
      <c r="H1618" s="578"/>
      <c r="I1618" s="579"/>
      <c r="J1618" s="583" t="s">
        <v>90</v>
      </c>
      <c r="K1618" s="641" t="s">
        <v>1763</v>
      </c>
      <c r="L1618" s="579"/>
      <c r="M1618" s="586" t="s">
        <v>1764</v>
      </c>
      <c r="N1618" s="753">
        <v>65032</v>
      </c>
      <c r="O1618" s="605">
        <v>65032</v>
      </c>
      <c r="P1618" s="582">
        <v>65047</v>
      </c>
      <c r="Q1618" s="578" t="s">
        <v>51</v>
      </c>
    </row>
    <row r="1619" spans="1:17" s="357" customFormat="1">
      <c r="A1619" s="512">
        <f t="shared" si="18"/>
        <v>772</v>
      </c>
      <c r="B1619" s="579" t="s">
        <v>43</v>
      </c>
      <c r="C1619" s="579" t="s">
        <v>44</v>
      </c>
      <c r="D1619" s="579" t="s">
        <v>45</v>
      </c>
      <c r="E1619" s="578"/>
      <c r="F1619" s="641" t="s">
        <v>124</v>
      </c>
      <c r="G1619" s="579"/>
      <c r="H1619" s="578"/>
      <c r="I1619" s="579"/>
      <c r="J1619" s="583" t="s">
        <v>48</v>
      </c>
      <c r="K1619" s="641" t="s">
        <v>1763</v>
      </c>
      <c r="L1619" s="579"/>
      <c r="M1619" s="586" t="s">
        <v>1764</v>
      </c>
      <c r="N1619" s="753">
        <v>65032</v>
      </c>
      <c r="O1619" s="605">
        <v>65032</v>
      </c>
      <c r="P1619" s="582">
        <v>65047</v>
      </c>
      <c r="Q1619" s="578" t="s">
        <v>51</v>
      </c>
    </row>
    <row r="1620" spans="1:17" s="357" customFormat="1">
      <c r="A1620" s="512">
        <f t="shared" si="18"/>
        <v>773</v>
      </c>
      <c r="B1620" s="579" t="s">
        <v>43</v>
      </c>
      <c r="C1620" s="579" t="s">
        <v>44</v>
      </c>
      <c r="D1620" s="579" t="s">
        <v>45</v>
      </c>
      <c r="E1620" s="578"/>
      <c r="F1620" s="641" t="s">
        <v>124</v>
      </c>
      <c r="G1620" s="579"/>
      <c r="H1620" s="578"/>
      <c r="I1620" s="579"/>
      <c r="J1620" s="583" t="s">
        <v>48</v>
      </c>
      <c r="K1620" s="641" t="s">
        <v>1763</v>
      </c>
      <c r="L1620" s="579"/>
      <c r="M1620" s="586" t="s">
        <v>1764</v>
      </c>
      <c r="N1620" s="753">
        <v>65032</v>
      </c>
      <c r="O1620" s="605">
        <v>65032</v>
      </c>
      <c r="P1620" s="582">
        <v>65047</v>
      </c>
      <c r="Q1620" s="578" t="s">
        <v>51</v>
      </c>
    </row>
    <row r="1621" spans="1:17" s="357" customFormat="1">
      <c r="A1621" s="512">
        <f t="shared" si="18"/>
        <v>774</v>
      </c>
      <c r="B1621" s="579" t="s">
        <v>43</v>
      </c>
      <c r="C1621" s="579" t="s">
        <v>44</v>
      </c>
      <c r="D1621" s="579" t="s">
        <v>45</v>
      </c>
      <c r="E1621" s="578"/>
      <c r="F1621" s="641" t="s">
        <v>124</v>
      </c>
      <c r="G1621" s="579"/>
      <c r="H1621" s="578"/>
      <c r="I1621" s="579"/>
      <c r="J1621" s="583" t="s">
        <v>48</v>
      </c>
      <c r="K1621" s="641" t="s">
        <v>1763</v>
      </c>
      <c r="L1621" s="579"/>
      <c r="M1621" s="586" t="s">
        <v>1764</v>
      </c>
      <c r="N1621" s="753">
        <v>65032</v>
      </c>
      <c r="O1621" s="605">
        <v>65032</v>
      </c>
      <c r="P1621" s="582">
        <v>65047</v>
      </c>
      <c r="Q1621" s="578" t="s">
        <v>51</v>
      </c>
    </row>
    <row r="1622" spans="1:17" s="357" customFormat="1">
      <c r="A1622" s="512">
        <f t="shared" si="18"/>
        <v>775</v>
      </c>
      <c r="B1622" s="579" t="s">
        <v>43</v>
      </c>
      <c r="C1622" s="579" t="s">
        <v>44</v>
      </c>
      <c r="D1622" s="579" t="s">
        <v>45</v>
      </c>
      <c r="E1622" s="578"/>
      <c r="F1622" s="641" t="s">
        <v>791</v>
      </c>
      <c r="G1622" s="579"/>
      <c r="H1622" s="578"/>
      <c r="I1622" s="579"/>
      <c r="J1622" s="583" t="s">
        <v>90</v>
      </c>
      <c r="K1622" s="641" t="s">
        <v>1763</v>
      </c>
      <c r="L1622" s="579"/>
      <c r="M1622" s="586" t="s">
        <v>1764</v>
      </c>
      <c r="N1622" s="753">
        <v>65032</v>
      </c>
      <c r="O1622" s="605">
        <v>65032</v>
      </c>
      <c r="P1622" s="582">
        <v>65047</v>
      </c>
      <c r="Q1622" s="578" t="s">
        <v>51</v>
      </c>
    </row>
    <row r="1623" spans="1:17" s="357" customFormat="1">
      <c r="A1623" s="512">
        <f t="shared" si="18"/>
        <v>776</v>
      </c>
      <c r="B1623" s="579" t="s">
        <v>43</v>
      </c>
      <c r="C1623" s="579" t="s">
        <v>44</v>
      </c>
      <c r="D1623" s="579" t="s">
        <v>45</v>
      </c>
      <c r="E1623" s="578"/>
      <c r="F1623" s="641" t="s">
        <v>1046</v>
      </c>
      <c r="G1623" s="579"/>
      <c r="H1623" s="578"/>
      <c r="I1623" s="579"/>
      <c r="J1623" s="583" t="s">
        <v>90</v>
      </c>
      <c r="K1623" s="641" t="s">
        <v>1763</v>
      </c>
      <c r="L1623" s="579"/>
      <c r="M1623" s="586" t="s">
        <v>1764</v>
      </c>
      <c r="N1623" s="753">
        <v>65032</v>
      </c>
      <c r="O1623" s="605">
        <v>65032</v>
      </c>
      <c r="P1623" s="582">
        <v>65047</v>
      </c>
      <c r="Q1623" s="578" t="s">
        <v>51</v>
      </c>
    </row>
    <row r="1624" spans="1:17" s="357" customFormat="1">
      <c r="A1624" s="512">
        <f t="shared" si="18"/>
        <v>777</v>
      </c>
      <c r="B1624" s="579" t="s">
        <v>43</v>
      </c>
      <c r="C1624" s="579" t="s">
        <v>44</v>
      </c>
      <c r="D1624" s="579" t="s">
        <v>45</v>
      </c>
      <c r="E1624" s="578"/>
      <c r="F1624" s="641" t="s">
        <v>1046</v>
      </c>
      <c r="G1624" s="579"/>
      <c r="H1624" s="578"/>
      <c r="I1624" s="579"/>
      <c r="J1624" s="583" t="s">
        <v>90</v>
      </c>
      <c r="K1624" s="641" t="s">
        <v>1763</v>
      </c>
      <c r="L1624" s="579"/>
      <c r="M1624" s="586" t="s">
        <v>1764</v>
      </c>
      <c r="N1624" s="753">
        <v>65032</v>
      </c>
      <c r="O1624" s="605">
        <v>65032</v>
      </c>
      <c r="P1624" s="582">
        <v>65047</v>
      </c>
      <c r="Q1624" s="578" t="s">
        <v>51</v>
      </c>
    </row>
    <row r="1625" spans="1:17" s="357" customFormat="1">
      <c r="A1625" s="512">
        <f t="shared" si="18"/>
        <v>778</v>
      </c>
      <c r="B1625" s="579" t="s">
        <v>43</v>
      </c>
      <c r="C1625" s="579" t="s">
        <v>44</v>
      </c>
      <c r="D1625" s="579" t="s">
        <v>45</v>
      </c>
      <c r="E1625" s="578"/>
      <c r="F1625" s="641" t="s">
        <v>1046</v>
      </c>
      <c r="G1625" s="579"/>
      <c r="H1625" s="578"/>
      <c r="I1625" s="579"/>
      <c r="J1625" s="583" t="s">
        <v>48</v>
      </c>
      <c r="K1625" s="641" t="s">
        <v>1763</v>
      </c>
      <c r="L1625" s="579"/>
      <c r="M1625" s="586" t="s">
        <v>1764</v>
      </c>
      <c r="N1625" s="753">
        <v>65032</v>
      </c>
      <c r="O1625" s="605">
        <v>65032</v>
      </c>
      <c r="P1625" s="582">
        <v>65047</v>
      </c>
      <c r="Q1625" s="578" t="s">
        <v>51</v>
      </c>
    </row>
    <row r="1626" spans="1:17" s="357" customFormat="1">
      <c r="A1626" s="512">
        <f t="shared" si="18"/>
        <v>779</v>
      </c>
      <c r="B1626" s="579" t="s">
        <v>43</v>
      </c>
      <c r="C1626" s="579" t="s">
        <v>44</v>
      </c>
      <c r="D1626" s="579" t="s">
        <v>45</v>
      </c>
      <c r="E1626" s="578"/>
      <c r="F1626" s="641" t="s">
        <v>497</v>
      </c>
      <c r="G1626" s="579"/>
      <c r="H1626" s="578"/>
      <c r="I1626" s="579"/>
      <c r="J1626" s="583" t="s">
        <v>48</v>
      </c>
      <c r="K1626" s="641" t="s">
        <v>1763</v>
      </c>
      <c r="L1626" s="579"/>
      <c r="M1626" s="586" t="s">
        <v>1764</v>
      </c>
      <c r="N1626" s="753">
        <v>65032</v>
      </c>
      <c r="O1626" s="605">
        <v>65032</v>
      </c>
      <c r="P1626" s="582">
        <v>65047</v>
      </c>
      <c r="Q1626" s="578" t="s">
        <v>51</v>
      </c>
    </row>
    <row r="1627" spans="1:17" s="357" customFormat="1">
      <c r="A1627" s="512">
        <f t="shared" si="18"/>
        <v>780</v>
      </c>
      <c r="B1627" s="579" t="s">
        <v>43</v>
      </c>
      <c r="C1627" s="579" t="s">
        <v>44</v>
      </c>
      <c r="D1627" s="579" t="s">
        <v>45</v>
      </c>
      <c r="E1627" s="578"/>
      <c r="F1627" s="641" t="s">
        <v>730</v>
      </c>
      <c r="G1627" s="579"/>
      <c r="H1627" s="578"/>
      <c r="I1627" s="579"/>
      <c r="J1627" s="583" t="s">
        <v>48</v>
      </c>
      <c r="K1627" s="641" t="s">
        <v>1763</v>
      </c>
      <c r="L1627" s="579"/>
      <c r="M1627" s="586" t="s">
        <v>1764</v>
      </c>
      <c r="N1627" s="753">
        <v>65032</v>
      </c>
      <c r="O1627" s="605">
        <v>65032</v>
      </c>
      <c r="P1627" s="582">
        <v>65047</v>
      </c>
      <c r="Q1627" s="578" t="s">
        <v>51</v>
      </c>
    </row>
    <row r="1628" spans="1:17" s="357" customFormat="1">
      <c r="A1628" s="512">
        <f t="shared" si="18"/>
        <v>781</v>
      </c>
      <c r="B1628" s="579" t="s">
        <v>43</v>
      </c>
      <c r="C1628" s="579" t="s">
        <v>44</v>
      </c>
      <c r="D1628" s="579" t="s">
        <v>45</v>
      </c>
      <c r="E1628" s="578"/>
      <c r="F1628" s="641" t="s">
        <v>1008</v>
      </c>
      <c r="G1628" s="579"/>
      <c r="H1628" s="578"/>
      <c r="I1628" s="579"/>
      <c r="J1628" s="583" t="s">
        <v>48</v>
      </c>
      <c r="K1628" s="641" t="s">
        <v>1763</v>
      </c>
      <c r="L1628" s="579"/>
      <c r="M1628" s="586" t="s">
        <v>1764</v>
      </c>
      <c r="N1628" s="753">
        <v>65032</v>
      </c>
      <c r="O1628" s="605">
        <v>65032</v>
      </c>
      <c r="P1628" s="582">
        <v>65047</v>
      </c>
      <c r="Q1628" s="578" t="s">
        <v>51</v>
      </c>
    </row>
    <row r="1629" spans="1:17" s="357" customFormat="1">
      <c r="A1629" s="512">
        <f t="shared" si="18"/>
        <v>782</v>
      </c>
      <c r="B1629" s="579" t="s">
        <v>43</v>
      </c>
      <c r="C1629" s="579" t="s">
        <v>44</v>
      </c>
      <c r="D1629" s="579" t="s">
        <v>45</v>
      </c>
      <c r="E1629" s="578"/>
      <c r="F1629" s="641" t="s">
        <v>1008</v>
      </c>
      <c r="G1629" s="579"/>
      <c r="H1629" s="578"/>
      <c r="I1629" s="579"/>
      <c r="J1629" s="583" t="s">
        <v>48</v>
      </c>
      <c r="K1629" s="641" t="s">
        <v>1763</v>
      </c>
      <c r="L1629" s="579"/>
      <c r="M1629" s="586" t="s">
        <v>1764</v>
      </c>
      <c r="N1629" s="753">
        <v>65032</v>
      </c>
      <c r="O1629" s="605">
        <v>65032</v>
      </c>
      <c r="P1629" s="582">
        <v>65047</v>
      </c>
      <c r="Q1629" s="578" t="s">
        <v>51</v>
      </c>
    </row>
    <row r="1630" spans="1:17" s="357" customFormat="1">
      <c r="A1630" s="512">
        <f t="shared" si="18"/>
        <v>783</v>
      </c>
      <c r="B1630" s="579" t="s">
        <v>43</v>
      </c>
      <c r="C1630" s="579" t="s">
        <v>44</v>
      </c>
      <c r="D1630" s="579" t="s">
        <v>45</v>
      </c>
      <c r="E1630" s="578"/>
      <c r="F1630" s="641" t="s">
        <v>1204</v>
      </c>
      <c r="G1630" s="579"/>
      <c r="H1630" s="578"/>
      <c r="I1630" s="579"/>
      <c r="J1630" s="583" t="s">
        <v>90</v>
      </c>
      <c r="K1630" s="641" t="s">
        <v>1763</v>
      </c>
      <c r="L1630" s="579"/>
      <c r="M1630" s="586" t="s">
        <v>1764</v>
      </c>
      <c r="N1630" s="753">
        <v>65032</v>
      </c>
      <c r="O1630" s="605">
        <v>65032</v>
      </c>
      <c r="P1630" s="582">
        <v>65047</v>
      </c>
      <c r="Q1630" s="578" t="s">
        <v>51</v>
      </c>
    </row>
    <row r="1631" spans="1:17" s="357" customFormat="1">
      <c r="A1631" s="512">
        <f t="shared" si="18"/>
        <v>784</v>
      </c>
      <c r="B1631" s="579" t="s">
        <v>43</v>
      </c>
      <c r="C1631" s="579" t="s">
        <v>44</v>
      </c>
      <c r="D1631" s="579" t="s">
        <v>45</v>
      </c>
      <c r="E1631" s="578"/>
      <c r="F1631" s="641" t="s">
        <v>1204</v>
      </c>
      <c r="G1631" s="579"/>
      <c r="H1631" s="578"/>
      <c r="I1631" s="579"/>
      <c r="J1631" s="583" t="s">
        <v>48</v>
      </c>
      <c r="K1631" s="641" t="s">
        <v>1763</v>
      </c>
      <c r="L1631" s="579"/>
      <c r="M1631" s="586" t="s">
        <v>1764</v>
      </c>
      <c r="N1631" s="753">
        <v>65032</v>
      </c>
      <c r="O1631" s="605">
        <v>65032</v>
      </c>
      <c r="P1631" s="582">
        <v>65047</v>
      </c>
      <c r="Q1631" s="578" t="s">
        <v>51</v>
      </c>
    </row>
    <row r="1632" spans="1:17" s="163" customFormat="1">
      <c r="A1632" s="512">
        <f t="shared" si="18"/>
        <v>785</v>
      </c>
      <c r="B1632" s="579" t="s">
        <v>43</v>
      </c>
      <c r="C1632" s="579" t="s">
        <v>44</v>
      </c>
      <c r="D1632" s="579" t="s">
        <v>45</v>
      </c>
      <c r="E1632" s="578"/>
      <c r="F1632" s="641" t="s">
        <v>1009</v>
      </c>
      <c r="G1632" s="579"/>
      <c r="H1632" s="578"/>
      <c r="I1632" s="579"/>
      <c r="J1632" s="583" t="s">
        <v>48</v>
      </c>
      <c r="K1632" s="641" t="s">
        <v>1763</v>
      </c>
      <c r="L1632" s="579"/>
      <c r="M1632" s="586" t="s">
        <v>1764</v>
      </c>
      <c r="N1632" s="753">
        <v>65032</v>
      </c>
      <c r="O1632" s="605">
        <v>65032</v>
      </c>
      <c r="P1632" s="582">
        <v>65047</v>
      </c>
      <c r="Q1632" s="578" t="s">
        <v>51</v>
      </c>
    </row>
    <row r="1633" spans="1:19" s="163" customFormat="1" ht="15.75">
      <c r="A1633" s="512">
        <f t="shared" si="18"/>
        <v>786</v>
      </c>
      <c r="B1633" s="438" t="s">
        <v>43</v>
      </c>
      <c r="C1633" s="438" t="s">
        <v>44</v>
      </c>
      <c r="D1633" s="438" t="s">
        <v>45</v>
      </c>
      <c r="E1633" s="640" t="s">
        <v>2035</v>
      </c>
      <c r="F1633" s="635" t="s">
        <v>491</v>
      </c>
      <c r="G1633" s="635"/>
      <c r="H1633" s="436"/>
      <c r="I1633" s="635">
        <v>42</v>
      </c>
      <c r="J1633" s="635" t="s">
        <v>48</v>
      </c>
      <c r="K1633" s="635" t="s">
        <v>53</v>
      </c>
      <c r="L1633" s="438"/>
      <c r="M1633" s="635" t="s">
        <v>1706</v>
      </c>
      <c r="N1633" s="748">
        <v>65033</v>
      </c>
      <c r="O1633" s="593">
        <v>65033</v>
      </c>
      <c r="P1633" s="610">
        <v>65086</v>
      </c>
      <c r="Q1633" s="578" t="s">
        <v>51</v>
      </c>
    </row>
    <row r="1634" spans="1:19" ht="15.75">
      <c r="A1634" s="512">
        <f t="shared" si="18"/>
        <v>787</v>
      </c>
      <c r="B1634" s="438" t="s">
        <v>43</v>
      </c>
      <c r="C1634" s="640" t="s">
        <v>44</v>
      </c>
      <c r="D1634" s="640" t="s">
        <v>45</v>
      </c>
      <c r="E1634" s="640" t="s">
        <v>2105</v>
      </c>
      <c r="F1634" s="642" t="s">
        <v>502</v>
      </c>
      <c r="G1634" s="635">
        <v>9847890758</v>
      </c>
      <c r="H1634" s="640"/>
      <c r="I1634" s="635">
        <v>37</v>
      </c>
      <c r="J1634" s="635" t="s">
        <v>90</v>
      </c>
      <c r="K1634" s="635" t="s">
        <v>1706</v>
      </c>
      <c r="L1634" s="438"/>
      <c r="M1634" s="635"/>
      <c r="N1634" s="748">
        <v>65033</v>
      </c>
      <c r="O1634" s="593">
        <v>65033</v>
      </c>
      <c r="P1634" s="465">
        <v>65086</v>
      </c>
      <c r="Q1634" s="436" t="s">
        <v>51</v>
      </c>
      <c r="R1634" s="163"/>
      <c r="S1634" s="163"/>
    </row>
    <row r="1635" spans="1:19" ht="15.75">
      <c r="A1635" s="512">
        <f t="shared" si="18"/>
        <v>788</v>
      </c>
      <c r="B1635" s="438" t="s">
        <v>43</v>
      </c>
      <c r="C1635" s="438" t="s">
        <v>44</v>
      </c>
      <c r="D1635" s="438" t="s">
        <v>45</v>
      </c>
      <c r="E1635" s="640" t="s">
        <v>2036</v>
      </c>
      <c r="F1635" s="635" t="s">
        <v>491</v>
      </c>
      <c r="G1635" s="635"/>
      <c r="H1635" s="436"/>
      <c r="I1635" s="635">
        <v>39</v>
      </c>
      <c r="J1635" s="635" t="s">
        <v>48</v>
      </c>
      <c r="K1635" s="635" t="s">
        <v>53</v>
      </c>
      <c r="L1635" s="438"/>
      <c r="M1635" s="592" t="s">
        <v>54</v>
      </c>
      <c r="N1635" s="748">
        <v>65033</v>
      </c>
      <c r="O1635" s="593">
        <v>65033</v>
      </c>
      <c r="P1635" s="465">
        <v>65061</v>
      </c>
      <c r="Q1635" s="436" t="s">
        <v>51</v>
      </c>
    </row>
    <row r="1636" spans="1:19">
      <c r="A1636" s="512">
        <f t="shared" si="18"/>
        <v>789</v>
      </c>
      <c r="B1636" s="434" t="s">
        <v>43</v>
      </c>
      <c r="C1636" s="434" t="s">
        <v>44</v>
      </c>
      <c r="D1636" s="434" t="s">
        <v>45</v>
      </c>
      <c r="E1636" s="140" t="s">
        <v>2022</v>
      </c>
      <c r="F1636" s="616" t="s">
        <v>124</v>
      </c>
      <c r="G1636" s="616"/>
      <c r="H1636" s="140"/>
      <c r="I1636" s="616">
        <v>33</v>
      </c>
      <c r="J1636" s="616" t="s">
        <v>48</v>
      </c>
      <c r="K1636" s="577" t="s">
        <v>53</v>
      </c>
      <c r="L1636" s="643"/>
      <c r="M1636" s="571" t="s">
        <v>1764</v>
      </c>
      <c r="N1636" s="730">
        <v>65033</v>
      </c>
      <c r="O1636" s="617">
        <v>65033</v>
      </c>
      <c r="P1636" s="514">
        <v>65048</v>
      </c>
      <c r="Q1636" s="512" t="s">
        <v>51</v>
      </c>
    </row>
    <row r="1637" spans="1:19">
      <c r="A1637" s="512">
        <f t="shared" si="18"/>
        <v>790</v>
      </c>
      <c r="B1637" s="434" t="s">
        <v>43</v>
      </c>
      <c r="C1637" s="434" t="s">
        <v>44</v>
      </c>
      <c r="D1637" s="434" t="s">
        <v>45</v>
      </c>
      <c r="E1637" s="644" t="s">
        <v>2037</v>
      </c>
      <c r="F1637" s="577" t="s">
        <v>491</v>
      </c>
      <c r="G1637" s="577">
        <v>9851236010</v>
      </c>
      <c r="I1637" s="577">
        <v>31</v>
      </c>
      <c r="J1637" s="577" t="s">
        <v>48</v>
      </c>
      <c r="K1637" s="577" t="s">
        <v>53</v>
      </c>
      <c r="M1637" s="571" t="s">
        <v>119</v>
      </c>
      <c r="N1637" s="745">
        <v>65033</v>
      </c>
      <c r="O1637" s="645"/>
      <c r="P1637" s="514">
        <v>65048</v>
      </c>
      <c r="Q1637" s="512" t="s">
        <v>51</v>
      </c>
    </row>
    <row r="1638" spans="1:19">
      <c r="A1638" s="512">
        <f t="shared" si="18"/>
        <v>791</v>
      </c>
      <c r="B1638" s="434" t="s">
        <v>43</v>
      </c>
      <c r="C1638" s="434" t="s">
        <v>44</v>
      </c>
      <c r="D1638" s="434" t="s">
        <v>45</v>
      </c>
      <c r="E1638" s="644" t="s">
        <v>2038</v>
      </c>
      <c r="F1638" s="577" t="s">
        <v>124</v>
      </c>
      <c r="G1638" s="577">
        <v>9847830350</v>
      </c>
      <c r="I1638" s="577">
        <v>38</v>
      </c>
      <c r="J1638" s="577" t="s">
        <v>48</v>
      </c>
      <c r="K1638" s="577" t="s">
        <v>53</v>
      </c>
      <c r="M1638" s="571" t="s">
        <v>119</v>
      </c>
      <c r="N1638" s="745">
        <v>65033</v>
      </c>
      <c r="O1638" s="645"/>
      <c r="P1638" s="514">
        <v>65048</v>
      </c>
      <c r="Q1638" s="512" t="s">
        <v>51</v>
      </c>
    </row>
    <row r="1639" spans="1:19">
      <c r="A1639" s="512">
        <f t="shared" si="18"/>
        <v>792</v>
      </c>
      <c r="B1639" s="434" t="s">
        <v>43</v>
      </c>
      <c r="C1639" s="434" t="s">
        <v>44</v>
      </c>
      <c r="D1639" s="434" t="s">
        <v>45</v>
      </c>
      <c r="E1639" s="644" t="s">
        <v>2039</v>
      </c>
      <c r="F1639" s="577" t="s">
        <v>502</v>
      </c>
      <c r="G1639" s="577">
        <v>9823359667</v>
      </c>
      <c r="I1639" s="577">
        <v>30</v>
      </c>
      <c r="J1639" s="577" t="s">
        <v>90</v>
      </c>
      <c r="K1639" s="577" t="s">
        <v>53</v>
      </c>
      <c r="M1639" s="571" t="s">
        <v>119</v>
      </c>
      <c r="N1639" s="745">
        <v>65033</v>
      </c>
      <c r="O1639" s="645"/>
      <c r="P1639" s="514">
        <v>65048</v>
      </c>
      <c r="Q1639" s="512" t="s">
        <v>51</v>
      </c>
    </row>
    <row r="1640" spans="1:19">
      <c r="A1640" s="512">
        <f t="shared" si="18"/>
        <v>793</v>
      </c>
      <c r="B1640" s="434" t="s">
        <v>43</v>
      </c>
      <c r="C1640" s="434" t="s">
        <v>44</v>
      </c>
      <c r="D1640" s="434" t="s">
        <v>45</v>
      </c>
      <c r="E1640" s="644" t="s">
        <v>2040</v>
      </c>
      <c r="F1640" s="577" t="s">
        <v>441</v>
      </c>
      <c r="G1640" s="577">
        <v>9828742579</v>
      </c>
      <c r="I1640" s="577">
        <v>40</v>
      </c>
      <c r="J1640" s="577" t="s">
        <v>48</v>
      </c>
      <c r="K1640" s="577" t="s">
        <v>53</v>
      </c>
      <c r="M1640" s="571" t="s">
        <v>119</v>
      </c>
      <c r="N1640" s="745">
        <v>65033</v>
      </c>
      <c r="O1640" s="645"/>
      <c r="P1640" s="514">
        <v>65048</v>
      </c>
      <c r="Q1640" s="512" t="s">
        <v>51</v>
      </c>
    </row>
    <row r="1641" spans="1:19" ht="15.75">
      <c r="A1641" s="512">
        <f t="shared" si="18"/>
        <v>794</v>
      </c>
      <c r="B1641" s="434" t="s">
        <v>43</v>
      </c>
      <c r="C1641" s="644" t="s">
        <v>44</v>
      </c>
      <c r="D1641" s="644" t="s">
        <v>45</v>
      </c>
      <c r="E1641" s="644" t="s">
        <v>2106</v>
      </c>
      <c r="F1641" s="646" t="s">
        <v>502</v>
      </c>
      <c r="G1641" s="577">
        <v>9847835768</v>
      </c>
      <c r="H1641" s="644"/>
      <c r="I1641" s="577">
        <v>43</v>
      </c>
      <c r="J1641" s="577" t="s">
        <v>90</v>
      </c>
      <c r="K1641" s="577" t="s">
        <v>1480</v>
      </c>
      <c r="M1641" s="571" t="s">
        <v>119</v>
      </c>
      <c r="N1641" s="759">
        <v>65033</v>
      </c>
      <c r="O1641" s="647">
        <v>65033</v>
      </c>
      <c r="P1641" s="514">
        <v>65048</v>
      </c>
      <c r="Q1641" s="512" t="s">
        <v>51</v>
      </c>
    </row>
    <row r="1642" spans="1:19">
      <c r="A1642" s="512">
        <f t="shared" si="18"/>
        <v>795</v>
      </c>
      <c r="B1642" s="434" t="s">
        <v>43</v>
      </c>
      <c r="C1642" s="434" t="s">
        <v>44</v>
      </c>
      <c r="D1642" s="434" t="s">
        <v>45</v>
      </c>
      <c r="E1642" s="648" t="s">
        <v>2033</v>
      </c>
      <c r="F1642" s="649" t="s">
        <v>557</v>
      </c>
      <c r="G1642" s="649">
        <v>9857860060</v>
      </c>
      <c r="H1642" s="140"/>
      <c r="I1642" s="649">
        <v>22</v>
      </c>
      <c r="J1642" s="616" t="s">
        <v>90</v>
      </c>
      <c r="K1642" s="650" t="s">
        <v>1950</v>
      </c>
      <c r="L1642" s="643"/>
      <c r="M1642" s="571" t="s">
        <v>1764</v>
      </c>
      <c r="N1642" s="730">
        <v>65033</v>
      </c>
      <c r="O1642" s="617">
        <v>65033</v>
      </c>
      <c r="P1642" s="514">
        <v>65048</v>
      </c>
      <c r="Q1642" s="512" t="s">
        <v>51</v>
      </c>
    </row>
    <row r="1643" spans="1:19">
      <c r="A1643" s="512">
        <f t="shared" si="18"/>
        <v>796</v>
      </c>
      <c r="B1643" s="434" t="s">
        <v>43</v>
      </c>
      <c r="C1643" s="434" t="s">
        <v>44</v>
      </c>
      <c r="D1643" s="434" t="s">
        <v>45</v>
      </c>
      <c r="E1643" s="644" t="s">
        <v>2041</v>
      </c>
      <c r="F1643" s="577" t="s">
        <v>529</v>
      </c>
      <c r="G1643" s="577">
        <v>9810807624</v>
      </c>
      <c r="I1643" s="577">
        <v>35</v>
      </c>
      <c r="J1643" s="577" t="s">
        <v>90</v>
      </c>
      <c r="K1643" s="577" t="s">
        <v>53</v>
      </c>
      <c r="M1643" s="571" t="s">
        <v>119</v>
      </c>
      <c r="N1643" s="745">
        <v>65033</v>
      </c>
      <c r="O1643" s="645"/>
      <c r="P1643" s="514">
        <v>65048</v>
      </c>
      <c r="Q1643" s="512" t="s">
        <v>51</v>
      </c>
    </row>
    <row r="1644" spans="1:19">
      <c r="A1644" s="512">
        <f t="shared" si="18"/>
        <v>797</v>
      </c>
      <c r="B1644" s="434" t="s">
        <v>43</v>
      </c>
      <c r="C1644" s="434" t="s">
        <v>44</v>
      </c>
      <c r="D1644" s="434" t="s">
        <v>45</v>
      </c>
      <c r="E1644" s="644" t="s">
        <v>2042</v>
      </c>
      <c r="F1644" s="577" t="s">
        <v>502</v>
      </c>
      <c r="G1644" s="577">
        <v>9844913981</v>
      </c>
      <c r="I1644" s="577">
        <v>29</v>
      </c>
      <c r="J1644" s="577" t="s">
        <v>90</v>
      </c>
      <c r="K1644" s="577" t="s">
        <v>53</v>
      </c>
      <c r="M1644" s="571" t="s">
        <v>119</v>
      </c>
      <c r="N1644" s="745">
        <v>65033</v>
      </c>
      <c r="O1644" s="645"/>
      <c r="P1644" s="514">
        <v>65048</v>
      </c>
      <c r="Q1644" s="512" t="s">
        <v>51</v>
      </c>
    </row>
    <row r="1645" spans="1:19">
      <c r="A1645" s="512">
        <f t="shared" si="18"/>
        <v>798</v>
      </c>
      <c r="B1645" s="434" t="s">
        <v>43</v>
      </c>
      <c r="C1645" s="434" t="s">
        <v>44</v>
      </c>
      <c r="D1645" s="434" t="s">
        <v>45</v>
      </c>
      <c r="E1645" s="644" t="s">
        <v>2043</v>
      </c>
      <c r="F1645" s="577" t="s">
        <v>730</v>
      </c>
      <c r="G1645" s="577">
        <v>9843654711</v>
      </c>
      <c r="I1645" s="577">
        <v>45</v>
      </c>
      <c r="J1645" s="577" t="s">
        <v>90</v>
      </c>
      <c r="K1645" s="577" t="s">
        <v>53</v>
      </c>
      <c r="M1645" s="571" t="s">
        <v>119</v>
      </c>
      <c r="N1645" s="745">
        <v>65033</v>
      </c>
      <c r="O1645" s="645"/>
      <c r="P1645" s="514">
        <v>65048</v>
      </c>
      <c r="Q1645" s="512" t="s">
        <v>51</v>
      </c>
    </row>
    <row r="1646" spans="1:19">
      <c r="A1646" s="512">
        <f t="shared" si="18"/>
        <v>799</v>
      </c>
      <c r="B1646" s="434" t="s">
        <v>43</v>
      </c>
      <c r="C1646" s="434" t="s">
        <v>44</v>
      </c>
      <c r="D1646" s="434" t="s">
        <v>45</v>
      </c>
      <c r="E1646" s="644" t="s">
        <v>2044</v>
      </c>
      <c r="F1646" s="577" t="s">
        <v>1204</v>
      </c>
      <c r="G1646" s="577">
        <v>9866966609</v>
      </c>
      <c r="I1646" s="577">
        <v>64</v>
      </c>
      <c r="J1646" s="577" t="s">
        <v>90</v>
      </c>
      <c r="K1646" s="577" t="s">
        <v>1459</v>
      </c>
      <c r="M1646" s="571" t="s">
        <v>119</v>
      </c>
      <c r="N1646" s="745">
        <v>65033</v>
      </c>
      <c r="O1646" s="645"/>
      <c r="P1646" s="514">
        <v>65048</v>
      </c>
      <c r="Q1646" s="512" t="s">
        <v>51</v>
      </c>
    </row>
    <row r="1647" spans="1:19">
      <c r="A1647" s="512">
        <f t="shared" si="18"/>
        <v>800</v>
      </c>
      <c r="B1647" s="434" t="s">
        <v>43</v>
      </c>
      <c r="C1647" s="434" t="s">
        <v>44</v>
      </c>
      <c r="D1647" s="434" t="s">
        <v>45</v>
      </c>
      <c r="E1647" s="651" t="s">
        <v>91</v>
      </c>
      <c r="F1647" s="577" t="s">
        <v>1046</v>
      </c>
      <c r="G1647" s="577">
        <v>9810950222</v>
      </c>
      <c r="I1647" s="577">
        <v>23</v>
      </c>
      <c r="J1647" s="577" t="s">
        <v>48</v>
      </c>
      <c r="K1647" s="577" t="s">
        <v>53</v>
      </c>
      <c r="M1647" s="571" t="s">
        <v>119</v>
      </c>
      <c r="N1647" s="745">
        <v>65033</v>
      </c>
      <c r="O1647" s="645"/>
      <c r="P1647" s="514">
        <v>65048</v>
      </c>
      <c r="Q1647" s="512" t="s">
        <v>51</v>
      </c>
    </row>
    <row r="1648" spans="1:19">
      <c r="A1648" s="512">
        <f t="shared" si="18"/>
        <v>801</v>
      </c>
      <c r="B1648" s="434" t="s">
        <v>43</v>
      </c>
      <c r="C1648" s="434" t="s">
        <v>44</v>
      </c>
      <c r="D1648" s="434" t="s">
        <v>45</v>
      </c>
      <c r="E1648" s="644" t="s">
        <v>2045</v>
      </c>
      <c r="F1648" s="577" t="s">
        <v>124</v>
      </c>
      <c r="G1648" s="577">
        <v>9844712680</v>
      </c>
      <c r="I1648" s="577">
        <v>54</v>
      </c>
      <c r="J1648" s="577" t="s">
        <v>90</v>
      </c>
      <c r="K1648" s="577" t="s">
        <v>53</v>
      </c>
      <c r="M1648" s="571" t="s">
        <v>119</v>
      </c>
      <c r="N1648" s="745">
        <v>65033</v>
      </c>
      <c r="O1648" s="645"/>
      <c r="P1648" s="514">
        <v>65048</v>
      </c>
      <c r="Q1648" s="512" t="s">
        <v>51</v>
      </c>
    </row>
    <row r="1649" spans="1:19">
      <c r="A1649" s="512">
        <f t="shared" si="18"/>
        <v>802</v>
      </c>
      <c r="B1649" s="434" t="s">
        <v>43</v>
      </c>
      <c r="C1649" s="434" t="s">
        <v>44</v>
      </c>
      <c r="D1649" s="434" t="s">
        <v>45</v>
      </c>
      <c r="E1649" s="644" t="s">
        <v>2046</v>
      </c>
      <c r="F1649" s="577" t="s">
        <v>502</v>
      </c>
      <c r="G1649" s="577">
        <v>9843833524</v>
      </c>
      <c r="I1649" s="577">
        <v>25</v>
      </c>
      <c r="J1649" s="577" t="s">
        <v>90</v>
      </c>
      <c r="K1649" s="577" t="s">
        <v>53</v>
      </c>
      <c r="M1649" s="571" t="s">
        <v>119</v>
      </c>
      <c r="N1649" s="745">
        <v>65033</v>
      </c>
      <c r="O1649" s="645"/>
      <c r="P1649" s="514">
        <v>65048</v>
      </c>
      <c r="Q1649" s="512" t="s">
        <v>51</v>
      </c>
    </row>
    <row r="1650" spans="1:19">
      <c r="A1650" s="512">
        <f t="shared" si="18"/>
        <v>803</v>
      </c>
      <c r="B1650" s="434" t="s">
        <v>43</v>
      </c>
      <c r="C1650" s="434" t="s">
        <v>44</v>
      </c>
      <c r="D1650" s="434" t="s">
        <v>45</v>
      </c>
      <c r="E1650" s="644" t="s">
        <v>2047</v>
      </c>
      <c r="F1650" s="577" t="s">
        <v>502</v>
      </c>
      <c r="G1650" s="577">
        <v>9866874502</v>
      </c>
      <c r="I1650" s="577">
        <v>35</v>
      </c>
      <c r="J1650" s="577" t="s">
        <v>90</v>
      </c>
      <c r="K1650" s="577" t="s">
        <v>53</v>
      </c>
      <c r="M1650" s="571" t="s">
        <v>119</v>
      </c>
      <c r="N1650" s="745">
        <v>65033</v>
      </c>
      <c r="O1650" s="645"/>
      <c r="P1650" s="514">
        <v>65048</v>
      </c>
      <c r="Q1650" s="512" t="s">
        <v>51</v>
      </c>
    </row>
    <row r="1651" spans="1:19">
      <c r="A1651" s="512">
        <f t="shared" si="18"/>
        <v>804</v>
      </c>
      <c r="B1651" s="434" t="s">
        <v>43</v>
      </c>
      <c r="C1651" s="434" t="s">
        <v>44</v>
      </c>
      <c r="D1651" s="434" t="s">
        <v>45</v>
      </c>
      <c r="E1651" s="648" t="s">
        <v>2034</v>
      </c>
      <c r="F1651" s="649" t="s">
        <v>1204</v>
      </c>
      <c r="G1651" s="649">
        <v>9822843048</v>
      </c>
      <c r="H1651" s="140"/>
      <c r="I1651" s="649">
        <v>57</v>
      </c>
      <c r="J1651" s="616" t="s">
        <v>90</v>
      </c>
      <c r="K1651" s="650" t="s">
        <v>1950</v>
      </c>
      <c r="L1651" s="643"/>
      <c r="M1651" s="571" t="s">
        <v>1764</v>
      </c>
      <c r="N1651" s="730">
        <v>65033</v>
      </c>
      <c r="O1651" s="617">
        <v>65033</v>
      </c>
      <c r="P1651" s="514">
        <v>65048</v>
      </c>
      <c r="Q1651" s="512" t="s">
        <v>51</v>
      </c>
    </row>
    <row r="1652" spans="1:19">
      <c r="A1652" s="512">
        <f t="shared" si="18"/>
        <v>805</v>
      </c>
      <c r="B1652" s="434" t="s">
        <v>43</v>
      </c>
      <c r="C1652" s="434" t="s">
        <v>44</v>
      </c>
      <c r="D1652" s="434" t="s">
        <v>45</v>
      </c>
      <c r="E1652" s="644" t="s">
        <v>2048</v>
      </c>
      <c r="F1652" s="577" t="s">
        <v>502</v>
      </c>
      <c r="G1652" s="577">
        <v>9809841362</v>
      </c>
      <c r="I1652" s="577">
        <v>12</v>
      </c>
      <c r="J1652" s="577" t="s">
        <v>90</v>
      </c>
      <c r="K1652" s="577" t="s">
        <v>53</v>
      </c>
      <c r="M1652" s="571" t="s">
        <v>119</v>
      </c>
      <c r="N1652" s="745">
        <v>65033</v>
      </c>
      <c r="O1652" s="645"/>
      <c r="P1652" s="514">
        <v>65048</v>
      </c>
      <c r="Q1652" s="512" t="s">
        <v>51</v>
      </c>
    </row>
    <row r="1653" spans="1:19">
      <c r="A1653" s="512">
        <f t="shared" si="18"/>
        <v>806</v>
      </c>
      <c r="B1653" s="434" t="s">
        <v>43</v>
      </c>
      <c r="C1653" s="434" t="s">
        <v>44</v>
      </c>
      <c r="D1653" s="434" t="s">
        <v>45</v>
      </c>
      <c r="E1653" s="140" t="s">
        <v>2015</v>
      </c>
      <c r="F1653" s="616" t="s">
        <v>441</v>
      </c>
      <c r="G1653" s="616">
        <v>9841882294</v>
      </c>
      <c r="H1653" s="140"/>
      <c r="I1653" s="616">
        <v>33</v>
      </c>
      <c r="J1653" s="616" t="s">
        <v>48</v>
      </c>
      <c r="K1653" s="577" t="s">
        <v>53</v>
      </c>
      <c r="L1653" s="643"/>
      <c r="M1653" s="571" t="s">
        <v>1764</v>
      </c>
      <c r="N1653" s="730">
        <v>65033</v>
      </c>
      <c r="O1653" s="617">
        <v>65033</v>
      </c>
      <c r="P1653" s="514">
        <v>65048</v>
      </c>
      <c r="Q1653" s="512" t="s">
        <v>51</v>
      </c>
    </row>
    <row r="1654" spans="1:19" s="163" customFormat="1">
      <c r="A1654" s="512">
        <f t="shared" si="18"/>
        <v>807</v>
      </c>
      <c r="B1654" s="434" t="s">
        <v>43</v>
      </c>
      <c r="C1654" s="434" t="s">
        <v>44</v>
      </c>
      <c r="D1654" s="434" t="s">
        <v>45</v>
      </c>
      <c r="E1654" s="648" t="s">
        <v>2023</v>
      </c>
      <c r="F1654" s="649" t="s">
        <v>502</v>
      </c>
      <c r="G1654" s="649">
        <v>9809837070</v>
      </c>
      <c r="H1654" s="140"/>
      <c r="I1654" s="649">
        <v>21</v>
      </c>
      <c r="J1654" s="616" t="s">
        <v>48</v>
      </c>
      <c r="K1654" s="650" t="s">
        <v>1950</v>
      </c>
      <c r="L1654" s="643"/>
      <c r="M1654" s="571" t="s">
        <v>1764</v>
      </c>
      <c r="N1654" s="730">
        <v>65033</v>
      </c>
      <c r="O1654" s="617">
        <v>65033</v>
      </c>
      <c r="P1654" s="514">
        <v>65048</v>
      </c>
      <c r="Q1654" s="512" t="s">
        <v>51</v>
      </c>
      <c r="R1654" s="322"/>
      <c r="S1654" s="322"/>
    </row>
    <row r="1655" spans="1:19" ht="15.75">
      <c r="A1655" s="512">
        <f t="shared" si="18"/>
        <v>808</v>
      </c>
      <c r="B1655" s="434" t="s">
        <v>43</v>
      </c>
      <c r="C1655" s="644" t="s">
        <v>44</v>
      </c>
      <c r="D1655" s="644" t="s">
        <v>45</v>
      </c>
      <c r="E1655" s="644" t="s">
        <v>2107</v>
      </c>
      <c r="F1655" s="646" t="s">
        <v>502</v>
      </c>
      <c r="G1655" s="577">
        <v>9847824631</v>
      </c>
      <c r="H1655" s="644"/>
      <c r="I1655" s="577">
        <v>65</v>
      </c>
      <c r="J1655" s="577" t="s">
        <v>90</v>
      </c>
      <c r="K1655" s="577" t="s">
        <v>1480</v>
      </c>
      <c r="M1655" s="577"/>
      <c r="N1655" s="759">
        <v>65033</v>
      </c>
      <c r="O1655" s="647">
        <v>65033</v>
      </c>
      <c r="P1655" s="514">
        <v>65048</v>
      </c>
      <c r="Q1655" s="512" t="s">
        <v>51</v>
      </c>
      <c r="R1655" s="163"/>
      <c r="S1655" s="163"/>
    </row>
    <row r="1656" spans="1:19" ht="15.75">
      <c r="A1656" s="512">
        <f t="shared" si="18"/>
        <v>809</v>
      </c>
      <c r="B1656" s="438" t="s">
        <v>43</v>
      </c>
      <c r="C1656" s="640" t="s">
        <v>44</v>
      </c>
      <c r="D1656" s="640" t="s">
        <v>45</v>
      </c>
      <c r="E1656" s="652" t="s">
        <v>2108</v>
      </c>
      <c r="F1656" s="642" t="s">
        <v>502</v>
      </c>
      <c r="G1656" s="635"/>
      <c r="H1656" s="640"/>
      <c r="I1656" s="635">
        <v>30</v>
      </c>
      <c r="J1656" s="635" t="s">
        <v>48</v>
      </c>
      <c r="K1656" s="635" t="s">
        <v>53</v>
      </c>
      <c r="L1656" s="438"/>
      <c r="M1656" s="592" t="s">
        <v>54</v>
      </c>
      <c r="N1656" s="748">
        <v>65033</v>
      </c>
      <c r="O1656" s="593">
        <v>65033</v>
      </c>
      <c r="P1656" s="465">
        <v>65061</v>
      </c>
      <c r="Q1656" s="436" t="s">
        <v>51</v>
      </c>
    </row>
    <row r="1657" spans="1:19" s="163" customFormat="1">
      <c r="A1657" s="512">
        <f t="shared" si="18"/>
        <v>810</v>
      </c>
      <c r="B1657" s="434" t="s">
        <v>43</v>
      </c>
      <c r="C1657" s="434" t="s">
        <v>44</v>
      </c>
      <c r="D1657" s="434" t="s">
        <v>45</v>
      </c>
      <c r="E1657" s="644" t="s">
        <v>2049</v>
      </c>
      <c r="F1657" s="577" t="s">
        <v>441</v>
      </c>
      <c r="G1657" s="577">
        <v>9828742579</v>
      </c>
      <c r="H1657" s="432"/>
      <c r="I1657" s="577">
        <v>63</v>
      </c>
      <c r="J1657" s="577" t="s">
        <v>90</v>
      </c>
      <c r="K1657" s="577" t="s">
        <v>53</v>
      </c>
      <c r="L1657" s="434"/>
      <c r="M1657" s="571" t="s">
        <v>119</v>
      </c>
      <c r="N1657" s="745">
        <v>65033</v>
      </c>
      <c r="O1657" s="645"/>
      <c r="P1657" s="514">
        <v>65048</v>
      </c>
      <c r="Q1657" s="512" t="s">
        <v>51</v>
      </c>
      <c r="R1657" s="322"/>
      <c r="S1657" s="322"/>
    </row>
    <row r="1658" spans="1:19">
      <c r="A1658" s="512">
        <f t="shared" si="18"/>
        <v>811</v>
      </c>
      <c r="B1658" s="434" t="s">
        <v>43</v>
      </c>
      <c r="C1658" s="434" t="s">
        <v>44</v>
      </c>
      <c r="D1658" s="434" t="s">
        <v>45</v>
      </c>
      <c r="E1658" s="644" t="s">
        <v>2050</v>
      </c>
      <c r="F1658" s="577" t="s">
        <v>730</v>
      </c>
      <c r="G1658" s="577">
        <v>9867106550</v>
      </c>
      <c r="I1658" s="577">
        <v>42</v>
      </c>
      <c r="J1658" s="577" t="s">
        <v>48</v>
      </c>
      <c r="K1658" s="577" t="s">
        <v>53</v>
      </c>
      <c r="M1658" s="571" t="s">
        <v>119</v>
      </c>
      <c r="N1658" s="745">
        <v>65033</v>
      </c>
      <c r="O1658" s="645"/>
      <c r="P1658" s="514">
        <v>65048</v>
      </c>
      <c r="Q1658" s="512" t="s">
        <v>51</v>
      </c>
      <c r="R1658" s="163"/>
      <c r="S1658" s="163"/>
    </row>
    <row r="1659" spans="1:19" ht="15.75">
      <c r="A1659" s="512">
        <f t="shared" si="18"/>
        <v>812</v>
      </c>
      <c r="B1659" s="438" t="s">
        <v>43</v>
      </c>
      <c r="C1659" s="640" t="s">
        <v>44</v>
      </c>
      <c r="D1659" s="640" t="s">
        <v>45</v>
      </c>
      <c r="E1659" s="640" t="s">
        <v>2109</v>
      </c>
      <c r="F1659" s="642" t="s">
        <v>502</v>
      </c>
      <c r="G1659" s="635"/>
      <c r="H1659" s="640"/>
      <c r="I1659" s="635">
        <v>40</v>
      </c>
      <c r="J1659" s="635" t="s">
        <v>48</v>
      </c>
      <c r="K1659" s="635" t="s">
        <v>53</v>
      </c>
      <c r="L1659" s="438"/>
      <c r="M1659" s="592" t="s">
        <v>54</v>
      </c>
      <c r="N1659" s="748">
        <v>65033</v>
      </c>
      <c r="O1659" s="593">
        <v>65033</v>
      </c>
      <c r="P1659" s="465">
        <v>65061</v>
      </c>
      <c r="Q1659" s="436" t="s">
        <v>51</v>
      </c>
    </row>
    <row r="1660" spans="1:19" s="163" customFormat="1" ht="15.75">
      <c r="A1660" s="512">
        <f t="shared" si="18"/>
        <v>813</v>
      </c>
      <c r="B1660" s="434" t="s">
        <v>43</v>
      </c>
      <c r="C1660" s="644" t="s">
        <v>44</v>
      </c>
      <c r="D1660" s="644" t="s">
        <v>45</v>
      </c>
      <c r="E1660" s="644" t="s">
        <v>2110</v>
      </c>
      <c r="F1660" s="646" t="s">
        <v>502</v>
      </c>
      <c r="G1660" s="577">
        <v>9844977999</v>
      </c>
      <c r="H1660" s="644"/>
      <c r="I1660" s="577">
        <v>30</v>
      </c>
      <c r="J1660" s="577" t="s">
        <v>90</v>
      </c>
      <c r="K1660" s="577" t="s">
        <v>1459</v>
      </c>
      <c r="L1660" s="434"/>
      <c r="M1660" s="577"/>
      <c r="N1660" s="759">
        <v>65033</v>
      </c>
      <c r="O1660" s="647">
        <v>65033</v>
      </c>
      <c r="P1660" s="459">
        <v>65074</v>
      </c>
      <c r="Q1660" s="436" t="s">
        <v>51</v>
      </c>
      <c r="R1660" s="322"/>
      <c r="S1660" s="322"/>
    </row>
    <row r="1661" spans="1:19">
      <c r="A1661" s="512">
        <f t="shared" si="18"/>
        <v>814</v>
      </c>
      <c r="B1661" s="434" t="s">
        <v>43</v>
      </c>
      <c r="C1661" s="434" t="s">
        <v>44</v>
      </c>
      <c r="D1661" s="434" t="s">
        <v>45</v>
      </c>
      <c r="E1661" s="644" t="s">
        <v>2051</v>
      </c>
      <c r="F1661" s="577" t="s">
        <v>529</v>
      </c>
      <c r="G1661" s="577">
        <v>9847814717</v>
      </c>
      <c r="I1661" s="577">
        <v>42</v>
      </c>
      <c r="J1661" s="577" t="s">
        <v>48</v>
      </c>
      <c r="K1661" s="577" t="s">
        <v>53</v>
      </c>
      <c r="M1661" s="571" t="s">
        <v>119</v>
      </c>
      <c r="N1661" s="745">
        <v>65033</v>
      </c>
      <c r="O1661" s="645"/>
      <c r="P1661" s="514">
        <v>65048</v>
      </c>
      <c r="Q1661" s="512" t="s">
        <v>51</v>
      </c>
      <c r="R1661" s="163"/>
      <c r="S1661" s="163"/>
    </row>
    <row r="1662" spans="1:19" s="163" customFormat="1" ht="15.75">
      <c r="A1662" s="512">
        <f t="shared" si="18"/>
        <v>815</v>
      </c>
      <c r="B1662" s="438" t="s">
        <v>43</v>
      </c>
      <c r="C1662" s="438" t="s">
        <v>44</v>
      </c>
      <c r="D1662" s="438" t="s">
        <v>45</v>
      </c>
      <c r="E1662" s="640" t="s">
        <v>2052</v>
      </c>
      <c r="F1662" s="635" t="s">
        <v>502</v>
      </c>
      <c r="G1662" s="635"/>
      <c r="H1662" s="436"/>
      <c r="I1662" s="635">
        <v>59</v>
      </c>
      <c r="J1662" s="635" t="s">
        <v>48</v>
      </c>
      <c r="K1662" s="635" t="s">
        <v>53</v>
      </c>
      <c r="L1662" s="438"/>
      <c r="M1662" s="592" t="s">
        <v>54</v>
      </c>
      <c r="N1662" s="748">
        <v>65033</v>
      </c>
      <c r="O1662" s="593">
        <v>65033</v>
      </c>
      <c r="P1662" s="465">
        <v>65061</v>
      </c>
      <c r="Q1662" s="436" t="s">
        <v>51</v>
      </c>
      <c r="R1662" s="322"/>
      <c r="S1662" s="322"/>
    </row>
    <row r="1663" spans="1:19">
      <c r="A1663" s="512">
        <f t="shared" si="18"/>
        <v>816</v>
      </c>
      <c r="B1663" s="434" t="s">
        <v>43</v>
      </c>
      <c r="C1663" s="434" t="s">
        <v>44</v>
      </c>
      <c r="D1663" s="434" t="s">
        <v>45</v>
      </c>
      <c r="E1663" s="648" t="s">
        <v>2024</v>
      </c>
      <c r="F1663" s="649" t="s">
        <v>730</v>
      </c>
      <c r="G1663" s="649">
        <v>9857825401</v>
      </c>
      <c r="H1663" s="140"/>
      <c r="I1663" s="649">
        <v>40</v>
      </c>
      <c r="J1663" s="616" t="s">
        <v>48</v>
      </c>
      <c r="K1663" s="650" t="s">
        <v>1950</v>
      </c>
      <c r="L1663" s="643"/>
      <c r="M1663" s="571" t="s">
        <v>1764</v>
      </c>
      <c r="N1663" s="730">
        <v>65033</v>
      </c>
      <c r="O1663" s="617">
        <v>65033</v>
      </c>
      <c r="P1663" s="514">
        <v>65048</v>
      </c>
      <c r="Q1663" s="512" t="s">
        <v>51</v>
      </c>
      <c r="R1663" s="163"/>
      <c r="S1663" s="163"/>
    </row>
    <row r="1664" spans="1:19" ht="15.75">
      <c r="A1664" s="512">
        <f t="shared" si="18"/>
        <v>817</v>
      </c>
      <c r="B1664" s="438" t="s">
        <v>43</v>
      </c>
      <c r="C1664" s="640" t="s">
        <v>44</v>
      </c>
      <c r="D1664" s="640" t="s">
        <v>45</v>
      </c>
      <c r="E1664" s="640" t="s">
        <v>2111</v>
      </c>
      <c r="F1664" s="642" t="s">
        <v>502</v>
      </c>
      <c r="G1664" s="635"/>
      <c r="H1664" s="640"/>
      <c r="I1664" s="635">
        <v>50</v>
      </c>
      <c r="J1664" s="635" t="s">
        <v>48</v>
      </c>
      <c r="K1664" s="635" t="s">
        <v>53</v>
      </c>
      <c r="L1664" s="438"/>
      <c r="M1664" s="592" t="s">
        <v>54</v>
      </c>
      <c r="N1664" s="748">
        <v>65033</v>
      </c>
      <c r="O1664" s="593">
        <v>65033</v>
      </c>
      <c r="P1664" s="465">
        <v>65061</v>
      </c>
      <c r="Q1664" s="436" t="s">
        <v>51</v>
      </c>
    </row>
    <row r="1665" spans="1:19">
      <c r="A1665" s="512">
        <f t="shared" si="18"/>
        <v>818</v>
      </c>
      <c r="B1665" s="434" t="s">
        <v>43</v>
      </c>
      <c r="C1665" s="434" t="s">
        <v>44</v>
      </c>
      <c r="D1665" s="434" t="s">
        <v>45</v>
      </c>
      <c r="E1665" s="644" t="s">
        <v>2053</v>
      </c>
      <c r="F1665" s="577" t="s">
        <v>502</v>
      </c>
      <c r="G1665" s="577">
        <v>9816561712</v>
      </c>
      <c r="I1665" s="577">
        <v>27</v>
      </c>
      <c r="J1665" s="577" t="s">
        <v>90</v>
      </c>
      <c r="K1665" s="577" t="s">
        <v>53</v>
      </c>
      <c r="M1665" s="571" t="s">
        <v>119</v>
      </c>
      <c r="N1665" s="745">
        <v>65033</v>
      </c>
      <c r="O1665" s="645"/>
      <c r="P1665" s="514">
        <v>65048</v>
      </c>
      <c r="Q1665" s="512" t="s">
        <v>51</v>
      </c>
    </row>
    <row r="1666" spans="1:19" s="163" customFormat="1">
      <c r="A1666" s="512">
        <f t="shared" si="18"/>
        <v>819</v>
      </c>
      <c r="B1666" s="434" t="s">
        <v>43</v>
      </c>
      <c r="C1666" s="434" t="s">
        <v>44</v>
      </c>
      <c r="D1666" s="434" t="s">
        <v>45</v>
      </c>
      <c r="E1666" s="644" t="s">
        <v>2054</v>
      </c>
      <c r="F1666" s="577" t="s">
        <v>1046</v>
      </c>
      <c r="G1666" s="577">
        <v>9864355220</v>
      </c>
      <c r="H1666" s="432"/>
      <c r="I1666" s="577">
        <v>26</v>
      </c>
      <c r="J1666" s="577" t="s">
        <v>48</v>
      </c>
      <c r="K1666" s="577" t="s">
        <v>53</v>
      </c>
      <c r="L1666" s="434"/>
      <c r="M1666" s="571" t="s">
        <v>119</v>
      </c>
      <c r="N1666" s="745">
        <v>65033</v>
      </c>
      <c r="O1666" s="645"/>
      <c r="P1666" s="514">
        <v>65048</v>
      </c>
      <c r="Q1666" s="512" t="s">
        <v>51</v>
      </c>
      <c r="R1666" s="322"/>
      <c r="S1666" s="322"/>
    </row>
    <row r="1667" spans="1:19">
      <c r="A1667" s="512">
        <f t="shared" si="18"/>
        <v>820</v>
      </c>
      <c r="B1667" s="434" t="s">
        <v>43</v>
      </c>
      <c r="C1667" s="434" t="s">
        <v>44</v>
      </c>
      <c r="D1667" s="434" t="s">
        <v>45</v>
      </c>
      <c r="E1667" s="644" t="s">
        <v>2055</v>
      </c>
      <c r="F1667" s="577" t="s">
        <v>730</v>
      </c>
      <c r="G1667" s="577">
        <v>9825736947</v>
      </c>
      <c r="I1667" s="577">
        <v>21</v>
      </c>
      <c r="J1667" s="577" t="s">
        <v>90</v>
      </c>
      <c r="K1667" s="577" t="s">
        <v>53</v>
      </c>
      <c r="M1667" s="571" t="s">
        <v>119</v>
      </c>
      <c r="N1667" s="745">
        <v>65033</v>
      </c>
      <c r="O1667" s="645"/>
      <c r="P1667" s="514">
        <v>65048</v>
      </c>
      <c r="Q1667" s="512" t="s">
        <v>51</v>
      </c>
      <c r="R1667" s="163"/>
      <c r="S1667" s="163"/>
    </row>
    <row r="1668" spans="1:19" ht="15.75">
      <c r="A1668" s="512">
        <f t="shared" si="18"/>
        <v>821</v>
      </c>
      <c r="B1668" s="438" t="s">
        <v>43</v>
      </c>
      <c r="C1668" s="438" t="s">
        <v>44</v>
      </c>
      <c r="D1668" s="438" t="s">
        <v>45</v>
      </c>
      <c r="E1668" s="640" t="s">
        <v>2056</v>
      </c>
      <c r="F1668" s="635" t="s">
        <v>502</v>
      </c>
      <c r="G1668" s="635"/>
      <c r="H1668" s="436"/>
      <c r="I1668" s="635">
        <v>61</v>
      </c>
      <c r="J1668" s="635" t="s">
        <v>48</v>
      </c>
      <c r="K1668" s="635" t="s">
        <v>53</v>
      </c>
      <c r="L1668" s="438"/>
      <c r="M1668" s="592" t="s">
        <v>54</v>
      </c>
      <c r="N1668" s="748">
        <v>65033</v>
      </c>
      <c r="O1668" s="593">
        <v>65033</v>
      </c>
      <c r="P1668" s="465">
        <v>65061</v>
      </c>
      <c r="Q1668" s="436" t="s">
        <v>51</v>
      </c>
    </row>
    <row r="1669" spans="1:19">
      <c r="A1669" s="512">
        <f t="shared" si="18"/>
        <v>822</v>
      </c>
      <c r="B1669" s="434" t="s">
        <v>43</v>
      </c>
      <c r="C1669" s="434" t="s">
        <v>44</v>
      </c>
      <c r="D1669" s="434" t="s">
        <v>45</v>
      </c>
      <c r="E1669" s="140" t="s">
        <v>2021</v>
      </c>
      <c r="F1669" s="616" t="s">
        <v>1009</v>
      </c>
      <c r="G1669" s="616">
        <v>9822891020</v>
      </c>
      <c r="H1669" s="140"/>
      <c r="I1669" s="616">
        <v>46</v>
      </c>
      <c r="J1669" s="616" t="s">
        <v>48</v>
      </c>
      <c r="K1669" s="577" t="s">
        <v>53</v>
      </c>
      <c r="L1669" s="643"/>
      <c r="M1669" s="571" t="s">
        <v>1764</v>
      </c>
      <c r="N1669" s="730">
        <v>65033</v>
      </c>
      <c r="O1669" s="617">
        <v>65033</v>
      </c>
      <c r="P1669" s="514">
        <v>65048</v>
      </c>
      <c r="Q1669" s="512" t="s">
        <v>51</v>
      </c>
    </row>
    <row r="1670" spans="1:19">
      <c r="A1670" s="512">
        <f t="shared" si="18"/>
        <v>823</v>
      </c>
      <c r="B1670" s="434" t="s">
        <v>43</v>
      </c>
      <c r="C1670" s="434" t="s">
        <v>44</v>
      </c>
      <c r="D1670" s="434" t="s">
        <v>45</v>
      </c>
      <c r="E1670" s="648" t="s">
        <v>2030</v>
      </c>
      <c r="F1670" s="649" t="s">
        <v>502</v>
      </c>
      <c r="G1670" s="649">
        <v>9866916204</v>
      </c>
      <c r="H1670" s="510"/>
      <c r="I1670" s="649">
        <v>32</v>
      </c>
      <c r="J1670" s="616" t="s">
        <v>90</v>
      </c>
      <c r="K1670" s="650" t="s">
        <v>1950</v>
      </c>
      <c r="L1670" s="643"/>
      <c r="M1670" s="571" t="s">
        <v>1764</v>
      </c>
      <c r="N1670" s="730">
        <v>65033</v>
      </c>
      <c r="O1670" s="617">
        <v>65033</v>
      </c>
      <c r="P1670" s="514">
        <v>65048</v>
      </c>
      <c r="Q1670" s="512" t="s">
        <v>51</v>
      </c>
    </row>
    <row r="1671" spans="1:19">
      <c r="A1671" s="512">
        <f t="shared" si="18"/>
        <v>824</v>
      </c>
      <c r="B1671" s="434" t="s">
        <v>43</v>
      </c>
      <c r="C1671" s="434" t="s">
        <v>44</v>
      </c>
      <c r="D1671" s="434" t="s">
        <v>45</v>
      </c>
      <c r="E1671" s="644" t="s">
        <v>2057</v>
      </c>
      <c r="F1671" s="577" t="s">
        <v>502</v>
      </c>
      <c r="G1671" s="577">
        <v>9829544702</v>
      </c>
      <c r="I1671" s="577">
        <v>19</v>
      </c>
      <c r="J1671" s="577" t="s">
        <v>90</v>
      </c>
      <c r="K1671" s="577" t="s">
        <v>53</v>
      </c>
      <c r="M1671" s="571" t="s">
        <v>119</v>
      </c>
      <c r="N1671" s="745">
        <v>65033</v>
      </c>
      <c r="O1671" s="645"/>
      <c r="P1671" s="514">
        <v>65048</v>
      </c>
      <c r="Q1671" s="512" t="s">
        <v>51</v>
      </c>
    </row>
    <row r="1672" spans="1:19" s="163" customFormat="1">
      <c r="A1672" s="512">
        <f t="shared" si="18"/>
        <v>825</v>
      </c>
      <c r="B1672" s="434" t="s">
        <v>43</v>
      </c>
      <c r="C1672" s="434" t="s">
        <v>44</v>
      </c>
      <c r="D1672" s="434" t="s">
        <v>45</v>
      </c>
      <c r="E1672" s="644" t="s">
        <v>2058</v>
      </c>
      <c r="F1672" s="577" t="s">
        <v>730</v>
      </c>
      <c r="G1672" s="577">
        <v>9809868923</v>
      </c>
      <c r="H1672" s="432"/>
      <c r="I1672" s="577">
        <v>45</v>
      </c>
      <c r="J1672" s="577" t="s">
        <v>48</v>
      </c>
      <c r="K1672" s="577" t="s">
        <v>1459</v>
      </c>
      <c r="L1672" s="434"/>
      <c r="M1672" s="571" t="s">
        <v>119</v>
      </c>
      <c r="N1672" s="745">
        <v>65033</v>
      </c>
      <c r="O1672" s="645"/>
      <c r="P1672" s="514">
        <v>65048</v>
      </c>
      <c r="Q1672" s="512" t="s">
        <v>51</v>
      </c>
      <c r="R1672" s="322"/>
      <c r="S1672" s="322"/>
    </row>
    <row r="1673" spans="1:19">
      <c r="A1673" s="512">
        <f t="shared" si="18"/>
        <v>826</v>
      </c>
      <c r="B1673" s="434" t="s">
        <v>43</v>
      </c>
      <c r="C1673" s="434" t="s">
        <v>44</v>
      </c>
      <c r="D1673" s="434" t="s">
        <v>45</v>
      </c>
      <c r="E1673" s="644" t="s">
        <v>2059</v>
      </c>
      <c r="F1673" s="577" t="s">
        <v>124</v>
      </c>
      <c r="G1673" s="577">
        <v>9866932577</v>
      </c>
      <c r="I1673" s="577">
        <v>35</v>
      </c>
      <c r="J1673" s="577" t="s">
        <v>90</v>
      </c>
      <c r="K1673" s="577" t="s">
        <v>1459</v>
      </c>
      <c r="M1673" s="571" t="s">
        <v>119</v>
      </c>
      <c r="N1673" s="745">
        <v>65033</v>
      </c>
      <c r="O1673" s="645"/>
      <c r="P1673" s="514">
        <v>65048</v>
      </c>
      <c r="Q1673" s="512" t="s">
        <v>51</v>
      </c>
      <c r="R1673" s="163"/>
      <c r="S1673" s="163"/>
    </row>
    <row r="1674" spans="1:19" ht="15.75">
      <c r="A1674" s="512">
        <f t="shared" si="18"/>
        <v>827</v>
      </c>
      <c r="B1674" s="438" t="s">
        <v>43</v>
      </c>
      <c r="C1674" s="438" t="s">
        <v>44</v>
      </c>
      <c r="D1674" s="438" t="s">
        <v>45</v>
      </c>
      <c r="E1674" s="640" t="s">
        <v>2060</v>
      </c>
      <c r="F1674" s="635" t="s">
        <v>502</v>
      </c>
      <c r="G1674" s="635"/>
      <c r="H1674" s="436"/>
      <c r="I1674" s="635">
        <v>51</v>
      </c>
      <c r="J1674" s="635" t="s">
        <v>48</v>
      </c>
      <c r="K1674" s="635" t="s">
        <v>53</v>
      </c>
      <c r="L1674" s="438"/>
      <c r="M1674" s="592" t="s">
        <v>54</v>
      </c>
      <c r="N1674" s="748">
        <v>65033</v>
      </c>
      <c r="O1674" s="593">
        <v>65033</v>
      </c>
      <c r="P1674" s="465">
        <v>65061</v>
      </c>
      <c r="Q1674" s="436" t="s">
        <v>51</v>
      </c>
    </row>
    <row r="1675" spans="1:19" s="163" customFormat="1">
      <c r="A1675" s="512">
        <f t="shared" si="18"/>
        <v>828</v>
      </c>
      <c r="B1675" s="434" t="s">
        <v>43</v>
      </c>
      <c r="C1675" s="434" t="s">
        <v>44</v>
      </c>
      <c r="D1675" s="434" t="s">
        <v>45</v>
      </c>
      <c r="E1675" s="644" t="s">
        <v>2061</v>
      </c>
      <c r="F1675" s="577" t="s">
        <v>441</v>
      </c>
      <c r="G1675" s="577">
        <v>9822853404</v>
      </c>
      <c r="H1675" s="432"/>
      <c r="I1675" s="577">
        <v>31</v>
      </c>
      <c r="J1675" s="577" t="s">
        <v>48</v>
      </c>
      <c r="K1675" s="577" t="s">
        <v>53</v>
      </c>
      <c r="L1675" s="434"/>
      <c r="M1675" s="571" t="s">
        <v>119</v>
      </c>
      <c r="N1675" s="745">
        <v>65033</v>
      </c>
      <c r="O1675" s="645"/>
      <c r="P1675" s="514">
        <v>65048</v>
      </c>
      <c r="Q1675" s="512" t="s">
        <v>51</v>
      </c>
      <c r="R1675" s="322"/>
      <c r="S1675" s="322"/>
    </row>
    <row r="1676" spans="1:19" s="163" customFormat="1">
      <c r="A1676" s="512">
        <f t="shared" si="18"/>
        <v>829</v>
      </c>
      <c r="B1676" s="434" t="s">
        <v>43</v>
      </c>
      <c r="C1676" s="434" t="s">
        <v>44</v>
      </c>
      <c r="D1676" s="434" t="s">
        <v>45</v>
      </c>
      <c r="E1676" s="644" t="s">
        <v>2062</v>
      </c>
      <c r="F1676" s="577" t="s">
        <v>502</v>
      </c>
      <c r="G1676" s="577">
        <v>9809841362</v>
      </c>
      <c r="H1676" s="432"/>
      <c r="I1676" s="577">
        <v>75</v>
      </c>
      <c r="J1676" s="577" t="s">
        <v>90</v>
      </c>
      <c r="K1676" s="577" t="s">
        <v>53</v>
      </c>
      <c r="L1676" s="434"/>
      <c r="M1676" s="571" t="s">
        <v>119</v>
      </c>
      <c r="N1676" s="745">
        <v>65033</v>
      </c>
      <c r="O1676" s="645"/>
      <c r="P1676" s="514">
        <v>65048</v>
      </c>
      <c r="Q1676" s="512" t="s">
        <v>51</v>
      </c>
      <c r="R1676" s="322"/>
      <c r="S1676" s="322"/>
    </row>
    <row r="1677" spans="1:19">
      <c r="A1677" s="512">
        <f t="shared" si="18"/>
        <v>830</v>
      </c>
      <c r="B1677" s="434" t="s">
        <v>43</v>
      </c>
      <c r="C1677" s="434" t="s">
        <v>44</v>
      </c>
      <c r="D1677" s="434" t="s">
        <v>45</v>
      </c>
      <c r="E1677" s="644" t="s">
        <v>2104</v>
      </c>
      <c r="F1677" s="577" t="s">
        <v>491</v>
      </c>
      <c r="G1677" s="577"/>
      <c r="I1677" s="577">
        <v>43</v>
      </c>
      <c r="J1677" s="577" t="s">
        <v>48</v>
      </c>
      <c r="K1677" s="577" t="s">
        <v>1706</v>
      </c>
      <c r="M1677" s="577" t="s">
        <v>1706</v>
      </c>
      <c r="N1677" s="745">
        <v>65033</v>
      </c>
      <c r="O1677" s="572">
        <v>65033</v>
      </c>
      <c r="P1677" s="514">
        <v>65048</v>
      </c>
      <c r="Q1677" s="512" t="s">
        <v>51</v>
      </c>
      <c r="R1677" s="163"/>
      <c r="S1677" s="163"/>
    </row>
    <row r="1678" spans="1:19" ht="15.75">
      <c r="A1678" s="512">
        <f t="shared" si="18"/>
        <v>831</v>
      </c>
      <c r="B1678" s="438" t="s">
        <v>43</v>
      </c>
      <c r="C1678" s="438" t="s">
        <v>44</v>
      </c>
      <c r="D1678" s="438" t="s">
        <v>45</v>
      </c>
      <c r="E1678" s="640" t="s">
        <v>2063</v>
      </c>
      <c r="F1678" s="635" t="s">
        <v>502</v>
      </c>
      <c r="G1678" s="635"/>
      <c r="H1678" s="436"/>
      <c r="I1678" s="635">
        <v>55</v>
      </c>
      <c r="J1678" s="635" t="s">
        <v>90</v>
      </c>
      <c r="K1678" s="635" t="s">
        <v>53</v>
      </c>
      <c r="L1678" s="438"/>
      <c r="M1678" s="592" t="s">
        <v>54</v>
      </c>
      <c r="N1678" s="748">
        <v>65033</v>
      </c>
      <c r="O1678" s="593">
        <v>65033</v>
      </c>
      <c r="P1678" s="465">
        <v>65061</v>
      </c>
      <c r="Q1678" s="436" t="s">
        <v>51</v>
      </c>
      <c r="R1678" s="163"/>
      <c r="S1678" s="163"/>
    </row>
    <row r="1679" spans="1:19" ht="15.75">
      <c r="A1679" s="512">
        <f t="shared" si="18"/>
        <v>832</v>
      </c>
      <c r="B1679" s="438" t="s">
        <v>43</v>
      </c>
      <c r="C1679" s="438" t="s">
        <v>44</v>
      </c>
      <c r="D1679" s="438" t="s">
        <v>45</v>
      </c>
      <c r="E1679" s="640" t="s">
        <v>2064</v>
      </c>
      <c r="F1679" s="635" t="s">
        <v>502</v>
      </c>
      <c r="G1679" s="635"/>
      <c r="H1679" s="436"/>
      <c r="I1679" s="635">
        <v>29</v>
      </c>
      <c r="J1679" s="635" t="s">
        <v>48</v>
      </c>
      <c r="K1679" s="635" t="s">
        <v>53</v>
      </c>
      <c r="L1679" s="438"/>
      <c r="M1679" s="592" t="s">
        <v>54</v>
      </c>
      <c r="N1679" s="748">
        <v>65033</v>
      </c>
      <c r="O1679" s="593">
        <v>65033</v>
      </c>
      <c r="P1679" s="465">
        <v>65061</v>
      </c>
      <c r="Q1679" s="436" t="s">
        <v>51</v>
      </c>
    </row>
    <row r="1680" spans="1:19" ht="15.75">
      <c r="A1680" s="512">
        <f t="shared" si="18"/>
        <v>833</v>
      </c>
      <c r="B1680" s="434" t="s">
        <v>43</v>
      </c>
      <c r="C1680" s="644" t="s">
        <v>44</v>
      </c>
      <c r="D1680" s="644" t="s">
        <v>45</v>
      </c>
      <c r="E1680" s="644" t="s">
        <v>2112</v>
      </c>
      <c r="F1680" s="646" t="s">
        <v>502</v>
      </c>
      <c r="G1680" s="577">
        <v>9857820946</v>
      </c>
      <c r="H1680" s="644"/>
      <c r="I1680" s="577">
        <v>43</v>
      </c>
      <c r="J1680" s="577" t="s">
        <v>48</v>
      </c>
      <c r="K1680" s="577" t="s">
        <v>1480</v>
      </c>
      <c r="M1680" s="571" t="s">
        <v>119</v>
      </c>
      <c r="N1680" s="759">
        <v>65033</v>
      </c>
      <c r="O1680" s="647">
        <v>65033</v>
      </c>
      <c r="P1680" s="514">
        <v>65048</v>
      </c>
      <c r="Q1680" s="512" t="s">
        <v>51</v>
      </c>
    </row>
    <row r="1681" spans="1:19">
      <c r="A1681" s="512">
        <f t="shared" si="18"/>
        <v>834</v>
      </c>
      <c r="B1681" s="434" t="s">
        <v>43</v>
      </c>
      <c r="C1681" s="434" t="s">
        <v>44</v>
      </c>
      <c r="D1681" s="434" t="s">
        <v>45</v>
      </c>
      <c r="E1681" s="644" t="s">
        <v>2065</v>
      </c>
      <c r="F1681" s="577" t="s">
        <v>441</v>
      </c>
      <c r="G1681" s="577">
        <v>9844935571</v>
      </c>
      <c r="I1681" s="577">
        <v>42</v>
      </c>
      <c r="J1681" s="577" t="s">
        <v>48</v>
      </c>
      <c r="K1681" s="577" t="s">
        <v>53</v>
      </c>
      <c r="M1681" s="571" t="s">
        <v>119</v>
      </c>
      <c r="N1681" s="745">
        <v>65033</v>
      </c>
      <c r="O1681" s="645"/>
      <c r="P1681" s="514">
        <v>65048</v>
      </c>
      <c r="Q1681" s="512" t="s">
        <v>51</v>
      </c>
    </row>
    <row r="1682" spans="1:19">
      <c r="A1682" s="512">
        <f t="shared" ref="A1682:A1745" si="19">A1681+1</f>
        <v>835</v>
      </c>
      <c r="B1682" s="434" t="s">
        <v>43</v>
      </c>
      <c r="C1682" s="434" t="s">
        <v>44</v>
      </c>
      <c r="D1682" s="434" t="s">
        <v>45</v>
      </c>
      <c r="E1682" s="644" t="s">
        <v>2066</v>
      </c>
      <c r="F1682" s="577" t="s">
        <v>1046</v>
      </c>
      <c r="G1682" s="577">
        <v>9812832204</v>
      </c>
      <c r="I1682" s="577">
        <v>48</v>
      </c>
      <c r="J1682" s="577" t="s">
        <v>48</v>
      </c>
      <c r="K1682" s="577" t="s">
        <v>53</v>
      </c>
      <c r="M1682" s="571" t="s">
        <v>119</v>
      </c>
      <c r="N1682" s="745">
        <v>65033</v>
      </c>
      <c r="O1682" s="645"/>
      <c r="P1682" s="514">
        <v>65048</v>
      </c>
      <c r="Q1682" s="512" t="s">
        <v>51</v>
      </c>
    </row>
    <row r="1683" spans="1:19">
      <c r="A1683" s="512">
        <f t="shared" si="19"/>
        <v>836</v>
      </c>
      <c r="B1683" s="434" t="s">
        <v>43</v>
      </c>
      <c r="C1683" s="434" t="s">
        <v>44</v>
      </c>
      <c r="D1683" s="434" t="s">
        <v>45</v>
      </c>
      <c r="E1683" s="644" t="s">
        <v>2067</v>
      </c>
      <c r="F1683" s="577" t="s">
        <v>529</v>
      </c>
      <c r="G1683" s="577">
        <v>9847985184</v>
      </c>
      <c r="I1683" s="577">
        <v>25</v>
      </c>
      <c r="J1683" s="577" t="s">
        <v>90</v>
      </c>
      <c r="K1683" s="577" t="s">
        <v>53</v>
      </c>
      <c r="M1683" s="571" t="s">
        <v>119</v>
      </c>
      <c r="N1683" s="745">
        <v>65033</v>
      </c>
      <c r="O1683" s="645"/>
      <c r="P1683" s="514">
        <v>65048</v>
      </c>
      <c r="Q1683" s="512" t="s">
        <v>51</v>
      </c>
    </row>
    <row r="1684" spans="1:19" s="163" customFormat="1">
      <c r="A1684" s="512">
        <f t="shared" si="19"/>
        <v>837</v>
      </c>
      <c r="B1684" s="434" t="s">
        <v>43</v>
      </c>
      <c r="C1684" s="434" t="s">
        <v>44</v>
      </c>
      <c r="D1684" s="434" t="s">
        <v>45</v>
      </c>
      <c r="E1684" s="651" t="s">
        <v>1676</v>
      </c>
      <c r="F1684" s="577" t="s">
        <v>502</v>
      </c>
      <c r="G1684" s="577">
        <v>9847872346</v>
      </c>
      <c r="H1684" s="432"/>
      <c r="I1684" s="577">
        <v>40</v>
      </c>
      <c r="J1684" s="577" t="s">
        <v>90</v>
      </c>
      <c r="K1684" s="577" t="s">
        <v>53</v>
      </c>
      <c r="L1684" s="434"/>
      <c r="M1684" s="571" t="s">
        <v>119</v>
      </c>
      <c r="N1684" s="745">
        <v>65033</v>
      </c>
      <c r="O1684" s="645"/>
      <c r="P1684" s="514">
        <v>65048</v>
      </c>
      <c r="Q1684" s="512" t="s">
        <v>51</v>
      </c>
      <c r="R1684" s="322"/>
      <c r="S1684" s="322"/>
    </row>
    <row r="1685" spans="1:19">
      <c r="A1685" s="512">
        <f t="shared" si="19"/>
        <v>838</v>
      </c>
      <c r="B1685" s="434" t="s">
        <v>43</v>
      </c>
      <c r="C1685" s="434" t="s">
        <v>44</v>
      </c>
      <c r="D1685" s="434" t="s">
        <v>45</v>
      </c>
      <c r="E1685" s="651" t="s">
        <v>1374</v>
      </c>
      <c r="F1685" s="577" t="s">
        <v>491</v>
      </c>
      <c r="G1685" s="577">
        <v>9857825396</v>
      </c>
      <c r="I1685" s="577">
        <v>38</v>
      </c>
      <c r="J1685" s="577" t="s">
        <v>48</v>
      </c>
      <c r="K1685" s="577" t="s">
        <v>53</v>
      </c>
      <c r="M1685" s="571" t="s">
        <v>119</v>
      </c>
      <c r="N1685" s="745">
        <v>65033</v>
      </c>
      <c r="O1685" s="645"/>
      <c r="P1685" s="514">
        <v>65048</v>
      </c>
      <c r="Q1685" s="512" t="s">
        <v>51</v>
      </c>
    </row>
    <row r="1686" spans="1:19">
      <c r="A1686" s="512">
        <f t="shared" si="19"/>
        <v>839</v>
      </c>
      <c r="B1686" s="434" t="s">
        <v>43</v>
      </c>
      <c r="C1686" s="434" t="s">
        <v>44</v>
      </c>
      <c r="D1686" s="434" t="s">
        <v>45</v>
      </c>
      <c r="E1686" s="140" t="s">
        <v>2013</v>
      </c>
      <c r="F1686" s="616" t="s">
        <v>598</v>
      </c>
      <c r="G1686" s="616">
        <v>9857823242</v>
      </c>
      <c r="H1686" s="140"/>
      <c r="I1686" s="616">
        <v>49</v>
      </c>
      <c r="J1686" s="616" t="s">
        <v>48</v>
      </c>
      <c r="K1686" s="577" t="s">
        <v>53</v>
      </c>
      <c r="L1686" s="643"/>
      <c r="M1686" s="571" t="s">
        <v>1764</v>
      </c>
      <c r="N1686" s="730">
        <v>65033</v>
      </c>
      <c r="O1686" s="617">
        <v>65033</v>
      </c>
      <c r="P1686" s="514">
        <v>65048</v>
      </c>
      <c r="Q1686" s="512" t="s">
        <v>51</v>
      </c>
      <c r="R1686" s="163"/>
      <c r="S1686" s="163"/>
    </row>
    <row r="1687" spans="1:19" ht="15.75">
      <c r="A1687" s="512">
        <f t="shared" si="19"/>
        <v>840</v>
      </c>
      <c r="B1687" s="438" t="s">
        <v>43</v>
      </c>
      <c r="C1687" s="438" t="s">
        <v>44</v>
      </c>
      <c r="D1687" s="438" t="s">
        <v>45</v>
      </c>
      <c r="E1687" s="640" t="s">
        <v>2068</v>
      </c>
      <c r="F1687" s="635" t="s">
        <v>491</v>
      </c>
      <c r="G1687" s="635"/>
      <c r="H1687" s="436"/>
      <c r="I1687" s="635">
        <v>32</v>
      </c>
      <c r="J1687" s="635" t="s">
        <v>48</v>
      </c>
      <c r="K1687" s="635" t="s">
        <v>53</v>
      </c>
      <c r="L1687" s="438"/>
      <c r="M1687" s="592" t="s">
        <v>54</v>
      </c>
      <c r="N1687" s="748">
        <v>65033</v>
      </c>
      <c r="O1687" s="593">
        <v>65033</v>
      </c>
      <c r="P1687" s="465">
        <v>65061</v>
      </c>
      <c r="Q1687" s="436" t="s">
        <v>51</v>
      </c>
    </row>
    <row r="1688" spans="1:19">
      <c r="A1688" s="512">
        <f t="shared" si="19"/>
        <v>841</v>
      </c>
      <c r="B1688" s="434" t="s">
        <v>43</v>
      </c>
      <c r="C1688" s="434" t="s">
        <v>44</v>
      </c>
      <c r="D1688" s="434" t="s">
        <v>45</v>
      </c>
      <c r="E1688" s="140" t="s">
        <v>2019</v>
      </c>
      <c r="F1688" s="616" t="s">
        <v>791</v>
      </c>
      <c r="G1688" s="616">
        <v>9857832597</v>
      </c>
      <c r="H1688" s="140"/>
      <c r="I1688" s="616">
        <v>30</v>
      </c>
      <c r="J1688" s="616" t="s">
        <v>90</v>
      </c>
      <c r="K1688" s="577" t="s">
        <v>53</v>
      </c>
      <c r="L1688" s="643"/>
      <c r="M1688" s="571" t="s">
        <v>1764</v>
      </c>
      <c r="N1688" s="730">
        <v>65033</v>
      </c>
      <c r="O1688" s="617">
        <v>65033</v>
      </c>
      <c r="P1688" s="514">
        <v>65048</v>
      </c>
      <c r="Q1688" s="512" t="s">
        <v>51</v>
      </c>
    </row>
    <row r="1689" spans="1:19">
      <c r="A1689" s="512">
        <f t="shared" si="19"/>
        <v>842</v>
      </c>
      <c r="B1689" s="434" t="s">
        <v>43</v>
      </c>
      <c r="C1689" s="434" t="s">
        <v>44</v>
      </c>
      <c r="D1689" s="434" t="s">
        <v>45</v>
      </c>
      <c r="E1689" s="644" t="s">
        <v>2069</v>
      </c>
      <c r="F1689" s="577" t="s">
        <v>1046</v>
      </c>
      <c r="G1689" s="577">
        <v>9847932007</v>
      </c>
      <c r="I1689" s="577">
        <v>43</v>
      </c>
      <c r="J1689" s="577" t="s">
        <v>48</v>
      </c>
      <c r="K1689" s="577" t="s">
        <v>53</v>
      </c>
      <c r="M1689" s="571" t="s">
        <v>119</v>
      </c>
      <c r="N1689" s="745">
        <v>65033</v>
      </c>
      <c r="O1689" s="645"/>
      <c r="P1689" s="514">
        <v>65048</v>
      </c>
      <c r="Q1689" s="512" t="s">
        <v>51</v>
      </c>
    </row>
    <row r="1690" spans="1:19">
      <c r="A1690" s="512">
        <f t="shared" si="19"/>
        <v>843</v>
      </c>
      <c r="B1690" s="434" t="s">
        <v>43</v>
      </c>
      <c r="C1690" s="434" t="s">
        <v>44</v>
      </c>
      <c r="D1690" s="434" t="s">
        <v>45</v>
      </c>
      <c r="E1690" s="140" t="s">
        <v>2016</v>
      </c>
      <c r="F1690" s="616" t="s">
        <v>441</v>
      </c>
      <c r="G1690" s="616">
        <v>9806291615</v>
      </c>
      <c r="H1690" s="140"/>
      <c r="I1690" s="616">
        <v>27</v>
      </c>
      <c r="J1690" s="616" t="s">
        <v>48</v>
      </c>
      <c r="K1690" s="577" t="s">
        <v>53</v>
      </c>
      <c r="L1690" s="643"/>
      <c r="M1690" s="571" t="s">
        <v>1764</v>
      </c>
      <c r="N1690" s="730">
        <v>65033</v>
      </c>
      <c r="O1690" s="617">
        <v>65033</v>
      </c>
      <c r="P1690" s="514">
        <v>65048</v>
      </c>
      <c r="Q1690" s="512" t="s">
        <v>51</v>
      </c>
    </row>
    <row r="1691" spans="1:19">
      <c r="A1691" s="512">
        <f t="shared" si="19"/>
        <v>844</v>
      </c>
      <c r="B1691" s="434" t="s">
        <v>43</v>
      </c>
      <c r="C1691" s="434" t="s">
        <v>44</v>
      </c>
      <c r="D1691" s="434" t="s">
        <v>45</v>
      </c>
      <c r="E1691" s="651" t="s">
        <v>316</v>
      </c>
      <c r="F1691" s="577" t="s">
        <v>529</v>
      </c>
      <c r="G1691" s="577">
        <v>9806257284</v>
      </c>
      <c r="I1691" s="577">
        <v>23</v>
      </c>
      <c r="J1691" s="577" t="s">
        <v>90</v>
      </c>
      <c r="K1691" s="577" t="s">
        <v>53</v>
      </c>
      <c r="M1691" s="571" t="s">
        <v>119</v>
      </c>
      <c r="N1691" s="745">
        <v>65033</v>
      </c>
      <c r="O1691" s="645"/>
      <c r="P1691" s="514">
        <v>65048</v>
      </c>
      <c r="Q1691" s="512" t="s">
        <v>51</v>
      </c>
    </row>
    <row r="1692" spans="1:19">
      <c r="A1692" s="512">
        <f t="shared" si="19"/>
        <v>845</v>
      </c>
      <c r="B1692" s="434" t="s">
        <v>43</v>
      </c>
      <c r="C1692" s="434" t="s">
        <v>44</v>
      </c>
      <c r="D1692" s="434" t="s">
        <v>45</v>
      </c>
      <c r="E1692" s="651" t="s">
        <v>1988</v>
      </c>
      <c r="F1692" s="577" t="s">
        <v>1046</v>
      </c>
      <c r="G1692" s="577">
        <v>9809827240</v>
      </c>
      <c r="I1692" s="577">
        <v>56</v>
      </c>
      <c r="J1692" s="577" t="s">
        <v>90</v>
      </c>
      <c r="K1692" s="577" t="s">
        <v>53</v>
      </c>
      <c r="M1692" s="571" t="s">
        <v>119</v>
      </c>
      <c r="N1692" s="745">
        <v>65033</v>
      </c>
      <c r="O1692" s="645"/>
      <c r="P1692" s="514">
        <v>65048</v>
      </c>
      <c r="Q1692" s="512" t="s">
        <v>51</v>
      </c>
    </row>
    <row r="1693" spans="1:19">
      <c r="A1693" s="512">
        <f t="shared" si="19"/>
        <v>846</v>
      </c>
      <c r="B1693" s="434" t="s">
        <v>43</v>
      </c>
      <c r="C1693" s="434" t="s">
        <v>44</v>
      </c>
      <c r="D1693" s="434" t="s">
        <v>45</v>
      </c>
      <c r="E1693" s="651" t="s">
        <v>1988</v>
      </c>
      <c r="F1693" s="577" t="s">
        <v>636</v>
      </c>
      <c r="G1693" s="577">
        <v>9849391250</v>
      </c>
      <c r="I1693" s="577">
        <v>24</v>
      </c>
      <c r="J1693" s="577" t="s">
        <v>90</v>
      </c>
      <c r="K1693" s="577" t="s">
        <v>53</v>
      </c>
      <c r="M1693" s="571" t="s">
        <v>119</v>
      </c>
      <c r="N1693" s="745">
        <v>65033</v>
      </c>
      <c r="O1693" s="645"/>
      <c r="P1693" s="514">
        <v>65048</v>
      </c>
      <c r="Q1693" s="512" t="s">
        <v>51</v>
      </c>
    </row>
    <row r="1694" spans="1:19">
      <c r="A1694" s="512">
        <f t="shared" si="19"/>
        <v>847</v>
      </c>
      <c r="B1694" s="434" t="s">
        <v>43</v>
      </c>
      <c r="C1694" s="434" t="s">
        <v>44</v>
      </c>
      <c r="D1694" s="434" t="s">
        <v>45</v>
      </c>
      <c r="E1694" s="140" t="s">
        <v>2020</v>
      </c>
      <c r="F1694" s="616" t="s">
        <v>512</v>
      </c>
      <c r="G1694" s="616">
        <v>9847830578</v>
      </c>
      <c r="H1694" s="140"/>
      <c r="I1694" s="616">
        <v>37</v>
      </c>
      <c r="J1694" s="616" t="s">
        <v>48</v>
      </c>
      <c r="K1694" s="577" t="s">
        <v>53</v>
      </c>
      <c r="L1694" s="643"/>
      <c r="M1694" s="571" t="s">
        <v>1764</v>
      </c>
      <c r="N1694" s="730">
        <v>65033</v>
      </c>
      <c r="O1694" s="617">
        <v>65033</v>
      </c>
      <c r="P1694" s="514">
        <v>65048</v>
      </c>
      <c r="Q1694" s="512" t="s">
        <v>51</v>
      </c>
    </row>
    <row r="1695" spans="1:19">
      <c r="A1695" s="512">
        <f t="shared" si="19"/>
        <v>848</v>
      </c>
      <c r="B1695" s="434" t="s">
        <v>43</v>
      </c>
      <c r="C1695" s="434" t="s">
        <v>44</v>
      </c>
      <c r="D1695" s="434" t="s">
        <v>45</v>
      </c>
      <c r="E1695" s="644" t="s">
        <v>2070</v>
      </c>
      <c r="F1695" s="577" t="s">
        <v>502</v>
      </c>
      <c r="G1695" s="577"/>
      <c r="I1695" s="577">
        <v>43</v>
      </c>
      <c r="J1695" s="577" t="s">
        <v>48</v>
      </c>
      <c r="K1695" s="577" t="s">
        <v>1459</v>
      </c>
      <c r="M1695" s="571" t="s">
        <v>119</v>
      </c>
      <c r="N1695" s="745">
        <v>65033</v>
      </c>
      <c r="O1695" s="645"/>
      <c r="P1695" s="514">
        <v>65048</v>
      </c>
      <c r="Q1695" s="512" t="s">
        <v>51</v>
      </c>
    </row>
    <row r="1696" spans="1:19">
      <c r="A1696" s="512">
        <f t="shared" si="19"/>
        <v>849</v>
      </c>
      <c r="B1696" s="434" t="s">
        <v>43</v>
      </c>
      <c r="C1696" s="434" t="s">
        <v>44</v>
      </c>
      <c r="D1696" s="434" t="s">
        <v>45</v>
      </c>
      <c r="E1696" s="644" t="s">
        <v>2071</v>
      </c>
      <c r="F1696" s="577" t="s">
        <v>502</v>
      </c>
      <c r="G1696" s="577">
        <v>9812400062</v>
      </c>
      <c r="I1696" s="577">
        <v>48</v>
      </c>
      <c r="J1696" s="577" t="s">
        <v>90</v>
      </c>
      <c r="K1696" s="577" t="s">
        <v>1459</v>
      </c>
      <c r="M1696" s="571" t="s">
        <v>119</v>
      </c>
      <c r="N1696" s="745">
        <v>65033</v>
      </c>
      <c r="O1696" s="645"/>
      <c r="P1696" s="514">
        <v>65048</v>
      </c>
      <c r="Q1696" s="512" t="s">
        <v>51</v>
      </c>
    </row>
    <row r="1697" spans="1:19">
      <c r="A1697" s="512">
        <f t="shared" si="19"/>
        <v>850</v>
      </c>
      <c r="B1697" s="434" t="s">
        <v>43</v>
      </c>
      <c r="C1697" s="434" t="s">
        <v>44</v>
      </c>
      <c r="D1697" s="434" t="s">
        <v>45</v>
      </c>
      <c r="E1697" s="644" t="s">
        <v>2072</v>
      </c>
      <c r="F1697" s="577" t="s">
        <v>441</v>
      </c>
      <c r="G1697" s="577">
        <v>9828742579</v>
      </c>
      <c r="I1697" s="577">
        <v>73</v>
      </c>
      <c r="J1697" s="577" t="s">
        <v>48</v>
      </c>
      <c r="K1697" s="577" t="s">
        <v>53</v>
      </c>
      <c r="M1697" s="571" t="s">
        <v>119</v>
      </c>
      <c r="N1697" s="745">
        <v>65033</v>
      </c>
      <c r="O1697" s="645"/>
      <c r="P1697" s="514">
        <v>65048</v>
      </c>
      <c r="Q1697" s="512" t="s">
        <v>51</v>
      </c>
      <c r="R1697" s="362"/>
      <c r="S1697" s="362"/>
    </row>
    <row r="1698" spans="1:19">
      <c r="A1698" s="512">
        <f t="shared" si="19"/>
        <v>851</v>
      </c>
      <c r="B1698" s="423" t="s">
        <v>43</v>
      </c>
      <c r="C1698" s="423" t="s">
        <v>44</v>
      </c>
      <c r="D1698" s="77" t="s">
        <v>449</v>
      </c>
      <c r="E1698" s="267" t="s">
        <v>2147</v>
      </c>
      <c r="F1698" s="595" t="s">
        <v>124</v>
      </c>
      <c r="G1698" s="423"/>
      <c r="H1698" s="422"/>
      <c r="I1698" s="595">
        <v>45</v>
      </c>
      <c r="J1698" s="423" t="s">
        <v>48</v>
      </c>
      <c r="K1698" s="423" t="s">
        <v>53</v>
      </c>
      <c r="L1698" s="423"/>
      <c r="M1698" s="597" t="s">
        <v>2009</v>
      </c>
      <c r="N1698" s="726">
        <v>65033</v>
      </c>
      <c r="O1698" s="422"/>
      <c r="P1698" s="476">
        <v>65034</v>
      </c>
      <c r="Q1698" s="422" t="s">
        <v>806</v>
      </c>
    </row>
    <row r="1699" spans="1:19">
      <c r="A1699" s="512">
        <f t="shared" si="19"/>
        <v>852</v>
      </c>
      <c r="B1699" s="434" t="s">
        <v>43</v>
      </c>
      <c r="C1699" s="434" t="s">
        <v>44</v>
      </c>
      <c r="D1699" s="434" t="s">
        <v>45</v>
      </c>
      <c r="E1699" s="644" t="s">
        <v>2073</v>
      </c>
      <c r="F1699" s="577" t="s">
        <v>529</v>
      </c>
      <c r="G1699" s="577">
        <v>9864815971</v>
      </c>
      <c r="I1699" s="577">
        <v>25</v>
      </c>
      <c r="J1699" s="577" t="s">
        <v>90</v>
      </c>
      <c r="K1699" s="577" t="s">
        <v>53</v>
      </c>
      <c r="M1699" s="571" t="s">
        <v>119</v>
      </c>
      <c r="N1699" s="745">
        <v>65033</v>
      </c>
      <c r="O1699" s="645"/>
      <c r="P1699" s="514">
        <v>65048</v>
      </c>
      <c r="Q1699" s="512" t="s">
        <v>51</v>
      </c>
    </row>
    <row r="1700" spans="1:19">
      <c r="A1700" s="512">
        <f t="shared" si="19"/>
        <v>853</v>
      </c>
      <c r="B1700" s="434" t="s">
        <v>43</v>
      </c>
      <c r="C1700" s="434" t="s">
        <v>44</v>
      </c>
      <c r="D1700" s="434" t="s">
        <v>45</v>
      </c>
      <c r="E1700" s="651" t="s">
        <v>2074</v>
      </c>
      <c r="F1700" s="577" t="s">
        <v>491</v>
      </c>
      <c r="G1700" s="577">
        <v>9847830849</v>
      </c>
      <c r="I1700" s="577">
        <v>47</v>
      </c>
      <c r="J1700" s="577" t="s">
        <v>90</v>
      </c>
      <c r="K1700" s="577" t="s">
        <v>53</v>
      </c>
      <c r="M1700" s="571" t="s">
        <v>119</v>
      </c>
      <c r="N1700" s="745">
        <v>65033</v>
      </c>
      <c r="O1700" s="645"/>
      <c r="P1700" s="514">
        <v>65048</v>
      </c>
      <c r="Q1700" s="512" t="s">
        <v>51</v>
      </c>
    </row>
    <row r="1701" spans="1:19">
      <c r="A1701" s="512">
        <f t="shared" si="19"/>
        <v>854</v>
      </c>
      <c r="B1701" s="434" t="s">
        <v>43</v>
      </c>
      <c r="C1701" s="434" t="s">
        <v>44</v>
      </c>
      <c r="D1701" s="434" t="s">
        <v>45</v>
      </c>
      <c r="E1701" s="644" t="s">
        <v>2075</v>
      </c>
      <c r="F1701" s="577" t="s">
        <v>124</v>
      </c>
      <c r="G1701" s="577">
        <v>9844712680</v>
      </c>
      <c r="I1701" s="577">
        <v>56</v>
      </c>
      <c r="J1701" s="577" t="s">
        <v>48</v>
      </c>
      <c r="K1701" s="577" t="s">
        <v>53</v>
      </c>
      <c r="M1701" s="571" t="s">
        <v>119</v>
      </c>
      <c r="N1701" s="745">
        <v>65033</v>
      </c>
      <c r="O1701" s="645"/>
      <c r="P1701" s="514">
        <v>65048</v>
      </c>
      <c r="Q1701" s="512" t="s">
        <v>51</v>
      </c>
    </row>
    <row r="1702" spans="1:19">
      <c r="A1702" s="512">
        <f t="shared" si="19"/>
        <v>855</v>
      </c>
      <c r="B1702" s="434" t="s">
        <v>43</v>
      </c>
      <c r="C1702" s="434" t="s">
        <v>44</v>
      </c>
      <c r="D1702" s="434" t="s">
        <v>45</v>
      </c>
      <c r="E1702" s="644" t="s">
        <v>2076</v>
      </c>
      <c r="F1702" s="577" t="s">
        <v>502</v>
      </c>
      <c r="G1702" s="577">
        <v>9809864119</v>
      </c>
      <c r="I1702" s="577">
        <v>22</v>
      </c>
      <c r="J1702" s="577" t="s">
        <v>48</v>
      </c>
      <c r="K1702" s="577" t="s">
        <v>53</v>
      </c>
      <c r="M1702" s="571" t="s">
        <v>119</v>
      </c>
      <c r="N1702" s="745">
        <v>65033</v>
      </c>
      <c r="O1702" s="645"/>
      <c r="P1702" s="514">
        <v>65048</v>
      </c>
      <c r="Q1702" s="512" t="s">
        <v>51</v>
      </c>
    </row>
    <row r="1703" spans="1:19">
      <c r="A1703" s="512">
        <f t="shared" si="19"/>
        <v>856</v>
      </c>
      <c r="B1703" s="434" t="s">
        <v>43</v>
      </c>
      <c r="C1703" s="434" t="s">
        <v>44</v>
      </c>
      <c r="D1703" s="434" t="s">
        <v>45</v>
      </c>
      <c r="E1703" s="644" t="s">
        <v>2077</v>
      </c>
      <c r="F1703" s="577" t="s">
        <v>502</v>
      </c>
      <c r="G1703" s="577">
        <v>9809841362</v>
      </c>
      <c r="I1703" s="577">
        <v>15</v>
      </c>
      <c r="J1703" s="577" t="s">
        <v>48</v>
      </c>
      <c r="K1703" s="577" t="s">
        <v>53</v>
      </c>
      <c r="M1703" s="571" t="s">
        <v>119</v>
      </c>
      <c r="N1703" s="745">
        <v>65033</v>
      </c>
      <c r="O1703" s="645"/>
      <c r="P1703" s="514">
        <v>65048</v>
      </c>
      <c r="Q1703" s="512" t="s">
        <v>51</v>
      </c>
    </row>
    <row r="1704" spans="1:19">
      <c r="A1704" s="512">
        <f t="shared" si="19"/>
        <v>857</v>
      </c>
      <c r="B1704" s="434" t="s">
        <v>43</v>
      </c>
      <c r="C1704" s="434" t="s">
        <v>44</v>
      </c>
      <c r="D1704" s="434" t="s">
        <v>45</v>
      </c>
      <c r="E1704" s="644" t="s">
        <v>2078</v>
      </c>
      <c r="F1704" s="577" t="s">
        <v>491</v>
      </c>
      <c r="G1704" s="577">
        <v>9847890198</v>
      </c>
      <c r="I1704" s="577">
        <v>29</v>
      </c>
      <c r="J1704" s="577" t="s">
        <v>48</v>
      </c>
      <c r="K1704" s="577" t="s">
        <v>53</v>
      </c>
      <c r="M1704" s="571" t="s">
        <v>119</v>
      </c>
      <c r="N1704" s="745">
        <v>65033</v>
      </c>
      <c r="O1704" s="645"/>
      <c r="P1704" s="514">
        <v>65048</v>
      </c>
      <c r="Q1704" s="512" t="s">
        <v>51</v>
      </c>
    </row>
    <row r="1705" spans="1:19">
      <c r="A1705" s="512">
        <f t="shared" si="19"/>
        <v>858</v>
      </c>
      <c r="B1705" s="434" t="s">
        <v>43</v>
      </c>
      <c r="C1705" s="434" t="s">
        <v>44</v>
      </c>
      <c r="D1705" s="434" t="s">
        <v>45</v>
      </c>
      <c r="E1705" s="644" t="s">
        <v>2079</v>
      </c>
      <c r="F1705" s="577" t="s">
        <v>491</v>
      </c>
      <c r="G1705" s="577">
        <v>9857825396</v>
      </c>
      <c r="I1705" s="577">
        <v>12</v>
      </c>
      <c r="J1705" s="577" t="s">
        <v>48</v>
      </c>
      <c r="K1705" s="577" t="s">
        <v>53</v>
      </c>
      <c r="M1705" s="571" t="s">
        <v>119</v>
      </c>
      <c r="N1705" s="745">
        <v>65033</v>
      </c>
      <c r="O1705" s="645"/>
      <c r="P1705" s="514">
        <v>65048</v>
      </c>
      <c r="Q1705" s="512" t="s">
        <v>51</v>
      </c>
    </row>
    <row r="1706" spans="1:19">
      <c r="A1706" s="512">
        <f t="shared" si="19"/>
        <v>859</v>
      </c>
      <c r="B1706" s="434" t="s">
        <v>43</v>
      </c>
      <c r="C1706" s="434" t="s">
        <v>44</v>
      </c>
      <c r="D1706" s="434" t="s">
        <v>45</v>
      </c>
      <c r="E1706" s="648" t="s">
        <v>2025</v>
      </c>
      <c r="F1706" s="649" t="s">
        <v>502</v>
      </c>
      <c r="G1706" s="649">
        <v>9822805262</v>
      </c>
      <c r="H1706" s="140"/>
      <c r="I1706" s="649">
        <v>22</v>
      </c>
      <c r="J1706" s="616" t="s">
        <v>48</v>
      </c>
      <c r="K1706" s="650" t="s">
        <v>1950</v>
      </c>
      <c r="L1706" s="643"/>
      <c r="M1706" s="571" t="s">
        <v>1764</v>
      </c>
      <c r="N1706" s="730">
        <v>65033</v>
      </c>
      <c r="O1706" s="617">
        <v>65033</v>
      </c>
      <c r="P1706" s="514">
        <v>65048</v>
      </c>
      <c r="Q1706" s="512" t="s">
        <v>51</v>
      </c>
    </row>
    <row r="1707" spans="1:19">
      <c r="A1707" s="512">
        <f t="shared" si="19"/>
        <v>860</v>
      </c>
      <c r="B1707" s="434" t="s">
        <v>43</v>
      </c>
      <c r="C1707" s="434" t="s">
        <v>44</v>
      </c>
      <c r="D1707" s="434" t="s">
        <v>45</v>
      </c>
      <c r="E1707" s="644" t="s">
        <v>2080</v>
      </c>
      <c r="F1707" s="577" t="s">
        <v>529</v>
      </c>
      <c r="G1707" s="577">
        <v>9828222033</v>
      </c>
      <c r="I1707" s="577">
        <v>50</v>
      </c>
      <c r="J1707" s="577" t="s">
        <v>48</v>
      </c>
      <c r="K1707" s="577" t="s">
        <v>53</v>
      </c>
      <c r="M1707" s="571" t="s">
        <v>119</v>
      </c>
      <c r="N1707" s="745">
        <v>65033</v>
      </c>
      <c r="O1707" s="645"/>
      <c r="P1707" s="514">
        <v>65048</v>
      </c>
      <c r="Q1707" s="512" t="s">
        <v>51</v>
      </c>
    </row>
    <row r="1708" spans="1:19" ht="15.75">
      <c r="A1708" s="512">
        <f t="shared" si="19"/>
        <v>861</v>
      </c>
      <c r="B1708" s="434" t="s">
        <v>43</v>
      </c>
      <c r="C1708" s="644" t="s">
        <v>44</v>
      </c>
      <c r="D1708" s="644" t="s">
        <v>45</v>
      </c>
      <c r="E1708" s="644" t="s">
        <v>2113</v>
      </c>
      <c r="F1708" s="646" t="s">
        <v>502</v>
      </c>
      <c r="G1708" s="577">
        <v>9857823046</v>
      </c>
      <c r="H1708" s="644"/>
      <c r="I1708" s="577">
        <v>55</v>
      </c>
      <c r="J1708" s="577" t="s">
        <v>90</v>
      </c>
      <c r="K1708" s="577" t="s">
        <v>1480</v>
      </c>
      <c r="M1708" s="577"/>
      <c r="N1708" s="759">
        <v>65033</v>
      </c>
      <c r="O1708" s="647">
        <v>65033</v>
      </c>
      <c r="P1708" s="514">
        <v>65048</v>
      </c>
      <c r="Q1708" s="512" t="s">
        <v>51</v>
      </c>
    </row>
    <row r="1709" spans="1:19" s="163" customFormat="1">
      <c r="A1709" s="512">
        <f t="shared" si="19"/>
        <v>862</v>
      </c>
      <c r="B1709" s="434" t="s">
        <v>43</v>
      </c>
      <c r="C1709" s="434" t="s">
        <v>44</v>
      </c>
      <c r="D1709" s="434" t="s">
        <v>45</v>
      </c>
      <c r="E1709" s="651" t="s">
        <v>297</v>
      </c>
      <c r="F1709" s="577" t="s">
        <v>441</v>
      </c>
      <c r="G1709" s="577">
        <v>9847853597</v>
      </c>
      <c r="H1709" s="432"/>
      <c r="I1709" s="577">
        <v>42</v>
      </c>
      <c r="J1709" s="577" t="s">
        <v>90</v>
      </c>
      <c r="K1709" s="577" t="s">
        <v>53</v>
      </c>
      <c r="L1709" s="434"/>
      <c r="M1709" s="571" t="s">
        <v>119</v>
      </c>
      <c r="N1709" s="745">
        <v>65033</v>
      </c>
      <c r="O1709" s="645"/>
      <c r="P1709" s="514">
        <v>65048</v>
      </c>
      <c r="Q1709" s="512" t="s">
        <v>51</v>
      </c>
      <c r="R1709" s="322"/>
      <c r="S1709" s="322"/>
    </row>
    <row r="1710" spans="1:19">
      <c r="A1710" s="512">
        <f t="shared" si="19"/>
        <v>863</v>
      </c>
      <c r="B1710" s="434" t="s">
        <v>43</v>
      </c>
      <c r="C1710" s="434" t="s">
        <v>44</v>
      </c>
      <c r="D1710" s="434" t="s">
        <v>45</v>
      </c>
      <c r="E1710" s="644" t="s">
        <v>2081</v>
      </c>
      <c r="F1710" s="577" t="s">
        <v>502</v>
      </c>
      <c r="G1710" s="577">
        <v>9809841362</v>
      </c>
      <c r="I1710" s="577">
        <v>19</v>
      </c>
      <c r="J1710" s="577" t="s">
        <v>90</v>
      </c>
      <c r="K1710" s="577" t="s">
        <v>53</v>
      </c>
      <c r="M1710" s="571" t="s">
        <v>119</v>
      </c>
      <c r="N1710" s="745">
        <v>65033</v>
      </c>
      <c r="O1710" s="645"/>
      <c r="P1710" s="514">
        <v>65048</v>
      </c>
      <c r="Q1710" s="512" t="s">
        <v>51</v>
      </c>
    </row>
    <row r="1711" spans="1:19" s="163" customFormat="1">
      <c r="A1711" s="512">
        <f t="shared" si="19"/>
        <v>864</v>
      </c>
      <c r="B1711" s="434" t="s">
        <v>43</v>
      </c>
      <c r="C1711" s="434" t="s">
        <v>44</v>
      </c>
      <c r="D1711" s="434" t="s">
        <v>45</v>
      </c>
      <c r="E1711" s="648" t="s">
        <v>2026</v>
      </c>
      <c r="F1711" s="649" t="s">
        <v>441</v>
      </c>
      <c r="G1711" s="649">
        <v>9857864483</v>
      </c>
      <c r="H1711" s="140"/>
      <c r="I1711" s="649">
        <v>28</v>
      </c>
      <c r="J1711" s="616" t="s">
        <v>48</v>
      </c>
      <c r="K1711" s="650" t="s">
        <v>1950</v>
      </c>
      <c r="L1711" s="643"/>
      <c r="M1711" s="571" t="s">
        <v>1764</v>
      </c>
      <c r="N1711" s="730">
        <v>65033</v>
      </c>
      <c r="O1711" s="617">
        <v>65033</v>
      </c>
      <c r="P1711" s="514">
        <v>65048</v>
      </c>
      <c r="Q1711" s="512" t="s">
        <v>51</v>
      </c>
      <c r="R1711" s="322"/>
      <c r="S1711" s="322"/>
    </row>
    <row r="1712" spans="1:19">
      <c r="A1712" s="512">
        <f t="shared" si="19"/>
        <v>865</v>
      </c>
      <c r="B1712" s="434" t="s">
        <v>43</v>
      </c>
      <c r="C1712" s="434" t="s">
        <v>44</v>
      </c>
      <c r="D1712" s="434" t="s">
        <v>45</v>
      </c>
      <c r="E1712" s="651" t="s">
        <v>1553</v>
      </c>
      <c r="F1712" s="577" t="s">
        <v>491</v>
      </c>
      <c r="G1712" s="577">
        <v>9829811528</v>
      </c>
      <c r="I1712" s="577">
        <v>21</v>
      </c>
      <c r="J1712" s="577" t="s">
        <v>48</v>
      </c>
      <c r="K1712" s="577" t="s">
        <v>53</v>
      </c>
      <c r="M1712" s="571" t="s">
        <v>119</v>
      </c>
      <c r="N1712" s="745">
        <v>65033</v>
      </c>
      <c r="O1712" s="645"/>
      <c r="P1712" s="514">
        <v>65048</v>
      </c>
      <c r="Q1712" s="512" t="s">
        <v>51</v>
      </c>
      <c r="R1712" s="163"/>
      <c r="S1712" s="163"/>
    </row>
    <row r="1713" spans="1:19" ht="15.75">
      <c r="A1713" s="512">
        <f t="shared" si="19"/>
        <v>866</v>
      </c>
      <c r="B1713" s="438" t="s">
        <v>43</v>
      </c>
      <c r="C1713" s="438" t="s">
        <v>44</v>
      </c>
      <c r="D1713" s="438" t="s">
        <v>45</v>
      </c>
      <c r="E1713" s="640" t="s">
        <v>2082</v>
      </c>
      <c r="F1713" s="635" t="s">
        <v>491</v>
      </c>
      <c r="G1713" s="635"/>
      <c r="H1713" s="436"/>
      <c r="I1713" s="635">
        <v>32</v>
      </c>
      <c r="J1713" s="635" t="s">
        <v>48</v>
      </c>
      <c r="K1713" s="635" t="s">
        <v>53</v>
      </c>
      <c r="L1713" s="438"/>
      <c r="M1713" s="592" t="s">
        <v>54</v>
      </c>
      <c r="N1713" s="748">
        <v>65033</v>
      </c>
      <c r="O1713" s="593">
        <v>65033</v>
      </c>
      <c r="P1713" s="465">
        <v>65061</v>
      </c>
      <c r="Q1713" s="436" t="s">
        <v>51</v>
      </c>
    </row>
    <row r="1714" spans="1:19">
      <c r="A1714" s="512">
        <f t="shared" si="19"/>
        <v>867</v>
      </c>
      <c r="B1714" s="434" t="s">
        <v>43</v>
      </c>
      <c r="C1714" s="434" t="s">
        <v>44</v>
      </c>
      <c r="D1714" s="434" t="s">
        <v>45</v>
      </c>
      <c r="E1714" s="648" t="s">
        <v>2031</v>
      </c>
      <c r="F1714" s="649" t="s">
        <v>510</v>
      </c>
      <c r="G1714" s="649">
        <v>9812804505</v>
      </c>
      <c r="H1714" s="510"/>
      <c r="I1714" s="649">
        <v>21</v>
      </c>
      <c r="J1714" s="616" t="s">
        <v>90</v>
      </c>
      <c r="K1714" s="650" t="s">
        <v>1950</v>
      </c>
      <c r="L1714" s="643"/>
      <c r="M1714" s="571" t="s">
        <v>1764</v>
      </c>
      <c r="N1714" s="730">
        <v>65033</v>
      </c>
      <c r="O1714" s="617">
        <v>65033</v>
      </c>
      <c r="P1714" s="514">
        <v>65048</v>
      </c>
      <c r="Q1714" s="512" t="s">
        <v>51</v>
      </c>
      <c r="R1714" s="163"/>
      <c r="S1714" s="163"/>
    </row>
    <row r="1715" spans="1:19" ht="15.75">
      <c r="A1715" s="512">
        <f t="shared" si="19"/>
        <v>868</v>
      </c>
      <c r="B1715" s="438" t="s">
        <v>43</v>
      </c>
      <c r="C1715" s="640" t="s">
        <v>44</v>
      </c>
      <c r="D1715" s="640" t="s">
        <v>45</v>
      </c>
      <c r="E1715" s="640" t="s">
        <v>2114</v>
      </c>
      <c r="F1715" s="642" t="s">
        <v>502</v>
      </c>
      <c r="G1715" s="635"/>
      <c r="H1715" s="640"/>
      <c r="I1715" s="635">
        <v>23</v>
      </c>
      <c r="J1715" s="635" t="s">
        <v>48</v>
      </c>
      <c r="K1715" s="635" t="s">
        <v>53</v>
      </c>
      <c r="L1715" s="438"/>
      <c r="M1715" s="592" t="s">
        <v>54</v>
      </c>
      <c r="N1715" s="748">
        <v>65033</v>
      </c>
      <c r="O1715" s="593">
        <v>65033</v>
      </c>
      <c r="P1715" s="465">
        <v>65061</v>
      </c>
      <c r="Q1715" s="436" t="s">
        <v>51</v>
      </c>
    </row>
    <row r="1716" spans="1:19">
      <c r="A1716" s="512">
        <f t="shared" si="19"/>
        <v>869</v>
      </c>
      <c r="B1716" s="434" t="s">
        <v>43</v>
      </c>
      <c r="C1716" s="434" t="s">
        <v>44</v>
      </c>
      <c r="D1716" s="434" t="s">
        <v>45</v>
      </c>
      <c r="E1716" s="648" t="s">
        <v>2027</v>
      </c>
      <c r="F1716" s="649" t="s">
        <v>124</v>
      </c>
      <c r="G1716" s="649">
        <v>9812859500</v>
      </c>
      <c r="H1716" s="510"/>
      <c r="I1716" s="649">
        <v>36</v>
      </c>
      <c r="J1716" s="616" t="s">
        <v>48</v>
      </c>
      <c r="K1716" s="650" t="s">
        <v>1950</v>
      </c>
      <c r="L1716" s="643"/>
      <c r="M1716" s="571" t="s">
        <v>1764</v>
      </c>
      <c r="N1716" s="730">
        <v>65033</v>
      </c>
      <c r="O1716" s="617">
        <v>65033</v>
      </c>
      <c r="P1716" s="514">
        <v>65048</v>
      </c>
      <c r="Q1716" s="512" t="s">
        <v>51</v>
      </c>
    </row>
    <row r="1717" spans="1:19">
      <c r="A1717" s="512">
        <f t="shared" si="19"/>
        <v>870</v>
      </c>
      <c r="B1717" s="434" t="s">
        <v>43</v>
      </c>
      <c r="C1717" s="434" t="s">
        <v>44</v>
      </c>
      <c r="D1717" s="434" t="s">
        <v>45</v>
      </c>
      <c r="E1717" s="651" t="s">
        <v>1574</v>
      </c>
      <c r="F1717" s="577" t="s">
        <v>1046</v>
      </c>
      <c r="G1717" s="577">
        <v>9809827240</v>
      </c>
      <c r="I1717" s="577">
        <v>36</v>
      </c>
      <c r="J1717" s="577" t="s">
        <v>48</v>
      </c>
      <c r="K1717" s="577" t="s">
        <v>53</v>
      </c>
      <c r="M1717" s="571" t="s">
        <v>119</v>
      </c>
      <c r="N1717" s="745">
        <v>65033</v>
      </c>
      <c r="O1717" s="645"/>
      <c r="P1717" s="514">
        <v>65048</v>
      </c>
      <c r="Q1717" s="512" t="s">
        <v>51</v>
      </c>
    </row>
    <row r="1718" spans="1:19">
      <c r="A1718" s="512">
        <f t="shared" si="19"/>
        <v>871</v>
      </c>
      <c r="B1718" s="434" t="s">
        <v>43</v>
      </c>
      <c r="C1718" s="434" t="s">
        <v>44</v>
      </c>
      <c r="D1718" s="434" t="s">
        <v>45</v>
      </c>
      <c r="E1718" s="644" t="s">
        <v>2083</v>
      </c>
      <c r="F1718" s="577" t="s">
        <v>529</v>
      </c>
      <c r="G1718" s="577">
        <v>9828222033</v>
      </c>
      <c r="I1718" s="577">
        <v>28</v>
      </c>
      <c r="J1718" s="577" t="s">
        <v>90</v>
      </c>
      <c r="K1718" s="577" t="s">
        <v>53</v>
      </c>
      <c r="M1718" s="571" t="s">
        <v>119</v>
      </c>
      <c r="N1718" s="745">
        <v>65033</v>
      </c>
      <c r="O1718" s="645"/>
      <c r="P1718" s="514">
        <v>65048</v>
      </c>
      <c r="Q1718" s="512" t="s">
        <v>51</v>
      </c>
    </row>
    <row r="1719" spans="1:19" s="163" customFormat="1">
      <c r="A1719" s="512">
        <f t="shared" si="19"/>
        <v>872</v>
      </c>
      <c r="B1719" s="434" t="s">
        <v>43</v>
      </c>
      <c r="C1719" s="644" t="s">
        <v>44</v>
      </c>
      <c r="D1719" s="644" t="s">
        <v>45</v>
      </c>
      <c r="E1719" s="653" t="s">
        <v>2115</v>
      </c>
      <c r="F1719" s="646" t="s">
        <v>502</v>
      </c>
      <c r="G1719" s="577">
        <v>9847947497</v>
      </c>
      <c r="H1719" s="644"/>
      <c r="I1719" s="577">
        <v>62</v>
      </c>
      <c r="J1719" s="577" t="s">
        <v>90</v>
      </c>
      <c r="K1719" s="577" t="s">
        <v>345</v>
      </c>
      <c r="L1719" s="434"/>
      <c r="M1719" s="577"/>
      <c r="N1719" s="745">
        <v>65033</v>
      </c>
      <c r="O1719" s="572">
        <v>65033</v>
      </c>
      <c r="P1719" s="514">
        <v>65048</v>
      </c>
      <c r="Q1719" s="512" t="s">
        <v>51</v>
      </c>
      <c r="R1719" s="322"/>
      <c r="S1719" s="322"/>
    </row>
    <row r="1720" spans="1:19">
      <c r="A1720" s="512">
        <f t="shared" si="19"/>
        <v>873</v>
      </c>
      <c r="B1720" s="434" t="s">
        <v>43</v>
      </c>
      <c r="C1720" s="434" t="s">
        <v>44</v>
      </c>
      <c r="D1720" s="434" t="s">
        <v>45</v>
      </c>
      <c r="E1720" s="140" t="s">
        <v>2018</v>
      </c>
      <c r="F1720" s="616" t="s">
        <v>491</v>
      </c>
      <c r="G1720" s="616">
        <v>9822828393</v>
      </c>
      <c r="H1720" s="140"/>
      <c r="I1720" s="616">
        <v>31</v>
      </c>
      <c r="J1720" s="616" t="s">
        <v>90</v>
      </c>
      <c r="K1720" s="577" t="s">
        <v>53</v>
      </c>
      <c r="L1720" s="643"/>
      <c r="M1720" s="571" t="s">
        <v>1764</v>
      </c>
      <c r="N1720" s="730">
        <v>65033</v>
      </c>
      <c r="O1720" s="617">
        <v>65033</v>
      </c>
      <c r="P1720" s="514">
        <v>65048</v>
      </c>
      <c r="Q1720" s="512" t="s">
        <v>51</v>
      </c>
    </row>
    <row r="1721" spans="1:19">
      <c r="A1721" s="512">
        <f t="shared" si="19"/>
        <v>874</v>
      </c>
      <c r="B1721" s="434" t="s">
        <v>43</v>
      </c>
      <c r="C1721" s="434" t="s">
        <v>44</v>
      </c>
      <c r="D1721" s="434" t="s">
        <v>45</v>
      </c>
      <c r="E1721" s="644" t="s">
        <v>2084</v>
      </c>
      <c r="F1721" s="577" t="s">
        <v>441</v>
      </c>
      <c r="G1721" s="577">
        <v>9810888805</v>
      </c>
      <c r="I1721" s="577">
        <v>22</v>
      </c>
      <c r="J1721" s="577" t="s">
        <v>48</v>
      </c>
      <c r="K1721" s="577" t="s">
        <v>53</v>
      </c>
      <c r="M1721" s="571" t="s">
        <v>119</v>
      </c>
      <c r="N1721" s="745">
        <v>65033</v>
      </c>
      <c r="O1721" s="645"/>
      <c r="P1721" s="514">
        <v>65048</v>
      </c>
      <c r="Q1721" s="512" t="s">
        <v>51</v>
      </c>
    </row>
    <row r="1722" spans="1:19">
      <c r="A1722" s="512">
        <f t="shared" si="19"/>
        <v>875</v>
      </c>
      <c r="B1722" s="434" t="s">
        <v>43</v>
      </c>
      <c r="C1722" s="434" t="s">
        <v>44</v>
      </c>
      <c r="D1722" s="434" t="s">
        <v>45</v>
      </c>
      <c r="E1722" s="644" t="s">
        <v>2085</v>
      </c>
      <c r="F1722" s="577" t="s">
        <v>1046</v>
      </c>
      <c r="G1722" s="577">
        <v>9847906045</v>
      </c>
      <c r="I1722" s="577">
        <v>74</v>
      </c>
      <c r="J1722" s="577" t="s">
        <v>48</v>
      </c>
      <c r="K1722" s="577" t="s">
        <v>53</v>
      </c>
      <c r="M1722" s="571" t="s">
        <v>119</v>
      </c>
      <c r="N1722" s="745">
        <v>65033</v>
      </c>
      <c r="O1722" s="645"/>
      <c r="P1722" s="514">
        <v>65048</v>
      </c>
      <c r="Q1722" s="512" t="s">
        <v>51</v>
      </c>
      <c r="R1722" s="163"/>
      <c r="S1722" s="163"/>
    </row>
    <row r="1723" spans="1:19" ht="15.75">
      <c r="A1723" s="512">
        <f t="shared" si="19"/>
        <v>876</v>
      </c>
      <c r="B1723" s="438" t="s">
        <v>43</v>
      </c>
      <c r="C1723" s="438" t="s">
        <v>44</v>
      </c>
      <c r="D1723" s="438" t="s">
        <v>45</v>
      </c>
      <c r="E1723" s="652" t="s">
        <v>1512</v>
      </c>
      <c r="F1723" s="635" t="s">
        <v>491</v>
      </c>
      <c r="G1723" s="635"/>
      <c r="H1723" s="436"/>
      <c r="I1723" s="635">
        <v>25</v>
      </c>
      <c r="J1723" s="635" t="s">
        <v>90</v>
      </c>
      <c r="K1723" s="635" t="s">
        <v>53</v>
      </c>
      <c r="L1723" s="438"/>
      <c r="M1723" s="592" t="s">
        <v>54</v>
      </c>
      <c r="N1723" s="748">
        <v>65033</v>
      </c>
      <c r="O1723" s="593">
        <v>65033</v>
      </c>
      <c r="P1723" s="465">
        <v>65061</v>
      </c>
      <c r="Q1723" s="436" t="s">
        <v>51</v>
      </c>
    </row>
    <row r="1724" spans="1:19">
      <c r="A1724" s="512">
        <f t="shared" si="19"/>
        <v>877</v>
      </c>
      <c r="B1724" s="434" t="s">
        <v>43</v>
      </c>
      <c r="C1724" s="434" t="s">
        <v>44</v>
      </c>
      <c r="D1724" s="434" t="s">
        <v>45</v>
      </c>
      <c r="E1724" s="644" t="s">
        <v>2086</v>
      </c>
      <c r="F1724" s="577" t="s">
        <v>491</v>
      </c>
      <c r="G1724" s="577">
        <v>9847835848</v>
      </c>
      <c r="I1724" s="577">
        <v>45</v>
      </c>
      <c r="J1724" s="577" t="s">
        <v>90</v>
      </c>
      <c r="K1724" s="577" t="s">
        <v>53</v>
      </c>
      <c r="M1724" s="571" t="s">
        <v>119</v>
      </c>
      <c r="N1724" s="745">
        <v>65033</v>
      </c>
      <c r="O1724" s="645"/>
      <c r="P1724" s="514">
        <v>65048</v>
      </c>
      <c r="Q1724" s="512" t="s">
        <v>51</v>
      </c>
    </row>
    <row r="1725" spans="1:19">
      <c r="A1725" s="512">
        <f t="shared" si="19"/>
        <v>878</v>
      </c>
      <c r="B1725" s="434" t="s">
        <v>43</v>
      </c>
      <c r="C1725" s="434" t="s">
        <v>44</v>
      </c>
      <c r="D1725" s="434" t="s">
        <v>45</v>
      </c>
      <c r="E1725" s="651" t="s">
        <v>2087</v>
      </c>
      <c r="F1725" s="577" t="s">
        <v>497</v>
      </c>
      <c r="G1725" s="577">
        <v>9843810898</v>
      </c>
      <c r="I1725" s="577">
        <v>58</v>
      </c>
      <c r="J1725" s="577" t="s">
        <v>90</v>
      </c>
      <c r="K1725" s="577" t="s">
        <v>53</v>
      </c>
      <c r="M1725" s="571" t="s">
        <v>119</v>
      </c>
      <c r="N1725" s="745">
        <v>65033</v>
      </c>
      <c r="O1725" s="645"/>
      <c r="P1725" s="514">
        <v>65048</v>
      </c>
      <c r="Q1725" s="512" t="s">
        <v>51</v>
      </c>
    </row>
    <row r="1726" spans="1:19">
      <c r="A1726" s="512">
        <f t="shared" si="19"/>
        <v>879</v>
      </c>
      <c r="B1726" s="434" t="s">
        <v>43</v>
      </c>
      <c r="C1726" s="434" t="s">
        <v>44</v>
      </c>
      <c r="D1726" s="434" t="s">
        <v>45</v>
      </c>
      <c r="E1726" s="644" t="s">
        <v>2088</v>
      </c>
      <c r="F1726" s="577" t="s">
        <v>1008</v>
      </c>
      <c r="G1726" s="577">
        <v>9844915899</v>
      </c>
      <c r="I1726" s="577">
        <v>29</v>
      </c>
      <c r="J1726" s="577" t="s">
        <v>48</v>
      </c>
      <c r="K1726" s="577" t="s">
        <v>53</v>
      </c>
      <c r="M1726" s="571" t="s">
        <v>119</v>
      </c>
      <c r="N1726" s="745">
        <v>65033</v>
      </c>
      <c r="O1726" s="645"/>
      <c r="P1726" s="514">
        <v>65048</v>
      </c>
      <c r="Q1726" s="512" t="s">
        <v>51</v>
      </c>
    </row>
    <row r="1727" spans="1:19">
      <c r="A1727" s="512">
        <f t="shared" si="19"/>
        <v>880</v>
      </c>
      <c r="B1727" s="434" t="s">
        <v>43</v>
      </c>
      <c r="C1727" s="434" t="s">
        <v>44</v>
      </c>
      <c r="D1727" s="434" t="s">
        <v>45</v>
      </c>
      <c r="E1727" s="644" t="s">
        <v>2089</v>
      </c>
      <c r="F1727" s="577" t="s">
        <v>502</v>
      </c>
      <c r="G1727" s="577">
        <v>9868094050</v>
      </c>
      <c r="I1727" s="577">
        <v>24</v>
      </c>
      <c r="J1727" s="577" t="s">
        <v>48</v>
      </c>
      <c r="K1727" s="577" t="s">
        <v>53</v>
      </c>
      <c r="M1727" s="571" t="s">
        <v>119</v>
      </c>
      <c r="N1727" s="745">
        <v>65033</v>
      </c>
      <c r="O1727" s="645"/>
      <c r="P1727" s="514">
        <v>65048</v>
      </c>
      <c r="Q1727" s="512" t="s">
        <v>51</v>
      </c>
    </row>
    <row r="1728" spans="1:19">
      <c r="A1728" s="512">
        <f t="shared" si="19"/>
        <v>881</v>
      </c>
      <c r="B1728" s="434" t="s">
        <v>43</v>
      </c>
      <c r="C1728" s="434" t="s">
        <v>44</v>
      </c>
      <c r="D1728" s="434" t="s">
        <v>45</v>
      </c>
      <c r="E1728" s="644" t="s">
        <v>2090</v>
      </c>
      <c r="F1728" s="577" t="s">
        <v>1008</v>
      </c>
      <c r="G1728" s="577">
        <v>9802053100</v>
      </c>
      <c r="I1728" s="577">
        <v>29</v>
      </c>
      <c r="J1728" s="577" t="s">
        <v>90</v>
      </c>
      <c r="K1728" s="577" t="s">
        <v>53</v>
      </c>
      <c r="M1728" s="571" t="s">
        <v>119</v>
      </c>
      <c r="N1728" s="745">
        <v>65033</v>
      </c>
      <c r="O1728" s="645"/>
      <c r="P1728" s="514">
        <v>65048</v>
      </c>
      <c r="Q1728" s="512" t="s">
        <v>51</v>
      </c>
    </row>
    <row r="1729" spans="1:19">
      <c r="A1729" s="512">
        <f t="shared" si="19"/>
        <v>882</v>
      </c>
      <c r="B1729" s="434" t="s">
        <v>43</v>
      </c>
      <c r="C1729" s="434" t="s">
        <v>44</v>
      </c>
      <c r="D1729" s="434" t="s">
        <v>45</v>
      </c>
      <c r="E1729" s="644" t="s">
        <v>2091</v>
      </c>
      <c r="F1729" s="577" t="s">
        <v>491</v>
      </c>
      <c r="G1729" s="577">
        <v>9847842336</v>
      </c>
      <c r="I1729" s="577">
        <v>25</v>
      </c>
      <c r="J1729" s="577" t="s">
        <v>48</v>
      </c>
      <c r="K1729" s="577" t="s">
        <v>53</v>
      </c>
      <c r="M1729" s="571" t="s">
        <v>119</v>
      </c>
      <c r="N1729" s="745">
        <v>65033</v>
      </c>
      <c r="O1729" s="645"/>
      <c r="P1729" s="514">
        <v>65048</v>
      </c>
      <c r="Q1729" s="512" t="s">
        <v>51</v>
      </c>
    </row>
    <row r="1730" spans="1:19">
      <c r="A1730" s="512">
        <f t="shared" si="19"/>
        <v>883</v>
      </c>
      <c r="B1730" s="434" t="s">
        <v>43</v>
      </c>
      <c r="C1730" s="434" t="s">
        <v>44</v>
      </c>
      <c r="D1730" s="434" t="s">
        <v>45</v>
      </c>
      <c r="E1730" s="644" t="s">
        <v>2092</v>
      </c>
      <c r="F1730" s="577" t="s">
        <v>1046</v>
      </c>
      <c r="G1730" s="577">
        <v>9810263116</v>
      </c>
      <c r="I1730" s="577">
        <v>21</v>
      </c>
      <c r="J1730" s="577" t="s">
        <v>90</v>
      </c>
      <c r="K1730" s="577" t="s">
        <v>53</v>
      </c>
      <c r="M1730" s="571" t="s">
        <v>119</v>
      </c>
      <c r="N1730" s="745">
        <v>65033</v>
      </c>
      <c r="O1730" s="645"/>
      <c r="P1730" s="514">
        <v>65048</v>
      </c>
      <c r="Q1730" s="512" t="s">
        <v>51</v>
      </c>
    </row>
    <row r="1731" spans="1:19">
      <c r="A1731" s="512">
        <f t="shared" si="19"/>
        <v>884</v>
      </c>
      <c r="B1731" s="434" t="s">
        <v>43</v>
      </c>
      <c r="C1731" s="434" t="s">
        <v>44</v>
      </c>
      <c r="D1731" s="434" t="s">
        <v>45</v>
      </c>
      <c r="E1731" s="644" t="s">
        <v>2093</v>
      </c>
      <c r="F1731" s="577" t="s">
        <v>1046</v>
      </c>
      <c r="G1731" s="577">
        <v>9810920429</v>
      </c>
      <c r="I1731" s="577">
        <v>17</v>
      </c>
      <c r="J1731" s="577" t="s">
        <v>48</v>
      </c>
      <c r="K1731" s="577" t="s">
        <v>53</v>
      </c>
      <c r="M1731" s="571" t="s">
        <v>119</v>
      </c>
      <c r="N1731" s="745">
        <v>65033</v>
      </c>
      <c r="O1731" s="645"/>
      <c r="P1731" s="514">
        <v>65048</v>
      </c>
      <c r="Q1731" s="512" t="s">
        <v>51</v>
      </c>
    </row>
    <row r="1732" spans="1:19" ht="15.75">
      <c r="A1732" s="512">
        <f t="shared" si="19"/>
        <v>885</v>
      </c>
      <c r="B1732" s="434" t="s">
        <v>43</v>
      </c>
      <c r="C1732" s="644" t="s">
        <v>44</v>
      </c>
      <c r="D1732" s="644" t="s">
        <v>45</v>
      </c>
      <c r="E1732" s="644" t="s">
        <v>2116</v>
      </c>
      <c r="F1732" s="646" t="s">
        <v>497</v>
      </c>
      <c r="G1732" s="577">
        <v>9857820946</v>
      </c>
      <c r="H1732" s="644"/>
      <c r="I1732" s="577">
        <v>40</v>
      </c>
      <c r="J1732" s="577" t="s">
        <v>90</v>
      </c>
      <c r="K1732" s="577" t="s">
        <v>1480</v>
      </c>
      <c r="M1732" s="577"/>
      <c r="N1732" s="759">
        <v>65033</v>
      </c>
      <c r="O1732" s="647">
        <v>65033</v>
      </c>
      <c r="P1732" s="514">
        <v>65048</v>
      </c>
      <c r="Q1732" s="512" t="s">
        <v>51</v>
      </c>
    </row>
    <row r="1733" spans="1:19" s="163" customFormat="1">
      <c r="A1733" s="512">
        <f t="shared" si="19"/>
        <v>886</v>
      </c>
      <c r="B1733" s="434" t="s">
        <v>43</v>
      </c>
      <c r="C1733" s="434" t="s">
        <v>44</v>
      </c>
      <c r="D1733" s="434" t="s">
        <v>45</v>
      </c>
      <c r="E1733" s="648" t="s">
        <v>2032</v>
      </c>
      <c r="F1733" s="649" t="s">
        <v>557</v>
      </c>
      <c r="G1733" s="649">
        <v>9857860060</v>
      </c>
      <c r="H1733" s="140"/>
      <c r="I1733" s="649">
        <v>26</v>
      </c>
      <c r="J1733" s="616" t="s">
        <v>48</v>
      </c>
      <c r="K1733" s="650" t="s">
        <v>1950</v>
      </c>
      <c r="L1733" s="643"/>
      <c r="M1733" s="571" t="s">
        <v>1764</v>
      </c>
      <c r="N1733" s="730">
        <v>65033</v>
      </c>
      <c r="O1733" s="617">
        <v>65033</v>
      </c>
      <c r="P1733" s="514">
        <v>65048</v>
      </c>
      <c r="Q1733" s="512" t="s">
        <v>51</v>
      </c>
      <c r="R1733" s="322"/>
      <c r="S1733" s="322"/>
    </row>
    <row r="1734" spans="1:19">
      <c r="A1734" s="512">
        <f t="shared" si="19"/>
        <v>887</v>
      </c>
      <c r="B1734" s="434" t="s">
        <v>43</v>
      </c>
      <c r="C1734" s="434" t="s">
        <v>44</v>
      </c>
      <c r="D1734" s="434" t="s">
        <v>45</v>
      </c>
      <c r="E1734" s="644" t="s">
        <v>2094</v>
      </c>
      <c r="F1734" s="577" t="s">
        <v>491</v>
      </c>
      <c r="G1734" s="577">
        <v>9829515130</v>
      </c>
      <c r="I1734" s="577">
        <v>59</v>
      </c>
      <c r="J1734" s="577" t="s">
        <v>48</v>
      </c>
      <c r="K1734" s="577" t="s">
        <v>53</v>
      </c>
      <c r="M1734" s="571" t="s">
        <v>119</v>
      </c>
      <c r="N1734" s="745">
        <v>65033</v>
      </c>
      <c r="O1734" s="645"/>
      <c r="P1734" s="514">
        <v>65048</v>
      </c>
      <c r="Q1734" s="512" t="s">
        <v>51</v>
      </c>
    </row>
    <row r="1735" spans="1:19">
      <c r="A1735" s="512">
        <f t="shared" si="19"/>
        <v>888</v>
      </c>
      <c r="B1735" s="434" t="s">
        <v>43</v>
      </c>
      <c r="C1735" s="434" t="s">
        <v>44</v>
      </c>
      <c r="D1735" s="434" t="s">
        <v>45</v>
      </c>
      <c r="E1735" s="644" t="s">
        <v>2095</v>
      </c>
      <c r="F1735" s="577" t="s">
        <v>730</v>
      </c>
      <c r="G1735" s="577">
        <v>9847833494</v>
      </c>
      <c r="I1735" s="577">
        <v>38</v>
      </c>
      <c r="J1735" s="577" t="s">
        <v>90</v>
      </c>
      <c r="K1735" s="577" t="s">
        <v>53</v>
      </c>
      <c r="M1735" s="571" t="s">
        <v>119</v>
      </c>
      <c r="N1735" s="745">
        <v>65033</v>
      </c>
      <c r="O1735" s="645"/>
      <c r="P1735" s="514">
        <v>65048</v>
      </c>
      <c r="Q1735" s="512" t="s">
        <v>51</v>
      </c>
    </row>
    <row r="1736" spans="1:19">
      <c r="A1736" s="512">
        <f t="shared" si="19"/>
        <v>889</v>
      </c>
      <c r="B1736" s="434" t="s">
        <v>43</v>
      </c>
      <c r="C1736" s="434" t="s">
        <v>44</v>
      </c>
      <c r="D1736" s="434" t="s">
        <v>45</v>
      </c>
      <c r="E1736" s="644" t="s">
        <v>2096</v>
      </c>
      <c r="F1736" s="577" t="s">
        <v>502</v>
      </c>
      <c r="G1736" s="577">
        <v>9860772134</v>
      </c>
      <c r="I1736" s="577">
        <v>27</v>
      </c>
      <c r="J1736" s="577" t="s">
        <v>90</v>
      </c>
      <c r="K1736" s="577" t="s">
        <v>53</v>
      </c>
      <c r="M1736" s="571" t="s">
        <v>119</v>
      </c>
      <c r="N1736" s="745">
        <v>65033</v>
      </c>
      <c r="O1736" s="645"/>
      <c r="P1736" s="514">
        <v>65048</v>
      </c>
      <c r="Q1736" s="512" t="s">
        <v>51</v>
      </c>
      <c r="R1736" s="163"/>
      <c r="S1736" s="163"/>
    </row>
    <row r="1737" spans="1:19" ht="15.75">
      <c r="A1737" s="512">
        <f t="shared" si="19"/>
        <v>890</v>
      </c>
      <c r="B1737" s="438" t="s">
        <v>43</v>
      </c>
      <c r="C1737" s="640" t="s">
        <v>44</v>
      </c>
      <c r="D1737" s="640" t="s">
        <v>45</v>
      </c>
      <c r="E1737" s="640" t="s">
        <v>2117</v>
      </c>
      <c r="F1737" s="642" t="s">
        <v>502</v>
      </c>
      <c r="G1737" s="635"/>
      <c r="H1737" s="640"/>
      <c r="I1737" s="635">
        <v>42</v>
      </c>
      <c r="J1737" s="635" t="s">
        <v>90</v>
      </c>
      <c r="K1737" s="635" t="s">
        <v>53</v>
      </c>
      <c r="L1737" s="438"/>
      <c r="M1737" s="592" t="s">
        <v>54</v>
      </c>
      <c r="N1737" s="748">
        <v>65033</v>
      </c>
      <c r="O1737" s="593">
        <v>65033</v>
      </c>
      <c r="P1737" s="465">
        <v>65061</v>
      </c>
      <c r="Q1737" s="436" t="s">
        <v>51</v>
      </c>
    </row>
    <row r="1738" spans="1:19">
      <c r="A1738" s="512">
        <f t="shared" si="19"/>
        <v>891</v>
      </c>
      <c r="B1738" s="434" t="s">
        <v>43</v>
      </c>
      <c r="C1738" s="434" t="s">
        <v>44</v>
      </c>
      <c r="D1738" s="434" t="s">
        <v>45</v>
      </c>
      <c r="E1738" s="644" t="s">
        <v>2097</v>
      </c>
      <c r="F1738" s="577" t="s">
        <v>502</v>
      </c>
      <c r="G1738" s="577">
        <v>9809841362</v>
      </c>
      <c r="I1738" s="577">
        <v>32</v>
      </c>
      <c r="J1738" s="577" t="s">
        <v>48</v>
      </c>
      <c r="K1738" s="577" t="s">
        <v>53</v>
      </c>
      <c r="M1738" s="571" t="s">
        <v>119</v>
      </c>
      <c r="N1738" s="745">
        <v>65033</v>
      </c>
      <c r="O1738" s="645"/>
      <c r="P1738" s="514">
        <v>65048</v>
      </c>
      <c r="Q1738" s="512" t="s">
        <v>51</v>
      </c>
    </row>
    <row r="1739" spans="1:19">
      <c r="A1739" s="512">
        <f t="shared" si="19"/>
        <v>892</v>
      </c>
      <c r="B1739" s="434" t="s">
        <v>43</v>
      </c>
      <c r="C1739" s="434" t="s">
        <v>44</v>
      </c>
      <c r="D1739" s="434" t="s">
        <v>45</v>
      </c>
      <c r="E1739" s="644" t="s">
        <v>2098</v>
      </c>
      <c r="F1739" s="577" t="s">
        <v>491</v>
      </c>
      <c r="G1739" s="577">
        <v>9843654711</v>
      </c>
      <c r="I1739" s="577">
        <v>31</v>
      </c>
      <c r="J1739" s="577" t="s">
        <v>90</v>
      </c>
      <c r="K1739" s="577" t="s">
        <v>53</v>
      </c>
      <c r="M1739" s="571" t="s">
        <v>119</v>
      </c>
      <c r="N1739" s="745">
        <v>65033</v>
      </c>
      <c r="O1739" s="645"/>
      <c r="P1739" s="514">
        <v>65048</v>
      </c>
      <c r="Q1739" s="512" t="s">
        <v>51</v>
      </c>
    </row>
    <row r="1740" spans="1:19" s="163" customFormat="1">
      <c r="A1740" s="512">
        <f t="shared" si="19"/>
        <v>893</v>
      </c>
      <c r="B1740" s="434" t="s">
        <v>43</v>
      </c>
      <c r="C1740" s="434" t="s">
        <v>44</v>
      </c>
      <c r="D1740" s="434" t="s">
        <v>45</v>
      </c>
      <c r="E1740" s="644" t="s">
        <v>2099</v>
      </c>
      <c r="F1740" s="577" t="s">
        <v>598</v>
      </c>
      <c r="G1740" s="577">
        <v>9806267122</v>
      </c>
      <c r="H1740" s="432"/>
      <c r="I1740" s="577">
        <v>25</v>
      </c>
      <c r="J1740" s="577" t="s">
        <v>90</v>
      </c>
      <c r="K1740" s="577" t="s">
        <v>53</v>
      </c>
      <c r="L1740" s="434"/>
      <c r="M1740" s="571" t="s">
        <v>119</v>
      </c>
      <c r="N1740" s="745">
        <v>65033</v>
      </c>
      <c r="O1740" s="645"/>
      <c r="P1740" s="514">
        <v>65048</v>
      </c>
      <c r="Q1740" s="512" t="s">
        <v>51</v>
      </c>
      <c r="R1740" s="322"/>
      <c r="S1740" s="322"/>
    </row>
    <row r="1741" spans="1:19">
      <c r="A1741" s="512">
        <f t="shared" si="19"/>
        <v>894</v>
      </c>
      <c r="B1741" s="434" t="s">
        <v>43</v>
      </c>
      <c r="C1741" s="434" t="s">
        <v>44</v>
      </c>
      <c r="D1741" s="434" t="s">
        <v>45</v>
      </c>
      <c r="E1741" s="651" t="s">
        <v>1391</v>
      </c>
      <c r="F1741" s="577" t="s">
        <v>1008</v>
      </c>
      <c r="G1741" s="577">
        <v>9810844138</v>
      </c>
      <c r="I1741" s="577">
        <v>18</v>
      </c>
      <c r="J1741" s="577" t="s">
        <v>90</v>
      </c>
      <c r="K1741" s="577" t="s">
        <v>53</v>
      </c>
      <c r="M1741" s="571" t="s">
        <v>119</v>
      </c>
      <c r="N1741" s="745">
        <v>65033</v>
      </c>
      <c r="O1741" s="645"/>
      <c r="P1741" s="514">
        <v>65048</v>
      </c>
      <c r="Q1741" s="512" t="s">
        <v>51</v>
      </c>
    </row>
    <row r="1742" spans="1:19">
      <c r="A1742" s="512">
        <f t="shared" si="19"/>
        <v>895</v>
      </c>
      <c r="B1742" s="434" t="s">
        <v>43</v>
      </c>
      <c r="C1742" s="434" t="s">
        <v>44</v>
      </c>
      <c r="D1742" s="434" t="s">
        <v>45</v>
      </c>
      <c r="E1742" s="140" t="s">
        <v>2017</v>
      </c>
      <c r="F1742" s="616" t="s">
        <v>1204</v>
      </c>
      <c r="G1742" s="616">
        <v>9868692524</v>
      </c>
      <c r="H1742" s="140"/>
      <c r="I1742" s="616">
        <v>20</v>
      </c>
      <c r="J1742" s="616" t="s">
        <v>90</v>
      </c>
      <c r="K1742" s="577" t="s">
        <v>53</v>
      </c>
      <c r="L1742" s="643"/>
      <c r="M1742" s="571" t="s">
        <v>1764</v>
      </c>
      <c r="N1742" s="730">
        <v>65033</v>
      </c>
      <c r="O1742" s="617">
        <v>65033</v>
      </c>
      <c r="P1742" s="514">
        <v>65048</v>
      </c>
      <c r="Q1742" s="512" t="s">
        <v>51</v>
      </c>
    </row>
    <row r="1743" spans="1:19">
      <c r="A1743" s="512">
        <f t="shared" si="19"/>
        <v>896</v>
      </c>
      <c r="B1743" s="434" t="s">
        <v>43</v>
      </c>
      <c r="C1743" s="434" t="s">
        <v>44</v>
      </c>
      <c r="D1743" s="434" t="s">
        <v>45</v>
      </c>
      <c r="E1743" s="644" t="s">
        <v>2100</v>
      </c>
      <c r="F1743" s="577" t="s">
        <v>491</v>
      </c>
      <c r="G1743" s="577">
        <v>9847830344</v>
      </c>
      <c r="I1743" s="577">
        <v>23</v>
      </c>
      <c r="J1743" s="577" t="s">
        <v>90</v>
      </c>
      <c r="K1743" s="577" t="s">
        <v>53</v>
      </c>
      <c r="M1743" s="571" t="s">
        <v>119</v>
      </c>
      <c r="N1743" s="745">
        <v>65033</v>
      </c>
      <c r="O1743" s="645"/>
      <c r="P1743" s="514">
        <v>65048</v>
      </c>
      <c r="Q1743" s="512" t="s">
        <v>51</v>
      </c>
      <c r="R1743" s="362"/>
      <c r="S1743" s="362"/>
    </row>
    <row r="1744" spans="1:19">
      <c r="A1744" s="512">
        <f t="shared" si="19"/>
        <v>897</v>
      </c>
      <c r="B1744" s="423" t="s">
        <v>43</v>
      </c>
      <c r="C1744" s="423" t="s">
        <v>44</v>
      </c>
      <c r="D1744" s="77" t="s">
        <v>449</v>
      </c>
      <c r="E1744" s="267" t="s">
        <v>2146</v>
      </c>
      <c r="F1744" s="595" t="s">
        <v>529</v>
      </c>
      <c r="G1744" s="423"/>
      <c r="H1744" s="422"/>
      <c r="I1744" s="595">
        <v>75</v>
      </c>
      <c r="J1744" s="423" t="s">
        <v>90</v>
      </c>
      <c r="K1744" s="423" t="s">
        <v>53</v>
      </c>
      <c r="L1744" s="423"/>
      <c r="M1744" s="423" t="s">
        <v>1192</v>
      </c>
      <c r="N1744" s="726">
        <v>65033</v>
      </c>
      <c r="O1744" s="422"/>
      <c r="P1744" s="476">
        <v>65034</v>
      </c>
      <c r="Q1744" s="422" t="s">
        <v>806</v>
      </c>
      <c r="R1744" s="163"/>
      <c r="S1744" s="163"/>
    </row>
    <row r="1745" spans="1:31" ht="15.75">
      <c r="A1745" s="512">
        <f t="shared" si="19"/>
        <v>898</v>
      </c>
      <c r="B1745" s="438" t="s">
        <v>43</v>
      </c>
      <c r="C1745" s="438" t="s">
        <v>44</v>
      </c>
      <c r="D1745" s="438" t="s">
        <v>45</v>
      </c>
      <c r="E1745" s="652" t="s">
        <v>1802</v>
      </c>
      <c r="F1745" s="635" t="s">
        <v>491</v>
      </c>
      <c r="G1745" s="635"/>
      <c r="H1745" s="436"/>
      <c r="I1745" s="635">
        <v>34</v>
      </c>
      <c r="J1745" s="635" t="s">
        <v>90</v>
      </c>
      <c r="K1745" s="635" t="s">
        <v>53</v>
      </c>
      <c r="L1745" s="438"/>
      <c r="M1745" s="592" t="s">
        <v>54</v>
      </c>
      <c r="N1745" s="748">
        <v>65033</v>
      </c>
      <c r="O1745" s="593">
        <v>65033</v>
      </c>
      <c r="P1745" s="465">
        <v>65061</v>
      </c>
      <c r="Q1745" s="436" t="s">
        <v>51</v>
      </c>
    </row>
    <row r="1746" spans="1:31">
      <c r="A1746" s="512">
        <f t="shared" ref="A1746:A1809" si="20">A1745+1</f>
        <v>899</v>
      </c>
      <c r="B1746" s="434" t="s">
        <v>43</v>
      </c>
      <c r="C1746" s="434" t="s">
        <v>44</v>
      </c>
      <c r="D1746" s="434" t="s">
        <v>45</v>
      </c>
      <c r="E1746" s="644" t="s">
        <v>2101</v>
      </c>
      <c r="F1746" s="577" t="s">
        <v>730</v>
      </c>
      <c r="G1746" s="577">
        <v>9829533077</v>
      </c>
      <c r="I1746" s="577">
        <v>61</v>
      </c>
      <c r="J1746" s="577" t="s">
        <v>90</v>
      </c>
      <c r="K1746" s="577" t="s">
        <v>53</v>
      </c>
      <c r="M1746" s="571" t="s">
        <v>119</v>
      </c>
      <c r="N1746" s="745">
        <v>65033</v>
      </c>
      <c r="O1746" s="645"/>
      <c r="P1746" s="514">
        <v>65048</v>
      </c>
      <c r="Q1746" s="512" t="s">
        <v>51</v>
      </c>
    </row>
    <row r="1747" spans="1:31">
      <c r="A1747" s="512">
        <f t="shared" si="20"/>
        <v>900</v>
      </c>
      <c r="B1747" s="434" t="s">
        <v>43</v>
      </c>
      <c r="C1747" s="434" t="s">
        <v>44</v>
      </c>
      <c r="D1747" s="434" t="s">
        <v>45</v>
      </c>
      <c r="E1747" s="648" t="s">
        <v>2028</v>
      </c>
      <c r="F1747" s="649" t="s">
        <v>124</v>
      </c>
      <c r="G1747" s="649">
        <v>9844904407</v>
      </c>
      <c r="H1747" s="140"/>
      <c r="I1747" s="649">
        <v>38</v>
      </c>
      <c r="J1747" s="616" t="s">
        <v>48</v>
      </c>
      <c r="K1747" s="650" t="s">
        <v>1950</v>
      </c>
      <c r="L1747" s="643"/>
      <c r="M1747" s="571" t="s">
        <v>1764</v>
      </c>
      <c r="N1747" s="730">
        <v>65033</v>
      </c>
      <c r="O1747" s="617">
        <v>65033</v>
      </c>
      <c r="P1747" s="514">
        <v>65048</v>
      </c>
      <c r="Q1747" s="512" t="s">
        <v>51</v>
      </c>
    </row>
    <row r="1748" spans="1:31">
      <c r="A1748" s="512">
        <f t="shared" si="20"/>
        <v>901</v>
      </c>
      <c r="B1748" s="434" t="s">
        <v>43</v>
      </c>
      <c r="C1748" s="434" t="s">
        <v>44</v>
      </c>
      <c r="D1748" s="434" t="s">
        <v>45</v>
      </c>
      <c r="E1748" s="140" t="s">
        <v>2014</v>
      </c>
      <c r="F1748" s="616" t="s">
        <v>598</v>
      </c>
      <c r="G1748" s="616">
        <v>9857823242</v>
      </c>
      <c r="H1748" s="510"/>
      <c r="I1748" s="616">
        <v>18</v>
      </c>
      <c r="J1748" s="616" t="s">
        <v>48</v>
      </c>
      <c r="K1748" s="577" t="s">
        <v>53</v>
      </c>
      <c r="L1748" s="643"/>
      <c r="M1748" s="571" t="s">
        <v>1764</v>
      </c>
      <c r="N1748" s="730">
        <v>65033</v>
      </c>
      <c r="O1748" s="617">
        <v>65033</v>
      </c>
      <c r="P1748" s="514">
        <v>65048</v>
      </c>
      <c r="Q1748" s="512" t="s">
        <v>51</v>
      </c>
    </row>
    <row r="1749" spans="1:31">
      <c r="A1749" s="512">
        <f t="shared" si="20"/>
        <v>902</v>
      </c>
      <c r="B1749" s="434" t="s">
        <v>43</v>
      </c>
      <c r="C1749" s="434" t="s">
        <v>44</v>
      </c>
      <c r="D1749" s="434" t="s">
        <v>45</v>
      </c>
      <c r="E1749" s="648" t="s">
        <v>2029</v>
      </c>
      <c r="F1749" s="649" t="s">
        <v>730</v>
      </c>
      <c r="G1749" s="649">
        <v>9822816209</v>
      </c>
      <c r="H1749" s="140"/>
      <c r="I1749" s="649">
        <v>50</v>
      </c>
      <c r="J1749" s="616" t="s">
        <v>48</v>
      </c>
      <c r="K1749" s="650" t="s">
        <v>1950</v>
      </c>
      <c r="L1749" s="643"/>
      <c r="M1749" s="571" t="s">
        <v>1764</v>
      </c>
      <c r="N1749" s="730">
        <v>65033</v>
      </c>
      <c r="O1749" s="617">
        <v>65033</v>
      </c>
      <c r="P1749" s="514">
        <v>65048</v>
      </c>
      <c r="Q1749" s="512" t="s">
        <v>51</v>
      </c>
    </row>
    <row r="1750" spans="1:31" s="362" customFormat="1">
      <c r="A1750" s="512">
        <f t="shared" si="20"/>
        <v>903</v>
      </c>
      <c r="B1750" s="434" t="s">
        <v>43</v>
      </c>
      <c r="C1750" s="434" t="s">
        <v>44</v>
      </c>
      <c r="D1750" s="434" t="s">
        <v>45</v>
      </c>
      <c r="E1750" s="644" t="s">
        <v>2102</v>
      </c>
      <c r="F1750" s="577" t="s">
        <v>491</v>
      </c>
      <c r="G1750" s="577">
        <v>9857890121</v>
      </c>
      <c r="H1750" s="432"/>
      <c r="I1750" s="577">
        <v>44</v>
      </c>
      <c r="J1750" s="577" t="s">
        <v>48</v>
      </c>
      <c r="K1750" s="577" t="s">
        <v>53</v>
      </c>
      <c r="L1750" s="434"/>
      <c r="M1750" s="571" t="s">
        <v>119</v>
      </c>
      <c r="N1750" s="745">
        <v>65033</v>
      </c>
      <c r="O1750" s="645"/>
      <c r="P1750" s="514">
        <v>65048</v>
      </c>
      <c r="Q1750" s="512" t="s">
        <v>51</v>
      </c>
      <c r="R1750" s="322"/>
      <c r="S1750" s="322"/>
      <c r="T1750" s="322"/>
      <c r="U1750" s="322"/>
      <c r="V1750" s="322"/>
      <c r="W1750" s="322"/>
      <c r="X1750" s="322"/>
      <c r="Y1750" s="322"/>
      <c r="Z1750" s="322"/>
      <c r="AA1750" s="322"/>
      <c r="AB1750" s="322"/>
      <c r="AC1750" s="322"/>
      <c r="AD1750" s="322"/>
      <c r="AE1750" s="322"/>
    </row>
    <row r="1751" spans="1:31" s="362" customFormat="1">
      <c r="A1751" s="512">
        <f t="shared" si="20"/>
        <v>904</v>
      </c>
      <c r="B1751" s="434" t="s">
        <v>43</v>
      </c>
      <c r="C1751" s="434" t="s">
        <v>44</v>
      </c>
      <c r="D1751" s="434" t="s">
        <v>45</v>
      </c>
      <c r="E1751" s="644" t="s">
        <v>2103</v>
      </c>
      <c r="F1751" s="577" t="s">
        <v>1009</v>
      </c>
      <c r="G1751" s="577">
        <v>9806204971</v>
      </c>
      <c r="H1751" s="432"/>
      <c r="I1751" s="577">
        <v>38</v>
      </c>
      <c r="J1751" s="577" t="s">
        <v>48</v>
      </c>
      <c r="K1751" s="577" t="s">
        <v>53</v>
      </c>
      <c r="L1751" s="434"/>
      <c r="M1751" s="571" t="s">
        <v>119</v>
      </c>
      <c r="N1751" s="745">
        <v>65033</v>
      </c>
      <c r="O1751" s="645"/>
      <c r="P1751" s="514">
        <v>65048</v>
      </c>
      <c r="Q1751" s="512" t="s">
        <v>51</v>
      </c>
      <c r="R1751" s="322"/>
      <c r="S1751" s="322"/>
      <c r="T1751" s="322"/>
      <c r="U1751" s="322"/>
      <c r="V1751" s="322"/>
      <c r="W1751" s="322"/>
      <c r="X1751" s="322"/>
      <c r="Y1751" s="322"/>
      <c r="Z1751" s="322"/>
      <c r="AA1751" s="322"/>
      <c r="AB1751" s="322"/>
      <c r="AC1751" s="322"/>
      <c r="AD1751" s="322"/>
      <c r="AE1751" s="322"/>
    </row>
    <row r="1752" spans="1:31">
      <c r="A1752" s="512">
        <f t="shared" si="20"/>
        <v>905</v>
      </c>
      <c r="B1752" s="531" t="s">
        <v>43</v>
      </c>
      <c r="C1752" s="626" t="s">
        <v>44</v>
      </c>
      <c r="D1752" s="626" t="s">
        <v>45</v>
      </c>
      <c r="E1752" s="538" t="s">
        <v>2168</v>
      </c>
      <c r="F1752" s="535" t="s">
        <v>512</v>
      </c>
      <c r="G1752" s="535">
        <v>9829536731</v>
      </c>
      <c r="H1752" s="533"/>
      <c r="I1752" s="535">
        <v>30</v>
      </c>
      <c r="J1752" s="575" t="s">
        <v>48</v>
      </c>
      <c r="K1752" s="531" t="s">
        <v>709</v>
      </c>
      <c r="L1752" s="531"/>
      <c r="M1752" s="576" t="s">
        <v>1192</v>
      </c>
      <c r="N1752" s="752">
        <v>65034</v>
      </c>
      <c r="O1752" s="600">
        <v>65034</v>
      </c>
      <c r="P1752" s="541">
        <v>65049</v>
      </c>
      <c r="Q1752" s="533" t="s">
        <v>51</v>
      </c>
    </row>
    <row r="1753" spans="1:31">
      <c r="A1753" s="512">
        <f t="shared" si="20"/>
        <v>906</v>
      </c>
      <c r="B1753" s="531" t="s">
        <v>43</v>
      </c>
      <c r="C1753" s="626" t="s">
        <v>44</v>
      </c>
      <c r="D1753" s="626" t="s">
        <v>45</v>
      </c>
      <c r="E1753" s="538" t="s">
        <v>2179</v>
      </c>
      <c r="F1753" s="535" t="s">
        <v>502</v>
      </c>
      <c r="G1753" s="535">
        <v>9847830072</v>
      </c>
      <c r="H1753" s="533"/>
      <c r="I1753" s="535">
        <v>20</v>
      </c>
      <c r="J1753" s="575" t="s">
        <v>48</v>
      </c>
      <c r="K1753" s="531" t="s">
        <v>709</v>
      </c>
      <c r="L1753" s="531"/>
      <c r="M1753" s="576" t="s">
        <v>1192</v>
      </c>
      <c r="N1753" s="752">
        <v>65034</v>
      </c>
      <c r="O1753" s="600">
        <v>65034</v>
      </c>
      <c r="P1753" s="541">
        <v>65049</v>
      </c>
      <c r="Q1753" s="533" t="s">
        <v>51</v>
      </c>
    </row>
    <row r="1754" spans="1:31">
      <c r="A1754" s="512">
        <f t="shared" si="20"/>
        <v>907</v>
      </c>
      <c r="B1754" s="531" t="s">
        <v>43</v>
      </c>
      <c r="C1754" s="626" t="s">
        <v>44</v>
      </c>
      <c r="D1754" s="626" t="s">
        <v>45</v>
      </c>
      <c r="E1754" s="538" t="s">
        <v>2177</v>
      </c>
      <c r="F1754" s="535" t="s">
        <v>1046</v>
      </c>
      <c r="G1754" s="535">
        <v>9866902912</v>
      </c>
      <c r="H1754" s="533"/>
      <c r="I1754" s="535">
        <v>24</v>
      </c>
      <c r="J1754" s="575" t="s">
        <v>48</v>
      </c>
      <c r="K1754" s="531" t="s">
        <v>709</v>
      </c>
      <c r="L1754" s="531"/>
      <c r="M1754" s="576" t="s">
        <v>1192</v>
      </c>
      <c r="N1754" s="752">
        <v>65034</v>
      </c>
      <c r="O1754" s="600">
        <v>65034</v>
      </c>
      <c r="P1754" s="541">
        <v>65049</v>
      </c>
      <c r="Q1754" s="533" t="s">
        <v>51</v>
      </c>
    </row>
    <row r="1755" spans="1:31">
      <c r="A1755" s="512">
        <f t="shared" si="20"/>
        <v>908</v>
      </c>
      <c r="B1755" s="531" t="s">
        <v>43</v>
      </c>
      <c r="C1755" s="626" t="s">
        <v>44</v>
      </c>
      <c r="D1755" s="626" t="s">
        <v>45</v>
      </c>
      <c r="E1755" s="566" t="s">
        <v>2182</v>
      </c>
      <c r="F1755" s="565" t="s">
        <v>441</v>
      </c>
      <c r="G1755" s="565">
        <v>9847829491</v>
      </c>
      <c r="H1755" s="533"/>
      <c r="I1755" s="565">
        <v>54</v>
      </c>
      <c r="J1755" s="575" t="s">
        <v>48</v>
      </c>
      <c r="K1755" s="531" t="s">
        <v>1950</v>
      </c>
      <c r="L1755" s="531"/>
      <c r="M1755" s="576" t="s">
        <v>1192</v>
      </c>
      <c r="N1755" s="752">
        <v>65034</v>
      </c>
      <c r="O1755" s="600">
        <v>65034</v>
      </c>
      <c r="P1755" s="541">
        <v>65049</v>
      </c>
      <c r="Q1755" s="533" t="s">
        <v>51</v>
      </c>
    </row>
    <row r="1756" spans="1:31">
      <c r="A1756" s="512">
        <f t="shared" si="20"/>
        <v>909</v>
      </c>
      <c r="B1756" s="531" t="s">
        <v>43</v>
      </c>
      <c r="C1756" s="626" t="s">
        <v>44</v>
      </c>
      <c r="D1756" s="626" t="s">
        <v>45</v>
      </c>
      <c r="E1756" s="538" t="s">
        <v>2151</v>
      </c>
      <c r="F1756" s="535" t="s">
        <v>502</v>
      </c>
      <c r="G1756" s="535">
        <v>9806298758</v>
      </c>
      <c r="H1756" s="533"/>
      <c r="I1756" s="535">
        <v>25</v>
      </c>
      <c r="J1756" s="575" t="s">
        <v>90</v>
      </c>
      <c r="K1756" s="531" t="s">
        <v>709</v>
      </c>
      <c r="L1756" s="531"/>
      <c r="M1756" s="576" t="s">
        <v>1192</v>
      </c>
      <c r="N1756" s="752">
        <v>65034</v>
      </c>
      <c r="O1756" s="600">
        <v>65034</v>
      </c>
      <c r="P1756" s="541">
        <v>65049</v>
      </c>
      <c r="Q1756" s="533" t="s">
        <v>51</v>
      </c>
    </row>
    <row r="1757" spans="1:31">
      <c r="A1757" s="512">
        <f t="shared" si="20"/>
        <v>910</v>
      </c>
      <c r="B1757" s="531" t="s">
        <v>43</v>
      </c>
      <c r="C1757" s="626" t="s">
        <v>44</v>
      </c>
      <c r="D1757" s="626" t="s">
        <v>45</v>
      </c>
      <c r="E1757" s="538" t="s">
        <v>2171</v>
      </c>
      <c r="F1757" s="535" t="s">
        <v>1204</v>
      </c>
      <c r="G1757" s="535">
        <v>9847813500</v>
      </c>
      <c r="H1757" s="533"/>
      <c r="I1757" s="535">
        <v>42</v>
      </c>
      <c r="J1757" s="575" t="s">
        <v>48</v>
      </c>
      <c r="K1757" s="531" t="s">
        <v>709</v>
      </c>
      <c r="L1757" s="531"/>
      <c r="M1757" s="576" t="s">
        <v>1192</v>
      </c>
      <c r="N1757" s="752">
        <v>65034</v>
      </c>
      <c r="O1757" s="600">
        <v>65034</v>
      </c>
      <c r="P1757" s="541">
        <v>65049</v>
      </c>
      <c r="Q1757" s="533" t="s">
        <v>51</v>
      </c>
    </row>
    <row r="1758" spans="1:31">
      <c r="A1758" s="512">
        <f t="shared" si="20"/>
        <v>911</v>
      </c>
      <c r="B1758" s="531" t="s">
        <v>43</v>
      </c>
      <c r="C1758" s="626" t="s">
        <v>44</v>
      </c>
      <c r="D1758" s="626" t="s">
        <v>45</v>
      </c>
      <c r="E1758" s="566" t="s">
        <v>2183</v>
      </c>
      <c r="F1758" s="565" t="s">
        <v>598</v>
      </c>
      <c r="G1758" s="565">
        <v>9847835407</v>
      </c>
      <c r="H1758" s="533"/>
      <c r="I1758" s="565">
        <v>42</v>
      </c>
      <c r="J1758" s="575" t="s">
        <v>48</v>
      </c>
      <c r="K1758" s="531" t="s">
        <v>1950</v>
      </c>
      <c r="L1758" s="531"/>
      <c r="M1758" s="576" t="s">
        <v>1192</v>
      </c>
      <c r="N1758" s="752">
        <v>65034</v>
      </c>
      <c r="O1758" s="600">
        <v>65034</v>
      </c>
      <c r="P1758" s="541">
        <v>65049</v>
      </c>
      <c r="Q1758" s="533" t="s">
        <v>51</v>
      </c>
    </row>
    <row r="1759" spans="1:31">
      <c r="A1759" s="512">
        <f t="shared" si="20"/>
        <v>912</v>
      </c>
      <c r="B1759" s="531" t="s">
        <v>43</v>
      </c>
      <c r="C1759" s="626" t="s">
        <v>44</v>
      </c>
      <c r="D1759" s="626" t="s">
        <v>45</v>
      </c>
      <c r="E1759" s="538" t="s">
        <v>2166</v>
      </c>
      <c r="F1759" s="535" t="s">
        <v>1046</v>
      </c>
      <c r="G1759" s="535">
        <v>9847914475</v>
      </c>
      <c r="H1759" s="533"/>
      <c r="I1759" s="535">
        <v>49</v>
      </c>
      <c r="J1759" s="575" t="s">
        <v>48</v>
      </c>
      <c r="K1759" s="531" t="s">
        <v>709</v>
      </c>
      <c r="L1759" s="531"/>
      <c r="M1759" s="576" t="s">
        <v>1192</v>
      </c>
      <c r="N1759" s="752">
        <v>65034</v>
      </c>
      <c r="O1759" s="600">
        <v>65034</v>
      </c>
      <c r="P1759" s="541">
        <v>65049</v>
      </c>
      <c r="Q1759" s="533" t="s">
        <v>51</v>
      </c>
    </row>
    <row r="1760" spans="1:31">
      <c r="A1760" s="512">
        <f t="shared" si="20"/>
        <v>913</v>
      </c>
      <c r="B1760" s="531" t="s">
        <v>43</v>
      </c>
      <c r="C1760" s="626" t="s">
        <v>44</v>
      </c>
      <c r="D1760" s="626" t="s">
        <v>45</v>
      </c>
      <c r="E1760" s="538" t="s">
        <v>2159</v>
      </c>
      <c r="F1760" s="535" t="s">
        <v>441</v>
      </c>
      <c r="G1760" s="535">
        <v>9810987940</v>
      </c>
      <c r="H1760" s="533"/>
      <c r="I1760" s="535">
        <v>20</v>
      </c>
      <c r="J1760" s="575" t="s">
        <v>48</v>
      </c>
      <c r="K1760" s="531" t="s">
        <v>709</v>
      </c>
      <c r="L1760" s="531"/>
      <c r="M1760" s="576" t="s">
        <v>1192</v>
      </c>
      <c r="N1760" s="752">
        <v>65034</v>
      </c>
      <c r="O1760" s="600">
        <v>65034</v>
      </c>
      <c r="P1760" s="541">
        <v>65049</v>
      </c>
      <c r="Q1760" s="533" t="s">
        <v>51</v>
      </c>
    </row>
    <row r="1761" spans="1:17">
      <c r="A1761" s="512">
        <f t="shared" si="20"/>
        <v>914</v>
      </c>
      <c r="B1761" s="531" t="s">
        <v>43</v>
      </c>
      <c r="C1761" s="626" t="s">
        <v>44</v>
      </c>
      <c r="D1761" s="626" t="s">
        <v>45</v>
      </c>
      <c r="E1761" s="626" t="s">
        <v>2118</v>
      </c>
      <c r="F1761" s="654" t="s">
        <v>502</v>
      </c>
      <c r="G1761" s="575">
        <v>9847842739</v>
      </c>
      <c r="H1761" s="626"/>
      <c r="I1761" s="575">
        <v>68</v>
      </c>
      <c r="J1761" s="575" t="s">
        <v>90</v>
      </c>
      <c r="K1761" s="575" t="s">
        <v>1480</v>
      </c>
      <c r="L1761" s="531"/>
      <c r="M1761" s="576" t="s">
        <v>1192</v>
      </c>
      <c r="N1761" s="752">
        <v>65034</v>
      </c>
      <c r="O1761" s="600">
        <v>65034</v>
      </c>
      <c r="P1761" s="541">
        <v>65049</v>
      </c>
      <c r="Q1761" s="533" t="s">
        <v>51</v>
      </c>
    </row>
    <row r="1762" spans="1:17" ht="18">
      <c r="A1762" s="512">
        <f t="shared" si="20"/>
        <v>915</v>
      </c>
      <c r="B1762" s="655" t="s">
        <v>43</v>
      </c>
      <c r="C1762" s="626" t="s">
        <v>44</v>
      </c>
      <c r="D1762" s="626" t="s">
        <v>45</v>
      </c>
      <c r="E1762" s="626" t="s">
        <v>2197</v>
      </c>
      <c r="F1762" s="654" t="s">
        <v>502</v>
      </c>
      <c r="G1762" s="575">
        <v>9857820098</v>
      </c>
      <c r="H1762" s="629"/>
      <c r="I1762" s="575">
        <v>25</v>
      </c>
      <c r="J1762" s="575" t="s">
        <v>48</v>
      </c>
      <c r="K1762" s="575" t="s">
        <v>53</v>
      </c>
      <c r="L1762" s="575"/>
      <c r="M1762" s="560" t="s">
        <v>119</v>
      </c>
      <c r="N1762" s="760">
        <v>65034</v>
      </c>
      <c r="O1762" s="656">
        <v>65034</v>
      </c>
      <c r="P1762" s="541">
        <v>65049</v>
      </c>
      <c r="Q1762" s="533" t="s">
        <v>51</v>
      </c>
    </row>
    <row r="1763" spans="1:17">
      <c r="A1763" s="512">
        <f t="shared" si="20"/>
        <v>916</v>
      </c>
      <c r="B1763" s="531" t="s">
        <v>43</v>
      </c>
      <c r="C1763" s="626" t="s">
        <v>44</v>
      </c>
      <c r="D1763" s="626" t="s">
        <v>45</v>
      </c>
      <c r="E1763" s="626" t="s">
        <v>2119</v>
      </c>
      <c r="F1763" s="654" t="s">
        <v>502</v>
      </c>
      <c r="G1763" s="575">
        <v>9847823420</v>
      </c>
      <c r="H1763" s="626"/>
      <c r="I1763" s="575">
        <v>50</v>
      </c>
      <c r="J1763" s="575" t="s">
        <v>90</v>
      </c>
      <c r="K1763" s="575" t="s">
        <v>1480</v>
      </c>
      <c r="L1763" s="531"/>
      <c r="M1763" s="576" t="s">
        <v>1192</v>
      </c>
      <c r="N1763" s="752">
        <v>65034</v>
      </c>
      <c r="O1763" s="600">
        <v>65034</v>
      </c>
      <c r="P1763" s="541">
        <v>65049</v>
      </c>
      <c r="Q1763" s="533" t="s">
        <v>51</v>
      </c>
    </row>
    <row r="1764" spans="1:17">
      <c r="A1764" s="512">
        <f t="shared" si="20"/>
        <v>917</v>
      </c>
      <c r="B1764" s="531" t="s">
        <v>43</v>
      </c>
      <c r="C1764" s="626" t="s">
        <v>44</v>
      </c>
      <c r="D1764" s="626" t="s">
        <v>45</v>
      </c>
      <c r="E1764" s="626" t="s">
        <v>2120</v>
      </c>
      <c r="F1764" s="654" t="s">
        <v>502</v>
      </c>
      <c r="G1764" s="575"/>
      <c r="H1764" s="626"/>
      <c r="I1764" s="575">
        <v>40</v>
      </c>
      <c r="J1764" s="575" t="s">
        <v>48</v>
      </c>
      <c r="K1764" s="575" t="s">
        <v>345</v>
      </c>
      <c r="L1764" s="531"/>
      <c r="M1764" s="576" t="s">
        <v>1192</v>
      </c>
      <c r="N1764" s="752">
        <v>65034</v>
      </c>
      <c r="O1764" s="600">
        <v>65034</v>
      </c>
      <c r="P1764" s="541">
        <v>65049</v>
      </c>
      <c r="Q1764" s="533" t="s">
        <v>51</v>
      </c>
    </row>
    <row r="1765" spans="1:17">
      <c r="A1765" s="512">
        <f t="shared" si="20"/>
        <v>918</v>
      </c>
      <c r="B1765" s="531" t="s">
        <v>43</v>
      </c>
      <c r="C1765" s="626" t="s">
        <v>44</v>
      </c>
      <c r="D1765" s="626" t="s">
        <v>45</v>
      </c>
      <c r="E1765" s="538" t="s">
        <v>2165</v>
      </c>
      <c r="F1765" s="535" t="s">
        <v>441</v>
      </c>
      <c r="G1765" s="535">
        <v>9810882626</v>
      </c>
      <c r="H1765" s="533"/>
      <c r="I1765" s="535">
        <v>34</v>
      </c>
      <c r="J1765" s="575" t="s">
        <v>48</v>
      </c>
      <c r="K1765" s="531" t="s">
        <v>709</v>
      </c>
      <c r="L1765" s="531"/>
      <c r="M1765" s="576" t="s">
        <v>1192</v>
      </c>
      <c r="N1765" s="752">
        <v>65034</v>
      </c>
      <c r="O1765" s="600">
        <v>65034</v>
      </c>
      <c r="P1765" s="541">
        <v>65049</v>
      </c>
      <c r="Q1765" s="533" t="s">
        <v>51</v>
      </c>
    </row>
    <row r="1766" spans="1:17">
      <c r="A1766" s="512">
        <f t="shared" si="20"/>
        <v>919</v>
      </c>
      <c r="B1766" s="531" t="s">
        <v>43</v>
      </c>
      <c r="C1766" s="626" t="s">
        <v>44</v>
      </c>
      <c r="D1766" s="626" t="s">
        <v>45</v>
      </c>
      <c r="E1766" s="566" t="s">
        <v>2191</v>
      </c>
      <c r="F1766" s="565" t="s">
        <v>791</v>
      </c>
      <c r="G1766" s="565">
        <v>9857860160</v>
      </c>
      <c r="H1766" s="533"/>
      <c r="I1766" s="565">
        <v>70</v>
      </c>
      <c r="J1766" s="575" t="s">
        <v>90</v>
      </c>
      <c r="K1766" s="531" t="s">
        <v>1950</v>
      </c>
      <c r="L1766" s="531"/>
      <c r="M1766" s="576" t="s">
        <v>1192</v>
      </c>
      <c r="N1766" s="752">
        <v>65034</v>
      </c>
      <c r="O1766" s="600">
        <v>65034</v>
      </c>
      <c r="P1766" s="541">
        <v>65049</v>
      </c>
      <c r="Q1766" s="533" t="s">
        <v>51</v>
      </c>
    </row>
    <row r="1767" spans="1:17">
      <c r="A1767" s="512">
        <f t="shared" si="20"/>
        <v>920</v>
      </c>
      <c r="B1767" s="531" t="s">
        <v>43</v>
      </c>
      <c r="C1767" s="626" t="s">
        <v>44</v>
      </c>
      <c r="D1767" s="626" t="s">
        <v>45</v>
      </c>
      <c r="E1767" s="538" t="s">
        <v>2180</v>
      </c>
      <c r="F1767" s="535" t="s">
        <v>502</v>
      </c>
      <c r="G1767" s="535">
        <v>9847822069</v>
      </c>
      <c r="H1767" s="533"/>
      <c r="I1767" s="535">
        <v>42</v>
      </c>
      <c r="J1767" s="575" t="s">
        <v>48</v>
      </c>
      <c r="K1767" s="531" t="s">
        <v>709</v>
      </c>
      <c r="L1767" s="531"/>
      <c r="M1767" s="576" t="s">
        <v>1192</v>
      </c>
      <c r="N1767" s="752">
        <v>65034</v>
      </c>
      <c r="O1767" s="600">
        <v>65034</v>
      </c>
      <c r="P1767" s="541">
        <v>65049</v>
      </c>
      <c r="Q1767" s="533" t="s">
        <v>51</v>
      </c>
    </row>
    <row r="1768" spans="1:17">
      <c r="A1768" s="512">
        <f t="shared" si="20"/>
        <v>921</v>
      </c>
      <c r="B1768" s="423" t="s">
        <v>43</v>
      </c>
      <c r="C1768" s="630" t="s">
        <v>44</v>
      </c>
      <c r="D1768" s="630" t="s">
        <v>45</v>
      </c>
      <c r="E1768" s="622" t="s">
        <v>2161</v>
      </c>
      <c r="F1768" s="619" t="s">
        <v>1204</v>
      </c>
      <c r="G1768" s="619">
        <v>9812857885</v>
      </c>
      <c r="H1768" s="422"/>
      <c r="I1768" s="619">
        <v>49</v>
      </c>
      <c r="J1768" s="597" t="s">
        <v>90</v>
      </c>
      <c r="K1768" s="507" t="s">
        <v>709</v>
      </c>
      <c r="L1768" s="423"/>
      <c r="M1768" s="423" t="s">
        <v>1192</v>
      </c>
      <c r="N1768" s="758">
        <v>65034</v>
      </c>
      <c r="O1768" s="632">
        <v>65034</v>
      </c>
      <c r="P1768" s="476">
        <v>65044</v>
      </c>
      <c r="Q1768" s="422" t="s">
        <v>940</v>
      </c>
    </row>
    <row r="1769" spans="1:17">
      <c r="A1769" s="512">
        <f t="shared" si="20"/>
        <v>922</v>
      </c>
      <c r="B1769" s="531" t="s">
        <v>43</v>
      </c>
      <c r="C1769" s="626" t="s">
        <v>44</v>
      </c>
      <c r="D1769" s="626" t="s">
        <v>45</v>
      </c>
      <c r="E1769" s="538" t="s">
        <v>2154</v>
      </c>
      <c r="F1769" s="535" t="s">
        <v>124</v>
      </c>
      <c r="G1769" s="535">
        <v>9866871488</v>
      </c>
      <c r="H1769" s="533"/>
      <c r="I1769" s="535">
        <v>38</v>
      </c>
      <c r="J1769" s="575" t="s">
        <v>48</v>
      </c>
      <c r="K1769" s="531" t="s">
        <v>709</v>
      </c>
      <c r="L1769" s="531"/>
      <c r="M1769" s="576" t="s">
        <v>1192</v>
      </c>
      <c r="N1769" s="752">
        <v>65034</v>
      </c>
      <c r="O1769" s="600">
        <v>65034</v>
      </c>
      <c r="P1769" s="541">
        <v>65049</v>
      </c>
      <c r="Q1769" s="533" t="s">
        <v>51</v>
      </c>
    </row>
    <row r="1770" spans="1:17">
      <c r="A1770" s="512">
        <f t="shared" si="20"/>
        <v>923</v>
      </c>
      <c r="B1770" s="531" t="s">
        <v>43</v>
      </c>
      <c r="C1770" s="626" t="s">
        <v>44</v>
      </c>
      <c r="D1770" s="626" t="s">
        <v>45</v>
      </c>
      <c r="E1770" s="626" t="s">
        <v>2121</v>
      </c>
      <c r="F1770" s="654" t="s">
        <v>502</v>
      </c>
      <c r="G1770" s="575">
        <v>9829807613</v>
      </c>
      <c r="H1770" s="626"/>
      <c r="I1770" s="575">
        <v>65</v>
      </c>
      <c r="J1770" s="575" t="s">
        <v>48</v>
      </c>
      <c r="K1770" s="575" t="s">
        <v>1480</v>
      </c>
      <c r="L1770" s="531"/>
      <c r="M1770" s="576" t="s">
        <v>1192</v>
      </c>
      <c r="N1770" s="752">
        <v>65034</v>
      </c>
      <c r="O1770" s="600">
        <v>65034</v>
      </c>
      <c r="P1770" s="541">
        <v>65049</v>
      </c>
      <c r="Q1770" s="533" t="s">
        <v>51</v>
      </c>
    </row>
    <row r="1771" spans="1:17">
      <c r="A1771" s="512">
        <f t="shared" si="20"/>
        <v>924</v>
      </c>
      <c r="B1771" s="531" t="s">
        <v>43</v>
      </c>
      <c r="C1771" s="626" t="s">
        <v>44</v>
      </c>
      <c r="D1771" s="626" t="s">
        <v>45</v>
      </c>
      <c r="E1771" s="566" t="s">
        <v>2184</v>
      </c>
      <c r="F1771" s="565" t="s">
        <v>124</v>
      </c>
      <c r="G1771" s="565">
        <v>9805478947</v>
      </c>
      <c r="H1771" s="533"/>
      <c r="I1771" s="565">
        <v>45</v>
      </c>
      <c r="J1771" s="575" t="s">
        <v>48</v>
      </c>
      <c r="K1771" s="531" t="s">
        <v>1950</v>
      </c>
      <c r="L1771" s="531"/>
      <c r="M1771" s="576" t="s">
        <v>1192</v>
      </c>
      <c r="N1771" s="752">
        <v>65034</v>
      </c>
      <c r="O1771" s="600">
        <v>65034</v>
      </c>
      <c r="P1771" s="541">
        <v>65049</v>
      </c>
      <c r="Q1771" s="533" t="s">
        <v>51</v>
      </c>
    </row>
    <row r="1772" spans="1:17">
      <c r="A1772" s="512">
        <f t="shared" si="20"/>
        <v>925</v>
      </c>
      <c r="B1772" s="531" t="s">
        <v>43</v>
      </c>
      <c r="C1772" s="626" t="s">
        <v>44</v>
      </c>
      <c r="D1772" s="626" t="s">
        <v>45</v>
      </c>
      <c r="E1772" s="538" t="s">
        <v>2156</v>
      </c>
      <c r="F1772" s="535" t="s">
        <v>491</v>
      </c>
      <c r="G1772" s="535">
        <v>9847906009</v>
      </c>
      <c r="H1772" s="533"/>
      <c r="I1772" s="535">
        <v>40</v>
      </c>
      <c r="J1772" s="575" t="s">
        <v>48</v>
      </c>
      <c r="K1772" s="531" t="s">
        <v>709</v>
      </c>
      <c r="L1772" s="531"/>
      <c r="M1772" s="576" t="s">
        <v>1192</v>
      </c>
      <c r="N1772" s="752">
        <v>65034</v>
      </c>
      <c r="O1772" s="600">
        <v>65034</v>
      </c>
      <c r="P1772" s="541">
        <v>65049</v>
      </c>
      <c r="Q1772" s="533" t="s">
        <v>51</v>
      </c>
    </row>
    <row r="1773" spans="1:17">
      <c r="A1773" s="512">
        <f t="shared" si="20"/>
        <v>926</v>
      </c>
      <c r="B1773" s="531" t="s">
        <v>43</v>
      </c>
      <c r="C1773" s="626" t="s">
        <v>44</v>
      </c>
      <c r="D1773" s="626" t="s">
        <v>45</v>
      </c>
      <c r="E1773" s="538" t="s">
        <v>2173</v>
      </c>
      <c r="F1773" s="535" t="s">
        <v>1008</v>
      </c>
      <c r="G1773" s="535">
        <v>9847830216</v>
      </c>
      <c r="H1773" s="533"/>
      <c r="I1773" s="535">
        <v>49</v>
      </c>
      <c r="J1773" s="575" t="s">
        <v>48</v>
      </c>
      <c r="K1773" s="531" t="s">
        <v>709</v>
      </c>
      <c r="L1773" s="531"/>
      <c r="M1773" s="576" t="s">
        <v>1192</v>
      </c>
      <c r="N1773" s="752">
        <v>65034</v>
      </c>
      <c r="O1773" s="600">
        <v>65034</v>
      </c>
      <c r="P1773" s="541">
        <v>65049</v>
      </c>
      <c r="Q1773" s="533" t="s">
        <v>51</v>
      </c>
    </row>
    <row r="1774" spans="1:17">
      <c r="A1774" s="512">
        <f t="shared" si="20"/>
        <v>927</v>
      </c>
      <c r="B1774" s="531" t="s">
        <v>43</v>
      </c>
      <c r="C1774" s="626" t="s">
        <v>44</v>
      </c>
      <c r="D1774" s="626" t="s">
        <v>45</v>
      </c>
      <c r="E1774" s="538" t="s">
        <v>2155</v>
      </c>
      <c r="F1774" s="535" t="s">
        <v>1008</v>
      </c>
      <c r="G1774" s="535">
        <v>9847832893</v>
      </c>
      <c r="H1774" s="533"/>
      <c r="I1774" s="535">
        <v>36</v>
      </c>
      <c r="J1774" s="575" t="s">
        <v>90</v>
      </c>
      <c r="K1774" s="531" t="s">
        <v>709</v>
      </c>
      <c r="L1774" s="531"/>
      <c r="M1774" s="576" t="s">
        <v>1192</v>
      </c>
      <c r="N1774" s="752">
        <v>65034</v>
      </c>
      <c r="O1774" s="600">
        <v>65034</v>
      </c>
      <c r="P1774" s="541">
        <v>65049</v>
      </c>
      <c r="Q1774" s="533" t="s">
        <v>51</v>
      </c>
    </row>
    <row r="1775" spans="1:17">
      <c r="A1775" s="512">
        <f t="shared" si="20"/>
        <v>928</v>
      </c>
      <c r="B1775" s="531" t="s">
        <v>43</v>
      </c>
      <c r="C1775" s="626" t="s">
        <v>44</v>
      </c>
      <c r="D1775" s="626" t="s">
        <v>45</v>
      </c>
      <c r="E1775" s="538" t="s">
        <v>2163</v>
      </c>
      <c r="F1775" s="535" t="s">
        <v>1009</v>
      </c>
      <c r="G1775" s="535">
        <v>9857823579</v>
      </c>
      <c r="H1775" s="533"/>
      <c r="I1775" s="535">
        <v>29</v>
      </c>
      <c r="J1775" s="575" t="s">
        <v>48</v>
      </c>
      <c r="K1775" s="531" t="s">
        <v>709</v>
      </c>
      <c r="L1775" s="531"/>
      <c r="M1775" s="576" t="s">
        <v>1192</v>
      </c>
      <c r="N1775" s="752">
        <v>65034</v>
      </c>
      <c r="O1775" s="600">
        <v>65034</v>
      </c>
      <c r="P1775" s="541">
        <v>65049</v>
      </c>
      <c r="Q1775" s="533" t="s">
        <v>51</v>
      </c>
    </row>
    <row r="1776" spans="1:17">
      <c r="A1776" s="512">
        <f t="shared" si="20"/>
        <v>929</v>
      </c>
      <c r="B1776" s="531" t="s">
        <v>43</v>
      </c>
      <c r="C1776" s="626" t="s">
        <v>44</v>
      </c>
      <c r="D1776" s="626" t="s">
        <v>45</v>
      </c>
      <c r="E1776" s="626" t="s">
        <v>2122</v>
      </c>
      <c r="F1776" s="654" t="s">
        <v>502</v>
      </c>
      <c r="G1776" s="575">
        <v>9810814352</v>
      </c>
      <c r="H1776" s="626"/>
      <c r="I1776" s="575">
        <v>48</v>
      </c>
      <c r="J1776" s="575" t="s">
        <v>48</v>
      </c>
      <c r="K1776" s="575" t="s">
        <v>1480</v>
      </c>
      <c r="L1776" s="531"/>
      <c r="M1776" s="576" t="s">
        <v>1192</v>
      </c>
      <c r="N1776" s="752">
        <v>65034</v>
      </c>
      <c r="O1776" s="600">
        <v>65034</v>
      </c>
      <c r="P1776" s="541">
        <v>65049</v>
      </c>
      <c r="Q1776" s="533" t="s">
        <v>51</v>
      </c>
    </row>
    <row r="1777" spans="1:31">
      <c r="A1777" s="512">
        <f t="shared" si="20"/>
        <v>930</v>
      </c>
      <c r="B1777" s="531" t="s">
        <v>43</v>
      </c>
      <c r="C1777" s="626" t="s">
        <v>44</v>
      </c>
      <c r="D1777" s="626" t="s">
        <v>45</v>
      </c>
      <c r="E1777" s="626" t="s">
        <v>2123</v>
      </c>
      <c r="F1777" s="654" t="s">
        <v>502</v>
      </c>
      <c r="G1777" s="575">
        <v>9847824114</v>
      </c>
      <c r="H1777" s="626"/>
      <c r="I1777" s="575">
        <v>51</v>
      </c>
      <c r="J1777" s="575" t="s">
        <v>48</v>
      </c>
      <c r="K1777" s="575" t="s">
        <v>1480</v>
      </c>
      <c r="L1777" s="531"/>
      <c r="M1777" s="576" t="s">
        <v>1192</v>
      </c>
      <c r="N1777" s="752">
        <v>65034</v>
      </c>
      <c r="O1777" s="600">
        <v>65034</v>
      </c>
      <c r="P1777" s="541">
        <v>65049</v>
      </c>
      <c r="Q1777" s="533" t="s">
        <v>51</v>
      </c>
    </row>
    <row r="1778" spans="1:31" s="326" customFormat="1">
      <c r="A1778" s="512">
        <f t="shared" si="20"/>
        <v>931</v>
      </c>
      <c r="B1778" s="531" t="s">
        <v>43</v>
      </c>
      <c r="C1778" s="626" t="s">
        <v>44</v>
      </c>
      <c r="D1778" s="626" t="s">
        <v>45</v>
      </c>
      <c r="E1778" s="626" t="s">
        <v>2124</v>
      </c>
      <c r="F1778" s="654" t="s">
        <v>502</v>
      </c>
      <c r="G1778" s="575">
        <v>9857820017</v>
      </c>
      <c r="H1778" s="626"/>
      <c r="I1778" s="575">
        <v>63</v>
      </c>
      <c r="J1778" s="575" t="s">
        <v>90</v>
      </c>
      <c r="K1778" s="575" t="s">
        <v>1480</v>
      </c>
      <c r="L1778" s="531"/>
      <c r="M1778" s="576" t="s">
        <v>1192</v>
      </c>
      <c r="N1778" s="752">
        <v>65034</v>
      </c>
      <c r="O1778" s="600">
        <v>65034</v>
      </c>
      <c r="P1778" s="541">
        <v>65049</v>
      </c>
      <c r="Q1778" s="533" t="s">
        <v>51</v>
      </c>
      <c r="R1778" s="322"/>
      <c r="S1778" s="322"/>
      <c r="T1778" s="322"/>
      <c r="U1778" s="322"/>
      <c r="V1778" s="322"/>
      <c r="W1778" s="322"/>
      <c r="X1778" s="322"/>
      <c r="Y1778" s="322"/>
      <c r="Z1778" s="322"/>
      <c r="AA1778" s="322"/>
      <c r="AB1778" s="322"/>
      <c r="AC1778" s="322"/>
      <c r="AD1778" s="322"/>
      <c r="AE1778" s="322"/>
    </row>
    <row r="1779" spans="1:31">
      <c r="A1779" s="512">
        <f t="shared" si="20"/>
        <v>932</v>
      </c>
      <c r="B1779" s="531" t="s">
        <v>43</v>
      </c>
      <c r="C1779" s="626" t="s">
        <v>44</v>
      </c>
      <c r="D1779" s="626" t="s">
        <v>45</v>
      </c>
      <c r="E1779" s="626" t="s">
        <v>2125</v>
      </c>
      <c r="F1779" s="654" t="s">
        <v>502</v>
      </c>
      <c r="G1779" s="575">
        <v>9847822341</v>
      </c>
      <c r="H1779" s="626"/>
      <c r="I1779" s="575">
        <v>73</v>
      </c>
      <c r="J1779" s="575" t="s">
        <v>90</v>
      </c>
      <c r="K1779" s="575" t="s">
        <v>1480</v>
      </c>
      <c r="L1779" s="531"/>
      <c r="M1779" s="576" t="s">
        <v>1192</v>
      </c>
      <c r="N1779" s="752">
        <v>65034</v>
      </c>
      <c r="O1779" s="600">
        <v>65034</v>
      </c>
      <c r="P1779" s="541">
        <v>65049</v>
      </c>
      <c r="Q1779" s="533" t="s">
        <v>51</v>
      </c>
    </row>
    <row r="1780" spans="1:31">
      <c r="A1780" s="512">
        <f t="shared" si="20"/>
        <v>933</v>
      </c>
      <c r="B1780" s="531" t="s">
        <v>43</v>
      </c>
      <c r="C1780" s="626" t="s">
        <v>44</v>
      </c>
      <c r="D1780" s="626" t="s">
        <v>45</v>
      </c>
      <c r="E1780" s="626" t="s">
        <v>2126</v>
      </c>
      <c r="F1780" s="654" t="s">
        <v>502</v>
      </c>
      <c r="G1780" s="575">
        <v>9866838948</v>
      </c>
      <c r="H1780" s="626"/>
      <c r="I1780" s="575">
        <v>29</v>
      </c>
      <c r="J1780" s="575" t="s">
        <v>90</v>
      </c>
      <c r="K1780" s="575" t="s">
        <v>1480</v>
      </c>
      <c r="L1780" s="531"/>
      <c r="M1780" s="576" t="s">
        <v>1192</v>
      </c>
      <c r="N1780" s="752">
        <v>65034</v>
      </c>
      <c r="O1780" s="600">
        <v>65034</v>
      </c>
      <c r="P1780" s="541">
        <v>65049</v>
      </c>
      <c r="Q1780" s="533" t="s">
        <v>51</v>
      </c>
    </row>
    <row r="1781" spans="1:31">
      <c r="A1781" s="512">
        <f t="shared" si="20"/>
        <v>934</v>
      </c>
      <c r="B1781" s="531" t="s">
        <v>43</v>
      </c>
      <c r="C1781" s="626" t="s">
        <v>44</v>
      </c>
      <c r="D1781" s="626" t="s">
        <v>45</v>
      </c>
      <c r="E1781" s="538" t="s">
        <v>2175</v>
      </c>
      <c r="F1781" s="535" t="s">
        <v>491</v>
      </c>
      <c r="G1781" s="535">
        <v>9847884454</v>
      </c>
      <c r="H1781" s="533"/>
      <c r="I1781" s="535">
        <v>37</v>
      </c>
      <c r="J1781" s="575" t="s">
        <v>90</v>
      </c>
      <c r="K1781" s="531" t="s">
        <v>709</v>
      </c>
      <c r="L1781" s="531"/>
      <c r="M1781" s="576" t="s">
        <v>1192</v>
      </c>
      <c r="N1781" s="752">
        <v>65034</v>
      </c>
      <c r="O1781" s="600">
        <v>65034</v>
      </c>
      <c r="P1781" s="541">
        <v>65049</v>
      </c>
      <c r="Q1781" s="533" t="s">
        <v>51</v>
      </c>
    </row>
    <row r="1782" spans="1:31" ht="18">
      <c r="A1782" s="512">
        <f t="shared" si="20"/>
        <v>935</v>
      </c>
      <c r="B1782" s="657" t="s">
        <v>43</v>
      </c>
      <c r="C1782" s="626" t="s">
        <v>44</v>
      </c>
      <c r="D1782" s="626" t="s">
        <v>45</v>
      </c>
      <c r="E1782" s="626" t="s">
        <v>2198</v>
      </c>
      <c r="F1782" s="654" t="s">
        <v>441</v>
      </c>
      <c r="G1782" s="575">
        <v>9857823430</v>
      </c>
      <c r="H1782" s="629"/>
      <c r="I1782" s="575">
        <v>43</v>
      </c>
      <c r="J1782" s="575" t="s">
        <v>48</v>
      </c>
      <c r="K1782" s="575" t="s">
        <v>53</v>
      </c>
      <c r="L1782" s="575"/>
      <c r="M1782" s="560" t="s">
        <v>119</v>
      </c>
      <c r="N1782" s="760">
        <v>65034</v>
      </c>
      <c r="O1782" s="656">
        <v>65034</v>
      </c>
      <c r="P1782" s="541">
        <v>65049</v>
      </c>
      <c r="Q1782" s="533" t="s">
        <v>51</v>
      </c>
    </row>
    <row r="1783" spans="1:31">
      <c r="A1783" s="512">
        <f t="shared" si="20"/>
        <v>936</v>
      </c>
      <c r="B1783" s="531" t="s">
        <v>43</v>
      </c>
      <c r="C1783" s="626" t="s">
        <v>44</v>
      </c>
      <c r="D1783" s="626" t="s">
        <v>45</v>
      </c>
      <c r="E1783" s="566" t="s">
        <v>2185</v>
      </c>
      <c r="F1783" s="565" t="s">
        <v>791</v>
      </c>
      <c r="G1783" s="565">
        <v>9857860160</v>
      </c>
      <c r="H1783" s="533"/>
      <c r="I1783" s="565">
        <v>40</v>
      </c>
      <c r="J1783" s="575" t="s">
        <v>48</v>
      </c>
      <c r="K1783" s="531" t="s">
        <v>1950</v>
      </c>
      <c r="L1783" s="531"/>
      <c r="M1783" s="576" t="s">
        <v>1192</v>
      </c>
      <c r="N1783" s="752">
        <v>65034</v>
      </c>
      <c r="O1783" s="600">
        <v>65034</v>
      </c>
      <c r="P1783" s="541">
        <v>65049</v>
      </c>
      <c r="Q1783" s="533" t="s">
        <v>51</v>
      </c>
    </row>
    <row r="1784" spans="1:31">
      <c r="A1784" s="512">
        <f t="shared" si="20"/>
        <v>937</v>
      </c>
      <c r="B1784" s="531" t="s">
        <v>43</v>
      </c>
      <c r="C1784" s="626" t="s">
        <v>44</v>
      </c>
      <c r="D1784" s="626" t="s">
        <v>45</v>
      </c>
      <c r="E1784" s="538" t="s">
        <v>2170</v>
      </c>
      <c r="F1784" s="535" t="s">
        <v>1204</v>
      </c>
      <c r="G1784" s="535">
        <v>9810960325</v>
      </c>
      <c r="H1784" s="533"/>
      <c r="I1784" s="535">
        <v>42</v>
      </c>
      <c r="J1784" s="575" t="s">
        <v>90</v>
      </c>
      <c r="K1784" s="531" t="s">
        <v>709</v>
      </c>
      <c r="L1784" s="531"/>
      <c r="M1784" s="576" t="s">
        <v>1192</v>
      </c>
      <c r="N1784" s="752">
        <v>65034</v>
      </c>
      <c r="O1784" s="600">
        <v>65034</v>
      </c>
      <c r="P1784" s="541">
        <v>65049</v>
      </c>
      <c r="Q1784" s="533" t="s">
        <v>51</v>
      </c>
    </row>
    <row r="1785" spans="1:31" ht="18">
      <c r="A1785" s="512">
        <f t="shared" si="20"/>
        <v>938</v>
      </c>
      <c r="B1785" s="658" t="s">
        <v>43</v>
      </c>
      <c r="C1785" s="630" t="s">
        <v>44</v>
      </c>
      <c r="D1785" s="630" t="s">
        <v>45</v>
      </c>
      <c r="E1785" s="630" t="s">
        <v>2199</v>
      </c>
      <c r="F1785" s="597" t="s">
        <v>441</v>
      </c>
      <c r="G1785" s="597"/>
      <c r="H1785" s="630"/>
      <c r="I1785" s="597">
        <v>58</v>
      </c>
      <c r="J1785" s="597" t="s">
        <v>90</v>
      </c>
      <c r="K1785" s="597" t="s">
        <v>53</v>
      </c>
      <c r="L1785" s="597"/>
      <c r="M1785" s="597"/>
      <c r="N1785" s="758">
        <v>65034</v>
      </c>
      <c r="O1785" s="632">
        <v>65034</v>
      </c>
      <c r="P1785" s="476">
        <v>65041</v>
      </c>
      <c r="Q1785" s="422" t="s">
        <v>940</v>
      </c>
    </row>
    <row r="1786" spans="1:31">
      <c r="A1786" s="512">
        <f t="shared" si="20"/>
        <v>939</v>
      </c>
      <c r="B1786" s="531" t="s">
        <v>43</v>
      </c>
      <c r="C1786" s="626" t="s">
        <v>44</v>
      </c>
      <c r="D1786" s="626" t="s">
        <v>45</v>
      </c>
      <c r="E1786" s="538" t="s">
        <v>2158</v>
      </c>
      <c r="F1786" s="535" t="s">
        <v>441</v>
      </c>
      <c r="G1786" s="535">
        <v>9857826579</v>
      </c>
      <c r="H1786" s="533"/>
      <c r="I1786" s="535">
        <v>48</v>
      </c>
      <c r="J1786" s="575" t="s">
        <v>48</v>
      </c>
      <c r="K1786" s="531" t="s">
        <v>709</v>
      </c>
      <c r="L1786" s="531"/>
      <c r="M1786" s="576" t="s">
        <v>1192</v>
      </c>
      <c r="N1786" s="752">
        <v>65034</v>
      </c>
      <c r="O1786" s="600">
        <v>65034</v>
      </c>
      <c r="P1786" s="541">
        <v>65049</v>
      </c>
      <c r="Q1786" s="533" t="s">
        <v>51</v>
      </c>
    </row>
    <row r="1787" spans="1:31">
      <c r="A1787" s="512">
        <f t="shared" si="20"/>
        <v>940</v>
      </c>
      <c r="B1787" s="531" t="s">
        <v>43</v>
      </c>
      <c r="C1787" s="626" t="s">
        <v>44</v>
      </c>
      <c r="D1787" s="626" t="s">
        <v>45</v>
      </c>
      <c r="E1787" s="566" t="s">
        <v>2186</v>
      </c>
      <c r="F1787" s="565" t="s">
        <v>598</v>
      </c>
      <c r="G1787" s="565">
        <v>9809889180</v>
      </c>
      <c r="H1787" s="533"/>
      <c r="I1787" s="565">
        <v>61</v>
      </c>
      <c r="J1787" s="575" t="s">
        <v>48</v>
      </c>
      <c r="K1787" s="531" t="s">
        <v>1950</v>
      </c>
      <c r="L1787" s="531"/>
      <c r="M1787" s="576" t="s">
        <v>1192</v>
      </c>
      <c r="N1787" s="752">
        <v>65034</v>
      </c>
      <c r="O1787" s="600">
        <v>65034</v>
      </c>
      <c r="P1787" s="541">
        <v>65049</v>
      </c>
      <c r="Q1787" s="533" t="s">
        <v>51</v>
      </c>
    </row>
    <row r="1788" spans="1:31">
      <c r="A1788" s="512">
        <f t="shared" si="20"/>
        <v>941</v>
      </c>
      <c r="B1788" s="531" t="s">
        <v>43</v>
      </c>
      <c r="C1788" s="626" t="s">
        <v>44</v>
      </c>
      <c r="D1788" s="626" t="s">
        <v>45</v>
      </c>
      <c r="E1788" s="626" t="s">
        <v>2127</v>
      </c>
      <c r="F1788" s="654" t="s">
        <v>502</v>
      </c>
      <c r="G1788" s="575">
        <v>9847939813</v>
      </c>
      <c r="H1788" s="626"/>
      <c r="I1788" s="575">
        <v>41</v>
      </c>
      <c r="J1788" s="575" t="s">
        <v>48</v>
      </c>
      <c r="K1788" s="575" t="s">
        <v>345</v>
      </c>
      <c r="L1788" s="531"/>
      <c r="M1788" s="576" t="s">
        <v>1192</v>
      </c>
      <c r="N1788" s="752">
        <v>65034</v>
      </c>
      <c r="O1788" s="600">
        <v>65034</v>
      </c>
      <c r="P1788" s="541">
        <v>65049</v>
      </c>
      <c r="Q1788" s="533" t="s">
        <v>51</v>
      </c>
    </row>
    <row r="1789" spans="1:31" s="326" customFormat="1">
      <c r="A1789" s="512">
        <f t="shared" si="20"/>
        <v>942</v>
      </c>
      <c r="B1789" s="531" t="s">
        <v>43</v>
      </c>
      <c r="C1789" s="626" t="s">
        <v>44</v>
      </c>
      <c r="D1789" s="626" t="s">
        <v>45</v>
      </c>
      <c r="E1789" s="626" t="s">
        <v>2128</v>
      </c>
      <c r="F1789" s="654" t="s">
        <v>502</v>
      </c>
      <c r="G1789" s="575">
        <v>9847890899</v>
      </c>
      <c r="H1789" s="626"/>
      <c r="I1789" s="575">
        <v>56</v>
      </c>
      <c r="J1789" s="575" t="s">
        <v>48</v>
      </c>
      <c r="K1789" s="575" t="s">
        <v>1480</v>
      </c>
      <c r="L1789" s="531"/>
      <c r="M1789" s="576" t="s">
        <v>1192</v>
      </c>
      <c r="N1789" s="752">
        <v>65034</v>
      </c>
      <c r="O1789" s="600">
        <v>65034</v>
      </c>
      <c r="P1789" s="541">
        <v>65049</v>
      </c>
      <c r="Q1789" s="533" t="s">
        <v>51</v>
      </c>
    </row>
    <row r="1790" spans="1:31">
      <c r="A1790" s="512">
        <f t="shared" si="20"/>
        <v>943</v>
      </c>
      <c r="B1790" s="423" t="s">
        <v>43</v>
      </c>
      <c r="C1790" s="630" t="s">
        <v>44</v>
      </c>
      <c r="D1790" s="630" t="s">
        <v>45</v>
      </c>
      <c r="E1790" s="622" t="s">
        <v>2148</v>
      </c>
      <c r="F1790" s="619" t="s">
        <v>1204</v>
      </c>
      <c r="G1790" s="619">
        <v>9809706958</v>
      </c>
      <c r="H1790" s="422"/>
      <c r="I1790" s="619">
        <v>45</v>
      </c>
      <c r="J1790" s="597" t="s">
        <v>48</v>
      </c>
      <c r="K1790" s="507" t="s">
        <v>709</v>
      </c>
      <c r="L1790" s="423"/>
      <c r="M1790" s="423" t="s">
        <v>1192</v>
      </c>
      <c r="N1790" s="758">
        <v>65034</v>
      </c>
      <c r="O1790" s="632">
        <v>65034</v>
      </c>
      <c r="P1790" s="632">
        <v>65042</v>
      </c>
      <c r="Q1790" s="422" t="s">
        <v>940</v>
      </c>
    </row>
    <row r="1791" spans="1:31">
      <c r="A1791" s="512">
        <f t="shared" si="20"/>
        <v>944</v>
      </c>
      <c r="B1791" s="531" t="s">
        <v>43</v>
      </c>
      <c r="C1791" s="626" t="s">
        <v>44</v>
      </c>
      <c r="D1791" s="626" t="s">
        <v>45</v>
      </c>
      <c r="E1791" s="626" t="s">
        <v>2129</v>
      </c>
      <c r="F1791" s="654" t="s">
        <v>502</v>
      </c>
      <c r="G1791" s="575">
        <v>9857821590</v>
      </c>
      <c r="H1791" s="626"/>
      <c r="I1791" s="575">
        <v>62</v>
      </c>
      <c r="J1791" s="575" t="s">
        <v>90</v>
      </c>
      <c r="K1791" s="575" t="s">
        <v>1480</v>
      </c>
      <c r="L1791" s="531"/>
      <c r="M1791" s="576" t="s">
        <v>1192</v>
      </c>
      <c r="N1791" s="752">
        <v>65034</v>
      </c>
      <c r="O1791" s="600">
        <v>65034</v>
      </c>
      <c r="P1791" s="541">
        <v>65049</v>
      </c>
      <c r="Q1791" s="533" t="s">
        <v>51</v>
      </c>
    </row>
    <row r="1792" spans="1:31">
      <c r="A1792" s="512">
        <f t="shared" si="20"/>
        <v>945</v>
      </c>
      <c r="B1792" s="531" t="s">
        <v>43</v>
      </c>
      <c r="C1792" s="626" t="s">
        <v>44</v>
      </c>
      <c r="D1792" s="626" t="s">
        <v>45</v>
      </c>
      <c r="E1792" s="626" t="s">
        <v>2130</v>
      </c>
      <c r="F1792" s="654" t="s">
        <v>502</v>
      </c>
      <c r="G1792" s="575">
        <v>9810870561</v>
      </c>
      <c r="H1792" s="626"/>
      <c r="I1792" s="575">
        <v>45</v>
      </c>
      <c r="J1792" s="575" t="s">
        <v>48</v>
      </c>
      <c r="K1792" s="575" t="s">
        <v>1480</v>
      </c>
      <c r="L1792" s="531"/>
      <c r="M1792" s="576" t="s">
        <v>1192</v>
      </c>
      <c r="N1792" s="752">
        <v>65034</v>
      </c>
      <c r="O1792" s="600">
        <v>65034</v>
      </c>
      <c r="P1792" s="541">
        <v>65049</v>
      </c>
      <c r="Q1792" s="533" t="s">
        <v>51</v>
      </c>
    </row>
    <row r="1793" spans="1:17">
      <c r="A1793" s="512">
        <f t="shared" si="20"/>
        <v>946</v>
      </c>
      <c r="B1793" s="531" t="s">
        <v>43</v>
      </c>
      <c r="C1793" s="626" t="s">
        <v>44</v>
      </c>
      <c r="D1793" s="626" t="s">
        <v>45</v>
      </c>
      <c r="E1793" s="538" t="s">
        <v>2153</v>
      </c>
      <c r="F1793" s="535" t="s">
        <v>1009</v>
      </c>
      <c r="G1793" s="535">
        <v>9847991714</v>
      </c>
      <c r="H1793" s="533"/>
      <c r="I1793" s="535">
        <v>30</v>
      </c>
      <c r="J1793" s="575" t="s">
        <v>48</v>
      </c>
      <c r="K1793" s="531" t="s">
        <v>709</v>
      </c>
      <c r="L1793" s="531"/>
      <c r="M1793" s="576" t="s">
        <v>1192</v>
      </c>
      <c r="N1793" s="752">
        <v>65034</v>
      </c>
      <c r="O1793" s="600">
        <v>65034</v>
      </c>
      <c r="P1793" s="541">
        <v>65049</v>
      </c>
      <c r="Q1793" s="533" t="s">
        <v>51</v>
      </c>
    </row>
    <row r="1794" spans="1:17">
      <c r="A1794" s="512">
        <f t="shared" si="20"/>
        <v>947</v>
      </c>
      <c r="B1794" s="531" t="s">
        <v>43</v>
      </c>
      <c r="C1794" s="626" t="s">
        <v>44</v>
      </c>
      <c r="D1794" s="626" t="s">
        <v>45</v>
      </c>
      <c r="E1794" s="566" t="s">
        <v>2187</v>
      </c>
      <c r="F1794" s="565" t="s">
        <v>124</v>
      </c>
      <c r="G1794" s="565">
        <v>9847845188</v>
      </c>
      <c r="H1794" s="533"/>
      <c r="I1794" s="565">
        <v>25</v>
      </c>
      <c r="J1794" s="575" t="s">
        <v>48</v>
      </c>
      <c r="K1794" s="531" t="s">
        <v>1950</v>
      </c>
      <c r="L1794" s="531"/>
      <c r="M1794" s="576" t="s">
        <v>1192</v>
      </c>
      <c r="N1794" s="752">
        <v>65034</v>
      </c>
      <c r="O1794" s="600">
        <v>65034</v>
      </c>
      <c r="P1794" s="541">
        <v>65049</v>
      </c>
      <c r="Q1794" s="533" t="s">
        <v>51</v>
      </c>
    </row>
    <row r="1795" spans="1:17">
      <c r="A1795" s="512">
        <f t="shared" si="20"/>
        <v>948</v>
      </c>
      <c r="B1795" s="531" t="s">
        <v>43</v>
      </c>
      <c r="C1795" s="626" t="s">
        <v>44</v>
      </c>
      <c r="D1795" s="626" t="s">
        <v>45</v>
      </c>
      <c r="E1795" s="538" t="s">
        <v>1367</v>
      </c>
      <c r="F1795" s="535" t="s">
        <v>491</v>
      </c>
      <c r="G1795" s="535">
        <v>9847824428</v>
      </c>
      <c r="H1795" s="533"/>
      <c r="I1795" s="535">
        <v>47</v>
      </c>
      <c r="J1795" s="575" t="s">
        <v>48</v>
      </c>
      <c r="K1795" s="531" t="s">
        <v>709</v>
      </c>
      <c r="L1795" s="531"/>
      <c r="M1795" s="576" t="s">
        <v>1192</v>
      </c>
      <c r="N1795" s="752">
        <v>65034</v>
      </c>
      <c r="O1795" s="600">
        <v>65034</v>
      </c>
      <c r="P1795" s="541">
        <v>65049</v>
      </c>
      <c r="Q1795" s="533" t="s">
        <v>51</v>
      </c>
    </row>
    <row r="1796" spans="1:17">
      <c r="A1796" s="512">
        <f t="shared" si="20"/>
        <v>949</v>
      </c>
      <c r="B1796" s="438" t="s">
        <v>43</v>
      </c>
      <c r="C1796" s="438" t="s">
        <v>44</v>
      </c>
      <c r="D1796" s="438" t="s">
        <v>45</v>
      </c>
      <c r="E1796" s="640" t="s">
        <v>2652</v>
      </c>
      <c r="F1796" s="635" t="s">
        <v>502</v>
      </c>
      <c r="G1796" s="577">
        <v>9866935488</v>
      </c>
      <c r="H1796" s="640"/>
      <c r="I1796" s="577">
        <v>30</v>
      </c>
      <c r="J1796" s="635" t="s">
        <v>90</v>
      </c>
      <c r="K1796" s="635" t="s">
        <v>1459</v>
      </c>
      <c r="L1796" s="635"/>
      <c r="M1796" s="659" t="s">
        <v>1192</v>
      </c>
      <c r="N1796" s="754">
        <v>65034</v>
      </c>
      <c r="O1796" s="436"/>
      <c r="P1796" s="465">
        <v>65086</v>
      </c>
      <c r="Q1796" s="436" t="s">
        <v>51</v>
      </c>
    </row>
    <row r="1797" spans="1:17">
      <c r="A1797" s="512">
        <f t="shared" si="20"/>
        <v>950</v>
      </c>
      <c r="B1797" s="531" t="s">
        <v>43</v>
      </c>
      <c r="C1797" s="626" t="s">
        <v>44</v>
      </c>
      <c r="D1797" s="626" t="s">
        <v>45</v>
      </c>
      <c r="E1797" s="626" t="s">
        <v>2131</v>
      </c>
      <c r="F1797" s="654" t="s">
        <v>502</v>
      </c>
      <c r="G1797" s="575">
        <v>9810814352</v>
      </c>
      <c r="H1797" s="626"/>
      <c r="I1797" s="575">
        <v>60</v>
      </c>
      <c r="J1797" s="575" t="s">
        <v>90</v>
      </c>
      <c r="K1797" s="575" t="s">
        <v>1480</v>
      </c>
      <c r="L1797" s="531"/>
      <c r="M1797" s="576" t="s">
        <v>1192</v>
      </c>
      <c r="N1797" s="752">
        <v>65034</v>
      </c>
      <c r="O1797" s="600">
        <v>65034</v>
      </c>
      <c r="P1797" s="541">
        <v>65049</v>
      </c>
      <c r="Q1797" s="533" t="s">
        <v>51</v>
      </c>
    </row>
    <row r="1798" spans="1:17">
      <c r="A1798" s="512">
        <f t="shared" si="20"/>
        <v>951</v>
      </c>
      <c r="B1798" s="531" t="s">
        <v>43</v>
      </c>
      <c r="C1798" s="626" t="s">
        <v>44</v>
      </c>
      <c r="D1798" s="626" t="s">
        <v>45</v>
      </c>
      <c r="E1798" s="538" t="s">
        <v>2169</v>
      </c>
      <c r="F1798" s="535" t="s">
        <v>441</v>
      </c>
      <c r="G1798" s="535">
        <v>9847834633</v>
      </c>
      <c r="H1798" s="533"/>
      <c r="I1798" s="535">
        <v>54</v>
      </c>
      <c r="J1798" s="575" t="s">
        <v>48</v>
      </c>
      <c r="K1798" s="531" t="s">
        <v>709</v>
      </c>
      <c r="L1798" s="531"/>
      <c r="M1798" s="576" t="s">
        <v>1192</v>
      </c>
      <c r="N1798" s="752">
        <v>65034</v>
      </c>
      <c r="O1798" s="600">
        <v>65034</v>
      </c>
      <c r="P1798" s="541">
        <v>65049</v>
      </c>
      <c r="Q1798" s="533" t="s">
        <v>51</v>
      </c>
    </row>
    <row r="1799" spans="1:17">
      <c r="A1799" s="512">
        <f t="shared" si="20"/>
        <v>952</v>
      </c>
      <c r="B1799" s="531" t="s">
        <v>43</v>
      </c>
      <c r="C1799" s="626" t="s">
        <v>44</v>
      </c>
      <c r="D1799" s="626" t="s">
        <v>45</v>
      </c>
      <c r="E1799" s="626" t="s">
        <v>2132</v>
      </c>
      <c r="F1799" s="654" t="s">
        <v>502</v>
      </c>
      <c r="G1799" s="575">
        <v>9867939813</v>
      </c>
      <c r="H1799" s="626"/>
      <c r="I1799" s="575">
        <v>65</v>
      </c>
      <c r="J1799" s="575" t="s">
        <v>90</v>
      </c>
      <c r="K1799" s="575" t="s">
        <v>345</v>
      </c>
      <c r="L1799" s="531"/>
      <c r="M1799" s="576" t="s">
        <v>1192</v>
      </c>
      <c r="N1799" s="752">
        <v>65034</v>
      </c>
      <c r="O1799" s="600">
        <v>65034</v>
      </c>
      <c r="P1799" s="541">
        <v>65049</v>
      </c>
      <c r="Q1799" s="533" t="s">
        <v>51</v>
      </c>
    </row>
    <row r="1800" spans="1:17">
      <c r="A1800" s="512">
        <f t="shared" si="20"/>
        <v>953</v>
      </c>
      <c r="B1800" s="531" t="s">
        <v>43</v>
      </c>
      <c r="C1800" s="626" t="s">
        <v>44</v>
      </c>
      <c r="D1800" s="626" t="s">
        <v>45</v>
      </c>
      <c r="E1800" s="626" t="s">
        <v>2133</v>
      </c>
      <c r="F1800" s="654" t="s">
        <v>502</v>
      </c>
      <c r="G1800" s="575">
        <v>9847824114</v>
      </c>
      <c r="H1800" s="626"/>
      <c r="I1800" s="575">
        <v>46</v>
      </c>
      <c r="J1800" s="575" t="s">
        <v>90</v>
      </c>
      <c r="K1800" s="575" t="s">
        <v>1480</v>
      </c>
      <c r="L1800" s="531"/>
      <c r="M1800" s="576" t="s">
        <v>1192</v>
      </c>
      <c r="N1800" s="752">
        <v>65034</v>
      </c>
      <c r="O1800" s="600">
        <v>65034</v>
      </c>
      <c r="P1800" s="541">
        <v>65049</v>
      </c>
      <c r="Q1800" s="533" t="s">
        <v>51</v>
      </c>
    </row>
    <row r="1801" spans="1:17">
      <c r="A1801" s="512">
        <f t="shared" si="20"/>
        <v>954</v>
      </c>
      <c r="B1801" s="531" t="s">
        <v>43</v>
      </c>
      <c r="C1801" s="626" t="s">
        <v>44</v>
      </c>
      <c r="D1801" s="626" t="s">
        <v>45</v>
      </c>
      <c r="E1801" s="626" t="s">
        <v>2134</v>
      </c>
      <c r="F1801" s="575" t="s">
        <v>491</v>
      </c>
      <c r="G1801" s="575">
        <v>1254568555</v>
      </c>
      <c r="H1801" s="626"/>
      <c r="I1801" s="575">
        <v>27</v>
      </c>
      <c r="J1801" s="575" t="s">
        <v>48</v>
      </c>
      <c r="K1801" s="575" t="s">
        <v>1480</v>
      </c>
      <c r="L1801" s="531"/>
      <c r="M1801" s="576" t="s">
        <v>1192</v>
      </c>
      <c r="N1801" s="752">
        <v>65034</v>
      </c>
      <c r="O1801" s="600">
        <v>65034</v>
      </c>
      <c r="P1801" s="541">
        <v>65049</v>
      </c>
      <c r="Q1801" s="533" t="s">
        <v>51</v>
      </c>
    </row>
    <row r="1802" spans="1:17">
      <c r="A1802" s="512">
        <f t="shared" si="20"/>
        <v>955</v>
      </c>
      <c r="B1802" s="531" t="s">
        <v>43</v>
      </c>
      <c r="C1802" s="626" t="s">
        <v>44</v>
      </c>
      <c r="D1802" s="626" t="s">
        <v>45</v>
      </c>
      <c r="E1802" s="626" t="s">
        <v>2135</v>
      </c>
      <c r="F1802" s="575" t="s">
        <v>491</v>
      </c>
      <c r="G1802" s="575">
        <v>9847687049</v>
      </c>
      <c r="H1802" s="626"/>
      <c r="I1802" s="575">
        <v>35</v>
      </c>
      <c r="J1802" s="575" t="s">
        <v>48</v>
      </c>
      <c r="K1802" s="575" t="s">
        <v>345</v>
      </c>
      <c r="L1802" s="531"/>
      <c r="M1802" s="576" t="s">
        <v>1192</v>
      </c>
      <c r="N1802" s="752">
        <v>65034</v>
      </c>
      <c r="O1802" s="600">
        <v>65034</v>
      </c>
      <c r="P1802" s="541">
        <v>65049</v>
      </c>
      <c r="Q1802" s="533" t="s">
        <v>51</v>
      </c>
    </row>
    <row r="1803" spans="1:17">
      <c r="A1803" s="512">
        <f t="shared" si="20"/>
        <v>956</v>
      </c>
      <c r="B1803" s="531" t="s">
        <v>43</v>
      </c>
      <c r="C1803" s="626" t="s">
        <v>44</v>
      </c>
      <c r="D1803" s="626" t="s">
        <v>45</v>
      </c>
      <c r="E1803" s="538" t="s">
        <v>2174</v>
      </c>
      <c r="F1803" s="535" t="s">
        <v>1008</v>
      </c>
      <c r="G1803" s="535">
        <v>9847830216</v>
      </c>
      <c r="H1803" s="533"/>
      <c r="I1803" s="535">
        <v>49</v>
      </c>
      <c r="J1803" s="575" t="s">
        <v>90</v>
      </c>
      <c r="K1803" s="531" t="s">
        <v>709</v>
      </c>
      <c r="L1803" s="531"/>
      <c r="M1803" s="576" t="s">
        <v>1192</v>
      </c>
      <c r="N1803" s="752">
        <v>65034</v>
      </c>
      <c r="O1803" s="600">
        <v>65034</v>
      </c>
      <c r="P1803" s="541">
        <v>65049</v>
      </c>
      <c r="Q1803" s="533" t="s">
        <v>51</v>
      </c>
    </row>
    <row r="1804" spans="1:17">
      <c r="A1804" s="512">
        <f t="shared" si="20"/>
        <v>957</v>
      </c>
      <c r="B1804" s="531" t="s">
        <v>43</v>
      </c>
      <c r="C1804" s="626" t="s">
        <v>44</v>
      </c>
      <c r="D1804" s="626" t="s">
        <v>45</v>
      </c>
      <c r="E1804" s="538" t="s">
        <v>2150</v>
      </c>
      <c r="F1804" s="535" t="s">
        <v>441</v>
      </c>
      <c r="G1804" s="535">
        <v>9822844086</v>
      </c>
      <c r="H1804" s="533"/>
      <c r="I1804" s="535">
        <v>22</v>
      </c>
      <c r="J1804" s="575" t="s">
        <v>48</v>
      </c>
      <c r="K1804" s="531" t="s">
        <v>709</v>
      </c>
      <c r="L1804" s="531"/>
      <c r="M1804" s="576" t="s">
        <v>1192</v>
      </c>
      <c r="N1804" s="752">
        <v>65034</v>
      </c>
      <c r="O1804" s="600">
        <v>65034</v>
      </c>
      <c r="P1804" s="541">
        <v>65049</v>
      </c>
      <c r="Q1804" s="533" t="s">
        <v>51</v>
      </c>
    </row>
    <row r="1805" spans="1:17">
      <c r="A1805" s="512">
        <f t="shared" si="20"/>
        <v>958</v>
      </c>
      <c r="B1805" s="531" t="s">
        <v>43</v>
      </c>
      <c r="C1805" s="626" t="s">
        <v>44</v>
      </c>
      <c r="D1805" s="626" t="s">
        <v>45</v>
      </c>
      <c r="E1805" s="626" t="s">
        <v>2136</v>
      </c>
      <c r="F1805" s="575" t="s">
        <v>491</v>
      </c>
      <c r="G1805" s="575">
        <v>9857821495</v>
      </c>
      <c r="H1805" s="626"/>
      <c r="I1805" s="575">
        <v>57</v>
      </c>
      <c r="J1805" s="575" t="s">
        <v>48</v>
      </c>
      <c r="K1805" s="575" t="s">
        <v>1480</v>
      </c>
      <c r="L1805" s="531"/>
      <c r="M1805" s="576" t="s">
        <v>1192</v>
      </c>
      <c r="N1805" s="752">
        <v>65034</v>
      </c>
      <c r="O1805" s="600">
        <v>65034</v>
      </c>
      <c r="P1805" s="541">
        <v>65049</v>
      </c>
      <c r="Q1805" s="533" t="s">
        <v>51</v>
      </c>
    </row>
    <row r="1806" spans="1:17">
      <c r="A1806" s="512">
        <f t="shared" si="20"/>
        <v>959</v>
      </c>
      <c r="B1806" s="531" t="s">
        <v>43</v>
      </c>
      <c r="C1806" s="626" t="s">
        <v>44</v>
      </c>
      <c r="D1806" s="626" t="s">
        <v>45</v>
      </c>
      <c r="E1806" s="538" t="s">
        <v>2162</v>
      </c>
      <c r="F1806" s="535" t="s">
        <v>491</v>
      </c>
      <c r="G1806" s="535">
        <v>9844937892</v>
      </c>
      <c r="H1806" s="533"/>
      <c r="I1806" s="535">
        <v>26</v>
      </c>
      <c r="J1806" s="575" t="s">
        <v>48</v>
      </c>
      <c r="K1806" s="531" t="s">
        <v>709</v>
      </c>
      <c r="L1806" s="531"/>
      <c r="M1806" s="576" t="s">
        <v>1192</v>
      </c>
      <c r="N1806" s="752">
        <v>65034</v>
      </c>
      <c r="O1806" s="600">
        <v>65034</v>
      </c>
      <c r="P1806" s="541">
        <v>65049</v>
      </c>
      <c r="Q1806" s="533" t="s">
        <v>51</v>
      </c>
    </row>
    <row r="1807" spans="1:17">
      <c r="A1807" s="512">
        <f t="shared" si="20"/>
        <v>960</v>
      </c>
      <c r="B1807" s="531" t="s">
        <v>43</v>
      </c>
      <c r="C1807" s="626" t="s">
        <v>44</v>
      </c>
      <c r="D1807" s="626" t="s">
        <v>45</v>
      </c>
      <c r="E1807" s="566" t="s">
        <v>2192</v>
      </c>
      <c r="F1807" s="565" t="s">
        <v>491</v>
      </c>
      <c r="G1807" s="565">
        <v>9809875508</v>
      </c>
      <c r="H1807" s="533"/>
      <c r="I1807" s="565">
        <v>15</v>
      </c>
      <c r="J1807" s="575" t="s">
        <v>90</v>
      </c>
      <c r="K1807" s="531" t="s">
        <v>1950</v>
      </c>
      <c r="L1807" s="531"/>
      <c r="M1807" s="576" t="s">
        <v>1192</v>
      </c>
      <c r="N1807" s="752">
        <v>65034</v>
      </c>
      <c r="O1807" s="600">
        <v>65034</v>
      </c>
      <c r="P1807" s="541">
        <v>65049</v>
      </c>
      <c r="Q1807" s="533" t="s">
        <v>51</v>
      </c>
    </row>
    <row r="1808" spans="1:17">
      <c r="A1808" s="512">
        <f t="shared" si="20"/>
        <v>961</v>
      </c>
      <c r="B1808" s="531" t="s">
        <v>43</v>
      </c>
      <c r="C1808" s="626" t="s">
        <v>44</v>
      </c>
      <c r="D1808" s="626" t="s">
        <v>45</v>
      </c>
      <c r="E1808" s="538" t="s">
        <v>2149</v>
      </c>
      <c r="F1808" s="535" t="s">
        <v>1204</v>
      </c>
      <c r="G1808" s="535">
        <v>9866955429</v>
      </c>
      <c r="H1808" s="533"/>
      <c r="I1808" s="535">
        <v>30</v>
      </c>
      <c r="J1808" s="575" t="s">
        <v>48</v>
      </c>
      <c r="K1808" s="531" t="s">
        <v>709</v>
      </c>
      <c r="L1808" s="531"/>
      <c r="M1808" s="576" t="s">
        <v>1192</v>
      </c>
      <c r="N1808" s="752">
        <v>65034</v>
      </c>
      <c r="O1808" s="600">
        <v>65034</v>
      </c>
      <c r="P1808" s="541">
        <v>65049</v>
      </c>
      <c r="Q1808" s="533" t="s">
        <v>51</v>
      </c>
    </row>
    <row r="1809" spans="1:31">
      <c r="A1809" s="512">
        <f t="shared" si="20"/>
        <v>962</v>
      </c>
      <c r="B1809" s="531" t="s">
        <v>43</v>
      </c>
      <c r="C1809" s="626" t="s">
        <v>44</v>
      </c>
      <c r="D1809" s="626" t="s">
        <v>45</v>
      </c>
      <c r="E1809" s="626" t="s">
        <v>2137</v>
      </c>
      <c r="F1809" s="575" t="s">
        <v>491</v>
      </c>
      <c r="G1809" s="575"/>
      <c r="H1809" s="626"/>
      <c r="I1809" s="575">
        <v>28</v>
      </c>
      <c r="J1809" s="575" t="s">
        <v>48</v>
      </c>
      <c r="K1809" s="575" t="s">
        <v>345</v>
      </c>
      <c r="L1809" s="531"/>
      <c r="M1809" s="576" t="s">
        <v>1192</v>
      </c>
      <c r="N1809" s="752">
        <v>65034</v>
      </c>
      <c r="O1809" s="600">
        <v>65034</v>
      </c>
      <c r="P1809" s="541">
        <v>65049</v>
      </c>
      <c r="Q1809" s="533" t="s">
        <v>51</v>
      </c>
    </row>
    <row r="1810" spans="1:31">
      <c r="A1810" s="512">
        <f t="shared" ref="A1810:A1873" si="21">A1809+1</f>
        <v>963</v>
      </c>
      <c r="B1810" s="531" t="s">
        <v>43</v>
      </c>
      <c r="C1810" s="626" t="s">
        <v>44</v>
      </c>
      <c r="D1810" s="626" t="s">
        <v>45</v>
      </c>
      <c r="E1810" s="626" t="s">
        <v>2138</v>
      </c>
      <c r="F1810" s="575" t="s">
        <v>491</v>
      </c>
      <c r="G1810" s="575">
        <v>9851098835</v>
      </c>
      <c r="H1810" s="626"/>
      <c r="I1810" s="575">
        <v>33</v>
      </c>
      <c r="J1810" s="575" t="s">
        <v>48</v>
      </c>
      <c r="K1810" s="575" t="s">
        <v>1480</v>
      </c>
      <c r="L1810" s="531"/>
      <c r="M1810" s="576" t="s">
        <v>1192</v>
      </c>
      <c r="N1810" s="752">
        <v>65034</v>
      </c>
      <c r="O1810" s="600">
        <v>65034</v>
      </c>
      <c r="P1810" s="541">
        <v>65049</v>
      </c>
      <c r="Q1810" s="533" t="s">
        <v>51</v>
      </c>
    </row>
    <row r="1811" spans="1:31">
      <c r="A1811" s="512">
        <f t="shared" si="21"/>
        <v>964</v>
      </c>
      <c r="B1811" s="531" t="s">
        <v>43</v>
      </c>
      <c r="C1811" s="626" t="s">
        <v>44</v>
      </c>
      <c r="D1811" s="626" t="s">
        <v>45</v>
      </c>
      <c r="E1811" s="566" t="s">
        <v>2188</v>
      </c>
      <c r="F1811" s="565" t="s">
        <v>1008</v>
      </c>
      <c r="G1811" s="565">
        <v>9847830028</v>
      </c>
      <c r="H1811" s="533"/>
      <c r="I1811" s="565">
        <v>65</v>
      </c>
      <c r="J1811" s="575" t="s">
        <v>48</v>
      </c>
      <c r="K1811" s="531" t="s">
        <v>1950</v>
      </c>
      <c r="L1811" s="531"/>
      <c r="M1811" s="576" t="s">
        <v>1192</v>
      </c>
      <c r="N1811" s="752">
        <v>65034</v>
      </c>
      <c r="O1811" s="600">
        <v>65034</v>
      </c>
      <c r="P1811" s="541">
        <v>65049</v>
      </c>
      <c r="Q1811" s="533" t="s">
        <v>51</v>
      </c>
    </row>
    <row r="1812" spans="1:31">
      <c r="A1812" s="512">
        <f t="shared" si="21"/>
        <v>965</v>
      </c>
      <c r="B1812" s="531" t="s">
        <v>43</v>
      </c>
      <c r="C1812" s="626" t="s">
        <v>44</v>
      </c>
      <c r="D1812" s="626" t="s">
        <v>45</v>
      </c>
      <c r="E1812" s="566" t="s">
        <v>2189</v>
      </c>
      <c r="F1812" s="565" t="s">
        <v>497</v>
      </c>
      <c r="G1812" s="565">
        <v>9847909792</v>
      </c>
      <c r="H1812" s="533"/>
      <c r="I1812" s="565">
        <v>52</v>
      </c>
      <c r="J1812" s="575" t="s">
        <v>48</v>
      </c>
      <c r="K1812" s="531" t="s">
        <v>1950</v>
      </c>
      <c r="L1812" s="531"/>
      <c r="M1812" s="576" t="s">
        <v>1192</v>
      </c>
      <c r="N1812" s="752">
        <v>65034</v>
      </c>
      <c r="O1812" s="600">
        <v>65034</v>
      </c>
      <c r="P1812" s="541">
        <v>65049</v>
      </c>
      <c r="Q1812" s="533" t="s">
        <v>51</v>
      </c>
    </row>
    <row r="1813" spans="1:31">
      <c r="A1813" s="512">
        <f t="shared" si="21"/>
        <v>966</v>
      </c>
      <c r="B1813" s="531" t="s">
        <v>43</v>
      </c>
      <c r="C1813" s="626" t="s">
        <v>44</v>
      </c>
      <c r="D1813" s="626" t="s">
        <v>45</v>
      </c>
      <c r="E1813" s="626" t="s">
        <v>2139</v>
      </c>
      <c r="F1813" s="575" t="s">
        <v>491</v>
      </c>
      <c r="G1813" s="575">
        <v>9810844090</v>
      </c>
      <c r="H1813" s="626"/>
      <c r="I1813" s="575">
        <v>35</v>
      </c>
      <c r="J1813" s="575" t="s">
        <v>90</v>
      </c>
      <c r="K1813" s="575" t="s">
        <v>1480</v>
      </c>
      <c r="L1813" s="531"/>
      <c r="M1813" s="576" t="s">
        <v>1192</v>
      </c>
      <c r="N1813" s="752">
        <v>65034</v>
      </c>
      <c r="O1813" s="600">
        <v>65034</v>
      </c>
      <c r="P1813" s="541">
        <v>65049</v>
      </c>
      <c r="Q1813" s="533" t="s">
        <v>51</v>
      </c>
    </row>
    <row r="1814" spans="1:31">
      <c r="A1814" s="512">
        <f t="shared" si="21"/>
        <v>967</v>
      </c>
      <c r="B1814" s="531" t="s">
        <v>43</v>
      </c>
      <c r="C1814" s="626" t="s">
        <v>44</v>
      </c>
      <c r="D1814" s="626" t="s">
        <v>45</v>
      </c>
      <c r="E1814" s="538" t="s">
        <v>2167</v>
      </c>
      <c r="F1814" s="535" t="s">
        <v>441</v>
      </c>
      <c r="G1814" s="535">
        <v>9857822944</v>
      </c>
      <c r="H1814" s="533"/>
      <c r="I1814" s="535">
        <v>30</v>
      </c>
      <c r="J1814" s="575" t="s">
        <v>90</v>
      </c>
      <c r="K1814" s="531" t="s">
        <v>709</v>
      </c>
      <c r="L1814" s="531"/>
      <c r="M1814" s="576" t="s">
        <v>1192</v>
      </c>
      <c r="N1814" s="752">
        <v>65034</v>
      </c>
      <c r="O1814" s="600">
        <v>65034</v>
      </c>
      <c r="P1814" s="541">
        <v>65049</v>
      </c>
      <c r="Q1814" s="533" t="s">
        <v>51</v>
      </c>
    </row>
    <row r="1815" spans="1:31">
      <c r="A1815" s="512">
        <f t="shared" si="21"/>
        <v>968</v>
      </c>
      <c r="B1815" s="531" t="s">
        <v>43</v>
      </c>
      <c r="C1815" s="626" t="s">
        <v>44</v>
      </c>
      <c r="D1815" s="626" t="s">
        <v>45</v>
      </c>
      <c r="E1815" s="566" t="s">
        <v>2190</v>
      </c>
      <c r="F1815" s="565" t="s">
        <v>730</v>
      </c>
      <c r="G1815" s="565">
        <v>9847851107</v>
      </c>
      <c r="H1815" s="533"/>
      <c r="I1815" s="565">
        <v>35</v>
      </c>
      <c r="J1815" s="575" t="s">
        <v>48</v>
      </c>
      <c r="K1815" s="531" t="s">
        <v>1950</v>
      </c>
      <c r="L1815" s="531"/>
      <c r="M1815" s="576" t="s">
        <v>1192</v>
      </c>
      <c r="N1815" s="752">
        <v>65034</v>
      </c>
      <c r="O1815" s="600">
        <v>65034</v>
      </c>
      <c r="P1815" s="541">
        <v>65049</v>
      </c>
      <c r="Q1815" s="533" t="s">
        <v>51</v>
      </c>
    </row>
    <row r="1816" spans="1:31">
      <c r="A1816" s="512">
        <f t="shared" si="21"/>
        <v>969</v>
      </c>
      <c r="B1816" s="531" t="s">
        <v>43</v>
      </c>
      <c r="C1816" s="626" t="s">
        <v>44</v>
      </c>
      <c r="D1816" s="626" t="s">
        <v>45</v>
      </c>
      <c r="E1816" s="538" t="s">
        <v>2172</v>
      </c>
      <c r="F1816" s="535" t="s">
        <v>1204</v>
      </c>
      <c r="G1816" s="535">
        <v>9866677579</v>
      </c>
      <c r="H1816" s="533"/>
      <c r="I1816" s="535">
        <v>30</v>
      </c>
      <c r="J1816" s="575" t="s">
        <v>48</v>
      </c>
      <c r="K1816" s="531" t="s">
        <v>709</v>
      </c>
      <c r="L1816" s="531"/>
      <c r="M1816" s="576" t="s">
        <v>1192</v>
      </c>
      <c r="N1816" s="752">
        <v>65034</v>
      </c>
      <c r="O1816" s="600">
        <v>65034</v>
      </c>
      <c r="P1816" s="541">
        <v>65049</v>
      </c>
      <c r="Q1816" s="533" t="s">
        <v>51</v>
      </c>
    </row>
    <row r="1817" spans="1:31">
      <c r="A1817" s="512">
        <f t="shared" si="21"/>
        <v>970</v>
      </c>
      <c r="B1817" s="531" t="s">
        <v>43</v>
      </c>
      <c r="C1817" s="626" t="s">
        <v>44</v>
      </c>
      <c r="D1817" s="626" t="s">
        <v>45</v>
      </c>
      <c r="E1817" s="538" t="s">
        <v>1391</v>
      </c>
      <c r="F1817" s="535" t="s">
        <v>491</v>
      </c>
      <c r="G1817" s="535">
        <v>9844964440</v>
      </c>
      <c r="H1817" s="533"/>
      <c r="I1817" s="535">
        <v>18</v>
      </c>
      <c r="J1817" s="575" t="s">
        <v>90</v>
      </c>
      <c r="K1817" s="531" t="s">
        <v>709</v>
      </c>
      <c r="L1817" s="531"/>
      <c r="M1817" s="576" t="s">
        <v>1192</v>
      </c>
      <c r="N1817" s="752">
        <v>65034</v>
      </c>
      <c r="O1817" s="600">
        <v>65034</v>
      </c>
      <c r="P1817" s="541">
        <v>65049</v>
      </c>
      <c r="Q1817" s="533" t="s">
        <v>51</v>
      </c>
    </row>
    <row r="1818" spans="1:31">
      <c r="A1818" s="512">
        <f t="shared" si="21"/>
        <v>971</v>
      </c>
      <c r="B1818" s="531" t="s">
        <v>43</v>
      </c>
      <c r="C1818" s="626" t="s">
        <v>44</v>
      </c>
      <c r="D1818" s="626" t="s">
        <v>45</v>
      </c>
      <c r="E1818" s="626" t="s">
        <v>2140</v>
      </c>
      <c r="F1818" s="575" t="s">
        <v>491</v>
      </c>
      <c r="G1818" s="575">
        <v>9847833930</v>
      </c>
      <c r="H1818" s="626"/>
      <c r="I1818" s="575">
        <v>24</v>
      </c>
      <c r="J1818" s="575" t="s">
        <v>90</v>
      </c>
      <c r="K1818" s="575" t="s">
        <v>1480</v>
      </c>
      <c r="L1818" s="531"/>
      <c r="M1818" s="576" t="s">
        <v>1192</v>
      </c>
      <c r="N1818" s="752">
        <v>65034</v>
      </c>
      <c r="O1818" s="600">
        <v>65034</v>
      </c>
      <c r="P1818" s="541">
        <v>65049</v>
      </c>
      <c r="Q1818" s="533" t="s">
        <v>51</v>
      </c>
    </row>
    <row r="1819" spans="1:31">
      <c r="A1819" s="512">
        <f t="shared" si="21"/>
        <v>972</v>
      </c>
      <c r="B1819" s="531" t="s">
        <v>43</v>
      </c>
      <c r="C1819" s="626" t="s">
        <v>44</v>
      </c>
      <c r="D1819" s="626" t="s">
        <v>45</v>
      </c>
      <c r="E1819" s="566" t="s">
        <v>2193</v>
      </c>
      <c r="F1819" s="565" t="s">
        <v>557</v>
      </c>
      <c r="G1819" s="565">
        <v>9857832858</v>
      </c>
      <c r="H1819" s="533"/>
      <c r="I1819" s="565">
        <v>32</v>
      </c>
      <c r="J1819" s="575" t="s">
        <v>90</v>
      </c>
      <c r="K1819" s="531" t="s">
        <v>1950</v>
      </c>
      <c r="L1819" s="531"/>
      <c r="M1819" s="576" t="s">
        <v>1192</v>
      </c>
      <c r="N1819" s="752">
        <v>65034</v>
      </c>
      <c r="O1819" s="600">
        <v>65034</v>
      </c>
      <c r="P1819" s="541">
        <v>65049</v>
      </c>
      <c r="Q1819" s="533" t="s">
        <v>51</v>
      </c>
    </row>
    <row r="1820" spans="1:31">
      <c r="A1820" s="512">
        <f t="shared" si="21"/>
        <v>973</v>
      </c>
      <c r="B1820" s="531" t="s">
        <v>43</v>
      </c>
      <c r="C1820" s="626" t="s">
        <v>44</v>
      </c>
      <c r="D1820" s="626" t="s">
        <v>45</v>
      </c>
      <c r="E1820" s="538" t="s">
        <v>2178</v>
      </c>
      <c r="F1820" s="535" t="s">
        <v>1046</v>
      </c>
      <c r="G1820" s="535">
        <v>9868997473</v>
      </c>
      <c r="H1820" s="533"/>
      <c r="I1820" s="535">
        <v>21</v>
      </c>
      <c r="J1820" s="575" t="s">
        <v>90</v>
      </c>
      <c r="K1820" s="531" t="s">
        <v>709</v>
      </c>
      <c r="L1820" s="531"/>
      <c r="M1820" s="576" t="s">
        <v>1192</v>
      </c>
      <c r="N1820" s="752">
        <v>65034</v>
      </c>
      <c r="O1820" s="600">
        <v>65034</v>
      </c>
      <c r="P1820" s="541">
        <v>65049</v>
      </c>
      <c r="Q1820" s="533" t="s">
        <v>51</v>
      </c>
    </row>
    <row r="1821" spans="1:31">
      <c r="A1821" s="512">
        <f t="shared" si="21"/>
        <v>974</v>
      </c>
      <c r="B1821" s="531" t="s">
        <v>43</v>
      </c>
      <c r="C1821" s="626" t="s">
        <v>44</v>
      </c>
      <c r="D1821" s="626" t="s">
        <v>45</v>
      </c>
      <c r="E1821" s="538" t="s">
        <v>2160</v>
      </c>
      <c r="F1821" s="535" t="s">
        <v>1204</v>
      </c>
      <c r="G1821" s="535">
        <v>9812857833</v>
      </c>
      <c r="H1821" s="533"/>
      <c r="I1821" s="535">
        <v>38</v>
      </c>
      <c r="J1821" s="575" t="s">
        <v>48</v>
      </c>
      <c r="K1821" s="531" t="s">
        <v>709</v>
      </c>
      <c r="L1821" s="531"/>
      <c r="M1821" s="576" t="s">
        <v>1192</v>
      </c>
      <c r="N1821" s="752">
        <v>65034</v>
      </c>
      <c r="O1821" s="600">
        <v>65034</v>
      </c>
      <c r="P1821" s="541">
        <v>65049</v>
      </c>
      <c r="Q1821" s="533" t="s">
        <v>51</v>
      </c>
    </row>
    <row r="1822" spans="1:31">
      <c r="A1822" s="512">
        <f t="shared" si="21"/>
        <v>975</v>
      </c>
      <c r="B1822" s="531" t="s">
        <v>43</v>
      </c>
      <c r="C1822" s="626" t="s">
        <v>44</v>
      </c>
      <c r="D1822" s="626" t="s">
        <v>45</v>
      </c>
      <c r="E1822" s="538" t="s">
        <v>2181</v>
      </c>
      <c r="F1822" s="535" t="s">
        <v>491</v>
      </c>
      <c r="G1822" s="535">
        <v>9849156982</v>
      </c>
      <c r="H1822" s="533"/>
      <c r="I1822" s="535">
        <v>30</v>
      </c>
      <c r="J1822" s="575" t="s">
        <v>48</v>
      </c>
      <c r="K1822" s="531" t="s">
        <v>709</v>
      </c>
      <c r="L1822" s="531"/>
      <c r="M1822" s="576" t="s">
        <v>1192</v>
      </c>
      <c r="N1822" s="752">
        <v>65034</v>
      </c>
      <c r="O1822" s="600">
        <v>65034</v>
      </c>
      <c r="P1822" s="541">
        <v>65049</v>
      </c>
      <c r="Q1822" s="533" t="s">
        <v>51</v>
      </c>
    </row>
    <row r="1823" spans="1:31">
      <c r="A1823" s="512">
        <f t="shared" si="21"/>
        <v>976</v>
      </c>
      <c r="B1823" s="531" t="s">
        <v>43</v>
      </c>
      <c r="C1823" s="626" t="s">
        <v>44</v>
      </c>
      <c r="D1823" s="626" t="s">
        <v>45</v>
      </c>
      <c r="E1823" s="538" t="s">
        <v>2176</v>
      </c>
      <c r="F1823" s="535" t="s">
        <v>491</v>
      </c>
      <c r="G1823" s="535">
        <v>9847884454</v>
      </c>
      <c r="H1823" s="533"/>
      <c r="I1823" s="535">
        <v>44</v>
      </c>
      <c r="J1823" s="575" t="s">
        <v>48</v>
      </c>
      <c r="K1823" s="531" t="s">
        <v>709</v>
      </c>
      <c r="L1823" s="531"/>
      <c r="M1823" s="576" t="s">
        <v>1192</v>
      </c>
      <c r="N1823" s="752">
        <v>65034</v>
      </c>
      <c r="O1823" s="600">
        <v>65034</v>
      </c>
      <c r="P1823" s="541">
        <v>65049</v>
      </c>
      <c r="Q1823" s="533" t="s">
        <v>51</v>
      </c>
      <c r="T1823" s="326"/>
      <c r="U1823" s="326"/>
      <c r="V1823" s="326"/>
      <c r="W1823" s="326"/>
      <c r="X1823" s="326"/>
      <c r="Y1823" s="326"/>
      <c r="Z1823" s="326"/>
      <c r="AA1823" s="326"/>
      <c r="AB1823" s="326"/>
      <c r="AC1823" s="326"/>
      <c r="AD1823" s="326"/>
      <c r="AE1823" s="326"/>
    </row>
    <row r="1824" spans="1:31">
      <c r="A1824" s="512">
        <f t="shared" si="21"/>
        <v>977</v>
      </c>
      <c r="B1824" s="531" t="s">
        <v>43</v>
      </c>
      <c r="C1824" s="626" t="s">
        <v>44</v>
      </c>
      <c r="D1824" s="626" t="s">
        <v>45</v>
      </c>
      <c r="E1824" s="538" t="s">
        <v>2157</v>
      </c>
      <c r="F1824" s="535" t="s">
        <v>1008</v>
      </c>
      <c r="G1824" s="535">
        <v>9866701426</v>
      </c>
      <c r="H1824" s="533"/>
      <c r="I1824" s="535">
        <v>23</v>
      </c>
      <c r="J1824" s="575" t="s">
        <v>90</v>
      </c>
      <c r="K1824" s="531" t="s">
        <v>709</v>
      </c>
      <c r="L1824" s="531"/>
      <c r="M1824" s="576" t="s">
        <v>1192</v>
      </c>
      <c r="N1824" s="752">
        <v>65034</v>
      </c>
      <c r="O1824" s="600">
        <v>65034</v>
      </c>
      <c r="P1824" s="541">
        <v>65049</v>
      </c>
      <c r="Q1824" s="533" t="s">
        <v>51</v>
      </c>
    </row>
    <row r="1825" spans="1:31">
      <c r="A1825" s="512">
        <f t="shared" si="21"/>
        <v>978</v>
      </c>
      <c r="B1825" s="531" t="s">
        <v>43</v>
      </c>
      <c r="C1825" s="626" t="s">
        <v>44</v>
      </c>
      <c r="D1825" s="626" t="s">
        <v>45</v>
      </c>
      <c r="E1825" s="626" t="s">
        <v>2141</v>
      </c>
      <c r="F1825" s="575" t="s">
        <v>491</v>
      </c>
      <c r="G1825" s="575">
        <v>9847944982</v>
      </c>
      <c r="H1825" s="626"/>
      <c r="I1825" s="575">
        <v>28</v>
      </c>
      <c r="J1825" s="575" t="s">
        <v>90</v>
      </c>
      <c r="K1825" s="575" t="s">
        <v>1480</v>
      </c>
      <c r="L1825" s="531"/>
      <c r="M1825" s="576" t="s">
        <v>1192</v>
      </c>
      <c r="N1825" s="752">
        <v>65034</v>
      </c>
      <c r="O1825" s="600">
        <v>65034</v>
      </c>
      <c r="P1825" s="541">
        <v>65049</v>
      </c>
      <c r="Q1825" s="533" t="s">
        <v>51</v>
      </c>
    </row>
    <row r="1826" spans="1:31">
      <c r="A1826" s="512">
        <f t="shared" si="21"/>
        <v>979</v>
      </c>
      <c r="B1826" s="531" t="s">
        <v>43</v>
      </c>
      <c r="C1826" s="626" t="s">
        <v>44</v>
      </c>
      <c r="D1826" s="626" t="s">
        <v>45</v>
      </c>
      <c r="E1826" s="566" t="s">
        <v>2194</v>
      </c>
      <c r="F1826" s="565" t="s">
        <v>491</v>
      </c>
      <c r="G1826" s="565">
        <v>9847886444</v>
      </c>
      <c r="H1826" s="533"/>
      <c r="I1826" s="565">
        <v>32</v>
      </c>
      <c r="J1826" s="575" t="s">
        <v>90</v>
      </c>
      <c r="K1826" s="531" t="s">
        <v>1950</v>
      </c>
      <c r="L1826" s="531"/>
      <c r="M1826" s="576" t="s">
        <v>1192</v>
      </c>
      <c r="N1826" s="752">
        <v>65034</v>
      </c>
      <c r="O1826" s="600">
        <v>65034</v>
      </c>
      <c r="P1826" s="541">
        <v>65049</v>
      </c>
      <c r="Q1826" s="533" t="s">
        <v>51</v>
      </c>
    </row>
    <row r="1827" spans="1:31">
      <c r="A1827" s="512">
        <f t="shared" si="21"/>
        <v>980</v>
      </c>
      <c r="B1827" s="531" t="s">
        <v>43</v>
      </c>
      <c r="C1827" s="626" t="s">
        <v>44</v>
      </c>
      <c r="D1827" s="626" t="s">
        <v>45</v>
      </c>
      <c r="E1827" s="626" t="s">
        <v>2142</v>
      </c>
      <c r="F1827" s="575" t="s">
        <v>491</v>
      </c>
      <c r="G1827" s="575">
        <v>9841647754</v>
      </c>
      <c r="H1827" s="626"/>
      <c r="I1827" s="575">
        <v>77</v>
      </c>
      <c r="J1827" s="575" t="s">
        <v>48</v>
      </c>
      <c r="K1827" s="575" t="s">
        <v>1480</v>
      </c>
      <c r="L1827" s="531"/>
      <c r="M1827" s="576" t="s">
        <v>1192</v>
      </c>
      <c r="N1827" s="752">
        <v>65034</v>
      </c>
      <c r="O1827" s="600">
        <v>65034</v>
      </c>
      <c r="P1827" s="541">
        <v>65049</v>
      </c>
      <c r="Q1827" s="533" t="s">
        <v>51</v>
      </c>
      <c r="R1827" s="326"/>
      <c r="S1827" s="326"/>
    </row>
    <row r="1828" spans="1:31">
      <c r="A1828" s="512">
        <f t="shared" si="21"/>
        <v>981</v>
      </c>
      <c r="B1828" s="531" t="s">
        <v>43</v>
      </c>
      <c r="C1828" s="626" t="s">
        <v>44</v>
      </c>
      <c r="D1828" s="626" t="s">
        <v>45</v>
      </c>
      <c r="E1828" s="626" t="s">
        <v>2143</v>
      </c>
      <c r="F1828" s="575" t="s">
        <v>491</v>
      </c>
      <c r="G1828" s="575">
        <v>9847939813</v>
      </c>
      <c r="H1828" s="626"/>
      <c r="I1828" s="575">
        <v>69</v>
      </c>
      <c r="J1828" s="575" t="s">
        <v>48</v>
      </c>
      <c r="K1828" s="575" t="s">
        <v>345</v>
      </c>
      <c r="L1828" s="531"/>
      <c r="M1828" s="576" t="s">
        <v>1192</v>
      </c>
      <c r="N1828" s="752">
        <v>65034</v>
      </c>
      <c r="O1828" s="600">
        <v>65034</v>
      </c>
      <c r="P1828" s="541">
        <v>65049</v>
      </c>
      <c r="Q1828" s="533" t="s">
        <v>51</v>
      </c>
    </row>
    <row r="1829" spans="1:31">
      <c r="A1829" s="512">
        <f t="shared" si="21"/>
        <v>982</v>
      </c>
      <c r="B1829" s="423" t="s">
        <v>43</v>
      </c>
      <c r="C1829" s="630" t="s">
        <v>44</v>
      </c>
      <c r="D1829" s="630" t="s">
        <v>45</v>
      </c>
      <c r="E1829" s="630" t="s">
        <v>2144</v>
      </c>
      <c r="F1829" s="597" t="s">
        <v>491</v>
      </c>
      <c r="G1829" s="597">
        <v>9847823420</v>
      </c>
      <c r="H1829" s="630"/>
      <c r="I1829" s="597">
        <v>55</v>
      </c>
      <c r="J1829" s="597" t="s">
        <v>48</v>
      </c>
      <c r="K1829" s="597" t="s">
        <v>1480</v>
      </c>
      <c r="L1829" s="423"/>
      <c r="M1829" s="423" t="s">
        <v>1192</v>
      </c>
      <c r="N1829" s="758">
        <v>65034</v>
      </c>
      <c r="O1829" s="632">
        <v>65034</v>
      </c>
      <c r="P1829" s="632">
        <v>65036</v>
      </c>
      <c r="Q1829" s="422" t="s">
        <v>940</v>
      </c>
    </row>
    <row r="1830" spans="1:31">
      <c r="A1830" s="512">
        <f t="shared" si="21"/>
        <v>983</v>
      </c>
      <c r="B1830" s="531" t="s">
        <v>43</v>
      </c>
      <c r="C1830" s="626" t="s">
        <v>44</v>
      </c>
      <c r="D1830" s="626" t="s">
        <v>45</v>
      </c>
      <c r="E1830" s="538" t="s">
        <v>2152</v>
      </c>
      <c r="F1830" s="535" t="s">
        <v>491</v>
      </c>
      <c r="G1830" s="535">
        <v>9847886725</v>
      </c>
      <c r="H1830" s="533"/>
      <c r="I1830" s="535">
        <v>50</v>
      </c>
      <c r="J1830" s="575" t="s">
        <v>48</v>
      </c>
      <c r="K1830" s="531" t="s">
        <v>709</v>
      </c>
      <c r="L1830" s="531"/>
      <c r="M1830" s="576" t="s">
        <v>1192</v>
      </c>
      <c r="N1830" s="752">
        <v>65034</v>
      </c>
      <c r="O1830" s="600">
        <v>65034</v>
      </c>
      <c r="P1830" s="541">
        <v>65049</v>
      </c>
      <c r="Q1830" s="533" t="s">
        <v>51</v>
      </c>
    </row>
    <row r="1831" spans="1:31" s="335" customFormat="1">
      <c r="A1831" s="512">
        <f t="shared" si="21"/>
        <v>984</v>
      </c>
      <c r="B1831" s="531" t="s">
        <v>43</v>
      </c>
      <c r="C1831" s="626" t="s">
        <v>44</v>
      </c>
      <c r="D1831" s="626" t="s">
        <v>45</v>
      </c>
      <c r="E1831" s="626" t="s">
        <v>2145</v>
      </c>
      <c r="F1831" s="575" t="s">
        <v>491</v>
      </c>
      <c r="G1831" s="575">
        <v>9847842739</v>
      </c>
      <c r="H1831" s="626"/>
      <c r="I1831" s="575">
        <v>75</v>
      </c>
      <c r="J1831" s="575" t="s">
        <v>48</v>
      </c>
      <c r="K1831" s="575" t="s">
        <v>1480</v>
      </c>
      <c r="L1831" s="531"/>
      <c r="M1831" s="576" t="s">
        <v>1192</v>
      </c>
      <c r="N1831" s="752">
        <v>65034</v>
      </c>
      <c r="O1831" s="600">
        <v>65034</v>
      </c>
      <c r="P1831" s="541">
        <v>65049</v>
      </c>
      <c r="Q1831" s="533" t="s">
        <v>51</v>
      </c>
      <c r="R1831" s="322"/>
      <c r="S1831" s="322"/>
      <c r="T1831" s="163"/>
      <c r="U1831" s="163"/>
      <c r="V1831" s="163"/>
      <c r="W1831" s="163"/>
      <c r="X1831" s="163"/>
      <c r="Y1831" s="163"/>
      <c r="Z1831" s="163"/>
      <c r="AA1831" s="163"/>
      <c r="AB1831" s="163"/>
      <c r="AC1831" s="163"/>
      <c r="AD1831" s="163"/>
      <c r="AE1831" s="163"/>
    </row>
    <row r="1832" spans="1:31">
      <c r="A1832" s="512">
        <f t="shared" si="21"/>
        <v>985</v>
      </c>
      <c r="B1832" s="531" t="s">
        <v>43</v>
      </c>
      <c r="C1832" s="626" t="s">
        <v>44</v>
      </c>
      <c r="D1832" s="626" t="s">
        <v>45</v>
      </c>
      <c r="E1832" s="538" t="s">
        <v>2164</v>
      </c>
      <c r="F1832" s="535" t="s">
        <v>441</v>
      </c>
      <c r="G1832" s="535">
        <v>9847823727</v>
      </c>
      <c r="H1832" s="533"/>
      <c r="I1832" s="535">
        <v>39</v>
      </c>
      <c r="J1832" s="575" t="s">
        <v>48</v>
      </c>
      <c r="K1832" s="531" t="s">
        <v>709</v>
      </c>
      <c r="L1832" s="531"/>
      <c r="M1832" s="576" t="s">
        <v>1192</v>
      </c>
      <c r="N1832" s="752">
        <v>65034</v>
      </c>
      <c r="O1832" s="600">
        <v>65034</v>
      </c>
      <c r="P1832" s="541">
        <v>65049</v>
      </c>
      <c r="Q1832" s="533" t="s">
        <v>51</v>
      </c>
    </row>
    <row r="1833" spans="1:31">
      <c r="A1833" s="512">
        <f t="shared" si="21"/>
        <v>986</v>
      </c>
      <c r="B1833" s="531" t="s">
        <v>43</v>
      </c>
      <c r="C1833" s="626" t="s">
        <v>44</v>
      </c>
      <c r="D1833" s="626" t="s">
        <v>45</v>
      </c>
      <c r="E1833" s="566" t="s">
        <v>2195</v>
      </c>
      <c r="F1833" s="565" t="s">
        <v>124</v>
      </c>
      <c r="G1833" s="565">
        <v>9861863452</v>
      </c>
      <c r="H1833" s="533"/>
      <c r="I1833" s="565">
        <v>55</v>
      </c>
      <c r="J1833" s="575" t="s">
        <v>90</v>
      </c>
      <c r="K1833" s="531" t="s">
        <v>1950</v>
      </c>
      <c r="L1833" s="531"/>
      <c r="M1833" s="576" t="s">
        <v>1192</v>
      </c>
      <c r="N1833" s="752">
        <v>65034</v>
      </c>
      <c r="O1833" s="600">
        <v>65034</v>
      </c>
      <c r="P1833" s="541">
        <v>65049</v>
      </c>
      <c r="Q1833" s="533" t="s">
        <v>51</v>
      </c>
    </row>
    <row r="1834" spans="1:31" s="338" customFormat="1">
      <c r="A1834" s="512">
        <f t="shared" si="21"/>
        <v>987</v>
      </c>
      <c r="B1834" s="531" t="s">
        <v>43</v>
      </c>
      <c r="C1834" s="626" t="s">
        <v>44</v>
      </c>
      <c r="D1834" s="626" t="s">
        <v>45</v>
      </c>
      <c r="E1834" s="566" t="s">
        <v>2196</v>
      </c>
      <c r="F1834" s="565" t="s">
        <v>124</v>
      </c>
      <c r="G1834" s="565">
        <v>9844925078</v>
      </c>
      <c r="H1834" s="533"/>
      <c r="I1834" s="565">
        <v>52</v>
      </c>
      <c r="J1834" s="575" t="s">
        <v>90</v>
      </c>
      <c r="K1834" s="531" t="s">
        <v>1950</v>
      </c>
      <c r="L1834" s="531"/>
      <c r="M1834" s="576" t="s">
        <v>1192</v>
      </c>
      <c r="N1834" s="752">
        <v>65034</v>
      </c>
      <c r="O1834" s="600">
        <v>65034</v>
      </c>
      <c r="P1834" s="541">
        <v>65049</v>
      </c>
      <c r="Q1834" s="533" t="s">
        <v>51</v>
      </c>
    </row>
    <row r="1835" spans="1:31" s="335" customFormat="1" ht="18">
      <c r="A1835" s="512">
        <f t="shared" si="21"/>
        <v>988</v>
      </c>
      <c r="B1835" s="692" t="s">
        <v>43</v>
      </c>
      <c r="C1835" s="693" t="s">
        <v>44</v>
      </c>
      <c r="D1835" s="693" t="s">
        <v>45</v>
      </c>
      <c r="E1835" s="693" t="s">
        <v>2200</v>
      </c>
      <c r="F1835" s="694" t="s">
        <v>497</v>
      </c>
      <c r="G1835" s="590">
        <v>9866840740</v>
      </c>
      <c r="H1835" s="695"/>
      <c r="I1835" s="590">
        <v>37</v>
      </c>
      <c r="J1835" s="590" t="s">
        <v>90</v>
      </c>
      <c r="K1835" s="590" t="s">
        <v>53</v>
      </c>
      <c r="L1835" s="590"/>
      <c r="M1835" s="588" t="s">
        <v>119</v>
      </c>
      <c r="N1835" s="761">
        <v>65035</v>
      </c>
      <c r="O1835" s="696">
        <v>65035</v>
      </c>
      <c r="P1835" s="496">
        <v>65050</v>
      </c>
      <c r="Q1835" s="491" t="s">
        <v>51</v>
      </c>
    </row>
    <row r="1836" spans="1:31" s="326" customFormat="1" ht="18">
      <c r="A1836" s="512">
        <f t="shared" si="21"/>
        <v>989</v>
      </c>
      <c r="B1836" s="658" t="s">
        <v>43</v>
      </c>
      <c r="C1836" s="630" t="s">
        <v>44</v>
      </c>
      <c r="D1836" s="630" t="s">
        <v>45</v>
      </c>
      <c r="E1836" s="698" t="s">
        <v>2201</v>
      </c>
      <c r="F1836" s="699" t="s">
        <v>1008</v>
      </c>
      <c r="G1836" s="699">
        <v>9822884280</v>
      </c>
      <c r="H1836" s="698"/>
      <c r="I1836" s="699">
        <v>56</v>
      </c>
      <c r="J1836" s="699" t="s">
        <v>48</v>
      </c>
      <c r="K1836" s="699" t="s">
        <v>53</v>
      </c>
      <c r="L1836" s="699"/>
      <c r="M1836" s="699" t="s">
        <v>119</v>
      </c>
      <c r="N1836" s="762">
        <v>65035</v>
      </c>
      <c r="O1836" s="701">
        <v>65035</v>
      </c>
      <c r="P1836" s="559">
        <v>65050</v>
      </c>
      <c r="Q1836" s="422" t="s">
        <v>940</v>
      </c>
    </row>
    <row r="1837" spans="1:31" s="163" customFormat="1" ht="18">
      <c r="A1837" s="512">
        <f t="shared" si="21"/>
        <v>990</v>
      </c>
      <c r="B1837" s="661" t="s">
        <v>43</v>
      </c>
      <c r="C1837" s="662" t="s">
        <v>44</v>
      </c>
      <c r="D1837" s="662" t="s">
        <v>45</v>
      </c>
      <c r="E1837" s="662" t="s">
        <v>2877</v>
      </c>
      <c r="F1837" s="620" t="s">
        <v>502</v>
      </c>
      <c r="G1837" s="620"/>
      <c r="H1837" s="662"/>
      <c r="I1837" s="620">
        <v>67</v>
      </c>
      <c r="J1837" s="620" t="s">
        <v>48</v>
      </c>
      <c r="K1837" s="620" t="s">
        <v>53</v>
      </c>
      <c r="L1837" s="664"/>
      <c r="M1837" s="620" t="s">
        <v>54</v>
      </c>
      <c r="N1837" s="738">
        <v>65035</v>
      </c>
      <c r="O1837" s="665">
        <v>65035</v>
      </c>
      <c r="P1837" s="476">
        <v>65040</v>
      </c>
      <c r="Q1837" s="422" t="s">
        <v>940</v>
      </c>
      <c r="R1837" s="322"/>
      <c r="S1837" s="322"/>
    </row>
    <row r="1838" spans="1:31">
      <c r="A1838" s="512">
        <f t="shared" si="21"/>
        <v>991</v>
      </c>
      <c r="B1838" s="423" t="s">
        <v>43</v>
      </c>
      <c r="C1838" s="630" t="s">
        <v>44</v>
      </c>
      <c r="D1838" s="630" t="s">
        <v>45</v>
      </c>
      <c r="E1838" s="618" t="s">
        <v>2298</v>
      </c>
      <c r="F1838" s="505" t="s">
        <v>557</v>
      </c>
      <c r="G1838" s="505"/>
      <c r="H1838" s="422"/>
      <c r="I1838" s="505">
        <v>75</v>
      </c>
      <c r="J1838" s="597" t="s">
        <v>90</v>
      </c>
      <c r="K1838" s="597" t="s">
        <v>53</v>
      </c>
      <c r="L1838" s="423"/>
      <c r="M1838" s="423" t="s">
        <v>1338</v>
      </c>
      <c r="N1838" s="758">
        <v>65035</v>
      </c>
      <c r="O1838" s="632"/>
      <c r="P1838" s="476">
        <v>65036</v>
      </c>
      <c r="Q1838" s="422" t="s">
        <v>940</v>
      </c>
    </row>
    <row r="1839" spans="1:31" s="163" customFormat="1" ht="18">
      <c r="A1839" s="512">
        <f t="shared" si="21"/>
        <v>992</v>
      </c>
      <c r="B1839" s="666" t="s">
        <v>43</v>
      </c>
      <c r="C1839" s="644" t="s">
        <v>44</v>
      </c>
      <c r="D1839" s="644" t="s">
        <v>45</v>
      </c>
      <c r="E1839" s="644" t="s">
        <v>2202</v>
      </c>
      <c r="F1839" s="646" t="s">
        <v>510</v>
      </c>
      <c r="G1839" s="577">
        <v>9843288351</v>
      </c>
      <c r="H1839" s="645"/>
      <c r="I1839" s="577">
        <v>41</v>
      </c>
      <c r="J1839" s="577" t="s">
        <v>90</v>
      </c>
      <c r="K1839" s="577" t="s">
        <v>53</v>
      </c>
      <c r="L1839" s="577"/>
      <c r="M1839" s="571" t="s">
        <v>119</v>
      </c>
      <c r="N1839" s="759">
        <v>65035</v>
      </c>
      <c r="O1839" s="647">
        <v>65035</v>
      </c>
      <c r="P1839" s="496">
        <v>65050</v>
      </c>
      <c r="Q1839" s="491" t="s">
        <v>51</v>
      </c>
    </row>
    <row r="1840" spans="1:31" ht="18">
      <c r="A1840" s="512">
        <f t="shared" si="21"/>
        <v>993</v>
      </c>
      <c r="B1840" s="667" t="s">
        <v>43</v>
      </c>
      <c r="C1840" s="640" t="s">
        <v>44</v>
      </c>
      <c r="D1840" s="640" t="s">
        <v>45</v>
      </c>
      <c r="E1840" s="640" t="s">
        <v>2203</v>
      </c>
      <c r="F1840" s="642" t="s">
        <v>124</v>
      </c>
      <c r="G1840" s="635">
        <v>9822990011</v>
      </c>
      <c r="H1840" s="668"/>
      <c r="I1840" s="635">
        <v>55</v>
      </c>
      <c r="J1840" s="635" t="s">
        <v>90</v>
      </c>
      <c r="K1840" s="635" t="s">
        <v>53</v>
      </c>
      <c r="L1840" s="635"/>
      <c r="M1840" s="592" t="s">
        <v>2650</v>
      </c>
      <c r="N1840" s="748">
        <v>65035</v>
      </c>
      <c r="O1840" s="593">
        <v>65035</v>
      </c>
      <c r="P1840" s="465">
        <v>65086</v>
      </c>
      <c r="Q1840" s="436" t="s">
        <v>51</v>
      </c>
      <c r="R1840" s="163"/>
      <c r="S1840" s="163"/>
    </row>
    <row r="1841" spans="1:31" ht="18">
      <c r="A1841" s="512">
        <f t="shared" si="21"/>
        <v>994</v>
      </c>
      <c r="B1841" s="666" t="s">
        <v>43</v>
      </c>
      <c r="C1841" s="644" t="s">
        <v>44</v>
      </c>
      <c r="D1841" s="644" t="s">
        <v>45</v>
      </c>
      <c r="E1841" s="644" t="s">
        <v>2204</v>
      </c>
      <c r="F1841" s="646" t="s">
        <v>441</v>
      </c>
      <c r="G1841" s="577">
        <v>9848467146</v>
      </c>
      <c r="H1841" s="645"/>
      <c r="I1841" s="577">
        <v>47</v>
      </c>
      <c r="J1841" s="577" t="s">
        <v>90</v>
      </c>
      <c r="K1841" s="577" t="s">
        <v>53</v>
      </c>
      <c r="L1841" s="577"/>
      <c r="M1841" s="571" t="s">
        <v>119</v>
      </c>
      <c r="N1841" s="759">
        <v>65035</v>
      </c>
      <c r="O1841" s="647">
        <v>65035</v>
      </c>
      <c r="P1841" s="496">
        <v>65050</v>
      </c>
      <c r="Q1841" s="491" t="s">
        <v>51</v>
      </c>
    </row>
    <row r="1842" spans="1:31" ht="18">
      <c r="A1842" s="512">
        <f t="shared" si="21"/>
        <v>995</v>
      </c>
      <c r="B1842" s="667" t="s">
        <v>43</v>
      </c>
      <c r="C1842" s="640" t="s">
        <v>44</v>
      </c>
      <c r="D1842" s="640" t="s">
        <v>45</v>
      </c>
      <c r="E1842" s="640" t="s">
        <v>2205</v>
      </c>
      <c r="F1842" s="642" t="s">
        <v>502</v>
      </c>
      <c r="G1842" s="635"/>
      <c r="H1842" s="640"/>
      <c r="I1842" s="635">
        <v>32</v>
      </c>
      <c r="J1842" s="635" t="s">
        <v>48</v>
      </c>
      <c r="K1842" s="635" t="s">
        <v>53</v>
      </c>
      <c r="L1842" s="635"/>
      <c r="M1842" s="592" t="s">
        <v>54</v>
      </c>
      <c r="N1842" s="748">
        <v>65035</v>
      </c>
      <c r="O1842" s="593">
        <v>65035</v>
      </c>
      <c r="P1842" s="465">
        <v>65061</v>
      </c>
      <c r="Q1842" s="436" t="s">
        <v>51</v>
      </c>
      <c r="R1842" s="163"/>
      <c r="S1842" s="163"/>
    </row>
    <row r="1843" spans="1:31" ht="18">
      <c r="A1843" s="512">
        <f t="shared" si="21"/>
        <v>996</v>
      </c>
      <c r="B1843" s="666" t="s">
        <v>43</v>
      </c>
      <c r="C1843" s="644" t="s">
        <v>44</v>
      </c>
      <c r="D1843" s="644" t="s">
        <v>45</v>
      </c>
      <c r="E1843" s="644" t="s">
        <v>2206</v>
      </c>
      <c r="F1843" s="646" t="s">
        <v>441</v>
      </c>
      <c r="G1843" s="577">
        <v>9822990011</v>
      </c>
      <c r="H1843" s="645"/>
      <c r="I1843" s="577">
        <v>35</v>
      </c>
      <c r="J1843" s="577" t="s">
        <v>90</v>
      </c>
      <c r="K1843" s="577" t="s">
        <v>53</v>
      </c>
      <c r="L1843" s="577"/>
      <c r="M1843" s="571" t="s">
        <v>119</v>
      </c>
      <c r="N1843" s="759">
        <v>65035</v>
      </c>
      <c r="O1843" s="647">
        <v>65035</v>
      </c>
      <c r="P1843" s="496">
        <v>65050</v>
      </c>
      <c r="Q1843" s="491" t="s">
        <v>51</v>
      </c>
    </row>
    <row r="1844" spans="1:31" ht="18">
      <c r="A1844" s="512">
        <f t="shared" si="21"/>
        <v>997</v>
      </c>
      <c r="B1844" s="669" t="s">
        <v>43</v>
      </c>
      <c r="C1844" s="640" t="s">
        <v>44</v>
      </c>
      <c r="D1844" s="640" t="s">
        <v>45</v>
      </c>
      <c r="E1844" s="652" t="s">
        <v>2207</v>
      </c>
      <c r="F1844" s="642" t="s">
        <v>502</v>
      </c>
      <c r="G1844" s="635"/>
      <c r="H1844" s="640"/>
      <c r="I1844" s="635">
        <v>31</v>
      </c>
      <c r="J1844" s="635" t="s">
        <v>48</v>
      </c>
      <c r="K1844" s="635" t="s">
        <v>53</v>
      </c>
      <c r="L1844" s="635"/>
      <c r="M1844" s="592" t="s">
        <v>54</v>
      </c>
      <c r="N1844" s="748">
        <v>65035</v>
      </c>
      <c r="O1844" s="593">
        <v>65035</v>
      </c>
      <c r="P1844" s="465">
        <v>65061</v>
      </c>
      <c r="Q1844" s="436" t="s">
        <v>51</v>
      </c>
    </row>
    <row r="1845" spans="1:31" ht="18">
      <c r="A1845" s="512">
        <f t="shared" si="21"/>
        <v>998</v>
      </c>
      <c r="B1845" s="655" t="s">
        <v>43</v>
      </c>
      <c r="C1845" s="626" t="s">
        <v>44</v>
      </c>
      <c r="D1845" s="626" t="s">
        <v>45</v>
      </c>
      <c r="E1845" s="626" t="s">
        <v>2208</v>
      </c>
      <c r="F1845" s="654" t="s">
        <v>124</v>
      </c>
      <c r="G1845" s="575">
        <v>9844966838</v>
      </c>
      <c r="H1845" s="626"/>
      <c r="I1845" s="575">
        <v>55</v>
      </c>
      <c r="J1845" s="575" t="s">
        <v>90</v>
      </c>
      <c r="K1845" s="575" t="s">
        <v>53</v>
      </c>
      <c r="L1845" s="575"/>
      <c r="M1845" s="560" t="s">
        <v>119</v>
      </c>
      <c r="N1845" s="752">
        <v>65036</v>
      </c>
      <c r="O1845" s="645"/>
      <c r="P1845" s="712">
        <v>65051</v>
      </c>
      <c r="Q1845" s="713" t="s">
        <v>51</v>
      </c>
    </row>
    <row r="1846" spans="1:31" ht="18">
      <c r="A1846" s="512">
        <f t="shared" si="21"/>
        <v>999</v>
      </c>
      <c r="B1846" s="655" t="s">
        <v>43</v>
      </c>
      <c r="C1846" s="626" t="s">
        <v>44</v>
      </c>
      <c r="D1846" s="626" t="s">
        <v>45</v>
      </c>
      <c r="E1846" s="626" t="s">
        <v>2209</v>
      </c>
      <c r="F1846" s="654" t="s">
        <v>1008</v>
      </c>
      <c r="G1846" s="575">
        <v>9851148097</v>
      </c>
      <c r="H1846" s="626"/>
      <c r="I1846" s="575">
        <v>45</v>
      </c>
      <c r="J1846" s="575" t="s">
        <v>48</v>
      </c>
      <c r="K1846" s="575" t="s">
        <v>53</v>
      </c>
      <c r="L1846" s="575"/>
      <c r="M1846" s="560" t="s">
        <v>119</v>
      </c>
      <c r="N1846" s="752">
        <v>65036</v>
      </c>
      <c r="O1846" s="645"/>
      <c r="P1846" s="712">
        <v>65051</v>
      </c>
      <c r="Q1846" s="713" t="s">
        <v>51</v>
      </c>
    </row>
    <row r="1847" spans="1:31" ht="18">
      <c r="A1847" s="512">
        <f t="shared" si="21"/>
        <v>1000</v>
      </c>
      <c r="B1847" s="655" t="s">
        <v>43</v>
      </c>
      <c r="C1847" s="626" t="s">
        <v>44</v>
      </c>
      <c r="D1847" s="626" t="s">
        <v>45</v>
      </c>
      <c r="E1847" s="626" t="s">
        <v>2210</v>
      </c>
      <c r="F1847" s="654" t="s">
        <v>1046</v>
      </c>
      <c r="G1847" s="575">
        <v>9810823110</v>
      </c>
      <c r="H1847" s="626"/>
      <c r="I1847" s="575">
        <v>25</v>
      </c>
      <c r="J1847" s="575" t="s">
        <v>90</v>
      </c>
      <c r="K1847" s="575" t="s">
        <v>53</v>
      </c>
      <c r="L1847" s="575"/>
      <c r="M1847" s="560" t="s">
        <v>119</v>
      </c>
      <c r="N1847" s="752">
        <v>65036</v>
      </c>
      <c r="O1847" s="645"/>
      <c r="P1847" s="712">
        <v>65051</v>
      </c>
      <c r="Q1847" s="713" t="s">
        <v>51</v>
      </c>
    </row>
    <row r="1848" spans="1:31" ht="18">
      <c r="A1848" s="512">
        <f t="shared" si="21"/>
        <v>1001</v>
      </c>
      <c r="B1848" s="655" t="s">
        <v>43</v>
      </c>
      <c r="C1848" s="626" t="s">
        <v>44</v>
      </c>
      <c r="D1848" s="626" t="s">
        <v>45</v>
      </c>
      <c r="E1848" s="626" t="s">
        <v>2211</v>
      </c>
      <c r="F1848" s="654" t="s">
        <v>1046</v>
      </c>
      <c r="G1848" s="575">
        <v>9810823110</v>
      </c>
      <c r="H1848" s="626"/>
      <c r="I1848" s="575">
        <v>1</v>
      </c>
      <c r="J1848" s="575" t="s">
        <v>90</v>
      </c>
      <c r="K1848" s="575" t="s">
        <v>53</v>
      </c>
      <c r="L1848" s="575"/>
      <c r="M1848" s="560" t="s">
        <v>119</v>
      </c>
      <c r="N1848" s="752">
        <v>65036</v>
      </c>
      <c r="O1848" s="645"/>
      <c r="P1848" s="712">
        <v>65051</v>
      </c>
      <c r="Q1848" s="713" t="s">
        <v>51</v>
      </c>
    </row>
    <row r="1849" spans="1:31" ht="18">
      <c r="A1849" s="512">
        <f t="shared" si="21"/>
        <v>1002</v>
      </c>
      <c r="B1849" s="655" t="s">
        <v>43</v>
      </c>
      <c r="C1849" s="626" t="s">
        <v>44</v>
      </c>
      <c r="D1849" s="626" t="s">
        <v>45</v>
      </c>
      <c r="E1849" s="626" t="s">
        <v>2212</v>
      </c>
      <c r="F1849" s="654" t="s">
        <v>441</v>
      </c>
      <c r="G1849" s="575">
        <v>9857834291</v>
      </c>
      <c r="H1849" s="626"/>
      <c r="I1849" s="575">
        <v>30</v>
      </c>
      <c r="J1849" s="575" t="s">
        <v>90</v>
      </c>
      <c r="K1849" s="575" t="s">
        <v>53</v>
      </c>
      <c r="L1849" s="575"/>
      <c r="M1849" s="560" t="s">
        <v>119</v>
      </c>
      <c r="N1849" s="752">
        <v>65036</v>
      </c>
      <c r="O1849" s="645"/>
      <c r="P1849" s="712">
        <v>65051</v>
      </c>
      <c r="Q1849" s="713" t="s">
        <v>51</v>
      </c>
      <c r="T1849" s="326"/>
      <c r="U1849" s="326"/>
      <c r="V1849" s="326"/>
      <c r="W1849" s="326"/>
      <c r="X1849" s="326"/>
      <c r="Y1849" s="326"/>
      <c r="Z1849" s="326"/>
      <c r="AA1849" s="326"/>
      <c r="AB1849" s="326"/>
      <c r="AC1849" s="326"/>
      <c r="AD1849" s="326"/>
      <c r="AE1849" s="326"/>
    </row>
    <row r="1850" spans="1:31" ht="18">
      <c r="A1850" s="512">
        <f t="shared" si="21"/>
        <v>1003</v>
      </c>
      <c r="B1850" s="655" t="s">
        <v>43</v>
      </c>
      <c r="C1850" s="626" t="s">
        <v>44</v>
      </c>
      <c r="D1850" s="626" t="s">
        <v>45</v>
      </c>
      <c r="E1850" s="626" t="s">
        <v>2213</v>
      </c>
      <c r="F1850" s="654" t="s">
        <v>124</v>
      </c>
      <c r="G1850" s="575">
        <v>9857821088</v>
      </c>
      <c r="H1850" s="626"/>
      <c r="I1850" s="575">
        <v>55</v>
      </c>
      <c r="J1850" s="575" t="s">
        <v>90</v>
      </c>
      <c r="K1850" s="575" t="s">
        <v>53</v>
      </c>
      <c r="L1850" s="575"/>
      <c r="M1850" s="560" t="s">
        <v>119</v>
      </c>
      <c r="N1850" s="752">
        <v>65036</v>
      </c>
      <c r="O1850" s="645"/>
      <c r="P1850" s="712">
        <v>65051</v>
      </c>
      <c r="Q1850" s="713" t="s">
        <v>51</v>
      </c>
    </row>
    <row r="1851" spans="1:31" ht="18">
      <c r="A1851" s="512">
        <f t="shared" si="21"/>
        <v>1004</v>
      </c>
      <c r="B1851" s="655" t="s">
        <v>43</v>
      </c>
      <c r="C1851" s="626" t="s">
        <v>44</v>
      </c>
      <c r="D1851" s="626" t="s">
        <v>45</v>
      </c>
      <c r="E1851" s="626" t="s">
        <v>2214</v>
      </c>
      <c r="F1851" s="654" t="s">
        <v>124</v>
      </c>
      <c r="G1851" s="575">
        <v>9843322057</v>
      </c>
      <c r="H1851" s="626"/>
      <c r="I1851" s="575">
        <v>76</v>
      </c>
      <c r="J1851" s="575" t="s">
        <v>90</v>
      </c>
      <c r="K1851" s="575" t="s">
        <v>53</v>
      </c>
      <c r="L1851" s="575"/>
      <c r="M1851" s="560" t="s">
        <v>119</v>
      </c>
      <c r="N1851" s="752">
        <v>65036</v>
      </c>
      <c r="O1851" s="645"/>
      <c r="P1851" s="712">
        <v>65051</v>
      </c>
      <c r="Q1851" s="713" t="s">
        <v>51</v>
      </c>
    </row>
    <row r="1852" spans="1:31" ht="18">
      <c r="A1852" s="512">
        <f t="shared" si="21"/>
        <v>1005</v>
      </c>
      <c r="B1852" s="655" t="s">
        <v>43</v>
      </c>
      <c r="C1852" s="626" t="s">
        <v>44</v>
      </c>
      <c r="D1852" s="626" t="s">
        <v>45</v>
      </c>
      <c r="E1852" s="626" t="s">
        <v>2215</v>
      </c>
      <c r="F1852" s="654" t="s">
        <v>441</v>
      </c>
      <c r="G1852" s="575">
        <v>9841863064</v>
      </c>
      <c r="H1852" s="626"/>
      <c r="I1852" s="575">
        <v>34</v>
      </c>
      <c r="J1852" s="575" t="s">
        <v>48</v>
      </c>
      <c r="K1852" s="575" t="s">
        <v>53</v>
      </c>
      <c r="L1852" s="575"/>
      <c r="M1852" s="560" t="s">
        <v>119</v>
      </c>
      <c r="N1852" s="752">
        <v>65036</v>
      </c>
      <c r="O1852" s="645"/>
      <c r="P1852" s="712">
        <v>65051</v>
      </c>
      <c r="Q1852" s="713" t="s">
        <v>51</v>
      </c>
    </row>
    <row r="1853" spans="1:31" ht="18">
      <c r="A1853" s="512">
        <f t="shared" si="21"/>
        <v>1006</v>
      </c>
      <c r="B1853" s="655" t="s">
        <v>43</v>
      </c>
      <c r="C1853" s="626" t="s">
        <v>44</v>
      </c>
      <c r="D1853" s="626" t="s">
        <v>45</v>
      </c>
      <c r="E1853" s="626" t="s">
        <v>2216</v>
      </c>
      <c r="F1853" s="654" t="s">
        <v>557</v>
      </c>
      <c r="G1853" s="575"/>
      <c r="H1853" s="626"/>
      <c r="I1853" s="575">
        <v>36</v>
      </c>
      <c r="J1853" s="575" t="s">
        <v>90</v>
      </c>
      <c r="K1853" s="575" t="s">
        <v>53</v>
      </c>
      <c r="L1853" s="575"/>
      <c r="M1853" s="560" t="s">
        <v>119</v>
      </c>
      <c r="N1853" s="752">
        <v>65036</v>
      </c>
      <c r="O1853" s="645"/>
      <c r="P1853" s="712">
        <v>65051</v>
      </c>
      <c r="Q1853" s="713" t="s">
        <v>51</v>
      </c>
    </row>
    <row r="1854" spans="1:31" ht="18">
      <c r="A1854" s="512">
        <f t="shared" si="21"/>
        <v>1007</v>
      </c>
      <c r="B1854" s="655" t="s">
        <v>43</v>
      </c>
      <c r="C1854" s="626" t="s">
        <v>44</v>
      </c>
      <c r="D1854" s="626" t="s">
        <v>45</v>
      </c>
      <c r="E1854" s="624" t="s">
        <v>2217</v>
      </c>
      <c r="F1854" s="654" t="s">
        <v>1008</v>
      </c>
      <c r="G1854" s="575">
        <v>9844910495</v>
      </c>
      <c r="H1854" s="626"/>
      <c r="I1854" s="575">
        <v>32</v>
      </c>
      <c r="J1854" s="575" t="s">
        <v>90</v>
      </c>
      <c r="K1854" s="575" t="s">
        <v>53</v>
      </c>
      <c r="L1854" s="575"/>
      <c r="M1854" s="560" t="s">
        <v>119</v>
      </c>
      <c r="N1854" s="752">
        <v>65036</v>
      </c>
      <c r="O1854" s="645"/>
      <c r="P1854" s="712">
        <v>65051</v>
      </c>
      <c r="Q1854" s="713" t="s">
        <v>51</v>
      </c>
      <c r="R1854" s="326"/>
      <c r="S1854" s="326"/>
    </row>
    <row r="1855" spans="1:31" s="326" customFormat="1" ht="25.5" customHeight="1">
      <c r="A1855" s="512">
        <f t="shared" si="21"/>
        <v>1008</v>
      </c>
      <c r="B1855" s="655" t="s">
        <v>43</v>
      </c>
      <c r="C1855" s="626" t="s">
        <v>44</v>
      </c>
      <c r="D1855" s="626" t="s">
        <v>45</v>
      </c>
      <c r="E1855" s="626" t="s">
        <v>2218</v>
      </c>
      <c r="F1855" s="654" t="s">
        <v>502</v>
      </c>
      <c r="G1855" s="575">
        <v>9857820902</v>
      </c>
      <c r="H1855" s="626"/>
      <c r="I1855" s="575">
        <v>35</v>
      </c>
      <c r="J1855" s="575" t="s">
        <v>90</v>
      </c>
      <c r="K1855" s="575" t="s">
        <v>53</v>
      </c>
      <c r="L1855" s="575"/>
      <c r="M1855" s="560" t="s">
        <v>119</v>
      </c>
      <c r="N1855" s="752">
        <v>65036</v>
      </c>
      <c r="O1855" s="645"/>
      <c r="P1855" s="712">
        <v>65051</v>
      </c>
      <c r="Q1855" s="713" t="s">
        <v>51</v>
      </c>
      <c r="R1855" s="322"/>
      <c r="S1855" s="322"/>
      <c r="T1855" s="322"/>
      <c r="U1855" s="322"/>
      <c r="V1855" s="322"/>
      <c r="W1855" s="322"/>
      <c r="X1855" s="322"/>
      <c r="Y1855" s="322"/>
      <c r="Z1855" s="322"/>
      <c r="AA1855" s="322"/>
      <c r="AB1855" s="322"/>
      <c r="AC1855" s="322"/>
      <c r="AD1855" s="322"/>
      <c r="AE1855" s="322"/>
    </row>
    <row r="1856" spans="1:31" ht="18">
      <c r="A1856" s="512">
        <f t="shared" si="21"/>
        <v>1009</v>
      </c>
      <c r="B1856" s="658" t="s">
        <v>43</v>
      </c>
      <c r="C1856" s="630" t="s">
        <v>44</v>
      </c>
      <c r="D1856" s="630" t="s">
        <v>45</v>
      </c>
      <c r="E1856" s="630" t="s">
        <v>2219</v>
      </c>
      <c r="F1856" s="597" t="s">
        <v>730</v>
      </c>
      <c r="G1856" s="597"/>
      <c r="H1856" s="630"/>
      <c r="I1856" s="597">
        <v>41</v>
      </c>
      <c r="J1856" s="597" t="s">
        <v>48</v>
      </c>
      <c r="K1856" s="597" t="s">
        <v>53</v>
      </c>
      <c r="L1856" s="597"/>
      <c r="M1856" s="597" t="s">
        <v>119</v>
      </c>
      <c r="N1856" s="758">
        <v>65036</v>
      </c>
      <c r="O1856" s="630"/>
      <c r="P1856" s="476">
        <v>65036</v>
      </c>
      <c r="Q1856" s="422" t="s">
        <v>940</v>
      </c>
    </row>
    <row r="1857" spans="1:17" ht="18">
      <c r="A1857" s="512">
        <f t="shared" si="21"/>
        <v>1010</v>
      </c>
      <c r="B1857" s="655" t="s">
        <v>43</v>
      </c>
      <c r="C1857" s="626" t="s">
        <v>44</v>
      </c>
      <c r="D1857" s="626" t="s">
        <v>45</v>
      </c>
      <c r="E1857" s="626" t="s">
        <v>2220</v>
      </c>
      <c r="F1857" s="654" t="s">
        <v>1046</v>
      </c>
      <c r="G1857" s="575"/>
      <c r="H1857" s="626"/>
      <c r="I1857" s="575">
        <v>29</v>
      </c>
      <c r="J1857" s="575" t="s">
        <v>48</v>
      </c>
      <c r="K1857" s="575" t="s">
        <v>53</v>
      </c>
      <c r="L1857" s="575"/>
      <c r="M1857" s="560" t="s">
        <v>119</v>
      </c>
      <c r="N1857" s="752">
        <v>65036</v>
      </c>
      <c r="O1857" s="645"/>
      <c r="P1857" s="712">
        <v>65051</v>
      </c>
      <c r="Q1857" s="713" t="s">
        <v>51</v>
      </c>
    </row>
    <row r="1858" spans="1:17" ht="18">
      <c r="A1858" s="512">
        <f t="shared" si="21"/>
        <v>1011</v>
      </c>
      <c r="B1858" s="655" t="s">
        <v>43</v>
      </c>
      <c r="C1858" s="626" t="s">
        <v>44</v>
      </c>
      <c r="D1858" s="626" t="s">
        <v>45</v>
      </c>
      <c r="E1858" s="626" t="s">
        <v>2221</v>
      </c>
      <c r="F1858" s="654" t="s">
        <v>124</v>
      </c>
      <c r="G1858" s="575">
        <v>9857820902</v>
      </c>
      <c r="H1858" s="626"/>
      <c r="I1858" s="575">
        <v>27</v>
      </c>
      <c r="J1858" s="575" t="s">
        <v>48</v>
      </c>
      <c r="K1858" s="575" t="s">
        <v>53</v>
      </c>
      <c r="L1858" s="575"/>
      <c r="M1858" s="560" t="s">
        <v>119</v>
      </c>
      <c r="N1858" s="752">
        <v>65036</v>
      </c>
      <c r="O1858" s="645"/>
      <c r="P1858" s="712">
        <v>65051</v>
      </c>
      <c r="Q1858" s="713" t="s">
        <v>51</v>
      </c>
    </row>
    <row r="1859" spans="1:17" ht="18">
      <c r="A1859" s="512">
        <f t="shared" si="21"/>
        <v>1012</v>
      </c>
      <c r="B1859" s="655" t="s">
        <v>43</v>
      </c>
      <c r="C1859" s="626" t="s">
        <v>44</v>
      </c>
      <c r="D1859" s="626" t="s">
        <v>45</v>
      </c>
      <c r="E1859" s="626" t="s">
        <v>2222</v>
      </c>
      <c r="F1859" s="654" t="s">
        <v>491</v>
      </c>
      <c r="G1859" s="575">
        <v>9857820017</v>
      </c>
      <c r="H1859" s="626"/>
      <c r="I1859" s="575">
        <v>62</v>
      </c>
      <c r="J1859" s="575" t="s">
        <v>48</v>
      </c>
      <c r="K1859" s="575" t="s">
        <v>53</v>
      </c>
      <c r="L1859" s="575"/>
      <c r="M1859" s="560" t="s">
        <v>119</v>
      </c>
      <c r="N1859" s="752">
        <v>65036</v>
      </c>
      <c r="O1859" s="645"/>
      <c r="P1859" s="712">
        <v>65051</v>
      </c>
      <c r="Q1859" s="713" t="s">
        <v>51</v>
      </c>
    </row>
    <row r="1860" spans="1:17" ht="18">
      <c r="A1860" s="512">
        <f t="shared" si="21"/>
        <v>1013</v>
      </c>
      <c r="B1860" s="655" t="s">
        <v>43</v>
      </c>
      <c r="C1860" s="626" t="s">
        <v>44</v>
      </c>
      <c r="D1860" s="626" t="s">
        <v>45</v>
      </c>
      <c r="E1860" s="624" t="s">
        <v>2223</v>
      </c>
      <c r="F1860" s="654" t="s">
        <v>510</v>
      </c>
      <c r="G1860" s="575"/>
      <c r="H1860" s="626"/>
      <c r="I1860" s="575">
        <v>20</v>
      </c>
      <c r="J1860" s="575" t="s">
        <v>48</v>
      </c>
      <c r="K1860" s="575" t="s">
        <v>53</v>
      </c>
      <c r="L1860" s="575"/>
      <c r="M1860" s="560" t="s">
        <v>119</v>
      </c>
      <c r="N1860" s="752">
        <v>65036</v>
      </c>
      <c r="O1860" s="645"/>
      <c r="P1860" s="712">
        <v>65051</v>
      </c>
      <c r="Q1860" s="713" t="s">
        <v>51</v>
      </c>
    </row>
    <row r="1861" spans="1:17" ht="18">
      <c r="A1861" s="512">
        <f t="shared" si="21"/>
        <v>1014</v>
      </c>
      <c r="B1861" s="655" t="s">
        <v>43</v>
      </c>
      <c r="C1861" s="626" t="s">
        <v>44</v>
      </c>
      <c r="D1861" s="626" t="s">
        <v>45</v>
      </c>
      <c r="E1861" s="626" t="s">
        <v>2224</v>
      </c>
      <c r="F1861" s="654" t="s">
        <v>512</v>
      </c>
      <c r="G1861" s="575">
        <v>9829516462</v>
      </c>
      <c r="H1861" s="626"/>
      <c r="I1861" s="575">
        <v>31</v>
      </c>
      <c r="J1861" s="575" t="s">
        <v>48</v>
      </c>
      <c r="K1861" s="575" t="s">
        <v>53</v>
      </c>
      <c r="L1861" s="575"/>
      <c r="M1861" s="560" t="s">
        <v>119</v>
      </c>
      <c r="N1861" s="752">
        <v>65036</v>
      </c>
      <c r="O1861" s="645"/>
      <c r="P1861" s="712">
        <v>65051</v>
      </c>
      <c r="Q1861" s="713" t="s">
        <v>51</v>
      </c>
    </row>
    <row r="1862" spans="1:17" ht="18">
      <c r="A1862" s="512">
        <f t="shared" si="21"/>
        <v>1015</v>
      </c>
      <c r="B1862" s="655" t="s">
        <v>43</v>
      </c>
      <c r="C1862" s="626" t="s">
        <v>44</v>
      </c>
      <c r="D1862" s="626" t="s">
        <v>45</v>
      </c>
      <c r="E1862" s="626" t="s">
        <v>2225</v>
      </c>
      <c r="F1862" s="654" t="s">
        <v>730</v>
      </c>
      <c r="G1862" s="575"/>
      <c r="H1862" s="626"/>
      <c r="I1862" s="575">
        <v>52</v>
      </c>
      <c r="J1862" s="575" t="s">
        <v>48</v>
      </c>
      <c r="K1862" s="575" t="s">
        <v>53</v>
      </c>
      <c r="L1862" s="575"/>
      <c r="M1862" s="560" t="s">
        <v>119</v>
      </c>
      <c r="N1862" s="752">
        <v>65036</v>
      </c>
      <c r="O1862" s="645"/>
      <c r="P1862" s="712">
        <v>65051</v>
      </c>
      <c r="Q1862" s="713" t="s">
        <v>51</v>
      </c>
    </row>
    <row r="1863" spans="1:17" ht="18">
      <c r="A1863" s="512">
        <f t="shared" si="21"/>
        <v>1016</v>
      </c>
      <c r="B1863" s="655" t="s">
        <v>43</v>
      </c>
      <c r="C1863" s="626" t="s">
        <v>44</v>
      </c>
      <c r="D1863" s="626" t="s">
        <v>45</v>
      </c>
      <c r="E1863" s="626" t="s">
        <v>2226</v>
      </c>
      <c r="F1863" s="654" t="s">
        <v>502</v>
      </c>
      <c r="G1863" s="575">
        <v>9847824884</v>
      </c>
      <c r="H1863" s="626"/>
      <c r="I1863" s="575">
        <v>78</v>
      </c>
      <c r="J1863" s="575" t="s">
        <v>48</v>
      </c>
      <c r="K1863" s="575" t="s">
        <v>53</v>
      </c>
      <c r="L1863" s="575"/>
      <c r="M1863" s="560" t="s">
        <v>119</v>
      </c>
      <c r="N1863" s="752">
        <v>65036</v>
      </c>
      <c r="O1863" s="645"/>
      <c r="P1863" s="712">
        <v>65051</v>
      </c>
      <c r="Q1863" s="713" t="s">
        <v>51</v>
      </c>
    </row>
    <row r="1864" spans="1:17" ht="18">
      <c r="A1864" s="512">
        <f t="shared" si="21"/>
        <v>1017</v>
      </c>
      <c r="B1864" s="655" t="s">
        <v>43</v>
      </c>
      <c r="C1864" s="626" t="s">
        <v>44</v>
      </c>
      <c r="D1864" s="626" t="s">
        <v>45</v>
      </c>
      <c r="E1864" s="626" t="s">
        <v>2227</v>
      </c>
      <c r="F1864" s="654" t="s">
        <v>791</v>
      </c>
      <c r="G1864" s="575">
        <v>9867472266</v>
      </c>
      <c r="H1864" s="626"/>
      <c r="I1864" s="575">
        <v>60</v>
      </c>
      <c r="J1864" s="575" t="s">
        <v>90</v>
      </c>
      <c r="K1864" s="575" t="s">
        <v>53</v>
      </c>
      <c r="L1864" s="575"/>
      <c r="M1864" s="560" t="s">
        <v>119</v>
      </c>
      <c r="N1864" s="752">
        <v>65036</v>
      </c>
      <c r="O1864" s="645"/>
      <c r="P1864" s="712">
        <v>65051</v>
      </c>
      <c r="Q1864" s="713" t="s">
        <v>51</v>
      </c>
    </row>
    <row r="1865" spans="1:17" ht="18">
      <c r="A1865" s="512">
        <f t="shared" si="21"/>
        <v>1018</v>
      </c>
      <c r="B1865" s="655" t="s">
        <v>43</v>
      </c>
      <c r="C1865" s="626" t="s">
        <v>44</v>
      </c>
      <c r="D1865" s="626" t="s">
        <v>45</v>
      </c>
      <c r="E1865" s="626" t="s">
        <v>2228</v>
      </c>
      <c r="F1865" s="654" t="s">
        <v>730</v>
      </c>
      <c r="G1865" s="575"/>
      <c r="H1865" s="626"/>
      <c r="I1865" s="575">
        <v>46</v>
      </c>
      <c r="J1865" s="575" t="s">
        <v>48</v>
      </c>
      <c r="K1865" s="575" t="s">
        <v>53</v>
      </c>
      <c r="L1865" s="575"/>
      <c r="M1865" s="560" t="s">
        <v>119</v>
      </c>
      <c r="N1865" s="752">
        <v>65036</v>
      </c>
      <c r="O1865" s="645"/>
      <c r="P1865" s="712">
        <v>65051</v>
      </c>
      <c r="Q1865" s="713" t="s">
        <v>51</v>
      </c>
    </row>
    <row r="1866" spans="1:17" ht="18">
      <c r="A1866" s="512">
        <f t="shared" si="21"/>
        <v>1019</v>
      </c>
      <c r="B1866" s="655" t="s">
        <v>43</v>
      </c>
      <c r="C1866" s="626" t="s">
        <v>44</v>
      </c>
      <c r="D1866" s="626" t="s">
        <v>45</v>
      </c>
      <c r="E1866" s="626" t="s">
        <v>2229</v>
      </c>
      <c r="F1866" s="654" t="s">
        <v>617</v>
      </c>
      <c r="G1866" s="575"/>
      <c r="H1866" s="626"/>
      <c r="I1866" s="575">
        <v>42</v>
      </c>
      <c r="J1866" s="575" t="s">
        <v>48</v>
      </c>
      <c r="K1866" s="575" t="s">
        <v>53</v>
      </c>
      <c r="L1866" s="575"/>
      <c r="M1866" s="560" t="s">
        <v>119</v>
      </c>
      <c r="N1866" s="752">
        <v>65036</v>
      </c>
      <c r="O1866" s="645"/>
      <c r="P1866" s="712">
        <v>65051</v>
      </c>
      <c r="Q1866" s="713" t="s">
        <v>51</v>
      </c>
    </row>
    <row r="1867" spans="1:17" ht="18">
      <c r="A1867" s="512">
        <f t="shared" si="21"/>
        <v>1020</v>
      </c>
      <c r="B1867" s="655" t="s">
        <v>43</v>
      </c>
      <c r="C1867" s="626" t="s">
        <v>44</v>
      </c>
      <c r="D1867" s="626" t="s">
        <v>45</v>
      </c>
      <c r="E1867" s="626" t="s">
        <v>2230</v>
      </c>
      <c r="F1867" s="654" t="s">
        <v>441</v>
      </c>
      <c r="G1867" s="575"/>
      <c r="H1867" s="626"/>
      <c r="I1867" s="575">
        <v>29</v>
      </c>
      <c r="J1867" s="575" t="s">
        <v>48</v>
      </c>
      <c r="K1867" s="575" t="s">
        <v>53</v>
      </c>
      <c r="L1867" s="575"/>
      <c r="M1867" s="560" t="s">
        <v>119</v>
      </c>
      <c r="N1867" s="752">
        <v>65036</v>
      </c>
      <c r="O1867" s="645"/>
      <c r="P1867" s="712">
        <v>65051</v>
      </c>
      <c r="Q1867" s="713" t="s">
        <v>51</v>
      </c>
    </row>
    <row r="1868" spans="1:17" ht="18">
      <c r="A1868" s="512">
        <f t="shared" si="21"/>
        <v>1021</v>
      </c>
      <c r="B1868" s="655" t="s">
        <v>43</v>
      </c>
      <c r="C1868" s="626" t="s">
        <v>44</v>
      </c>
      <c r="D1868" s="626" t="s">
        <v>45</v>
      </c>
      <c r="E1868" s="626" t="s">
        <v>2231</v>
      </c>
      <c r="F1868" s="654" t="s">
        <v>124</v>
      </c>
      <c r="G1868" s="575">
        <v>9814456221</v>
      </c>
      <c r="H1868" s="626"/>
      <c r="I1868" s="575">
        <v>10</v>
      </c>
      <c r="J1868" s="575" t="s">
        <v>90</v>
      </c>
      <c r="K1868" s="575" t="s">
        <v>53</v>
      </c>
      <c r="L1868" s="575"/>
      <c r="M1868" s="560" t="s">
        <v>119</v>
      </c>
      <c r="N1868" s="752">
        <v>65036</v>
      </c>
      <c r="O1868" s="645"/>
      <c r="P1868" s="712">
        <v>65051</v>
      </c>
      <c r="Q1868" s="713" t="s">
        <v>51</v>
      </c>
    </row>
    <row r="1869" spans="1:17" ht="18">
      <c r="A1869" s="512">
        <f t="shared" si="21"/>
        <v>1022</v>
      </c>
      <c r="B1869" s="655" t="s">
        <v>43</v>
      </c>
      <c r="C1869" s="626" t="s">
        <v>44</v>
      </c>
      <c r="D1869" s="626" t="s">
        <v>45</v>
      </c>
      <c r="E1869" s="626" t="s">
        <v>2232</v>
      </c>
      <c r="F1869" s="654" t="s">
        <v>124</v>
      </c>
      <c r="G1869" s="575">
        <v>9857821088</v>
      </c>
      <c r="H1869" s="626"/>
      <c r="I1869" s="575">
        <v>45</v>
      </c>
      <c r="J1869" s="575" t="s">
        <v>90</v>
      </c>
      <c r="K1869" s="575" t="s">
        <v>53</v>
      </c>
      <c r="L1869" s="575"/>
      <c r="M1869" s="560" t="s">
        <v>119</v>
      </c>
      <c r="N1869" s="752">
        <v>65036</v>
      </c>
      <c r="O1869" s="645"/>
      <c r="P1869" s="712">
        <v>65051</v>
      </c>
      <c r="Q1869" s="713" t="s">
        <v>51</v>
      </c>
    </row>
    <row r="1870" spans="1:17" ht="18">
      <c r="A1870" s="512">
        <f t="shared" si="21"/>
        <v>1023</v>
      </c>
      <c r="B1870" s="655" t="s">
        <v>43</v>
      </c>
      <c r="C1870" s="626" t="s">
        <v>44</v>
      </c>
      <c r="D1870" s="626" t="s">
        <v>45</v>
      </c>
      <c r="E1870" s="626" t="s">
        <v>2233</v>
      </c>
      <c r="F1870" s="654" t="s">
        <v>502</v>
      </c>
      <c r="G1870" s="575">
        <v>9847842227</v>
      </c>
      <c r="H1870" s="626"/>
      <c r="I1870" s="575">
        <v>51</v>
      </c>
      <c r="J1870" s="575" t="s">
        <v>48</v>
      </c>
      <c r="K1870" s="575" t="s">
        <v>53</v>
      </c>
      <c r="L1870" s="575"/>
      <c r="M1870" s="560" t="s">
        <v>119</v>
      </c>
      <c r="N1870" s="752">
        <v>65036</v>
      </c>
      <c r="O1870" s="645"/>
      <c r="P1870" s="712">
        <v>65051</v>
      </c>
      <c r="Q1870" s="713" t="s">
        <v>51</v>
      </c>
    </row>
    <row r="1871" spans="1:17" ht="18">
      <c r="A1871" s="512">
        <f t="shared" si="21"/>
        <v>1024</v>
      </c>
      <c r="B1871" s="655" t="s">
        <v>43</v>
      </c>
      <c r="C1871" s="626" t="s">
        <v>44</v>
      </c>
      <c r="D1871" s="626" t="s">
        <v>45</v>
      </c>
      <c r="E1871" s="626" t="s">
        <v>2234</v>
      </c>
      <c r="F1871" s="654" t="s">
        <v>491</v>
      </c>
      <c r="G1871" s="575">
        <v>9802314142</v>
      </c>
      <c r="H1871" s="626"/>
      <c r="I1871" s="575">
        <v>34</v>
      </c>
      <c r="J1871" s="575" t="s">
        <v>48</v>
      </c>
      <c r="K1871" s="575" t="s">
        <v>53</v>
      </c>
      <c r="L1871" s="575"/>
      <c r="M1871" s="560" t="s">
        <v>119</v>
      </c>
      <c r="N1871" s="752">
        <v>65036</v>
      </c>
      <c r="O1871" s="645"/>
      <c r="P1871" s="712">
        <v>65051</v>
      </c>
      <c r="Q1871" s="713" t="s">
        <v>51</v>
      </c>
    </row>
    <row r="1872" spans="1:17" ht="18">
      <c r="A1872" s="512">
        <f t="shared" si="21"/>
        <v>1025</v>
      </c>
      <c r="B1872" s="655" t="s">
        <v>43</v>
      </c>
      <c r="C1872" s="626" t="s">
        <v>44</v>
      </c>
      <c r="D1872" s="626" t="s">
        <v>45</v>
      </c>
      <c r="E1872" s="626" t="s">
        <v>2235</v>
      </c>
      <c r="F1872" s="654" t="s">
        <v>124</v>
      </c>
      <c r="G1872" s="575">
        <v>9866821872</v>
      </c>
      <c r="H1872" s="626"/>
      <c r="I1872" s="575">
        <v>22</v>
      </c>
      <c r="J1872" s="575" t="s">
        <v>90</v>
      </c>
      <c r="K1872" s="575" t="s">
        <v>53</v>
      </c>
      <c r="L1872" s="575"/>
      <c r="M1872" s="560" t="s">
        <v>119</v>
      </c>
      <c r="N1872" s="752">
        <v>65036</v>
      </c>
      <c r="O1872" s="645"/>
      <c r="P1872" s="712">
        <v>65051</v>
      </c>
      <c r="Q1872" s="713" t="s">
        <v>51</v>
      </c>
    </row>
    <row r="1873" spans="1:17" ht="18">
      <c r="A1873" s="512">
        <f t="shared" si="21"/>
        <v>1026</v>
      </c>
      <c r="B1873" s="655" t="s">
        <v>43</v>
      </c>
      <c r="C1873" s="626" t="s">
        <v>44</v>
      </c>
      <c r="D1873" s="626" t="s">
        <v>45</v>
      </c>
      <c r="E1873" s="626" t="s">
        <v>2236</v>
      </c>
      <c r="F1873" s="654" t="s">
        <v>557</v>
      </c>
      <c r="G1873" s="575"/>
      <c r="H1873" s="626"/>
      <c r="I1873" s="575">
        <v>60</v>
      </c>
      <c r="J1873" s="575" t="s">
        <v>90</v>
      </c>
      <c r="K1873" s="575" t="s">
        <v>53</v>
      </c>
      <c r="L1873" s="575"/>
      <c r="M1873" s="560" t="s">
        <v>119</v>
      </c>
      <c r="N1873" s="752">
        <v>65036</v>
      </c>
      <c r="O1873" s="645"/>
      <c r="P1873" s="712">
        <v>65051</v>
      </c>
      <c r="Q1873" s="713" t="s">
        <v>51</v>
      </c>
    </row>
    <row r="1874" spans="1:17" ht="18">
      <c r="A1874" s="512">
        <f t="shared" ref="A1874:A1937" si="22">A1873+1</f>
        <v>1027</v>
      </c>
      <c r="B1874" s="655" t="s">
        <v>43</v>
      </c>
      <c r="C1874" s="626" t="s">
        <v>44</v>
      </c>
      <c r="D1874" s="626" t="s">
        <v>45</v>
      </c>
      <c r="E1874" s="626" t="s">
        <v>2237</v>
      </c>
      <c r="F1874" s="654" t="s">
        <v>124</v>
      </c>
      <c r="G1874" s="575">
        <v>9857822635</v>
      </c>
      <c r="H1874" s="626"/>
      <c r="I1874" s="575">
        <v>33</v>
      </c>
      <c r="J1874" s="575" t="s">
        <v>48</v>
      </c>
      <c r="K1874" s="575" t="s">
        <v>53</v>
      </c>
      <c r="L1874" s="575"/>
      <c r="M1874" s="560" t="s">
        <v>119</v>
      </c>
      <c r="N1874" s="752">
        <v>65036</v>
      </c>
      <c r="O1874" s="645"/>
      <c r="P1874" s="712">
        <v>65051</v>
      </c>
      <c r="Q1874" s="713" t="s">
        <v>51</v>
      </c>
    </row>
    <row r="1875" spans="1:17" ht="18">
      <c r="A1875" s="512">
        <f t="shared" si="22"/>
        <v>1028</v>
      </c>
      <c r="B1875" s="655" t="s">
        <v>43</v>
      </c>
      <c r="C1875" s="626" t="s">
        <v>44</v>
      </c>
      <c r="D1875" s="626" t="s">
        <v>45</v>
      </c>
      <c r="E1875" s="624" t="s">
        <v>2238</v>
      </c>
      <c r="F1875" s="654" t="s">
        <v>1008</v>
      </c>
      <c r="G1875" s="575"/>
      <c r="H1875" s="626"/>
      <c r="I1875" s="575">
        <v>31</v>
      </c>
      <c r="J1875" s="575" t="s">
        <v>48</v>
      </c>
      <c r="K1875" s="575" t="s">
        <v>53</v>
      </c>
      <c r="L1875" s="575"/>
      <c r="M1875" s="560" t="s">
        <v>119</v>
      </c>
      <c r="N1875" s="752">
        <v>65036</v>
      </c>
      <c r="O1875" s="645"/>
      <c r="P1875" s="712">
        <v>65051</v>
      </c>
      <c r="Q1875" s="713" t="s">
        <v>51</v>
      </c>
    </row>
    <row r="1876" spans="1:17" ht="18">
      <c r="A1876" s="512">
        <f t="shared" si="22"/>
        <v>1029</v>
      </c>
      <c r="B1876" s="655" t="s">
        <v>43</v>
      </c>
      <c r="C1876" s="626" t="s">
        <v>44</v>
      </c>
      <c r="D1876" s="626" t="s">
        <v>45</v>
      </c>
      <c r="E1876" s="626" t="s">
        <v>2239</v>
      </c>
      <c r="F1876" s="654" t="s">
        <v>124</v>
      </c>
      <c r="G1876" s="575">
        <v>9844925078</v>
      </c>
      <c r="H1876" s="626"/>
      <c r="I1876" s="575">
        <v>53</v>
      </c>
      <c r="J1876" s="575" t="s">
        <v>48</v>
      </c>
      <c r="K1876" s="575" t="s">
        <v>53</v>
      </c>
      <c r="L1876" s="575"/>
      <c r="M1876" s="560" t="s">
        <v>119</v>
      </c>
      <c r="N1876" s="752">
        <v>65036</v>
      </c>
      <c r="O1876" s="645"/>
      <c r="P1876" s="712">
        <v>65051</v>
      </c>
      <c r="Q1876" s="713" t="s">
        <v>51</v>
      </c>
    </row>
    <row r="1877" spans="1:17" ht="18">
      <c r="A1877" s="512">
        <f t="shared" si="22"/>
        <v>1030</v>
      </c>
      <c r="B1877" s="655" t="s">
        <v>43</v>
      </c>
      <c r="C1877" s="626" t="s">
        <v>44</v>
      </c>
      <c r="D1877" s="626" t="s">
        <v>45</v>
      </c>
      <c r="E1877" s="626" t="s">
        <v>2240</v>
      </c>
      <c r="F1877" s="654" t="s">
        <v>502</v>
      </c>
      <c r="G1877" s="575"/>
      <c r="H1877" s="626"/>
      <c r="I1877" s="575">
        <v>51</v>
      </c>
      <c r="J1877" s="575" t="s">
        <v>48</v>
      </c>
      <c r="K1877" s="575" t="s">
        <v>53</v>
      </c>
      <c r="L1877" s="575"/>
      <c r="M1877" s="560" t="s">
        <v>119</v>
      </c>
      <c r="N1877" s="752">
        <v>65036</v>
      </c>
      <c r="O1877" s="645"/>
      <c r="P1877" s="712">
        <v>65051</v>
      </c>
      <c r="Q1877" s="713" t="s">
        <v>51</v>
      </c>
    </row>
    <row r="1878" spans="1:17" ht="18">
      <c r="A1878" s="512">
        <f t="shared" si="22"/>
        <v>1031</v>
      </c>
      <c r="B1878" s="655" t="s">
        <v>43</v>
      </c>
      <c r="C1878" s="626" t="s">
        <v>44</v>
      </c>
      <c r="D1878" s="626" t="s">
        <v>45</v>
      </c>
      <c r="E1878" s="626" t="s">
        <v>2241</v>
      </c>
      <c r="F1878" s="654" t="s">
        <v>502</v>
      </c>
      <c r="G1878" s="575">
        <v>9847824884</v>
      </c>
      <c r="H1878" s="626"/>
      <c r="I1878" s="575">
        <v>75</v>
      </c>
      <c r="J1878" s="575" t="s">
        <v>48</v>
      </c>
      <c r="K1878" s="575" t="s">
        <v>53</v>
      </c>
      <c r="L1878" s="575"/>
      <c r="M1878" s="560" t="s">
        <v>119</v>
      </c>
      <c r="N1878" s="752">
        <v>65036</v>
      </c>
      <c r="O1878" s="645"/>
      <c r="P1878" s="712">
        <v>65051</v>
      </c>
      <c r="Q1878" s="713" t="s">
        <v>51</v>
      </c>
    </row>
    <row r="1879" spans="1:17" s="890" customFormat="1" ht="18">
      <c r="A1879" s="512">
        <f t="shared" si="22"/>
        <v>1032</v>
      </c>
      <c r="B1879" s="655" t="s">
        <v>43</v>
      </c>
      <c r="C1879" s="626" t="s">
        <v>44</v>
      </c>
      <c r="D1879" s="626" t="s">
        <v>45</v>
      </c>
      <c r="E1879" s="626" t="s">
        <v>2242</v>
      </c>
      <c r="F1879" s="654" t="s">
        <v>502</v>
      </c>
      <c r="G1879" s="575">
        <v>9847830166</v>
      </c>
      <c r="H1879" s="626"/>
      <c r="I1879" s="575">
        <v>39</v>
      </c>
      <c r="J1879" s="575" t="s">
        <v>48</v>
      </c>
      <c r="K1879" s="575" t="s">
        <v>53</v>
      </c>
      <c r="L1879" s="575"/>
      <c r="M1879" s="560" t="s">
        <v>119</v>
      </c>
      <c r="N1879" s="752">
        <v>65036</v>
      </c>
      <c r="O1879" s="645"/>
      <c r="P1879" s="712">
        <v>65051</v>
      </c>
      <c r="Q1879" s="713" t="s">
        <v>51</v>
      </c>
    </row>
    <row r="1880" spans="1:17" ht="18">
      <c r="A1880" s="512">
        <f t="shared" si="22"/>
        <v>1033</v>
      </c>
      <c r="B1880" s="799" t="s">
        <v>43</v>
      </c>
      <c r="C1880" s="627" t="s">
        <v>44</v>
      </c>
      <c r="D1880" s="627" t="s">
        <v>45</v>
      </c>
      <c r="E1880" s="627" t="s">
        <v>2243</v>
      </c>
      <c r="F1880" s="801" t="s">
        <v>1008</v>
      </c>
      <c r="G1880" s="628">
        <v>9847884116</v>
      </c>
      <c r="H1880" s="627"/>
      <c r="I1880" s="628">
        <v>23</v>
      </c>
      <c r="J1880" s="628" t="s">
        <v>48</v>
      </c>
      <c r="K1880" s="628" t="s">
        <v>53</v>
      </c>
      <c r="L1880" s="628"/>
      <c r="M1880" s="609" t="s">
        <v>119</v>
      </c>
      <c r="N1880" s="757">
        <v>65036</v>
      </c>
      <c r="O1880" s="889"/>
      <c r="P1880" s="541">
        <v>65076</v>
      </c>
      <c r="Q1880" s="533" t="s">
        <v>51</v>
      </c>
    </row>
    <row r="1881" spans="1:17" ht="18">
      <c r="A1881" s="512">
        <f t="shared" si="22"/>
        <v>1034</v>
      </c>
      <c r="B1881" s="655" t="s">
        <v>43</v>
      </c>
      <c r="C1881" s="626" t="s">
        <v>44</v>
      </c>
      <c r="D1881" s="626" t="s">
        <v>45</v>
      </c>
      <c r="E1881" s="626" t="s">
        <v>2244</v>
      </c>
      <c r="F1881" s="654" t="s">
        <v>502</v>
      </c>
      <c r="G1881" s="575">
        <v>9848538525</v>
      </c>
      <c r="H1881" s="626"/>
      <c r="I1881" s="575">
        <v>39</v>
      </c>
      <c r="J1881" s="575" t="s">
        <v>48</v>
      </c>
      <c r="K1881" s="575" t="s">
        <v>53</v>
      </c>
      <c r="L1881" s="575"/>
      <c r="M1881" s="560" t="s">
        <v>119</v>
      </c>
      <c r="N1881" s="752">
        <v>65036</v>
      </c>
      <c r="O1881" s="645"/>
      <c r="P1881" s="712">
        <v>65051</v>
      </c>
      <c r="Q1881" s="713" t="s">
        <v>51</v>
      </c>
    </row>
    <row r="1882" spans="1:17" ht="18">
      <c r="A1882" s="512">
        <f t="shared" si="22"/>
        <v>1035</v>
      </c>
      <c r="B1882" s="655" t="s">
        <v>43</v>
      </c>
      <c r="C1882" s="626" t="s">
        <v>44</v>
      </c>
      <c r="D1882" s="626" t="s">
        <v>45</v>
      </c>
      <c r="E1882" s="626" t="s">
        <v>2245</v>
      </c>
      <c r="F1882" s="654" t="s">
        <v>124</v>
      </c>
      <c r="G1882" s="575">
        <v>9848541400</v>
      </c>
      <c r="H1882" s="626"/>
      <c r="I1882" s="575">
        <v>7</v>
      </c>
      <c r="J1882" s="575" t="s">
        <v>90</v>
      </c>
      <c r="K1882" s="575" t="s">
        <v>53</v>
      </c>
      <c r="L1882" s="575"/>
      <c r="M1882" s="560" t="s">
        <v>119</v>
      </c>
      <c r="N1882" s="752">
        <v>65036</v>
      </c>
      <c r="O1882" s="645"/>
      <c r="P1882" s="712">
        <v>65051</v>
      </c>
      <c r="Q1882" s="713" t="s">
        <v>51</v>
      </c>
    </row>
    <row r="1883" spans="1:17" ht="18">
      <c r="A1883" s="512">
        <f t="shared" si="22"/>
        <v>1036</v>
      </c>
      <c r="B1883" s="655" t="s">
        <v>43</v>
      </c>
      <c r="C1883" s="626" t="s">
        <v>44</v>
      </c>
      <c r="D1883" s="626" t="s">
        <v>45</v>
      </c>
      <c r="E1883" s="626" t="s">
        <v>2246</v>
      </c>
      <c r="F1883" s="654" t="s">
        <v>124</v>
      </c>
      <c r="G1883" s="575">
        <v>9843322057</v>
      </c>
      <c r="H1883" s="626"/>
      <c r="I1883" s="575">
        <v>41</v>
      </c>
      <c r="J1883" s="575" t="s">
        <v>48</v>
      </c>
      <c r="K1883" s="575" t="s">
        <v>53</v>
      </c>
      <c r="L1883" s="575"/>
      <c r="M1883" s="560" t="s">
        <v>119</v>
      </c>
      <c r="N1883" s="752">
        <v>65036</v>
      </c>
      <c r="O1883" s="645"/>
      <c r="P1883" s="712">
        <v>65051</v>
      </c>
      <c r="Q1883" s="713" t="s">
        <v>51</v>
      </c>
    </row>
    <row r="1884" spans="1:17" ht="18">
      <c r="A1884" s="512">
        <f t="shared" si="22"/>
        <v>1037</v>
      </c>
      <c r="B1884" s="655" t="s">
        <v>43</v>
      </c>
      <c r="C1884" s="626" t="s">
        <v>44</v>
      </c>
      <c r="D1884" s="626" t="s">
        <v>45</v>
      </c>
      <c r="E1884" s="626" t="s">
        <v>2247</v>
      </c>
      <c r="F1884" s="654" t="s">
        <v>124</v>
      </c>
      <c r="G1884" s="575">
        <v>9825690451</v>
      </c>
      <c r="H1884" s="626"/>
      <c r="I1884" s="575">
        <v>28</v>
      </c>
      <c r="J1884" s="575" t="s">
        <v>48</v>
      </c>
      <c r="K1884" s="575" t="s">
        <v>53</v>
      </c>
      <c r="L1884" s="575"/>
      <c r="M1884" s="560" t="s">
        <v>119</v>
      </c>
      <c r="N1884" s="752">
        <v>65036</v>
      </c>
      <c r="O1884" s="645"/>
      <c r="P1884" s="712">
        <v>65051</v>
      </c>
      <c r="Q1884" s="713" t="s">
        <v>51</v>
      </c>
    </row>
    <row r="1885" spans="1:17" ht="18">
      <c r="A1885" s="512">
        <f t="shared" si="22"/>
        <v>1038</v>
      </c>
      <c r="B1885" s="655" t="s">
        <v>43</v>
      </c>
      <c r="C1885" s="626" t="s">
        <v>44</v>
      </c>
      <c r="D1885" s="626" t="s">
        <v>45</v>
      </c>
      <c r="E1885" s="626" t="s">
        <v>2248</v>
      </c>
      <c r="F1885" s="654" t="s">
        <v>124</v>
      </c>
      <c r="G1885" s="575">
        <v>9866821872</v>
      </c>
      <c r="H1885" s="626"/>
      <c r="I1885" s="575">
        <v>38</v>
      </c>
      <c r="J1885" s="575" t="s">
        <v>90</v>
      </c>
      <c r="K1885" s="575" t="s">
        <v>53</v>
      </c>
      <c r="L1885" s="575"/>
      <c r="M1885" s="560" t="s">
        <v>119</v>
      </c>
      <c r="N1885" s="752">
        <v>65036</v>
      </c>
      <c r="O1885" s="645"/>
      <c r="P1885" s="712">
        <v>65051</v>
      </c>
      <c r="Q1885" s="713" t="s">
        <v>51</v>
      </c>
    </row>
    <row r="1886" spans="1:17" ht="18">
      <c r="A1886" s="512">
        <f t="shared" si="22"/>
        <v>1039</v>
      </c>
      <c r="B1886" s="655" t="s">
        <v>43</v>
      </c>
      <c r="C1886" s="626" t="s">
        <v>44</v>
      </c>
      <c r="D1886" s="626" t="s">
        <v>45</v>
      </c>
      <c r="E1886" s="626" t="s">
        <v>2249</v>
      </c>
      <c r="F1886" s="654" t="s">
        <v>491</v>
      </c>
      <c r="G1886" s="575">
        <v>9849056367</v>
      </c>
      <c r="H1886" s="626"/>
      <c r="I1886" s="575">
        <v>34</v>
      </c>
      <c r="J1886" s="575" t="s">
        <v>48</v>
      </c>
      <c r="K1886" s="575" t="s">
        <v>53</v>
      </c>
      <c r="L1886" s="575"/>
      <c r="M1886" s="560" t="s">
        <v>119</v>
      </c>
      <c r="N1886" s="752">
        <v>65036</v>
      </c>
      <c r="O1886" s="645"/>
      <c r="P1886" s="712">
        <v>65051</v>
      </c>
      <c r="Q1886" s="713" t="s">
        <v>51</v>
      </c>
    </row>
    <row r="1887" spans="1:17" ht="18">
      <c r="A1887" s="512">
        <f t="shared" si="22"/>
        <v>1040</v>
      </c>
      <c r="B1887" s="655" t="s">
        <v>43</v>
      </c>
      <c r="C1887" s="626" t="s">
        <v>44</v>
      </c>
      <c r="D1887" s="626" t="s">
        <v>45</v>
      </c>
      <c r="E1887" s="626" t="s">
        <v>2250</v>
      </c>
      <c r="F1887" s="654" t="s">
        <v>491</v>
      </c>
      <c r="G1887" s="575">
        <v>9847823526</v>
      </c>
      <c r="H1887" s="626"/>
      <c r="I1887" s="575">
        <v>45</v>
      </c>
      <c r="J1887" s="575" t="s">
        <v>48</v>
      </c>
      <c r="K1887" s="575" t="s">
        <v>53</v>
      </c>
      <c r="L1887" s="575"/>
      <c r="M1887" s="560" t="s">
        <v>119</v>
      </c>
      <c r="N1887" s="752">
        <v>65036</v>
      </c>
      <c r="O1887" s="645"/>
      <c r="P1887" s="712">
        <v>65051</v>
      </c>
      <c r="Q1887" s="713" t="s">
        <v>51</v>
      </c>
    </row>
    <row r="1888" spans="1:17" ht="18">
      <c r="A1888" s="512">
        <f t="shared" si="22"/>
        <v>1041</v>
      </c>
      <c r="B1888" s="655" t="s">
        <v>43</v>
      </c>
      <c r="C1888" s="626" t="s">
        <v>44</v>
      </c>
      <c r="D1888" s="626" t="s">
        <v>45</v>
      </c>
      <c r="E1888" s="626" t="s">
        <v>2251</v>
      </c>
      <c r="F1888" s="654" t="s">
        <v>512</v>
      </c>
      <c r="G1888" s="575">
        <v>9847649707</v>
      </c>
      <c r="H1888" s="629"/>
      <c r="I1888" s="575">
        <v>52</v>
      </c>
      <c r="J1888" s="575" t="s">
        <v>90</v>
      </c>
      <c r="K1888" s="575" t="s">
        <v>53</v>
      </c>
      <c r="L1888" s="575"/>
      <c r="M1888" s="560" t="s">
        <v>119</v>
      </c>
      <c r="N1888" s="752">
        <v>65036</v>
      </c>
      <c r="O1888" s="645"/>
      <c r="P1888" s="712">
        <v>65051</v>
      </c>
      <c r="Q1888" s="713" t="s">
        <v>51</v>
      </c>
    </row>
    <row r="1889" spans="1:19" s="890" customFormat="1" ht="18">
      <c r="A1889" s="512">
        <f t="shared" si="22"/>
        <v>1042</v>
      </c>
      <c r="B1889" s="655" t="s">
        <v>43</v>
      </c>
      <c r="C1889" s="626" t="s">
        <v>44</v>
      </c>
      <c r="D1889" s="626" t="s">
        <v>45</v>
      </c>
      <c r="E1889" s="626" t="s">
        <v>2252</v>
      </c>
      <c r="F1889" s="654" t="s">
        <v>441</v>
      </c>
      <c r="G1889" s="575">
        <v>9857820753</v>
      </c>
      <c r="H1889" s="626"/>
      <c r="I1889" s="575">
        <v>62</v>
      </c>
      <c r="J1889" s="575" t="s">
        <v>48</v>
      </c>
      <c r="K1889" s="575" t="s">
        <v>53</v>
      </c>
      <c r="L1889" s="575"/>
      <c r="M1889" s="560" t="s">
        <v>119</v>
      </c>
      <c r="N1889" s="752">
        <v>65036</v>
      </c>
      <c r="O1889" s="645"/>
      <c r="P1889" s="712">
        <v>65051</v>
      </c>
      <c r="Q1889" s="713" t="s">
        <v>51</v>
      </c>
    </row>
    <row r="1890" spans="1:19" ht="18">
      <c r="A1890" s="512">
        <f t="shared" si="22"/>
        <v>1043</v>
      </c>
      <c r="B1890" s="799" t="s">
        <v>43</v>
      </c>
      <c r="C1890" s="627" t="s">
        <v>44</v>
      </c>
      <c r="D1890" s="627" t="s">
        <v>45</v>
      </c>
      <c r="E1890" s="627" t="s">
        <v>2253</v>
      </c>
      <c r="F1890" s="801" t="s">
        <v>1008</v>
      </c>
      <c r="G1890" s="628">
        <v>9847884116</v>
      </c>
      <c r="H1890" s="627"/>
      <c r="I1890" s="628">
        <v>43</v>
      </c>
      <c r="J1890" s="628" t="s">
        <v>90</v>
      </c>
      <c r="K1890" s="628" t="s">
        <v>53</v>
      </c>
      <c r="L1890" s="628"/>
      <c r="M1890" s="609" t="s">
        <v>119</v>
      </c>
      <c r="N1890" s="757">
        <v>65036</v>
      </c>
      <c r="O1890" s="889"/>
      <c r="P1890" s="541">
        <v>65076</v>
      </c>
      <c r="Q1890" s="533" t="s">
        <v>51</v>
      </c>
    </row>
    <row r="1891" spans="1:19" ht="18">
      <c r="A1891" s="512">
        <f t="shared" si="22"/>
        <v>1044</v>
      </c>
      <c r="B1891" s="655" t="s">
        <v>43</v>
      </c>
      <c r="C1891" s="626" t="s">
        <v>44</v>
      </c>
      <c r="D1891" s="626" t="s">
        <v>45</v>
      </c>
      <c r="E1891" s="626" t="s">
        <v>2254</v>
      </c>
      <c r="F1891" s="654" t="s">
        <v>1008</v>
      </c>
      <c r="G1891" s="575">
        <v>9851148097</v>
      </c>
      <c r="H1891" s="626"/>
      <c r="I1891" s="575">
        <v>40</v>
      </c>
      <c r="J1891" s="575" t="s">
        <v>90</v>
      </c>
      <c r="K1891" s="575" t="s">
        <v>53</v>
      </c>
      <c r="L1891" s="575"/>
      <c r="M1891" s="560" t="s">
        <v>119</v>
      </c>
      <c r="N1891" s="752">
        <v>65036</v>
      </c>
      <c r="O1891" s="645"/>
      <c r="P1891" s="712">
        <v>65051</v>
      </c>
      <c r="Q1891" s="713" t="s">
        <v>51</v>
      </c>
    </row>
    <row r="1892" spans="1:19" ht="18">
      <c r="A1892" s="512">
        <f t="shared" si="22"/>
        <v>1045</v>
      </c>
      <c r="B1892" s="655" t="s">
        <v>43</v>
      </c>
      <c r="C1892" s="626" t="s">
        <v>44</v>
      </c>
      <c r="D1892" s="626" t="s">
        <v>45</v>
      </c>
      <c r="E1892" s="626" t="s">
        <v>2255</v>
      </c>
      <c r="F1892" s="654" t="s">
        <v>1046</v>
      </c>
      <c r="G1892" s="575">
        <v>9847832233</v>
      </c>
      <c r="H1892" s="626"/>
      <c r="I1892" s="575">
        <v>19</v>
      </c>
      <c r="J1892" s="575" t="s">
        <v>90</v>
      </c>
      <c r="K1892" s="575" t="s">
        <v>53</v>
      </c>
      <c r="L1892" s="575"/>
      <c r="M1892" s="560" t="s">
        <v>119</v>
      </c>
      <c r="N1892" s="752">
        <v>65036</v>
      </c>
      <c r="O1892" s="645"/>
      <c r="P1892" s="712">
        <v>65051</v>
      </c>
      <c r="Q1892" s="713" t="s">
        <v>51</v>
      </c>
    </row>
    <row r="1893" spans="1:19" ht="18">
      <c r="A1893" s="512">
        <f t="shared" si="22"/>
        <v>1046</v>
      </c>
      <c r="B1893" s="655" t="s">
        <v>43</v>
      </c>
      <c r="C1893" s="626" t="s">
        <v>44</v>
      </c>
      <c r="D1893" s="626" t="s">
        <v>45</v>
      </c>
      <c r="E1893" s="624" t="s">
        <v>2256</v>
      </c>
      <c r="F1893" s="654" t="s">
        <v>1046</v>
      </c>
      <c r="G1893" s="575"/>
      <c r="H1893" s="626"/>
      <c r="I1893" s="575">
        <v>26</v>
      </c>
      <c r="J1893" s="575" t="s">
        <v>48</v>
      </c>
      <c r="K1893" s="575" t="s">
        <v>53</v>
      </c>
      <c r="L1893" s="575"/>
      <c r="M1893" s="560" t="s">
        <v>119</v>
      </c>
      <c r="N1893" s="752">
        <v>65036</v>
      </c>
      <c r="O1893" s="645"/>
      <c r="P1893" s="712">
        <v>65051</v>
      </c>
      <c r="Q1893" s="713" t="s">
        <v>51</v>
      </c>
    </row>
    <row r="1894" spans="1:19" ht="18">
      <c r="A1894" s="512">
        <f t="shared" si="22"/>
        <v>1047</v>
      </c>
      <c r="B1894" s="655" t="s">
        <v>43</v>
      </c>
      <c r="C1894" s="626" t="s">
        <v>44</v>
      </c>
      <c r="D1894" s="626" t="s">
        <v>45</v>
      </c>
      <c r="E1894" s="626" t="s">
        <v>2257</v>
      </c>
      <c r="F1894" s="654" t="s">
        <v>497</v>
      </c>
      <c r="G1894" s="575">
        <v>9847880175</v>
      </c>
      <c r="H1894" s="626"/>
      <c r="I1894" s="575">
        <v>32</v>
      </c>
      <c r="J1894" s="575" t="s">
        <v>48</v>
      </c>
      <c r="K1894" s="575" t="s">
        <v>53</v>
      </c>
      <c r="L1894" s="575"/>
      <c r="M1894" s="560" t="s">
        <v>119</v>
      </c>
      <c r="N1894" s="752">
        <v>65036</v>
      </c>
      <c r="O1894" s="645"/>
      <c r="P1894" s="712">
        <v>65051</v>
      </c>
      <c r="Q1894" s="713" t="s">
        <v>51</v>
      </c>
    </row>
    <row r="1895" spans="1:19" ht="18">
      <c r="A1895" s="512">
        <f t="shared" si="22"/>
        <v>1048</v>
      </c>
      <c r="B1895" s="655" t="s">
        <v>43</v>
      </c>
      <c r="C1895" s="626" t="s">
        <v>44</v>
      </c>
      <c r="D1895" s="626" t="s">
        <v>45</v>
      </c>
      <c r="E1895" s="626" t="s">
        <v>2258</v>
      </c>
      <c r="F1895" s="654" t="s">
        <v>491</v>
      </c>
      <c r="G1895" s="575">
        <v>9844988318</v>
      </c>
      <c r="H1895" s="626"/>
      <c r="I1895" s="575">
        <v>31</v>
      </c>
      <c r="J1895" s="575" t="s">
        <v>48</v>
      </c>
      <c r="K1895" s="575" t="s">
        <v>53</v>
      </c>
      <c r="L1895" s="575"/>
      <c r="M1895" s="560" t="s">
        <v>119</v>
      </c>
      <c r="N1895" s="752">
        <v>65036</v>
      </c>
      <c r="O1895" s="645"/>
      <c r="P1895" s="712">
        <v>65051</v>
      </c>
      <c r="Q1895" s="713" t="s">
        <v>51</v>
      </c>
    </row>
    <row r="1896" spans="1:19" ht="18">
      <c r="A1896" s="512">
        <f t="shared" si="22"/>
        <v>1049</v>
      </c>
      <c r="B1896" s="655" t="s">
        <v>43</v>
      </c>
      <c r="C1896" s="626" t="s">
        <v>44</v>
      </c>
      <c r="D1896" s="626" t="s">
        <v>45</v>
      </c>
      <c r="E1896" s="626" t="s">
        <v>2259</v>
      </c>
      <c r="F1896" s="654" t="s">
        <v>1009</v>
      </c>
      <c r="G1896" s="575">
        <v>9803797325</v>
      </c>
      <c r="H1896" s="626"/>
      <c r="I1896" s="575">
        <v>27</v>
      </c>
      <c r="J1896" s="575" t="s">
        <v>48</v>
      </c>
      <c r="K1896" s="575" t="s">
        <v>53</v>
      </c>
      <c r="L1896" s="575"/>
      <c r="M1896" s="560" t="s">
        <v>119</v>
      </c>
      <c r="N1896" s="752">
        <v>65036</v>
      </c>
      <c r="O1896" s="645"/>
      <c r="P1896" s="712">
        <v>65051</v>
      </c>
      <c r="Q1896" s="713" t="s">
        <v>51</v>
      </c>
    </row>
    <row r="1897" spans="1:19" s="163" customFormat="1" ht="18">
      <c r="A1897" s="512">
        <f t="shared" si="22"/>
        <v>1050</v>
      </c>
      <c r="B1897" s="655" t="s">
        <v>43</v>
      </c>
      <c r="C1897" s="626" t="s">
        <v>44</v>
      </c>
      <c r="D1897" s="626" t="s">
        <v>45</v>
      </c>
      <c r="E1897" s="626" t="s">
        <v>2260</v>
      </c>
      <c r="F1897" s="654" t="s">
        <v>1008</v>
      </c>
      <c r="G1897" s="575">
        <v>9810897939</v>
      </c>
      <c r="H1897" s="626"/>
      <c r="I1897" s="575">
        <v>45</v>
      </c>
      <c r="J1897" s="575" t="s">
        <v>48</v>
      </c>
      <c r="K1897" s="575" t="s">
        <v>53</v>
      </c>
      <c r="L1897" s="575"/>
      <c r="M1897" s="560" t="s">
        <v>119</v>
      </c>
      <c r="N1897" s="752">
        <v>65036</v>
      </c>
      <c r="O1897" s="645"/>
      <c r="P1897" s="712">
        <v>65051</v>
      </c>
      <c r="Q1897" s="713" t="s">
        <v>51</v>
      </c>
      <c r="R1897" s="322"/>
      <c r="S1897" s="322"/>
    </row>
    <row r="1898" spans="1:19" ht="18">
      <c r="A1898" s="512">
        <f t="shared" si="22"/>
        <v>1051</v>
      </c>
      <c r="B1898" s="655" t="s">
        <v>43</v>
      </c>
      <c r="C1898" s="626" t="s">
        <v>44</v>
      </c>
      <c r="D1898" s="626" t="s">
        <v>45</v>
      </c>
      <c r="E1898" s="626" t="s">
        <v>2261</v>
      </c>
      <c r="F1898" s="654" t="s">
        <v>502</v>
      </c>
      <c r="G1898" s="575">
        <v>9818000975</v>
      </c>
      <c r="H1898" s="626"/>
      <c r="I1898" s="575">
        <v>21</v>
      </c>
      <c r="J1898" s="575" t="s">
        <v>48</v>
      </c>
      <c r="K1898" s="575" t="s">
        <v>53</v>
      </c>
      <c r="L1898" s="575"/>
      <c r="M1898" s="560" t="s">
        <v>119</v>
      </c>
      <c r="N1898" s="752">
        <v>65036</v>
      </c>
      <c r="O1898" s="645"/>
      <c r="P1898" s="712">
        <v>65051</v>
      </c>
      <c r="Q1898" s="713" t="s">
        <v>51</v>
      </c>
    </row>
    <row r="1899" spans="1:19" ht="18">
      <c r="A1899" s="512">
        <f t="shared" si="22"/>
        <v>1052</v>
      </c>
      <c r="B1899" s="655" t="s">
        <v>43</v>
      </c>
      <c r="C1899" s="626" t="s">
        <v>44</v>
      </c>
      <c r="D1899" s="626" t="s">
        <v>45</v>
      </c>
      <c r="E1899" s="626" t="s">
        <v>2262</v>
      </c>
      <c r="F1899" s="654" t="s">
        <v>124</v>
      </c>
      <c r="G1899" s="575">
        <v>9857824338</v>
      </c>
      <c r="H1899" s="626"/>
      <c r="I1899" s="575">
        <v>42</v>
      </c>
      <c r="J1899" s="575" t="s">
        <v>48</v>
      </c>
      <c r="K1899" s="575" t="s">
        <v>53</v>
      </c>
      <c r="L1899" s="575"/>
      <c r="M1899" s="560" t="s">
        <v>119</v>
      </c>
      <c r="N1899" s="752">
        <v>65036</v>
      </c>
      <c r="O1899" s="645"/>
      <c r="P1899" s="712">
        <v>65051</v>
      </c>
      <c r="Q1899" s="713" t="s">
        <v>51</v>
      </c>
    </row>
    <row r="1900" spans="1:19" ht="18">
      <c r="A1900" s="512">
        <f t="shared" si="22"/>
        <v>1053</v>
      </c>
      <c r="B1900" s="655" t="s">
        <v>43</v>
      </c>
      <c r="C1900" s="626" t="s">
        <v>44</v>
      </c>
      <c r="D1900" s="626" t="s">
        <v>45</v>
      </c>
      <c r="E1900" s="626" t="s">
        <v>2263</v>
      </c>
      <c r="F1900" s="654" t="s">
        <v>124</v>
      </c>
      <c r="G1900" s="575">
        <v>9857822635</v>
      </c>
      <c r="H1900" s="626"/>
      <c r="I1900" s="575">
        <v>24</v>
      </c>
      <c r="J1900" s="575" t="s">
        <v>90</v>
      </c>
      <c r="K1900" s="575" t="s">
        <v>53</v>
      </c>
      <c r="L1900" s="575"/>
      <c r="M1900" s="560" t="s">
        <v>119</v>
      </c>
      <c r="N1900" s="752">
        <v>65036</v>
      </c>
      <c r="O1900" s="645"/>
      <c r="P1900" s="712">
        <v>65051</v>
      </c>
      <c r="Q1900" s="713" t="s">
        <v>51</v>
      </c>
    </row>
    <row r="1901" spans="1:19" ht="18">
      <c r="A1901" s="512">
        <f t="shared" si="22"/>
        <v>1054</v>
      </c>
      <c r="B1901" s="655" t="s">
        <v>43</v>
      </c>
      <c r="C1901" s="626" t="s">
        <v>44</v>
      </c>
      <c r="D1901" s="626" t="s">
        <v>45</v>
      </c>
      <c r="E1901" s="626" t="s">
        <v>2264</v>
      </c>
      <c r="F1901" s="654" t="s">
        <v>502</v>
      </c>
      <c r="G1901" s="575">
        <v>9857822409</v>
      </c>
      <c r="H1901" s="626"/>
      <c r="I1901" s="575">
        <v>37</v>
      </c>
      <c r="J1901" s="575" t="s">
        <v>90</v>
      </c>
      <c r="K1901" s="575" t="s">
        <v>53</v>
      </c>
      <c r="L1901" s="575"/>
      <c r="M1901" s="560" t="s">
        <v>119</v>
      </c>
      <c r="N1901" s="752">
        <v>65036</v>
      </c>
      <c r="O1901" s="645"/>
      <c r="P1901" s="712">
        <v>65051</v>
      </c>
      <c r="Q1901" s="713" t="s">
        <v>51</v>
      </c>
    </row>
    <row r="1902" spans="1:19" ht="18">
      <c r="A1902" s="512">
        <f t="shared" si="22"/>
        <v>1055</v>
      </c>
      <c r="B1902" s="655" t="s">
        <v>43</v>
      </c>
      <c r="C1902" s="626" t="s">
        <v>44</v>
      </c>
      <c r="D1902" s="626" t="s">
        <v>45</v>
      </c>
      <c r="E1902" s="626" t="s">
        <v>2265</v>
      </c>
      <c r="F1902" s="654" t="s">
        <v>502</v>
      </c>
      <c r="G1902" s="575">
        <v>9803107526</v>
      </c>
      <c r="H1902" s="626"/>
      <c r="I1902" s="575">
        <v>33</v>
      </c>
      <c r="J1902" s="575" t="s">
        <v>48</v>
      </c>
      <c r="K1902" s="575" t="s">
        <v>53</v>
      </c>
      <c r="L1902" s="575"/>
      <c r="M1902" s="560" t="s">
        <v>119</v>
      </c>
      <c r="N1902" s="752">
        <v>65036</v>
      </c>
      <c r="O1902" s="645"/>
      <c r="P1902" s="712">
        <v>65051</v>
      </c>
      <c r="Q1902" s="713" t="s">
        <v>51</v>
      </c>
      <c r="R1902" s="163"/>
      <c r="S1902" s="163"/>
    </row>
    <row r="1903" spans="1:19" ht="18">
      <c r="A1903" s="512">
        <f t="shared" si="22"/>
        <v>1056</v>
      </c>
      <c r="B1903" s="655" t="s">
        <v>43</v>
      </c>
      <c r="C1903" s="626" t="s">
        <v>44</v>
      </c>
      <c r="D1903" s="626" t="s">
        <v>45</v>
      </c>
      <c r="E1903" s="626" t="s">
        <v>2266</v>
      </c>
      <c r="F1903" s="654" t="s">
        <v>730</v>
      </c>
      <c r="G1903" s="575">
        <v>9829599625</v>
      </c>
      <c r="H1903" s="626"/>
      <c r="I1903" s="575">
        <v>27</v>
      </c>
      <c r="J1903" s="575" t="s">
        <v>90</v>
      </c>
      <c r="K1903" s="575" t="s">
        <v>53</v>
      </c>
      <c r="L1903" s="575"/>
      <c r="M1903" s="560" t="s">
        <v>119</v>
      </c>
      <c r="N1903" s="752">
        <v>65036</v>
      </c>
      <c r="O1903" s="645"/>
      <c r="P1903" s="712">
        <v>65051</v>
      </c>
      <c r="Q1903" s="713" t="s">
        <v>51</v>
      </c>
    </row>
    <row r="1904" spans="1:19" ht="18">
      <c r="A1904" s="512">
        <f t="shared" si="22"/>
        <v>1057</v>
      </c>
      <c r="B1904" s="669" t="s">
        <v>43</v>
      </c>
      <c r="C1904" s="640" t="s">
        <v>44</v>
      </c>
      <c r="D1904" s="640" t="s">
        <v>45</v>
      </c>
      <c r="E1904" s="640" t="s">
        <v>2267</v>
      </c>
      <c r="F1904" s="642" t="s">
        <v>502</v>
      </c>
      <c r="G1904" s="635"/>
      <c r="H1904" s="640"/>
      <c r="I1904" s="635">
        <v>36</v>
      </c>
      <c r="J1904" s="635" t="s">
        <v>48</v>
      </c>
      <c r="K1904" s="635" t="s">
        <v>53</v>
      </c>
      <c r="L1904" s="635"/>
      <c r="M1904" s="592" t="s">
        <v>54</v>
      </c>
      <c r="N1904" s="748">
        <v>65036</v>
      </c>
      <c r="O1904" s="593">
        <v>65035</v>
      </c>
      <c r="P1904" s="465">
        <v>65061</v>
      </c>
      <c r="Q1904" s="436" t="s">
        <v>51</v>
      </c>
    </row>
    <row r="1905" spans="1:17" ht="18">
      <c r="A1905" s="512">
        <f t="shared" si="22"/>
        <v>1058</v>
      </c>
      <c r="B1905" s="655" t="s">
        <v>43</v>
      </c>
      <c r="C1905" s="626" t="s">
        <v>44</v>
      </c>
      <c r="D1905" s="626" t="s">
        <v>45</v>
      </c>
      <c r="E1905" s="626" t="s">
        <v>2268</v>
      </c>
      <c r="F1905" s="654" t="s">
        <v>502</v>
      </c>
      <c r="G1905" s="575">
        <v>9843388568</v>
      </c>
      <c r="H1905" s="626"/>
      <c r="I1905" s="575">
        <v>35</v>
      </c>
      <c r="J1905" s="575" t="s">
        <v>48</v>
      </c>
      <c r="K1905" s="575" t="s">
        <v>53</v>
      </c>
      <c r="L1905" s="575"/>
      <c r="M1905" s="560" t="s">
        <v>119</v>
      </c>
      <c r="N1905" s="752">
        <v>65036</v>
      </c>
      <c r="O1905" s="629"/>
      <c r="P1905" s="712">
        <v>65051</v>
      </c>
      <c r="Q1905" s="713" t="s">
        <v>51</v>
      </c>
    </row>
    <row r="1906" spans="1:17" ht="18">
      <c r="A1906" s="512">
        <f t="shared" si="22"/>
        <v>1059</v>
      </c>
      <c r="B1906" s="655" t="s">
        <v>43</v>
      </c>
      <c r="C1906" s="626" t="s">
        <v>44</v>
      </c>
      <c r="D1906" s="626" t="s">
        <v>45</v>
      </c>
      <c r="E1906" s="624" t="s">
        <v>1968</v>
      </c>
      <c r="F1906" s="654" t="s">
        <v>491</v>
      </c>
      <c r="G1906" s="575">
        <v>9857821311</v>
      </c>
      <c r="H1906" s="626"/>
      <c r="I1906" s="575">
        <v>33</v>
      </c>
      <c r="J1906" s="575" t="s">
        <v>90</v>
      </c>
      <c r="K1906" s="575" t="s">
        <v>53</v>
      </c>
      <c r="L1906" s="575"/>
      <c r="M1906" s="560" t="s">
        <v>119</v>
      </c>
      <c r="N1906" s="752">
        <v>65036</v>
      </c>
      <c r="O1906" s="629"/>
      <c r="P1906" s="712">
        <v>65051</v>
      </c>
      <c r="Q1906" s="713" t="s">
        <v>51</v>
      </c>
    </row>
    <row r="1907" spans="1:17" ht="18">
      <c r="A1907" s="512">
        <f t="shared" si="22"/>
        <v>1060</v>
      </c>
      <c r="B1907" s="655" t="s">
        <v>43</v>
      </c>
      <c r="C1907" s="626" t="s">
        <v>44</v>
      </c>
      <c r="D1907" s="626" t="s">
        <v>45</v>
      </c>
      <c r="E1907" s="626" t="s">
        <v>2269</v>
      </c>
      <c r="F1907" s="654" t="s">
        <v>491</v>
      </c>
      <c r="G1907" s="575"/>
      <c r="H1907" s="626"/>
      <c r="I1907" s="575">
        <v>23</v>
      </c>
      <c r="J1907" s="575" t="s">
        <v>90</v>
      </c>
      <c r="K1907" s="575" t="s">
        <v>53</v>
      </c>
      <c r="L1907" s="575"/>
      <c r="M1907" s="560" t="s">
        <v>119</v>
      </c>
      <c r="N1907" s="752">
        <v>65036</v>
      </c>
      <c r="O1907" s="629"/>
      <c r="P1907" s="712">
        <v>65051</v>
      </c>
      <c r="Q1907" s="713" t="s">
        <v>51</v>
      </c>
    </row>
    <row r="1908" spans="1:17" ht="18">
      <c r="A1908" s="512">
        <f t="shared" si="22"/>
        <v>1061</v>
      </c>
      <c r="B1908" s="655" t="s">
        <v>43</v>
      </c>
      <c r="C1908" s="626" t="s">
        <v>44</v>
      </c>
      <c r="D1908" s="626" t="s">
        <v>45</v>
      </c>
      <c r="E1908" s="626" t="s">
        <v>2270</v>
      </c>
      <c r="F1908" s="654" t="s">
        <v>497</v>
      </c>
      <c r="G1908" s="575">
        <v>9847842986</v>
      </c>
      <c r="H1908" s="626"/>
      <c r="I1908" s="575">
        <v>66</v>
      </c>
      <c r="J1908" s="575" t="s">
        <v>90</v>
      </c>
      <c r="K1908" s="575" t="s">
        <v>53</v>
      </c>
      <c r="L1908" s="575"/>
      <c r="M1908" s="560" t="s">
        <v>119</v>
      </c>
      <c r="N1908" s="752">
        <v>65036</v>
      </c>
      <c r="O1908" s="629"/>
      <c r="P1908" s="712">
        <v>65051</v>
      </c>
      <c r="Q1908" s="713" t="s">
        <v>51</v>
      </c>
    </row>
    <row r="1909" spans="1:17" ht="18">
      <c r="A1909" s="512">
        <f t="shared" si="22"/>
        <v>1062</v>
      </c>
      <c r="B1909" s="655" t="s">
        <v>43</v>
      </c>
      <c r="C1909" s="626" t="s">
        <v>44</v>
      </c>
      <c r="D1909" s="626" t="s">
        <v>45</v>
      </c>
      <c r="E1909" s="626" t="s">
        <v>2271</v>
      </c>
      <c r="F1909" s="654" t="s">
        <v>730</v>
      </c>
      <c r="G1909" s="575">
        <v>9829599625</v>
      </c>
      <c r="H1909" s="626"/>
      <c r="I1909" s="575">
        <v>10</v>
      </c>
      <c r="J1909" s="575" t="s">
        <v>48</v>
      </c>
      <c r="K1909" s="575" t="s">
        <v>53</v>
      </c>
      <c r="L1909" s="575"/>
      <c r="M1909" s="560" t="s">
        <v>119</v>
      </c>
      <c r="N1909" s="752">
        <v>65036</v>
      </c>
      <c r="O1909" s="629"/>
      <c r="P1909" s="712">
        <v>65051</v>
      </c>
      <c r="Q1909" s="713" t="s">
        <v>51</v>
      </c>
    </row>
    <row r="1910" spans="1:17" ht="18">
      <c r="A1910" s="512">
        <f t="shared" si="22"/>
        <v>1063</v>
      </c>
      <c r="B1910" s="655" t="s">
        <v>43</v>
      </c>
      <c r="C1910" s="626" t="s">
        <v>44</v>
      </c>
      <c r="D1910" s="626" t="s">
        <v>45</v>
      </c>
      <c r="E1910" s="626" t="s">
        <v>2272</v>
      </c>
      <c r="F1910" s="654" t="s">
        <v>791</v>
      </c>
      <c r="G1910" s="575">
        <v>9847873435</v>
      </c>
      <c r="H1910" s="626"/>
      <c r="I1910" s="575">
        <v>74</v>
      </c>
      <c r="J1910" s="575" t="s">
        <v>90</v>
      </c>
      <c r="K1910" s="575" t="s">
        <v>53</v>
      </c>
      <c r="L1910" s="575"/>
      <c r="M1910" s="560" t="s">
        <v>119</v>
      </c>
      <c r="N1910" s="752">
        <v>65036</v>
      </c>
      <c r="O1910" s="629"/>
      <c r="P1910" s="712">
        <v>65051</v>
      </c>
      <c r="Q1910" s="713" t="s">
        <v>51</v>
      </c>
    </row>
    <row r="1911" spans="1:17" ht="18">
      <c r="A1911" s="512">
        <f t="shared" si="22"/>
        <v>1064</v>
      </c>
      <c r="B1911" s="658" t="s">
        <v>43</v>
      </c>
      <c r="C1911" s="630" t="s">
        <v>44</v>
      </c>
      <c r="D1911" s="630" t="s">
        <v>45</v>
      </c>
      <c r="E1911" s="630" t="s">
        <v>2273</v>
      </c>
      <c r="F1911" s="597" t="s">
        <v>730</v>
      </c>
      <c r="G1911" s="597">
        <v>9864281491</v>
      </c>
      <c r="H1911" s="630"/>
      <c r="I1911" s="597">
        <v>55</v>
      </c>
      <c r="J1911" s="597" t="s">
        <v>90</v>
      </c>
      <c r="K1911" s="597" t="s">
        <v>53</v>
      </c>
      <c r="L1911" s="597"/>
      <c r="M1911" s="597" t="s">
        <v>119</v>
      </c>
      <c r="N1911" s="758">
        <v>65036</v>
      </c>
      <c r="O1911" s="632">
        <v>65042</v>
      </c>
      <c r="P1911" s="422" t="s">
        <v>940</v>
      </c>
    </row>
    <row r="1912" spans="1:17" ht="18">
      <c r="A1912" s="512">
        <f t="shared" si="22"/>
        <v>1065</v>
      </c>
      <c r="B1912" s="655" t="s">
        <v>43</v>
      </c>
      <c r="C1912" s="626" t="s">
        <v>44</v>
      </c>
      <c r="D1912" s="626" t="s">
        <v>45</v>
      </c>
      <c r="E1912" s="626" t="s">
        <v>2274</v>
      </c>
      <c r="F1912" s="654" t="s">
        <v>491</v>
      </c>
      <c r="G1912" s="575">
        <v>9847824007</v>
      </c>
      <c r="H1912" s="626"/>
      <c r="I1912" s="575">
        <v>50</v>
      </c>
      <c r="J1912" s="575" t="s">
        <v>90</v>
      </c>
      <c r="K1912" s="575" t="s">
        <v>53</v>
      </c>
      <c r="L1912" s="575"/>
      <c r="M1912" s="560" t="s">
        <v>119</v>
      </c>
      <c r="N1912" s="752">
        <v>65036</v>
      </c>
      <c r="O1912" s="645"/>
      <c r="P1912" s="712">
        <v>65051</v>
      </c>
      <c r="Q1912" s="713" t="s">
        <v>51</v>
      </c>
    </row>
    <row r="1913" spans="1:17" ht="18">
      <c r="A1913" s="512">
        <f t="shared" si="22"/>
        <v>1066</v>
      </c>
      <c r="B1913" s="655" t="s">
        <v>43</v>
      </c>
      <c r="C1913" s="626" t="s">
        <v>44</v>
      </c>
      <c r="D1913" s="626" t="s">
        <v>45</v>
      </c>
      <c r="E1913" s="626" t="s">
        <v>2275</v>
      </c>
      <c r="F1913" s="654" t="s">
        <v>1008</v>
      </c>
      <c r="G1913" s="575">
        <v>9866850509</v>
      </c>
      <c r="H1913" s="626"/>
      <c r="I1913" s="575">
        <v>29</v>
      </c>
      <c r="J1913" s="575" t="s">
        <v>90</v>
      </c>
      <c r="K1913" s="575" t="s">
        <v>53</v>
      </c>
      <c r="L1913" s="575"/>
      <c r="M1913" s="560" t="s">
        <v>119</v>
      </c>
      <c r="N1913" s="752">
        <v>65036</v>
      </c>
      <c r="O1913" s="645"/>
      <c r="P1913" s="712">
        <v>65051</v>
      </c>
      <c r="Q1913" s="713" t="s">
        <v>51</v>
      </c>
    </row>
    <row r="1914" spans="1:17" ht="18">
      <c r="A1914" s="512">
        <f t="shared" si="22"/>
        <v>1067</v>
      </c>
      <c r="B1914" s="655" t="s">
        <v>43</v>
      </c>
      <c r="C1914" s="626" t="s">
        <v>44</v>
      </c>
      <c r="D1914" s="626" t="s">
        <v>45</v>
      </c>
      <c r="E1914" s="626" t="s">
        <v>2276</v>
      </c>
      <c r="F1914" s="654" t="s">
        <v>791</v>
      </c>
      <c r="G1914" s="575">
        <v>9847836253</v>
      </c>
      <c r="H1914" s="626"/>
      <c r="I1914" s="575">
        <v>62</v>
      </c>
      <c r="J1914" s="575" t="s">
        <v>48</v>
      </c>
      <c r="K1914" s="575" t="s">
        <v>53</v>
      </c>
      <c r="L1914" s="575"/>
      <c r="M1914" s="560" t="s">
        <v>119</v>
      </c>
      <c r="N1914" s="752">
        <v>65036</v>
      </c>
      <c r="O1914" s="645"/>
      <c r="P1914" s="712">
        <v>65051</v>
      </c>
      <c r="Q1914" s="713" t="s">
        <v>51</v>
      </c>
    </row>
    <row r="1915" spans="1:17" ht="18">
      <c r="A1915" s="512">
        <f t="shared" si="22"/>
        <v>1068</v>
      </c>
      <c r="B1915" s="655" t="s">
        <v>43</v>
      </c>
      <c r="C1915" s="626" t="s">
        <v>44</v>
      </c>
      <c r="D1915" s="626" t="s">
        <v>45</v>
      </c>
      <c r="E1915" s="626" t="s">
        <v>2277</v>
      </c>
      <c r="F1915" s="654" t="s">
        <v>502</v>
      </c>
      <c r="G1915" s="575">
        <v>9856011028</v>
      </c>
      <c r="H1915" s="626"/>
      <c r="I1915" s="575">
        <v>29</v>
      </c>
      <c r="J1915" s="575" t="s">
        <v>48</v>
      </c>
      <c r="K1915" s="575" t="s">
        <v>53</v>
      </c>
      <c r="L1915" s="575"/>
      <c r="M1915" s="560" t="s">
        <v>119</v>
      </c>
      <c r="N1915" s="752">
        <v>65036</v>
      </c>
      <c r="O1915" s="645"/>
      <c r="P1915" s="712">
        <v>65051</v>
      </c>
      <c r="Q1915" s="713" t="s">
        <v>51</v>
      </c>
    </row>
    <row r="1916" spans="1:17" ht="18">
      <c r="A1916" s="512">
        <f t="shared" si="22"/>
        <v>1069</v>
      </c>
      <c r="B1916" s="655" t="s">
        <v>43</v>
      </c>
      <c r="C1916" s="626" t="s">
        <v>44</v>
      </c>
      <c r="D1916" s="626" t="s">
        <v>45</v>
      </c>
      <c r="E1916" s="626" t="s">
        <v>2278</v>
      </c>
      <c r="F1916" s="654" t="s">
        <v>491</v>
      </c>
      <c r="G1916" s="575">
        <v>9868125122</v>
      </c>
      <c r="H1916" s="626"/>
      <c r="I1916" s="575">
        <v>31</v>
      </c>
      <c r="J1916" s="575" t="s">
        <v>90</v>
      </c>
      <c r="K1916" s="575" t="s">
        <v>53</v>
      </c>
      <c r="L1916" s="575"/>
      <c r="M1916" s="560" t="s">
        <v>119</v>
      </c>
      <c r="N1916" s="752">
        <v>65036</v>
      </c>
      <c r="O1916" s="645"/>
      <c r="P1916" s="712">
        <v>65051</v>
      </c>
      <c r="Q1916" s="713" t="s">
        <v>51</v>
      </c>
    </row>
    <row r="1917" spans="1:17" ht="18">
      <c r="A1917" s="512">
        <f t="shared" si="22"/>
        <v>1070</v>
      </c>
      <c r="B1917" s="655" t="s">
        <v>43</v>
      </c>
      <c r="C1917" s="626" t="s">
        <v>44</v>
      </c>
      <c r="D1917" s="626" t="s">
        <v>45</v>
      </c>
      <c r="E1917" s="626" t="s">
        <v>2279</v>
      </c>
      <c r="F1917" s="654" t="s">
        <v>502</v>
      </c>
      <c r="G1917" s="575">
        <v>9857821088</v>
      </c>
      <c r="H1917" s="626"/>
      <c r="I1917" s="575">
        <v>34</v>
      </c>
      <c r="J1917" s="575" t="s">
        <v>48</v>
      </c>
      <c r="K1917" s="575" t="s">
        <v>53</v>
      </c>
      <c r="L1917" s="575"/>
      <c r="M1917" s="560" t="s">
        <v>119</v>
      </c>
      <c r="N1917" s="752">
        <v>65036</v>
      </c>
      <c r="O1917" s="645"/>
      <c r="P1917" s="712">
        <v>65051</v>
      </c>
      <c r="Q1917" s="713" t="s">
        <v>51</v>
      </c>
    </row>
    <row r="1918" spans="1:17" ht="18">
      <c r="A1918" s="512">
        <f t="shared" si="22"/>
        <v>1071</v>
      </c>
      <c r="B1918" s="655" t="s">
        <v>43</v>
      </c>
      <c r="C1918" s="626" t="s">
        <v>44</v>
      </c>
      <c r="D1918" s="626" t="s">
        <v>45</v>
      </c>
      <c r="E1918" s="626" t="s">
        <v>2280</v>
      </c>
      <c r="F1918" s="654" t="s">
        <v>124</v>
      </c>
      <c r="G1918" s="575">
        <v>9857824338</v>
      </c>
      <c r="H1918" s="626"/>
      <c r="I1918" s="575">
        <v>37</v>
      </c>
      <c r="J1918" s="575" t="s">
        <v>90</v>
      </c>
      <c r="K1918" s="575" t="s">
        <v>53</v>
      </c>
      <c r="L1918" s="575"/>
      <c r="M1918" s="560" t="s">
        <v>119</v>
      </c>
      <c r="N1918" s="752">
        <v>65036</v>
      </c>
      <c r="O1918" s="645"/>
      <c r="P1918" s="712">
        <v>65051</v>
      </c>
      <c r="Q1918" s="713" t="s">
        <v>51</v>
      </c>
    </row>
    <row r="1919" spans="1:17" ht="18">
      <c r="A1919" s="512">
        <f t="shared" si="22"/>
        <v>1072</v>
      </c>
      <c r="B1919" s="655" t="s">
        <v>43</v>
      </c>
      <c r="C1919" s="626" t="s">
        <v>44</v>
      </c>
      <c r="D1919" s="626" t="s">
        <v>45</v>
      </c>
      <c r="E1919" s="626" t="s">
        <v>2281</v>
      </c>
      <c r="F1919" s="654" t="s">
        <v>124</v>
      </c>
      <c r="G1919" s="575">
        <v>9814456221</v>
      </c>
      <c r="H1919" s="626"/>
      <c r="I1919" s="575">
        <v>40</v>
      </c>
      <c r="J1919" s="575" t="s">
        <v>90</v>
      </c>
      <c r="K1919" s="575" t="s">
        <v>53</v>
      </c>
      <c r="L1919" s="575"/>
      <c r="M1919" s="560" t="s">
        <v>119</v>
      </c>
      <c r="N1919" s="752">
        <v>65036</v>
      </c>
      <c r="O1919" s="645"/>
      <c r="P1919" s="712">
        <v>65051</v>
      </c>
      <c r="Q1919" s="713" t="s">
        <v>51</v>
      </c>
    </row>
    <row r="1920" spans="1:17" ht="18">
      <c r="A1920" s="512">
        <f t="shared" si="22"/>
        <v>1073</v>
      </c>
      <c r="B1920" s="655" t="s">
        <v>43</v>
      </c>
      <c r="C1920" s="626" t="s">
        <v>44</v>
      </c>
      <c r="D1920" s="626" t="s">
        <v>45</v>
      </c>
      <c r="E1920" s="626" t="s">
        <v>2282</v>
      </c>
      <c r="F1920" s="654" t="s">
        <v>502</v>
      </c>
      <c r="G1920" s="575">
        <v>9806269523</v>
      </c>
      <c r="H1920" s="626"/>
      <c r="I1920" s="575">
        <v>55</v>
      </c>
      <c r="J1920" s="575" t="s">
        <v>90</v>
      </c>
      <c r="K1920" s="575" t="s">
        <v>53</v>
      </c>
      <c r="L1920" s="575"/>
      <c r="M1920" s="560" t="s">
        <v>119</v>
      </c>
      <c r="N1920" s="752">
        <v>65036</v>
      </c>
      <c r="O1920" s="645"/>
      <c r="P1920" s="712">
        <v>65051</v>
      </c>
      <c r="Q1920" s="713" t="s">
        <v>51</v>
      </c>
    </row>
    <row r="1921" spans="1:19" ht="18">
      <c r="A1921" s="512">
        <f t="shared" si="22"/>
        <v>1074</v>
      </c>
      <c r="B1921" s="655" t="s">
        <v>43</v>
      </c>
      <c r="C1921" s="626" t="s">
        <v>44</v>
      </c>
      <c r="D1921" s="626" t="s">
        <v>45</v>
      </c>
      <c r="E1921" s="626" t="s">
        <v>2283</v>
      </c>
      <c r="F1921" s="654" t="s">
        <v>497</v>
      </c>
      <c r="G1921" s="575">
        <v>9844924045</v>
      </c>
      <c r="H1921" s="626"/>
      <c r="I1921" s="575">
        <v>32</v>
      </c>
      <c r="J1921" s="575" t="s">
        <v>48</v>
      </c>
      <c r="K1921" s="575" t="s">
        <v>53</v>
      </c>
      <c r="L1921" s="575"/>
      <c r="M1921" s="560" t="s">
        <v>119</v>
      </c>
      <c r="N1921" s="752">
        <v>65036</v>
      </c>
      <c r="O1921" s="645"/>
      <c r="P1921" s="712">
        <v>65051</v>
      </c>
      <c r="Q1921" s="713" t="s">
        <v>51</v>
      </c>
    </row>
    <row r="1922" spans="1:19" ht="18">
      <c r="A1922" s="512">
        <f t="shared" si="22"/>
        <v>1075</v>
      </c>
      <c r="B1922" s="655" t="s">
        <v>43</v>
      </c>
      <c r="C1922" s="626" t="s">
        <v>44</v>
      </c>
      <c r="D1922" s="626" t="s">
        <v>45</v>
      </c>
      <c r="E1922" s="626" t="s">
        <v>2284</v>
      </c>
      <c r="F1922" s="654" t="s">
        <v>1008</v>
      </c>
      <c r="G1922" s="575">
        <v>9847925461</v>
      </c>
      <c r="H1922" s="626"/>
      <c r="I1922" s="575">
        <v>15</v>
      </c>
      <c r="J1922" s="575" t="s">
        <v>90</v>
      </c>
      <c r="K1922" s="575" t="s">
        <v>53</v>
      </c>
      <c r="L1922" s="575"/>
      <c r="M1922" s="560" t="s">
        <v>119</v>
      </c>
      <c r="N1922" s="752">
        <v>65036</v>
      </c>
      <c r="O1922" s="645"/>
      <c r="P1922" s="712">
        <v>65051</v>
      </c>
      <c r="Q1922" s="713" t="s">
        <v>51</v>
      </c>
    </row>
    <row r="1923" spans="1:19" ht="18">
      <c r="A1923" s="512">
        <f t="shared" si="22"/>
        <v>1076</v>
      </c>
      <c r="B1923" s="655" t="s">
        <v>43</v>
      </c>
      <c r="C1923" s="626" t="s">
        <v>44</v>
      </c>
      <c r="D1923" s="626" t="s">
        <v>45</v>
      </c>
      <c r="E1923" s="626" t="s">
        <v>2285</v>
      </c>
      <c r="F1923" s="654" t="s">
        <v>491</v>
      </c>
      <c r="G1923" s="575">
        <v>9847836685</v>
      </c>
      <c r="H1923" s="626"/>
      <c r="I1923" s="575">
        <v>53</v>
      </c>
      <c r="J1923" s="575" t="s">
        <v>48</v>
      </c>
      <c r="K1923" s="575" t="s">
        <v>53</v>
      </c>
      <c r="L1923" s="575"/>
      <c r="M1923" s="560" t="s">
        <v>119</v>
      </c>
      <c r="N1923" s="752">
        <v>65036</v>
      </c>
      <c r="O1923" s="645"/>
      <c r="P1923" s="712">
        <v>65051</v>
      </c>
      <c r="Q1923" s="713" t="s">
        <v>51</v>
      </c>
    </row>
    <row r="1924" spans="1:19" ht="18">
      <c r="A1924" s="512">
        <f t="shared" si="22"/>
        <v>1077</v>
      </c>
      <c r="B1924" s="655" t="s">
        <v>43</v>
      </c>
      <c r="C1924" s="626" t="s">
        <v>44</v>
      </c>
      <c r="D1924" s="626" t="s">
        <v>45</v>
      </c>
      <c r="E1924" s="626" t="s">
        <v>2286</v>
      </c>
      <c r="F1924" s="654" t="s">
        <v>1008</v>
      </c>
      <c r="G1924" s="575"/>
      <c r="H1924" s="626"/>
      <c r="I1924" s="575">
        <v>32</v>
      </c>
      <c r="J1924" s="575" t="s">
        <v>48</v>
      </c>
      <c r="K1924" s="575" t="s">
        <v>53</v>
      </c>
      <c r="L1924" s="575"/>
      <c r="M1924" s="560" t="s">
        <v>119</v>
      </c>
      <c r="N1924" s="752">
        <v>65036</v>
      </c>
      <c r="O1924" s="645"/>
      <c r="P1924" s="712">
        <v>65051</v>
      </c>
      <c r="Q1924" s="713" t="s">
        <v>51</v>
      </c>
    </row>
    <row r="1925" spans="1:19" ht="18">
      <c r="A1925" s="512">
        <f t="shared" si="22"/>
        <v>1078</v>
      </c>
      <c r="B1925" s="655" t="s">
        <v>43</v>
      </c>
      <c r="C1925" s="626" t="s">
        <v>44</v>
      </c>
      <c r="D1925" s="626" t="s">
        <v>45</v>
      </c>
      <c r="E1925" s="626" t="s">
        <v>2287</v>
      </c>
      <c r="F1925" s="654" t="s">
        <v>491</v>
      </c>
      <c r="G1925" s="575">
        <v>9868039807</v>
      </c>
      <c r="H1925" s="626"/>
      <c r="I1925" s="575">
        <v>35</v>
      </c>
      <c r="J1925" s="575" t="s">
        <v>90</v>
      </c>
      <c r="K1925" s="575" t="s">
        <v>53</v>
      </c>
      <c r="L1925" s="575"/>
      <c r="M1925" s="560" t="s">
        <v>119</v>
      </c>
      <c r="N1925" s="752">
        <v>65036</v>
      </c>
      <c r="O1925" s="645"/>
      <c r="P1925" s="712">
        <v>65051</v>
      </c>
      <c r="Q1925" s="713" t="s">
        <v>51</v>
      </c>
    </row>
    <row r="1926" spans="1:19" ht="18">
      <c r="A1926" s="512">
        <f t="shared" si="22"/>
        <v>1079</v>
      </c>
      <c r="B1926" s="655" t="s">
        <v>43</v>
      </c>
      <c r="C1926" s="626" t="s">
        <v>44</v>
      </c>
      <c r="D1926" s="626" t="s">
        <v>45</v>
      </c>
      <c r="E1926" s="626" t="s">
        <v>2288</v>
      </c>
      <c r="F1926" s="654" t="s">
        <v>124</v>
      </c>
      <c r="G1926" s="575">
        <v>9848541400</v>
      </c>
      <c r="H1926" s="626"/>
      <c r="I1926" s="575">
        <v>18</v>
      </c>
      <c r="J1926" s="575" t="s">
        <v>48</v>
      </c>
      <c r="K1926" s="575" t="s">
        <v>53</v>
      </c>
      <c r="L1926" s="575"/>
      <c r="M1926" s="560" t="s">
        <v>119</v>
      </c>
      <c r="N1926" s="752">
        <v>65036</v>
      </c>
      <c r="O1926" s="645"/>
      <c r="P1926" s="712">
        <v>65051</v>
      </c>
      <c r="Q1926" s="713" t="s">
        <v>51</v>
      </c>
    </row>
    <row r="1927" spans="1:19" ht="18">
      <c r="A1927" s="512">
        <f t="shared" si="22"/>
        <v>1080</v>
      </c>
      <c r="B1927" s="655" t="s">
        <v>43</v>
      </c>
      <c r="C1927" s="626" t="s">
        <v>44</v>
      </c>
      <c r="D1927" s="626" t="s">
        <v>45</v>
      </c>
      <c r="E1927" s="626" t="s">
        <v>2289</v>
      </c>
      <c r="F1927" s="654" t="s">
        <v>491</v>
      </c>
      <c r="G1927" s="575">
        <v>9847830976</v>
      </c>
      <c r="H1927" s="626"/>
      <c r="I1927" s="575">
        <v>53</v>
      </c>
      <c r="J1927" s="575" t="s">
        <v>48</v>
      </c>
      <c r="K1927" s="575" t="s">
        <v>53</v>
      </c>
      <c r="L1927" s="575"/>
      <c r="M1927" s="560" t="s">
        <v>119</v>
      </c>
      <c r="N1927" s="752">
        <v>65036</v>
      </c>
      <c r="O1927" s="645"/>
      <c r="P1927" s="712">
        <v>65051</v>
      </c>
      <c r="Q1927" s="713" t="s">
        <v>51</v>
      </c>
    </row>
    <row r="1928" spans="1:19" ht="18">
      <c r="A1928" s="512">
        <f t="shared" si="22"/>
        <v>1081</v>
      </c>
      <c r="B1928" s="655" t="s">
        <v>43</v>
      </c>
      <c r="C1928" s="626" t="s">
        <v>44</v>
      </c>
      <c r="D1928" s="626" t="s">
        <v>45</v>
      </c>
      <c r="E1928" s="626" t="s">
        <v>2290</v>
      </c>
      <c r="F1928" s="654" t="s">
        <v>529</v>
      </c>
      <c r="G1928" s="575">
        <v>9848222033</v>
      </c>
      <c r="H1928" s="626"/>
      <c r="I1928" s="575">
        <v>73</v>
      </c>
      <c r="J1928" s="575" t="s">
        <v>90</v>
      </c>
      <c r="K1928" s="575" t="s">
        <v>53</v>
      </c>
      <c r="L1928" s="575"/>
      <c r="M1928" s="560" t="s">
        <v>119</v>
      </c>
      <c r="N1928" s="752">
        <v>65036</v>
      </c>
      <c r="O1928" s="645"/>
      <c r="P1928" s="712">
        <v>65051</v>
      </c>
      <c r="Q1928" s="713" t="s">
        <v>51</v>
      </c>
    </row>
    <row r="1929" spans="1:19" ht="18">
      <c r="A1929" s="512">
        <f t="shared" si="22"/>
        <v>1082</v>
      </c>
      <c r="B1929" s="655" t="s">
        <v>43</v>
      </c>
      <c r="C1929" s="626" t="s">
        <v>44</v>
      </c>
      <c r="D1929" s="626" t="s">
        <v>45</v>
      </c>
      <c r="E1929" s="626" t="s">
        <v>2291</v>
      </c>
      <c r="F1929" s="654" t="s">
        <v>791</v>
      </c>
      <c r="G1929" s="575">
        <v>9809879446</v>
      </c>
      <c r="H1929" s="626"/>
      <c r="I1929" s="575">
        <v>61</v>
      </c>
      <c r="J1929" s="575" t="s">
        <v>90</v>
      </c>
      <c r="K1929" s="575" t="s">
        <v>53</v>
      </c>
      <c r="L1929" s="575"/>
      <c r="M1929" s="560" t="s">
        <v>119</v>
      </c>
      <c r="N1929" s="752">
        <v>65036</v>
      </c>
      <c r="O1929" s="645"/>
      <c r="P1929" s="712">
        <v>65051</v>
      </c>
      <c r="Q1929" s="713" t="s">
        <v>51</v>
      </c>
    </row>
    <row r="1930" spans="1:19" ht="18">
      <c r="A1930" s="512">
        <f t="shared" si="22"/>
        <v>1083</v>
      </c>
      <c r="B1930" s="655" t="s">
        <v>43</v>
      </c>
      <c r="C1930" s="626" t="s">
        <v>44</v>
      </c>
      <c r="D1930" s="626" t="s">
        <v>45</v>
      </c>
      <c r="E1930" s="626" t="s">
        <v>2292</v>
      </c>
      <c r="F1930" s="654" t="s">
        <v>502</v>
      </c>
      <c r="G1930" s="575"/>
      <c r="H1930" s="626"/>
      <c r="I1930" s="575">
        <v>32</v>
      </c>
      <c r="J1930" s="575" t="s">
        <v>48</v>
      </c>
      <c r="K1930" s="575" t="s">
        <v>53</v>
      </c>
      <c r="L1930" s="575"/>
      <c r="M1930" s="560" t="s">
        <v>119</v>
      </c>
      <c r="N1930" s="752">
        <v>65036</v>
      </c>
      <c r="O1930" s="645"/>
      <c r="P1930" s="712">
        <v>65051</v>
      </c>
      <c r="Q1930" s="713" t="s">
        <v>51</v>
      </c>
    </row>
    <row r="1931" spans="1:19" ht="18">
      <c r="A1931" s="512">
        <f t="shared" si="22"/>
        <v>1084</v>
      </c>
      <c r="B1931" s="655" t="s">
        <v>43</v>
      </c>
      <c r="C1931" s="626" t="s">
        <v>44</v>
      </c>
      <c r="D1931" s="626" t="s">
        <v>45</v>
      </c>
      <c r="E1931" s="626" t="s">
        <v>2293</v>
      </c>
      <c r="F1931" s="654" t="s">
        <v>441</v>
      </c>
      <c r="G1931" s="575"/>
      <c r="H1931" s="626"/>
      <c r="I1931" s="575">
        <v>47</v>
      </c>
      <c r="J1931" s="575" t="s">
        <v>48</v>
      </c>
      <c r="K1931" s="575" t="s">
        <v>53</v>
      </c>
      <c r="L1931" s="575"/>
      <c r="M1931" s="560" t="s">
        <v>119</v>
      </c>
      <c r="N1931" s="752">
        <v>65036</v>
      </c>
      <c r="O1931" s="645"/>
      <c r="P1931" s="712">
        <v>65051</v>
      </c>
      <c r="Q1931" s="713" t="s">
        <v>51</v>
      </c>
    </row>
    <row r="1932" spans="1:19" s="163" customFormat="1" ht="18">
      <c r="A1932" s="512">
        <f t="shared" si="22"/>
        <v>1085</v>
      </c>
      <c r="B1932" s="655" t="s">
        <v>43</v>
      </c>
      <c r="C1932" s="626" t="s">
        <v>44</v>
      </c>
      <c r="D1932" s="626" t="s">
        <v>45</v>
      </c>
      <c r="E1932" s="624" t="s">
        <v>2294</v>
      </c>
      <c r="F1932" s="654" t="s">
        <v>491</v>
      </c>
      <c r="G1932" s="575">
        <v>9843401602</v>
      </c>
      <c r="H1932" s="626"/>
      <c r="I1932" s="575">
        <v>27</v>
      </c>
      <c r="J1932" s="575" t="s">
        <v>90</v>
      </c>
      <c r="K1932" s="575" t="s">
        <v>53</v>
      </c>
      <c r="L1932" s="575"/>
      <c r="M1932" s="560" t="s">
        <v>119</v>
      </c>
      <c r="N1932" s="752">
        <v>65036</v>
      </c>
      <c r="O1932" s="645"/>
      <c r="P1932" s="712">
        <v>65051</v>
      </c>
      <c r="Q1932" s="713" t="s">
        <v>51</v>
      </c>
      <c r="R1932" s="322"/>
      <c r="S1932" s="322"/>
    </row>
    <row r="1933" spans="1:19" ht="18">
      <c r="A1933" s="512">
        <f t="shared" si="22"/>
        <v>1086</v>
      </c>
      <c r="B1933" s="655" t="s">
        <v>43</v>
      </c>
      <c r="C1933" s="626" t="s">
        <v>44</v>
      </c>
      <c r="D1933" s="626" t="s">
        <v>45</v>
      </c>
      <c r="E1933" s="626" t="s">
        <v>2295</v>
      </c>
      <c r="F1933" s="654" t="s">
        <v>124</v>
      </c>
      <c r="G1933" s="575">
        <v>9857821088</v>
      </c>
      <c r="H1933" s="626"/>
      <c r="I1933" s="575">
        <v>48</v>
      </c>
      <c r="J1933" s="575" t="s">
        <v>48</v>
      </c>
      <c r="K1933" s="575" t="s">
        <v>53</v>
      </c>
      <c r="L1933" s="575"/>
      <c r="M1933" s="560" t="s">
        <v>119</v>
      </c>
      <c r="N1933" s="752">
        <v>65036</v>
      </c>
      <c r="O1933" s="645"/>
      <c r="P1933" s="712">
        <v>65051</v>
      </c>
      <c r="Q1933" s="713" t="s">
        <v>51</v>
      </c>
    </row>
    <row r="1934" spans="1:19" ht="18">
      <c r="A1934" s="512">
        <f t="shared" si="22"/>
        <v>1087</v>
      </c>
      <c r="B1934" s="655" t="s">
        <v>43</v>
      </c>
      <c r="C1934" s="626" t="s">
        <v>44</v>
      </c>
      <c r="D1934" s="626" t="s">
        <v>45</v>
      </c>
      <c r="E1934" s="626" t="s">
        <v>2296</v>
      </c>
      <c r="F1934" s="654" t="s">
        <v>510</v>
      </c>
      <c r="G1934" s="575"/>
      <c r="H1934" s="626"/>
      <c r="I1934" s="575">
        <v>44</v>
      </c>
      <c r="J1934" s="575" t="s">
        <v>48</v>
      </c>
      <c r="K1934" s="575" t="s">
        <v>53</v>
      </c>
      <c r="L1934" s="575"/>
      <c r="M1934" s="560" t="s">
        <v>119</v>
      </c>
      <c r="N1934" s="752">
        <v>65036</v>
      </c>
      <c r="O1934" s="645"/>
      <c r="P1934" s="712">
        <v>65051</v>
      </c>
      <c r="Q1934" s="713" t="s">
        <v>51</v>
      </c>
    </row>
    <row r="1935" spans="1:19" ht="18">
      <c r="A1935" s="512">
        <f t="shared" si="22"/>
        <v>1088</v>
      </c>
      <c r="B1935" s="692" t="s">
        <v>43</v>
      </c>
      <c r="C1935" s="693" t="s">
        <v>44</v>
      </c>
      <c r="D1935" s="693" t="s">
        <v>45</v>
      </c>
      <c r="E1935" s="795" t="s">
        <v>2498</v>
      </c>
      <c r="F1935" s="694" t="s">
        <v>636</v>
      </c>
      <c r="G1935" s="694">
        <v>9822975253</v>
      </c>
      <c r="H1935" s="795"/>
      <c r="I1935" s="694">
        <v>50</v>
      </c>
      <c r="J1935" s="694" t="s">
        <v>48</v>
      </c>
      <c r="K1935" s="590" t="s">
        <v>2592</v>
      </c>
      <c r="L1935" s="493"/>
      <c r="M1935" s="588" t="s">
        <v>2336</v>
      </c>
      <c r="N1935" s="796">
        <v>65037</v>
      </c>
      <c r="O1935" s="797">
        <v>65037</v>
      </c>
      <c r="P1935" s="496">
        <v>65052</v>
      </c>
      <c r="Q1935" s="491" t="s">
        <v>51</v>
      </c>
    </row>
    <row r="1936" spans="1:19" ht="18">
      <c r="A1936" s="512">
        <f t="shared" si="22"/>
        <v>1089</v>
      </c>
      <c r="B1936" s="692" t="s">
        <v>43</v>
      </c>
      <c r="C1936" s="693" t="s">
        <v>44</v>
      </c>
      <c r="D1936" s="693" t="s">
        <v>45</v>
      </c>
      <c r="E1936" s="795" t="s">
        <v>2579</v>
      </c>
      <c r="F1936" s="694" t="s">
        <v>124</v>
      </c>
      <c r="G1936" s="694">
        <v>9842207507</v>
      </c>
      <c r="H1936" s="795"/>
      <c r="I1936" s="694">
        <v>24</v>
      </c>
      <c r="J1936" s="694" t="s">
        <v>90</v>
      </c>
      <c r="K1936" s="590" t="s">
        <v>2592</v>
      </c>
      <c r="L1936" s="493"/>
      <c r="M1936" s="588" t="s">
        <v>2336</v>
      </c>
      <c r="N1936" s="796">
        <v>65037</v>
      </c>
      <c r="O1936" s="797">
        <v>65037</v>
      </c>
      <c r="P1936" s="496">
        <v>65052</v>
      </c>
      <c r="Q1936" s="491" t="s">
        <v>51</v>
      </c>
    </row>
    <row r="1937" spans="1:19" ht="18">
      <c r="A1937" s="512">
        <f t="shared" si="22"/>
        <v>1090</v>
      </c>
      <c r="B1937" s="692" t="s">
        <v>43</v>
      </c>
      <c r="C1937" s="693" t="s">
        <v>44</v>
      </c>
      <c r="D1937" s="693" t="s">
        <v>45</v>
      </c>
      <c r="E1937" s="693" t="s">
        <v>2301</v>
      </c>
      <c r="F1937" s="590" t="s">
        <v>441</v>
      </c>
      <c r="G1937" s="590">
        <v>9869217490</v>
      </c>
      <c r="H1937" s="491"/>
      <c r="I1937" s="590">
        <v>24</v>
      </c>
      <c r="J1937" s="590" t="s">
        <v>48</v>
      </c>
      <c r="K1937" s="590" t="s">
        <v>53</v>
      </c>
      <c r="L1937" s="590"/>
      <c r="M1937" s="588" t="s">
        <v>2336</v>
      </c>
      <c r="N1937" s="750">
        <v>65037</v>
      </c>
      <c r="O1937" s="596">
        <v>65037</v>
      </c>
      <c r="P1937" s="496">
        <v>65052</v>
      </c>
      <c r="Q1937" s="491" t="s">
        <v>51</v>
      </c>
      <c r="R1937" s="163"/>
      <c r="S1937" s="163"/>
    </row>
    <row r="1938" spans="1:19" ht="18">
      <c r="A1938" s="512">
        <f t="shared" ref="A1938:A2001" si="23">A1937+1</f>
        <v>1091</v>
      </c>
      <c r="B1938" s="692" t="s">
        <v>43</v>
      </c>
      <c r="C1938" s="693" t="s">
        <v>44</v>
      </c>
      <c r="D1938" s="693" t="s">
        <v>45</v>
      </c>
      <c r="E1938" s="795" t="s">
        <v>2575</v>
      </c>
      <c r="F1938" s="694" t="s">
        <v>529</v>
      </c>
      <c r="G1938" s="694">
        <v>9847946045</v>
      </c>
      <c r="H1938" s="795"/>
      <c r="I1938" s="694">
        <v>52</v>
      </c>
      <c r="J1938" s="694" t="s">
        <v>48</v>
      </c>
      <c r="K1938" s="590" t="s">
        <v>2592</v>
      </c>
      <c r="L1938" s="493"/>
      <c r="M1938" s="588" t="s">
        <v>2336</v>
      </c>
      <c r="N1938" s="796">
        <v>65037</v>
      </c>
      <c r="O1938" s="797">
        <v>65037</v>
      </c>
      <c r="P1938" s="496">
        <v>65052</v>
      </c>
      <c r="Q1938" s="491" t="s">
        <v>51</v>
      </c>
    </row>
    <row r="1939" spans="1:19" ht="18">
      <c r="A1939" s="512">
        <f t="shared" si="23"/>
        <v>1092</v>
      </c>
      <c r="B1939" s="669" t="s">
        <v>43</v>
      </c>
      <c r="C1939" s="640" t="s">
        <v>44</v>
      </c>
      <c r="D1939" s="640" t="s">
        <v>45</v>
      </c>
      <c r="E1939" s="640" t="s">
        <v>2302</v>
      </c>
      <c r="F1939" s="635" t="s">
        <v>502</v>
      </c>
      <c r="G1939" s="635"/>
      <c r="H1939" s="436"/>
      <c r="I1939" s="635">
        <v>62</v>
      </c>
      <c r="J1939" s="635" t="s">
        <v>48</v>
      </c>
      <c r="K1939" s="635" t="s">
        <v>53</v>
      </c>
      <c r="L1939" s="635"/>
      <c r="M1939" s="592" t="s">
        <v>2009</v>
      </c>
      <c r="N1939" s="748">
        <v>65037</v>
      </c>
      <c r="O1939" s="593">
        <v>65037</v>
      </c>
      <c r="P1939" s="465">
        <v>65061</v>
      </c>
      <c r="Q1939" s="436" t="s">
        <v>51</v>
      </c>
    </row>
    <row r="1940" spans="1:19" ht="18">
      <c r="A1940" s="512">
        <f t="shared" si="23"/>
        <v>1093</v>
      </c>
      <c r="B1940" s="692" t="s">
        <v>43</v>
      </c>
      <c r="C1940" s="693" t="s">
        <v>44</v>
      </c>
      <c r="D1940" s="693" t="s">
        <v>45</v>
      </c>
      <c r="E1940" s="795" t="s">
        <v>2555</v>
      </c>
      <c r="F1940" s="694" t="s">
        <v>441</v>
      </c>
      <c r="G1940" s="694">
        <v>9847823019</v>
      </c>
      <c r="H1940" s="795"/>
      <c r="I1940" s="694">
        <v>36</v>
      </c>
      <c r="J1940" s="694" t="s">
        <v>90</v>
      </c>
      <c r="K1940" s="590" t="s">
        <v>2592</v>
      </c>
      <c r="L1940" s="493"/>
      <c r="M1940" s="588" t="s">
        <v>2336</v>
      </c>
      <c r="N1940" s="796">
        <v>65037</v>
      </c>
      <c r="O1940" s="797">
        <v>65037</v>
      </c>
      <c r="P1940" s="496">
        <v>65052</v>
      </c>
      <c r="Q1940" s="491" t="s">
        <v>51</v>
      </c>
    </row>
    <row r="1941" spans="1:19" ht="18">
      <c r="A1941" s="512">
        <f t="shared" si="23"/>
        <v>1094</v>
      </c>
      <c r="B1941" s="692" t="s">
        <v>43</v>
      </c>
      <c r="C1941" s="693" t="s">
        <v>44</v>
      </c>
      <c r="D1941" s="693" t="s">
        <v>45</v>
      </c>
      <c r="E1941" s="795" t="s">
        <v>2576</v>
      </c>
      <c r="F1941" s="694" t="s">
        <v>124</v>
      </c>
      <c r="G1941" s="694">
        <v>9847946492</v>
      </c>
      <c r="H1941" s="795"/>
      <c r="I1941" s="694">
        <v>25</v>
      </c>
      <c r="J1941" s="694" t="s">
        <v>90</v>
      </c>
      <c r="K1941" s="590" t="s">
        <v>2592</v>
      </c>
      <c r="L1941" s="493"/>
      <c r="M1941" s="588" t="s">
        <v>2336</v>
      </c>
      <c r="N1941" s="796">
        <v>65037</v>
      </c>
      <c r="O1941" s="797">
        <v>65037</v>
      </c>
      <c r="P1941" s="496">
        <v>65052</v>
      </c>
      <c r="Q1941" s="491" t="s">
        <v>51</v>
      </c>
    </row>
    <row r="1942" spans="1:19" ht="18">
      <c r="A1942" s="512">
        <f t="shared" si="23"/>
        <v>1095</v>
      </c>
      <c r="B1942" s="692" t="s">
        <v>43</v>
      </c>
      <c r="C1942" s="693" t="s">
        <v>44</v>
      </c>
      <c r="D1942" s="693" t="s">
        <v>45</v>
      </c>
      <c r="E1942" s="693" t="s">
        <v>2303</v>
      </c>
      <c r="F1942" s="590" t="s">
        <v>491</v>
      </c>
      <c r="G1942" s="590">
        <v>9857825625</v>
      </c>
      <c r="H1942" s="491"/>
      <c r="I1942" s="590">
        <v>29</v>
      </c>
      <c r="J1942" s="590" t="s">
        <v>48</v>
      </c>
      <c r="K1942" s="590" t="s">
        <v>53</v>
      </c>
      <c r="L1942" s="590"/>
      <c r="M1942" s="588" t="s">
        <v>2336</v>
      </c>
      <c r="N1942" s="750">
        <v>65037</v>
      </c>
      <c r="O1942" s="596">
        <v>65037</v>
      </c>
      <c r="P1942" s="496">
        <v>65052</v>
      </c>
      <c r="Q1942" s="491" t="s">
        <v>51</v>
      </c>
    </row>
    <row r="1943" spans="1:19" ht="18">
      <c r="A1943" s="512">
        <f t="shared" si="23"/>
        <v>1096</v>
      </c>
      <c r="B1943" s="692" t="s">
        <v>43</v>
      </c>
      <c r="C1943" s="693" t="s">
        <v>44</v>
      </c>
      <c r="D1943" s="693" t="s">
        <v>45</v>
      </c>
      <c r="E1943" s="693" t="s">
        <v>2304</v>
      </c>
      <c r="F1943" s="590" t="s">
        <v>502</v>
      </c>
      <c r="G1943" s="590">
        <v>9809791947</v>
      </c>
      <c r="H1943" s="491"/>
      <c r="I1943" s="590">
        <v>33</v>
      </c>
      <c r="J1943" s="590" t="s">
        <v>48</v>
      </c>
      <c r="K1943" s="590" t="s">
        <v>53</v>
      </c>
      <c r="L1943" s="590"/>
      <c r="M1943" s="588" t="s">
        <v>2336</v>
      </c>
      <c r="N1943" s="750">
        <v>65037</v>
      </c>
      <c r="O1943" s="596">
        <v>65037</v>
      </c>
      <c r="P1943" s="496">
        <v>65052</v>
      </c>
      <c r="Q1943" s="491" t="s">
        <v>51</v>
      </c>
    </row>
    <row r="1944" spans="1:19" ht="18">
      <c r="A1944" s="512">
        <f t="shared" si="23"/>
        <v>1097</v>
      </c>
      <c r="B1944" s="692" t="s">
        <v>43</v>
      </c>
      <c r="C1944" s="693" t="s">
        <v>44</v>
      </c>
      <c r="D1944" s="693" t="s">
        <v>45</v>
      </c>
      <c r="E1944" s="693" t="s">
        <v>2305</v>
      </c>
      <c r="F1944" s="590" t="s">
        <v>441</v>
      </c>
      <c r="G1944" s="590">
        <v>9843287393</v>
      </c>
      <c r="H1944" s="491"/>
      <c r="I1944" s="590">
        <v>66</v>
      </c>
      <c r="J1944" s="590" t="s">
        <v>48</v>
      </c>
      <c r="K1944" s="590" t="s">
        <v>53</v>
      </c>
      <c r="L1944" s="590"/>
      <c r="M1944" s="588" t="s">
        <v>2336</v>
      </c>
      <c r="N1944" s="750">
        <v>65037</v>
      </c>
      <c r="O1944" s="596">
        <v>65037</v>
      </c>
      <c r="P1944" s="496">
        <v>65052</v>
      </c>
      <c r="Q1944" s="491" t="s">
        <v>51</v>
      </c>
    </row>
    <row r="1945" spans="1:19" ht="18">
      <c r="A1945" s="512">
        <f t="shared" si="23"/>
        <v>1098</v>
      </c>
      <c r="B1945" s="692" t="s">
        <v>43</v>
      </c>
      <c r="C1945" s="693" t="s">
        <v>44</v>
      </c>
      <c r="D1945" s="693" t="s">
        <v>45</v>
      </c>
      <c r="E1945" s="795" t="s">
        <v>2550</v>
      </c>
      <c r="F1945" s="694" t="s">
        <v>491</v>
      </c>
      <c r="G1945" s="694">
        <v>9866526556</v>
      </c>
      <c r="H1945" s="795"/>
      <c r="I1945" s="694">
        <v>41</v>
      </c>
      <c r="J1945" s="694" t="s">
        <v>48</v>
      </c>
      <c r="K1945" s="590" t="s">
        <v>2592</v>
      </c>
      <c r="L1945" s="493"/>
      <c r="M1945" s="588" t="s">
        <v>2336</v>
      </c>
      <c r="N1945" s="796">
        <v>65037</v>
      </c>
      <c r="O1945" s="797">
        <v>65037</v>
      </c>
      <c r="P1945" s="496">
        <v>65052</v>
      </c>
      <c r="Q1945" s="491" t="s">
        <v>51</v>
      </c>
    </row>
    <row r="1946" spans="1:19" ht="18">
      <c r="A1946" s="512">
        <f t="shared" si="23"/>
        <v>1099</v>
      </c>
      <c r="B1946" s="692" t="s">
        <v>43</v>
      </c>
      <c r="C1946" s="693" t="s">
        <v>44</v>
      </c>
      <c r="D1946" s="693" t="s">
        <v>45</v>
      </c>
      <c r="E1946" s="795" t="s">
        <v>2520</v>
      </c>
      <c r="F1946" s="694" t="s">
        <v>502</v>
      </c>
      <c r="G1946" s="694">
        <v>9829552090</v>
      </c>
      <c r="H1946" s="795"/>
      <c r="I1946" s="694">
        <v>31</v>
      </c>
      <c r="J1946" s="694" t="s">
        <v>90</v>
      </c>
      <c r="K1946" s="590" t="s">
        <v>2592</v>
      </c>
      <c r="L1946" s="493"/>
      <c r="M1946" s="588" t="s">
        <v>2336</v>
      </c>
      <c r="N1946" s="796">
        <v>65037</v>
      </c>
      <c r="O1946" s="797">
        <v>65037</v>
      </c>
      <c r="P1946" s="496">
        <v>65052</v>
      </c>
      <c r="Q1946" s="491" t="s">
        <v>51</v>
      </c>
    </row>
    <row r="1947" spans="1:19" ht="18">
      <c r="A1947" s="512">
        <f t="shared" si="23"/>
        <v>1100</v>
      </c>
      <c r="B1947" s="692" t="s">
        <v>43</v>
      </c>
      <c r="C1947" s="693" t="s">
        <v>44</v>
      </c>
      <c r="D1947" s="693" t="s">
        <v>45</v>
      </c>
      <c r="E1947" s="795" t="s">
        <v>2581</v>
      </c>
      <c r="F1947" s="694" t="s">
        <v>124</v>
      </c>
      <c r="G1947" s="694">
        <v>9866821900</v>
      </c>
      <c r="H1947" s="795"/>
      <c r="I1947" s="694">
        <v>41</v>
      </c>
      <c r="J1947" s="694" t="s">
        <v>90</v>
      </c>
      <c r="K1947" s="590" t="s">
        <v>2592</v>
      </c>
      <c r="L1947" s="493"/>
      <c r="M1947" s="588" t="s">
        <v>2336</v>
      </c>
      <c r="N1947" s="796">
        <v>65037</v>
      </c>
      <c r="O1947" s="797">
        <v>65037</v>
      </c>
      <c r="P1947" s="496">
        <v>65052</v>
      </c>
      <c r="Q1947" s="491" t="s">
        <v>51</v>
      </c>
    </row>
    <row r="1948" spans="1:19" ht="18">
      <c r="A1948" s="512">
        <f t="shared" si="23"/>
        <v>1101</v>
      </c>
      <c r="B1948" s="692" t="s">
        <v>43</v>
      </c>
      <c r="C1948" s="693" t="s">
        <v>44</v>
      </c>
      <c r="D1948" s="693" t="s">
        <v>45</v>
      </c>
      <c r="E1948" s="795" t="s">
        <v>2570</v>
      </c>
      <c r="F1948" s="694" t="s">
        <v>529</v>
      </c>
      <c r="G1948" s="694">
        <v>9822868686</v>
      </c>
      <c r="H1948" s="795"/>
      <c r="I1948" s="694">
        <v>50</v>
      </c>
      <c r="J1948" s="694" t="s">
        <v>90</v>
      </c>
      <c r="K1948" s="590" t="s">
        <v>2592</v>
      </c>
      <c r="L1948" s="493"/>
      <c r="M1948" s="588" t="s">
        <v>2336</v>
      </c>
      <c r="N1948" s="796">
        <v>65037</v>
      </c>
      <c r="O1948" s="797">
        <v>65037</v>
      </c>
      <c r="P1948" s="496">
        <v>65052</v>
      </c>
      <c r="Q1948" s="491" t="s">
        <v>51</v>
      </c>
    </row>
    <row r="1949" spans="1:19" ht="18">
      <c r="A1949" s="512">
        <f t="shared" si="23"/>
        <v>1102</v>
      </c>
      <c r="B1949" s="692" t="s">
        <v>43</v>
      </c>
      <c r="C1949" s="693" t="s">
        <v>44</v>
      </c>
      <c r="D1949" s="693" t="s">
        <v>45</v>
      </c>
      <c r="E1949" s="795" t="s">
        <v>2517</v>
      </c>
      <c r="F1949" s="694" t="s">
        <v>502</v>
      </c>
      <c r="G1949" s="694">
        <v>9868902662</v>
      </c>
      <c r="H1949" s="795"/>
      <c r="I1949" s="694">
        <v>49</v>
      </c>
      <c r="J1949" s="694" t="s">
        <v>90</v>
      </c>
      <c r="K1949" s="590" t="s">
        <v>2592</v>
      </c>
      <c r="L1949" s="493"/>
      <c r="M1949" s="588" t="s">
        <v>2336</v>
      </c>
      <c r="N1949" s="796">
        <v>65037</v>
      </c>
      <c r="O1949" s="797">
        <v>65037</v>
      </c>
      <c r="P1949" s="496">
        <v>65052</v>
      </c>
      <c r="Q1949" s="491" t="s">
        <v>51</v>
      </c>
    </row>
    <row r="1950" spans="1:19" ht="18">
      <c r="A1950" s="512">
        <f t="shared" si="23"/>
        <v>1103</v>
      </c>
      <c r="B1950" s="692" t="s">
        <v>43</v>
      </c>
      <c r="C1950" s="693" t="s">
        <v>44</v>
      </c>
      <c r="D1950" s="693" t="s">
        <v>45</v>
      </c>
      <c r="E1950" s="693" t="s">
        <v>2306</v>
      </c>
      <c r="F1950" s="590" t="s">
        <v>791</v>
      </c>
      <c r="G1950" s="590">
        <v>9846881926</v>
      </c>
      <c r="H1950" s="491"/>
      <c r="I1950" s="590">
        <v>39</v>
      </c>
      <c r="J1950" s="590" t="s">
        <v>90</v>
      </c>
      <c r="K1950" s="590" t="s">
        <v>1468</v>
      </c>
      <c r="L1950" s="590"/>
      <c r="M1950" s="588" t="s">
        <v>2336</v>
      </c>
      <c r="N1950" s="750">
        <v>65037</v>
      </c>
      <c r="O1950" s="596">
        <v>65037</v>
      </c>
      <c r="P1950" s="496">
        <v>65052</v>
      </c>
      <c r="Q1950" s="491" t="s">
        <v>51</v>
      </c>
    </row>
    <row r="1951" spans="1:19" ht="18">
      <c r="A1951" s="512">
        <f t="shared" si="23"/>
        <v>1104</v>
      </c>
      <c r="B1951" s="692" t="s">
        <v>43</v>
      </c>
      <c r="C1951" s="693" t="s">
        <v>44</v>
      </c>
      <c r="D1951" s="693" t="s">
        <v>45</v>
      </c>
      <c r="E1951" s="693" t="s">
        <v>2307</v>
      </c>
      <c r="F1951" s="590" t="s">
        <v>441</v>
      </c>
      <c r="G1951" s="590">
        <v>9857890008</v>
      </c>
      <c r="H1951" s="491"/>
      <c r="I1951" s="590">
        <v>38</v>
      </c>
      <c r="J1951" s="590" t="s">
        <v>48</v>
      </c>
      <c r="K1951" s="590" t="s">
        <v>53</v>
      </c>
      <c r="L1951" s="590"/>
      <c r="M1951" s="588" t="s">
        <v>2336</v>
      </c>
      <c r="N1951" s="750">
        <v>65037</v>
      </c>
      <c r="O1951" s="596">
        <v>65037</v>
      </c>
      <c r="P1951" s="496">
        <v>65052</v>
      </c>
      <c r="Q1951" s="491" t="s">
        <v>51</v>
      </c>
    </row>
    <row r="1952" spans="1:19" s="163" customFormat="1" ht="18">
      <c r="A1952" s="512">
        <f t="shared" si="23"/>
        <v>1105</v>
      </c>
      <c r="B1952" s="692" t="s">
        <v>43</v>
      </c>
      <c r="C1952" s="693" t="s">
        <v>44</v>
      </c>
      <c r="D1952" s="693" t="s">
        <v>45</v>
      </c>
      <c r="E1952" s="795" t="s">
        <v>2533</v>
      </c>
      <c r="F1952" s="694" t="s">
        <v>491</v>
      </c>
      <c r="G1952" s="694">
        <v>9847824832</v>
      </c>
      <c r="H1952" s="795"/>
      <c r="I1952" s="694">
        <v>50</v>
      </c>
      <c r="J1952" s="694" t="s">
        <v>90</v>
      </c>
      <c r="K1952" s="590" t="s">
        <v>2592</v>
      </c>
      <c r="L1952" s="493"/>
      <c r="M1952" s="588" t="s">
        <v>2336</v>
      </c>
      <c r="N1952" s="796">
        <v>65037</v>
      </c>
      <c r="O1952" s="797">
        <v>65037</v>
      </c>
      <c r="P1952" s="496">
        <v>65052</v>
      </c>
      <c r="Q1952" s="491" t="s">
        <v>51</v>
      </c>
      <c r="R1952" s="322"/>
      <c r="S1952" s="322"/>
    </row>
    <row r="1953" spans="1:19" ht="18">
      <c r="A1953" s="512">
        <f t="shared" si="23"/>
        <v>1106</v>
      </c>
      <c r="B1953" s="692" t="s">
        <v>43</v>
      </c>
      <c r="C1953" s="693" t="s">
        <v>44</v>
      </c>
      <c r="D1953" s="693" t="s">
        <v>45</v>
      </c>
      <c r="E1953" s="693" t="s">
        <v>2308</v>
      </c>
      <c r="F1953" s="590" t="s">
        <v>441</v>
      </c>
      <c r="G1953" s="590">
        <v>9813134967</v>
      </c>
      <c r="H1953" s="491"/>
      <c r="I1953" s="590">
        <v>40</v>
      </c>
      <c r="J1953" s="590" t="s">
        <v>48</v>
      </c>
      <c r="K1953" s="590" t="s">
        <v>53</v>
      </c>
      <c r="L1953" s="590"/>
      <c r="M1953" s="588" t="s">
        <v>2336</v>
      </c>
      <c r="N1953" s="750">
        <v>65037</v>
      </c>
      <c r="O1953" s="596">
        <v>65037</v>
      </c>
      <c r="P1953" s="496">
        <v>65052</v>
      </c>
      <c r="Q1953" s="491" t="s">
        <v>51</v>
      </c>
    </row>
    <row r="1954" spans="1:19" ht="18">
      <c r="A1954" s="512">
        <f t="shared" si="23"/>
        <v>1107</v>
      </c>
      <c r="B1954" s="692" t="s">
        <v>43</v>
      </c>
      <c r="C1954" s="693" t="s">
        <v>44</v>
      </c>
      <c r="D1954" s="693" t="s">
        <v>45</v>
      </c>
      <c r="E1954" s="795" t="s">
        <v>2534</v>
      </c>
      <c r="F1954" s="694" t="s">
        <v>491</v>
      </c>
      <c r="G1954" s="694">
        <v>9810946233</v>
      </c>
      <c r="H1954" s="795"/>
      <c r="I1954" s="694">
        <v>30</v>
      </c>
      <c r="J1954" s="694" t="s">
        <v>90</v>
      </c>
      <c r="K1954" s="590" t="s">
        <v>2592</v>
      </c>
      <c r="L1954" s="493"/>
      <c r="M1954" s="588" t="s">
        <v>2336</v>
      </c>
      <c r="N1954" s="796">
        <v>65037</v>
      </c>
      <c r="O1954" s="797">
        <v>65037</v>
      </c>
      <c r="P1954" s="496">
        <v>65052</v>
      </c>
      <c r="Q1954" s="491" t="s">
        <v>51</v>
      </c>
    </row>
    <row r="1955" spans="1:19" ht="18">
      <c r="A1955" s="512">
        <f t="shared" si="23"/>
        <v>1108</v>
      </c>
      <c r="B1955" s="692" t="s">
        <v>43</v>
      </c>
      <c r="C1955" s="693" t="s">
        <v>44</v>
      </c>
      <c r="D1955" s="693" t="s">
        <v>45</v>
      </c>
      <c r="E1955" s="795" t="s">
        <v>2580</v>
      </c>
      <c r="F1955" s="694" t="s">
        <v>124</v>
      </c>
      <c r="G1955" s="694">
        <v>9861408026</v>
      </c>
      <c r="H1955" s="795"/>
      <c r="I1955" s="694">
        <v>28</v>
      </c>
      <c r="J1955" s="694" t="s">
        <v>90</v>
      </c>
      <c r="K1955" s="590" t="s">
        <v>2592</v>
      </c>
      <c r="L1955" s="493"/>
      <c r="M1955" s="588" t="s">
        <v>2336</v>
      </c>
      <c r="N1955" s="796">
        <v>65037</v>
      </c>
      <c r="O1955" s="797">
        <v>65037</v>
      </c>
      <c r="P1955" s="496">
        <v>65052</v>
      </c>
      <c r="Q1955" s="491" t="s">
        <v>51</v>
      </c>
    </row>
    <row r="1956" spans="1:19" ht="18">
      <c r="A1956" s="512">
        <f t="shared" si="23"/>
        <v>1109</v>
      </c>
      <c r="B1956" s="692" t="s">
        <v>43</v>
      </c>
      <c r="C1956" s="693" t="s">
        <v>44</v>
      </c>
      <c r="D1956" s="693" t="s">
        <v>45</v>
      </c>
      <c r="E1956" s="795" t="s">
        <v>2577</v>
      </c>
      <c r="F1956" s="694" t="s">
        <v>124</v>
      </c>
      <c r="G1956" s="694">
        <v>9806256166</v>
      </c>
      <c r="H1956" s="795"/>
      <c r="I1956" s="694">
        <v>43</v>
      </c>
      <c r="J1956" s="694" t="s">
        <v>90</v>
      </c>
      <c r="K1956" s="590" t="s">
        <v>2592</v>
      </c>
      <c r="L1956" s="493"/>
      <c r="M1956" s="588" t="s">
        <v>2336</v>
      </c>
      <c r="N1956" s="796">
        <v>65037</v>
      </c>
      <c r="O1956" s="797">
        <v>65037</v>
      </c>
      <c r="P1956" s="496">
        <v>65052</v>
      </c>
      <c r="Q1956" s="491" t="s">
        <v>51</v>
      </c>
    </row>
    <row r="1957" spans="1:19" ht="18">
      <c r="A1957" s="512">
        <f t="shared" si="23"/>
        <v>1110</v>
      </c>
      <c r="B1957" s="692" t="s">
        <v>43</v>
      </c>
      <c r="C1957" s="693" t="s">
        <v>44</v>
      </c>
      <c r="D1957" s="693" t="s">
        <v>45</v>
      </c>
      <c r="E1957" s="795" t="s">
        <v>2497</v>
      </c>
      <c r="F1957" s="694" t="s">
        <v>636</v>
      </c>
      <c r="G1957" s="694">
        <v>9810841106</v>
      </c>
      <c r="H1957" s="795"/>
      <c r="I1957" s="694">
        <v>81</v>
      </c>
      <c r="J1957" s="694" t="s">
        <v>90</v>
      </c>
      <c r="K1957" s="590" t="s">
        <v>2592</v>
      </c>
      <c r="L1957" s="493"/>
      <c r="M1957" s="588" t="s">
        <v>2336</v>
      </c>
      <c r="N1957" s="796">
        <v>65037</v>
      </c>
      <c r="O1957" s="797">
        <v>65037</v>
      </c>
      <c r="P1957" s="496">
        <v>65052</v>
      </c>
      <c r="Q1957" s="491" t="s">
        <v>51</v>
      </c>
      <c r="R1957" s="163"/>
      <c r="S1957" s="163"/>
    </row>
    <row r="1958" spans="1:19" ht="18">
      <c r="A1958" s="512">
        <f t="shared" si="23"/>
        <v>1111</v>
      </c>
      <c r="B1958" s="692" t="s">
        <v>43</v>
      </c>
      <c r="C1958" s="693" t="s">
        <v>44</v>
      </c>
      <c r="D1958" s="693" t="s">
        <v>45</v>
      </c>
      <c r="E1958" s="693" t="s">
        <v>2309</v>
      </c>
      <c r="F1958" s="590" t="s">
        <v>502</v>
      </c>
      <c r="G1958" s="590">
        <v>9857820615</v>
      </c>
      <c r="H1958" s="491"/>
      <c r="I1958" s="590">
        <v>48</v>
      </c>
      <c r="J1958" s="590" t="s">
        <v>48</v>
      </c>
      <c r="K1958" s="590" t="s">
        <v>53</v>
      </c>
      <c r="L1958" s="590"/>
      <c r="M1958" s="588" t="s">
        <v>2336</v>
      </c>
      <c r="N1958" s="750">
        <v>65037</v>
      </c>
      <c r="O1958" s="596">
        <v>65037</v>
      </c>
      <c r="P1958" s="496">
        <v>65052</v>
      </c>
      <c r="Q1958" s="491" t="s">
        <v>51</v>
      </c>
    </row>
    <row r="1959" spans="1:19" ht="18">
      <c r="A1959" s="512">
        <f t="shared" si="23"/>
        <v>1112</v>
      </c>
      <c r="B1959" s="669" t="s">
        <v>43</v>
      </c>
      <c r="C1959" s="640" t="s">
        <v>44</v>
      </c>
      <c r="D1959" s="640" t="s">
        <v>45</v>
      </c>
      <c r="E1959" s="640" t="s">
        <v>2310</v>
      </c>
      <c r="F1959" s="635" t="s">
        <v>502</v>
      </c>
      <c r="G1959" s="635"/>
      <c r="H1959" s="436"/>
      <c r="I1959" s="635">
        <v>40</v>
      </c>
      <c r="J1959" s="635" t="s">
        <v>48</v>
      </c>
      <c r="K1959" s="635" t="s">
        <v>53</v>
      </c>
      <c r="L1959" s="635"/>
      <c r="M1959" s="592" t="s">
        <v>2009</v>
      </c>
      <c r="N1959" s="748">
        <v>65037</v>
      </c>
      <c r="O1959" s="593">
        <v>65037</v>
      </c>
      <c r="P1959" s="465">
        <v>65061</v>
      </c>
      <c r="Q1959" s="436" t="s">
        <v>51</v>
      </c>
    </row>
    <row r="1960" spans="1:19" ht="18">
      <c r="A1960" s="512">
        <f t="shared" si="23"/>
        <v>1113</v>
      </c>
      <c r="B1960" s="692" t="s">
        <v>43</v>
      </c>
      <c r="C1960" s="693" t="s">
        <v>44</v>
      </c>
      <c r="D1960" s="693" t="s">
        <v>45</v>
      </c>
      <c r="E1960" s="795" t="s">
        <v>2522</v>
      </c>
      <c r="F1960" s="694" t="s">
        <v>502</v>
      </c>
      <c r="G1960" s="694">
        <v>9857890157</v>
      </c>
      <c r="H1960" s="795"/>
      <c r="I1960" s="694">
        <v>38</v>
      </c>
      <c r="J1960" s="694" t="s">
        <v>48</v>
      </c>
      <c r="K1960" s="590" t="s">
        <v>2592</v>
      </c>
      <c r="L1960" s="493"/>
      <c r="M1960" s="588" t="s">
        <v>2336</v>
      </c>
      <c r="N1960" s="796">
        <v>65037</v>
      </c>
      <c r="O1960" s="797">
        <v>65037</v>
      </c>
      <c r="P1960" s="496">
        <v>65052</v>
      </c>
      <c r="Q1960" s="491" t="s">
        <v>51</v>
      </c>
    </row>
    <row r="1961" spans="1:19" ht="18">
      <c r="A1961" s="512">
        <f t="shared" si="23"/>
        <v>1114</v>
      </c>
      <c r="B1961" s="692" t="s">
        <v>43</v>
      </c>
      <c r="C1961" s="693" t="s">
        <v>44</v>
      </c>
      <c r="D1961" s="693" t="s">
        <v>45</v>
      </c>
      <c r="E1961" s="795" t="s">
        <v>2523</v>
      </c>
      <c r="F1961" s="694" t="s">
        <v>502</v>
      </c>
      <c r="G1961" s="694">
        <v>9869844760</v>
      </c>
      <c r="H1961" s="795"/>
      <c r="I1961" s="694">
        <v>17</v>
      </c>
      <c r="J1961" s="694" t="s">
        <v>48</v>
      </c>
      <c r="K1961" s="590" t="s">
        <v>2592</v>
      </c>
      <c r="L1961" s="493"/>
      <c r="M1961" s="588" t="s">
        <v>2336</v>
      </c>
      <c r="N1961" s="796">
        <v>65037</v>
      </c>
      <c r="O1961" s="797">
        <v>65037</v>
      </c>
      <c r="P1961" s="496">
        <v>65052</v>
      </c>
      <c r="Q1961" s="491" t="s">
        <v>51</v>
      </c>
    </row>
    <row r="1962" spans="1:19" ht="18">
      <c r="A1962" s="512">
        <f t="shared" si="23"/>
        <v>1115</v>
      </c>
      <c r="B1962" s="692" t="s">
        <v>43</v>
      </c>
      <c r="C1962" s="693" t="s">
        <v>44</v>
      </c>
      <c r="D1962" s="693" t="s">
        <v>45</v>
      </c>
      <c r="E1962" s="693" t="s">
        <v>2311</v>
      </c>
      <c r="F1962" s="590" t="s">
        <v>491</v>
      </c>
      <c r="G1962" s="590">
        <v>9849388619</v>
      </c>
      <c r="H1962" s="491"/>
      <c r="I1962" s="590">
        <v>62</v>
      </c>
      <c r="J1962" s="590" t="s">
        <v>48</v>
      </c>
      <c r="K1962" s="590" t="s">
        <v>53</v>
      </c>
      <c r="L1962" s="590"/>
      <c r="M1962" s="588" t="s">
        <v>2336</v>
      </c>
      <c r="N1962" s="750">
        <v>65037</v>
      </c>
      <c r="O1962" s="596">
        <v>65037</v>
      </c>
      <c r="P1962" s="496">
        <v>65052</v>
      </c>
      <c r="Q1962" s="491" t="s">
        <v>51</v>
      </c>
    </row>
    <row r="1963" spans="1:19" ht="18">
      <c r="A1963" s="512">
        <f t="shared" si="23"/>
        <v>1116</v>
      </c>
      <c r="B1963" s="692" t="s">
        <v>43</v>
      </c>
      <c r="C1963" s="693" t="s">
        <v>44</v>
      </c>
      <c r="D1963" s="693" t="s">
        <v>45</v>
      </c>
      <c r="E1963" s="795" t="s">
        <v>2564</v>
      </c>
      <c r="F1963" s="694" t="s">
        <v>441</v>
      </c>
      <c r="G1963" s="694">
        <v>9867346211</v>
      </c>
      <c r="H1963" s="795"/>
      <c r="I1963" s="694">
        <v>62</v>
      </c>
      <c r="J1963" s="694" t="s">
        <v>48</v>
      </c>
      <c r="K1963" s="590" t="s">
        <v>2592</v>
      </c>
      <c r="L1963" s="493"/>
      <c r="M1963" s="588" t="s">
        <v>2336</v>
      </c>
      <c r="N1963" s="796">
        <v>65037</v>
      </c>
      <c r="O1963" s="797">
        <v>65037</v>
      </c>
      <c r="P1963" s="496">
        <v>65052</v>
      </c>
      <c r="Q1963" s="491" t="s">
        <v>51</v>
      </c>
    </row>
    <row r="1964" spans="1:19" ht="18">
      <c r="A1964" s="512">
        <f t="shared" si="23"/>
        <v>1117</v>
      </c>
      <c r="B1964" s="692" t="s">
        <v>43</v>
      </c>
      <c r="C1964" s="693" t="s">
        <v>44</v>
      </c>
      <c r="D1964" s="693" t="s">
        <v>45</v>
      </c>
      <c r="E1964" s="795" t="s">
        <v>2573</v>
      </c>
      <c r="F1964" s="694" t="s">
        <v>529</v>
      </c>
      <c r="G1964" s="694">
        <v>9829517900</v>
      </c>
      <c r="H1964" s="795"/>
      <c r="I1964" s="694">
        <v>30</v>
      </c>
      <c r="J1964" s="694" t="s">
        <v>48</v>
      </c>
      <c r="K1964" s="590" t="s">
        <v>2592</v>
      </c>
      <c r="L1964" s="493"/>
      <c r="M1964" s="588" t="s">
        <v>2336</v>
      </c>
      <c r="N1964" s="796">
        <v>65037</v>
      </c>
      <c r="O1964" s="797">
        <v>65037</v>
      </c>
      <c r="P1964" s="496">
        <v>65052</v>
      </c>
      <c r="Q1964" s="491" t="s">
        <v>51</v>
      </c>
    </row>
    <row r="1965" spans="1:19" ht="18">
      <c r="A1965" s="512">
        <f t="shared" si="23"/>
        <v>1118</v>
      </c>
      <c r="B1965" s="692" t="s">
        <v>43</v>
      </c>
      <c r="C1965" s="693" t="s">
        <v>44</v>
      </c>
      <c r="D1965" s="693" t="s">
        <v>45</v>
      </c>
      <c r="E1965" s="693" t="s">
        <v>2312</v>
      </c>
      <c r="F1965" s="590" t="s">
        <v>491</v>
      </c>
      <c r="G1965" s="590">
        <v>9857820319</v>
      </c>
      <c r="H1965" s="491"/>
      <c r="I1965" s="590">
        <v>70</v>
      </c>
      <c r="J1965" s="590" t="s">
        <v>90</v>
      </c>
      <c r="K1965" s="590" t="s">
        <v>53</v>
      </c>
      <c r="L1965" s="590"/>
      <c r="M1965" s="588" t="s">
        <v>2336</v>
      </c>
      <c r="N1965" s="750">
        <v>65037</v>
      </c>
      <c r="O1965" s="596">
        <v>65037</v>
      </c>
      <c r="P1965" s="496">
        <v>65052</v>
      </c>
      <c r="Q1965" s="491" t="s">
        <v>51</v>
      </c>
    </row>
    <row r="1966" spans="1:19" ht="18">
      <c r="A1966" s="512">
        <f t="shared" si="23"/>
        <v>1119</v>
      </c>
      <c r="B1966" s="692" t="s">
        <v>43</v>
      </c>
      <c r="C1966" s="693" t="s">
        <v>44</v>
      </c>
      <c r="D1966" s="693" t="s">
        <v>45</v>
      </c>
      <c r="E1966" s="795" t="s">
        <v>2589</v>
      </c>
      <c r="F1966" s="694" t="s">
        <v>791</v>
      </c>
      <c r="G1966" s="694">
        <v>9844168330</v>
      </c>
      <c r="H1966" s="795"/>
      <c r="I1966" s="694">
        <v>60</v>
      </c>
      <c r="J1966" s="694" t="s">
        <v>90</v>
      </c>
      <c r="K1966" s="590" t="s">
        <v>2592</v>
      </c>
      <c r="L1966" s="493"/>
      <c r="M1966" s="588" t="s">
        <v>2336</v>
      </c>
      <c r="N1966" s="796">
        <v>65037</v>
      </c>
      <c r="O1966" s="797">
        <v>65037</v>
      </c>
      <c r="P1966" s="496">
        <v>65052</v>
      </c>
      <c r="Q1966" s="491" t="s">
        <v>51</v>
      </c>
    </row>
    <row r="1967" spans="1:19" ht="18">
      <c r="A1967" s="512">
        <f t="shared" si="23"/>
        <v>1120</v>
      </c>
      <c r="B1967" s="692" t="s">
        <v>43</v>
      </c>
      <c r="C1967" s="693" t="s">
        <v>44</v>
      </c>
      <c r="D1967" s="693" t="s">
        <v>45</v>
      </c>
      <c r="E1967" s="693" t="s">
        <v>2313</v>
      </c>
      <c r="F1967" s="590" t="s">
        <v>617</v>
      </c>
      <c r="G1967" s="590">
        <v>9866941911</v>
      </c>
      <c r="H1967" s="491"/>
      <c r="I1967" s="590">
        <v>70</v>
      </c>
      <c r="J1967" s="590" t="s">
        <v>48</v>
      </c>
      <c r="K1967" s="590" t="s">
        <v>53</v>
      </c>
      <c r="L1967" s="590"/>
      <c r="M1967" s="588" t="s">
        <v>2336</v>
      </c>
      <c r="N1967" s="750">
        <v>65037</v>
      </c>
      <c r="O1967" s="596">
        <v>65037</v>
      </c>
      <c r="P1967" s="496">
        <v>65052</v>
      </c>
      <c r="Q1967" s="491" t="s">
        <v>51</v>
      </c>
    </row>
    <row r="1968" spans="1:19" ht="18">
      <c r="A1968" s="512">
        <f t="shared" si="23"/>
        <v>1121</v>
      </c>
      <c r="B1968" s="692" t="s">
        <v>43</v>
      </c>
      <c r="C1968" s="693" t="s">
        <v>44</v>
      </c>
      <c r="D1968" s="693" t="s">
        <v>45</v>
      </c>
      <c r="E1968" s="693" t="s">
        <v>2314</v>
      </c>
      <c r="F1968" s="590" t="s">
        <v>557</v>
      </c>
      <c r="G1968" s="590">
        <v>9847853795</v>
      </c>
      <c r="H1968" s="491"/>
      <c r="I1968" s="590">
        <v>57</v>
      </c>
      <c r="J1968" s="590" t="s">
        <v>90</v>
      </c>
      <c r="K1968" s="590" t="s">
        <v>53</v>
      </c>
      <c r="L1968" s="590"/>
      <c r="M1968" s="588" t="s">
        <v>2336</v>
      </c>
      <c r="N1968" s="750">
        <v>65037</v>
      </c>
      <c r="O1968" s="596">
        <v>65037</v>
      </c>
      <c r="P1968" s="496">
        <v>65052</v>
      </c>
      <c r="Q1968" s="491" t="s">
        <v>51</v>
      </c>
    </row>
    <row r="1969" spans="1:17" ht="18">
      <c r="A1969" s="512">
        <f t="shared" si="23"/>
        <v>1122</v>
      </c>
      <c r="B1969" s="692" t="s">
        <v>43</v>
      </c>
      <c r="C1969" s="693" t="s">
        <v>44</v>
      </c>
      <c r="D1969" s="693" t="s">
        <v>45</v>
      </c>
      <c r="E1969" s="795" t="s">
        <v>2538</v>
      </c>
      <c r="F1969" s="694" t="s">
        <v>491</v>
      </c>
      <c r="G1969" s="694">
        <v>9857823718</v>
      </c>
      <c r="H1969" s="795"/>
      <c r="I1969" s="694">
        <v>61</v>
      </c>
      <c r="J1969" s="694" t="s">
        <v>48</v>
      </c>
      <c r="K1969" s="590" t="s">
        <v>2592</v>
      </c>
      <c r="L1969" s="493"/>
      <c r="M1969" s="588" t="s">
        <v>2336</v>
      </c>
      <c r="N1969" s="796">
        <v>65037</v>
      </c>
      <c r="O1969" s="797">
        <v>65037</v>
      </c>
      <c r="P1969" s="496">
        <v>65052</v>
      </c>
      <c r="Q1969" s="491" t="s">
        <v>51</v>
      </c>
    </row>
    <row r="1970" spans="1:17" ht="18">
      <c r="A1970" s="512">
        <f t="shared" si="23"/>
        <v>1123</v>
      </c>
      <c r="B1970" s="692" t="s">
        <v>43</v>
      </c>
      <c r="C1970" s="693" t="s">
        <v>44</v>
      </c>
      <c r="D1970" s="693" t="s">
        <v>45</v>
      </c>
      <c r="E1970" s="795" t="s">
        <v>2561</v>
      </c>
      <c r="F1970" s="694" t="s">
        <v>441</v>
      </c>
      <c r="G1970" s="694">
        <v>9847824169</v>
      </c>
      <c r="H1970" s="795"/>
      <c r="I1970" s="694">
        <v>56</v>
      </c>
      <c r="J1970" s="694" t="s">
        <v>48</v>
      </c>
      <c r="K1970" s="590" t="s">
        <v>2592</v>
      </c>
      <c r="L1970" s="493"/>
      <c r="M1970" s="588" t="s">
        <v>2336</v>
      </c>
      <c r="N1970" s="796">
        <v>65037</v>
      </c>
      <c r="O1970" s="797">
        <v>65037</v>
      </c>
      <c r="P1970" s="496">
        <v>65052</v>
      </c>
      <c r="Q1970" s="491" t="s">
        <v>51</v>
      </c>
    </row>
    <row r="1971" spans="1:17" ht="18">
      <c r="A1971" s="512">
        <f t="shared" si="23"/>
        <v>1124</v>
      </c>
      <c r="B1971" s="692" t="s">
        <v>43</v>
      </c>
      <c r="C1971" s="693" t="s">
        <v>44</v>
      </c>
      <c r="D1971" s="693" t="s">
        <v>45</v>
      </c>
      <c r="E1971" s="693" t="s">
        <v>2315</v>
      </c>
      <c r="F1971" s="590" t="s">
        <v>124</v>
      </c>
      <c r="G1971" s="590">
        <v>9857823032</v>
      </c>
      <c r="H1971" s="491"/>
      <c r="I1971" s="590">
        <v>40</v>
      </c>
      <c r="J1971" s="590" t="s">
        <v>48</v>
      </c>
      <c r="K1971" s="590" t="s">
        <v>53</v>
      </c>
      <c r="L1971" s="590"/>
      <c r="M1971" s="588" t="s">
        <v>2336</v>
      </c>
      <c r="N1971" s="750">
        <v>65037</v>
      </c>
      <c r="O1971" s="596">
        <v>65037</v>
      </c>
      <c r="P1971" s="496">
        <v>65052</v>
      </c>
      <c r="Q1971" s="491" t="s">
        <v>51</v>
      </c>
    </row>
    <row r="1972" spans="1:17" ht="18">
      <c r="A1972" s="512">
        <f t="shared" si="23"/>
        <v>1125</v>
      </c>
      <c r="B1972" s="692" t="s">
        <v>43</v>
      </c>
      <c r="C1972" s="693" t="s">
        <v>44</v>
      </c>
      <c r="D1972" s="693" t="s">
        <v>45</v>
      </c>
      <c r="E1972" s="795" t="s">
        <v>2539</v>
      </c>
      <c r="F1972" s="694" t="s">
        <v>491</v>
      </c>
      <c r="G1972" s="694">
        <v>9815527022</v>
      </c>
      <c r="H1972" s="795"/>
      <c r="I1972" s="694">
        <v>39</v>
      </c>
      <c r="J1972" s="694" t="s">
        <v>48</v>
      </c>
      <c r="K1972" s="590" t="s">
        <v>2592</v>
      </c>
      <c r="L1972" s="493"/>
      <c r="M1972" s="588" t="s">
        <v>2336</v>
      </c>
      <c r="N1972" s="796">
        <v>65037</v>
      </c>
      <c r="O1972" s="797">
        <v>65037</v>
      </c>
      <c r="P1972" s="496">
        <v>65052</v>
      </c>
      <c r="Q1972" s="491" t="s">
        <v>51</v>
      </c>
    </row>
    <row r="1973" spans="1:17" ht="18">
      <c r="A1973" s="512">
        <f t="shared" si="23"/>
        <v>1126</v>
      </c>
      <c r="B1973" s="692" t="s">
        <v>43</v>
      </c>
      <c r="C1973" s="693" t="s">
        <v>44</v>
      </c>
      <c r="D1973" s="693" t="s">
        <v>45</v>
      </c>
      <c r="E1973" s="693" t="s">
        <v>2316</v>
      </c>
      <c r="F1973" s="590" t="s">
        <v>1009</v>
      </c>
      <c r="G1973" s="590">
        <v>9810976126</v>
      </c>
      <c r="H1973" s="491"/>
      <c r="I1973" s="590">
        <v>24</v>
      </c>
      <c r="J1973" s="590" t="s">
        <v>48</v>
      </c>
      <c r="K1973" s="590" t="s">
        <v>53</v>
      </c>
      <c r="L1973" s="590"/>
      <c r="M1973" s="588" t="s">
        <v>2336</v>
      </c>
      <c r="N1973" s="750">
        <v>65037</v>
      </c>
      <c r="O1973" s="596">
        <v>65037</v>
      </c>
      <c r="P1973" s="496">
        <v>65052</v>
      </c>
      <c r="Q1973" s="491" t="s">
        <v>51</v>
      </c>
    </row>
    <row r="1974" spans="1:17" ht="18">
      <c r="A1974" s="512">
        <f t="shared" si="23"/>
        <v>1127</v>
      </c>
      <c r="B1974" s="692" t="s">
        <v>43</v>
      </c>
      <c r="C1974" s="693" t="s">
        <v>44</v>
      </c>
      <c r="D1974" s="693" t="s">
        <v>45</v>
      </c>
      <c r="E1974" s="693" t="s">
        <v>2317</v>
      </c>
      <c r="F1974" s="590" t="s">
        <v>1008</v>
      </c>
      <c r="G1974" s="590">
        <v>9810980956</v>
      </c>
      <c r="H1974" s="491"/>
      <c r="I1974" s="590">
        <v>53</v>
      </c>
      <c r="J1974" s="590" t="s">
        <v>48</v>
      </c>
      <c r="K1974" s="590" t="s">
        <v>53</v>
      </c>
      <c r="L1974" s="590"/>
      <c r="M1974" s="588" t="s">
        <v>2336</v>
      </c>
      <c r="N1974" s="750">
        <v>65037</v>
      </c>
      <c r="O1974" s="596">
        <v>65037</v>
      </c>
      <c r="P1974" s="496">
        <v>65052</v>
      </c>
      <c r="Q1974" s="491" t="s">
        <v>51</v>
      </c>
    </row>
    <row r="1975" spans="1:17" ht="18">
      <c r="A1975" s="512">
        <f t="shared" si="23"/>
        <v>1128</v>
      </c>
      <c r="B1975" s="692" t="s">
        <v>43</v>
      </c>
      <c r="C1975" s="693" t="s">
        <v>44</v>
      </c>
      <c r="D1975" s="693" t="s">
        <v>45</v>
      </c>
      <c r="E1975" s="795" t="s">
        <v>2529</v>
      </c>
      <c r="F1975" s="694" t="s">
        <v>491</v>
      </c>
      <c r="G1975" s="694">
        <v>9841213831</v>
      </c>
      <c r="H1975" s="795"/>
      <c r="I1975" s="694">
        <v>70</v>
      </c>
      <c r="J1975" s="694" t="s">
        <v>90</v>
      </c>
      <c r="K1975" s="590" t="s">
        <v>2592</v>
      </c>
      <c r="L1975" s="493"/>
      <c r="M1975" s="588" t="s">
        <v>2336</v>
      </c>
      <c r="N1975" s="796">
        <v>65037</v>
      </c>
      <c r="O1975" s="797">
        <v>65037</v>
      </c>
      <c r="P1975" s="496">
        <v>65052</v>
      </c>
      <c r="Q1975" s="491" t="s">
        <v>51</v>
      </c>
    </row>
    <row r="1976" spans="1:17" ht="18">
      <c r="A1976" s="512">
        <f t="shared" si="23"/>
        <v>1129</v>
      </c>
      <c r="B1976" s="692" t="s">
        <v>43</v>
      </c>
      <c r="C1976" s="693" t="s">
        <v>44</v>
      </c>
      <c r="D1976" s="693" t="s">
        <v>45</v>
      </c>
      <c r="E1976" s="795" t="s">
        <v>2501</v>
      </c>
      <c r="F1976" s="694" t="s">
        <v>512</v>
      </c>
      <c r="G1976" s="694">
        <v>9824500029</v>
      </c>
      <c r="H1976" s="795"/>
      <c r="I1976" s="694">
        <v>65</v>
      </c>
      <c r="J1976" s="694" t="s">
        <v>90</v>
      </c>
      <c r="K1976" s="590" t="s">
        <v>2592</v>
      </c>
      <c r="L1976" s="493"/>
      <c r="M1976" s="588" t="s">
        <v>2336</v>
      </c>
      <c r="N1976" s="796">
        <v>65037</v>
      </c>
      <c r="O1976" s="797">
        <v>65037</v>
      </c>
      <c r="P1976" s="496">
        <v>65052</v>
      </c>
      <c r="Q1976" s="491" t="s">
        <v>51</v>
      </c>
    </row>
    <row r="1977" spans="1:17" ht="18">
      <c r="A1977" s="512">
        <f t="shared" si="23"/>
        <v>1130</v>
      </c>
      <c r="B1977" s="692" t="s">
        <v>43</v>
      </c>
      <c r="C1977" s="693" t="s">
        <v>44</v>
      </c>
      <c r="D1977" s="693" t="s">
        <v>45</v>
      </c>
      <c r="E1977" s="795" t="s">
        <v>2518</v>
      </c>
      <c r="F1977" s="694" t="s">
        <v>502</v>
      </c>
      <c r="G1977" s="694">
        <v>9812178719</v>
      </c>
      <c r="H1977" s="795"/>
      <c r="I1977" s="694">
        <v>28</v>
      </c>
      <c r="J1977" s="694" t="s">
        <v>90</v>
      </c>
      <c r="K1977" s="590" t="s">
        <v>2592</v>
      </c>
      <c r="L1977" s="493"/>
      <c r="M1977" s="588" t="s">
        <v>2336</v>
      </c>
      <c r="N1977" s="796">
        <v>65037</v>
      </c>
      <c r="O1977" s="797">
        <v>65037</v>
      </c>
      <c r="P1977" s="496">
        <v>65052</v>
      </c>
      <c r="Q1977" s="491" t="s">
        <v>51</v>
      </c>
    </row>
    <row r="1978" spans="1:17" ht="18">
      <c r="A1978" s="512">
        <f t="shared" si="23"/>
        <v>1131</v>
      </c>
      <c r="B1978" s="692" t="s">
        <v>43</v>
      </c>
      <c r="C1978" s="693" t="s">
        <v>44</v>
      </c>
      <c r="D1978" s="693" t="s">
        <v>45</v>
      </c>
      <c r="E1978" s="795" t="s">
        <v>2546</v>
      </c>
      <c r="F1978" s="694" t="s">
        <v>491</v>
      </c>
      <c r="G1978" s="694">
        <v>9857822196</v>
      </c>
      <c r="H1978" s="795"/>
      <c r="I1978" s="694">
        <v>47</v>
      </c>
      <c r="J1978" s="694" t="s">
        <v>48</v>
      </c>
      <c r="K1978" s="590" t="s">
        <v>2592</v>
      </c>
      <c r="L1978" s="493"/>
      <c r="M1978" s="588" t="s">
        <v>2336</v>
      </c>
      <c r="N1978" s="796">
        <v>65037</v>
      </c>
      <c r="O1978" s="797">
        <v>65037</v>
      </c>
      <c r="P1978" s="496">
        <v>65052</v>
      </c>
      <c r="Q1978" s="491" t="s">
        <v>51</v>
      </c>
    </row>
    <row r="1979" spans="1:17" ht="18">
      <c r="A1979" s="512">
        <f t="shared" si="23"/>
        <v>1132</v>
      </c>
      <c r="B1979" s="692" t="s">
        <v>43</v>
      </c>
      <c r="C1979" s="693" t="s">
        <v>44</v>
      </c>
      <c r="D1979" s="693" t="s">
        <v>45</v>
      </c>
      <c r="E1979" s="795" t="s">
        <v>2545</v>
      </c>
      <c r="F1979" s="694" t="s">
        <v>491</v>
      </c>
      <c r="G1979" s="694">
        <v>9847946643</v>
      </c>
      <c r="H1979" s="795"/>
      <c r="I1979" s="694">
        <v>53</v>
      </c>
      <c r="J1979" s="694" t="s">
        <v>48</v>
      </c>
      <c r="K1979" s="590" t="s">
        <v>2592</v>
      </c>
      <c r="L1979" s="493"/>
      <c r="M1979" s="588" t="s">
        <v>2336</v>
      </c>
      <c r="N1979" s="796">
        <v>65037</v>
      </c>
      <c r="O1979" s="797">
        <v>65037</v>
      </c>
      <c r="P1979" s="496">
        <v>65052</v>
      </c>
      <c r="Q1979" s="491" t="s">
        <v>51</v>
      </c>
    </row>
    <row r="1980" spans="1:17" ht="18">
      <c r="A1980" s="512">
        <f t="shared" si="23"/>
        <v>1133</v>
      </c>
      <c r="B1980" s="799" t="s">
        <v>43</v>
      </c>
      <c r="C1980" s="627" t="s">
        <v>44</v>
      </c>
      <c r="D1980" s="627" t="s">
        <v>45</v>
      </c>
      <c r="E1980" s="800" t="s">
        <v>2535</v>
      </c>
      <c r="F1980" s="801" t="s">
        <v>491</v>
      </c>
      <c r="G1980" s="801">
        <v>9863817335</v>
      </c>
      <c r="H1980" s="800"/>
      <c r="I1980" s="801">
        <v>32</v>
      </c>
      <c r="J1980" s="801" t="s">
        <v>90</v>
      </c>
      <c r="K1980" s="628" t="s">
        <v>2592</v>
      </c>
      <c r="L1980" s="490"/>
      <c r="M1980" s="609" t="s">
        <v>2336</v>
      </c>
      <c r="N1980" s="763">
        <v>65037</v>
      </c>
      <c r="O1980" s="671">
        <v>65037</v>
      </c>
      <c r="P1980" s="511">
        <v>65086</v>
      </c>
      <c r="Q1980" s="491" t="s">
        <v>51</v>
      </c>
    </row>
    <row r="1981" spans="1:17" ht="18">
      <c r="A1981" s="512">
        <f t="shared" si="23"/>
        <v>1134</v>
      </c>
      <c r="B1981" s="692" t="s">
        <v>43</v>
      </c>
      <c r="C1981" s="693" t="s">
        <v>44</v>
      </c>
      <c r="D1981" s="693" t="s">
        <v>45</v>
      </c>
      <c r="E1981" s="795" t="s">
        <v>2563</v>
      </c>
      <c r="F1981" s="694" t="s">
        <v>441</v>
      </c>
      <c r="G1981" s="694">
        <v>9809834804</v>
      </c>
      <c r="H1981" s="795"/>
      <c r="I1981" s="694">
        <v>35</v>
      </c>
      <c r="J1981" s="694" t="s">
        <v>48</v>
      </c>
      <c r="K1981" s="590" t="s">
        <v>2592</v>
      </c>
      <c r="L1981" s="493"/>
      <c r="M1981" s="588" t="s">
        <v>2336</v>
      </c>
      <c r="N1981" s="796">
        <v>65037</v>
      </c>
      <c r="O1981" s="797">
        <v>65037</v>
      </c>
      <c r="P1981" s="496">
        <v>65052</v>
      </c>
      <c r="Q1981" s="491" t="s">
        <v>51</v>
      </c>
    </row>
    <row r="1982" spans="1:17" ht="18">
      <c r="A1982" s="512">
        <f t="shared" si="23"/>
        <v>1135</v>
      </c>
      <c r="B1982" s="692" t="s">
        <v>43</v>
      </c>
      <c r="C1982" s="693" t="s">
        <v>44</v>
      </c>
      <c r="D1982" s="693" t="s">
        <v>45</v>
      </c>
      <c r="E1982" s="795" t="s">
        <v>2513</v>
      </c>
      <c r="F1982" s="694" t="s">
        <v>510</v>
      </c>
      <c r="G1982" s="694">
        <v>9847993999</v>
      </c>
      <c r="H1982" s="795"/>
      <c r="I1982" s="694">
        <v>30</v>
      </c>
      <c r="J1982" s="694" t="s">
        <v>48</v>
      </c>
      <c r="K1982" s="590" t="s">
        <v>2592</v>
      </c>
      <c r="L1982" s="493"/>
      <c r="M1982" s="588" t="s">
        <v>2336</v>
      </c>
      <c r="N1982" s="796">
        <v>65037</v>
      </c>
      <c r="O1982" s="797">
        <v>65037</v>
      </c>
      <c r="P1982" s="496">
        <v>65052</v>
      </c>
      <c r="Q1982" s="491" t="s">
        <v>51</v>
      </c>
    </row>
    <row r="1983" spans="1:17" ht="18">
      <c r="A1983" s="512">
        <f t="shared" si="23"/>
        <v>1136</v>
      </c>
      <c r="B1983" s="692" t="s">
        <v>43</v>
      </c>
      <c r="C1983" s="693" t="s">
        <v>44</v>
      </c>
      <c r="D1983" s="693" t="s">
        <v>45</v>
      </c>
      <c r="E1983" s="798" t="s">
        <v>313</v>
      </c>
      <c r="F1983" s="590" t="s">
        <v>441</v>
      </c>
      <c r="G1983" s="590">
        <v>9845322749</v>
      </c>
      <c r="H1983" s="491"/>
      <c r="I1983" s="590">
        <v>24</v>
      </c>
      <c r="J1983" s="590" t="s">
        <v>48</v>
      </c>
      <c r="K1983" s="590" t="s">
        <v>53</v>
      </c>
      <c r="L1983" s="590"/>
      <c r="M1983" s="588" t="s">
        <v>2336</v>
      </c>
      <c r="N1983" s="750">
        <v>65037</v>
      </c>
      <c r="O1983" s="596">
        <v>65037</v>
      </c>
      <c r="P1983" s="496">
        <v>65052</v>
      </c>
      <c r="Q1983" s="491" t="s">
        <v>51</v>
      </c>
    </row>
    <row r="1984" spans="1:17" ht="18">
      <c r="A1984" s="512">
        <f t="shared" si="23"/>
        <v>1137</v>
      </c>
      <c r="B1984" s="692" t="s">
        <v>43</v>
      </c>
      <c r="C1984" s="693" t="s">
        <v>44</v>
      </c>
      <c r="D1984" s="693" t="s">
        <v>45</v>
      </c>
      <c r="E1984" s="693" t="s">
        <v>2318</v>
      </c>
      <c r="F1984" s="590" t="s">
        <v>441</v>
      </c>
      <c r="G1984" s="590">
        <v>9867102906</v>
      </c>
      <c r="H1984" s="491"/>
      <c r="I1984" s="590">
        <v>25</v>
      </c>
      <c r="J1984" s="590" t="s">
        <v>48</v>
      </c>
      <c r="K1984" s="590" t="s">
        <v>53</v>
      </c>
      <c r="L1984" s="590"/>
      <c r="M1984" s="588" t="s">
        <v>2336</v>
      </c>
      <c r="N1984" s="750">
        <v>65037</v>
      </c>
      <c r="O1984" s="596">
        <v>65037</v>
      </c>
      <c r="P1984" s="496">
        <v>65052</v>
      </c>
      <c r="Q1984" s="491" t="s">
        <v>51</v>
      </c>
    </row>
    <row r="1985" spans="1:17" ht="18">
      <c r="A1985" s="512">
        <f t="shared" si="23"/>
        <v>1138</v>
      </c>
      <c r="B1985" s="692" t="s">
        <v>43</v>
      </c>
      <c r="C1985" s="693" t="s">
        <v>44</v>
      </c>
      <c r="D1985" s="693" t="s">
        <v>45</v>
      </c>
      <c r="E1985" s="795" t="s">
        <v>2549</v>
      </c>
      <c r="F1985" s="694" t="s">
        <v>491</v>
      </c>
      <c r="G1985" s="694">
        <v>9844567112</v>
      </c>
      <c r="H1985" s="795"/>
      <c r="I1985" s="694">
        <v>50</v>
      </c>
      <c r="J1985" s="694" t="s">
        <v>48</v>
      </c>
      <c r="K1985" s="590" t="s">
        <v>2592</v>
      </c>
      <c r="L1985" s="493"/>
      <c r="M1985" s="588" t="s">
        <v>2336</v>
      </c>
      <c r="N1985" s="796">
        <v>65037</v>
      </c>
      <c r="O1985" s="797">
        <v>65037</v>
      </c>
      <c r="P1985" s="496">
        <v>65052</v>
      </c>
      <c r="Q1985" s="491" t="s">
        <v>51</v>
      </c>
    </row>
    <row r="1986" spans="1:17" ht="18">
      <c r="A1986" s="512">
        <f t="shared" si="23"/>
        <v>1139</v>
      </c>
      <c r="B1986" s="692" t="s">
        <v>43</v>
      </c>
      <c r="C1986" s="693" t="s">
        <v>44</v>
      </c>
      <c r="D1986" s="693" t="s">
        <v>45</v>
      </c>
      <c r="E1986" s="798" t="s">
        <v>303</v>
      </c>
      <c r="F1986" s="590" t="s">
        <v>791</v>
      </c>
      <c r="G1986" s="590">
        <v>9849550741</v>
      </c>
      <c r="H1986" s="491"/>
      <c r="I1986" s="590">
        <v>28</v>
      </c>
      <c r="J1986" s="590" t="s">
        <v>48</v>
      </c>
      <c r="K1986" s="590" t="s">
        <v>53</v>
      </c>
      <c r="L1986" s="590"/>
      <c r="M1986" s="588" t="s">
        <v>2336</v>
      </c>
      <c r="N1986" s="750">
        <v>65037</v>
      </c>
      <c r="O1986" s="596">
        <v>65037</v>
      </c>
      <c r="P1986" s="496">
        <v>65052</v>
      </c>
      <c r="Q1986" s="491" t="s">
        <v>51</v>
      </c>
    </row>
    <row r="1987" spans="1:17" ht="18">
      <c r="A1987" s="512">
        <f t="shared" si="23"/>
        <v>1140</v>
      </c>
      <c r="B1987" s="692" t="s">
        <v>43</v>
      </c>
      <c r="C1987" s="693" t="s">
        <v>44</v>
      </c>
      <c r="D1987" s="693" t="s">
        <v>45</v>
      </c>
      <c r="E1987" s="795" t="s">
        <v>2532</v>
      </c>
      <c r="F1987" s="694" t="s">
        <v>491</v>
      </c>
      <c r="G1987" s="694">
        <v>9847832395</v>
      </c>
      <c r="H1987" s="795"/>
      <c r="I1987" s="694">
        <v>42</v>
      </c>
      <c r="J1987" s="694" t="s">
        <v>90</v>
      </c>
      <c r="K1987" s="590" t="s">
        <v>2592</v>
      </c>
      <c r="L1987" s="493"/>
      <c r="M1987" s="588" t="s">
        <v>2336</v>
      </c>
      <c r="N1987" s="796">
        <v>65037</v>
      </c>
      <c r="O1987" s="797">
        <v>65037</v>
      </c>
      <c r="P1987" s="496">
        <v>65052</v>
      </c>
      <c r="Q1987" s="491" t="s">
        <v>51</v>
      </c>
    </row>
    <row r="1988" spans="1:17" ht="18">
      <c r="A1988" s="512">
        <f t="shared" si="23"/>
        <v>1141</v>
      </c>
      <c r="B1988" s="692" t="s">
        <v>43</v>
      </c>
      <c r="C1988" s="693" t="s">
        <v>44</v>
      </c>
      <c r="D1988" s="693" t="s">
        <v>45</v>
      </c>
      <c r="E1988" s="795" t="s">
        <v>2567</v>
      </c>
      <c r="F1988" s="694" t="s">
        <v>441</v>
      </c>
      <c r="G1988" s="694">
        <v>9803525848</v>
      </c>
      <c r="H1988" s="795"/>
      <c r="I1988" s="694">
        <v>50</v>
      </c>
      <c r="J1988" s="694" t="s">
        <v>48</v>
      </c>
      <c r="K1988" s="590" t="s">
        <v>2592</v>
      </c>
      <c r="L1988" s="493"/>
      <c r="M1988" s="588" t="s">
        <v>2336</v>
      </c>
      <c r="N1988" s="796">
        <v>65037</v>
      </c>
      <c r="O1988" s="797">
        <v>65037</v>
      </c>
      <c r="P1988" s="496">
        <v>65052</v>
      </c>
      <c r="Q1988" s="491" t="s">
        <v>51</v>
      </c>
    </row>
    <row r="1989" spans="1:17" ht="18">
      <c r="A1989" s="512">
        <f t="shared" si="23"/>
        <v>1142</v>
      </c>
      <c r="B1989" s="692" t="s">
        <v>43</v>
      </c>
      <c r="C1989" s="693" t="s">
        <v>44</v>
      </c>
      <c r="D1989" s="693" t="s">
        <v>45</v>
      </c>
      <c r="E1989" s="795" t="s">
        <v>2525</v>
      </c>
      <c r="F1989" s="694" t="s">
        <v>502</v>
      </c>
      <c r="G1989" s="694">
        <v>9822849797</v>
      </c>
      <c r="H1989" s="795"/>
      <c r="I1989" s="694">
        <v>39</v>
      </c>
      <c r="J1989" s="694" t="s">
        <v>48</v>
      </c>
      <c r="K1989" s="590" t="s">
        <v>2592</v>
      </c>
      <c r="L1989" s="493"/>
      <c r="M1989" s="588" t="s">
        <v>2336</v>
      </c>
      <c r="N1989" s="796">
        <v>65037</v>
      </c>
      <c r="O1989" s="797">
        <v>65037</v>
      </c>
      <c r="P1989" s="496">
        <v>65052</v>
      </c>
      <c r="Q1989" s="491" t="s">
        <v>51</v>
      </c>
    </row>
    <row r="1990" spans="1:17" ht="18">
      <c r="A1990" s="512">
        <f t="shared" si="23"/>
        <v>1143</v>
      </c>
      <c r="B1990" s="692" t="s">
        <v>43</v>
      </c>
      <c r="C1990" s="693" t="s">
        <v>44</v>
      </c>
      <c r="D1990" s="693" t="s">
        <v>45</v>
      </c>
      <c r="E1990" s="693" t="s">
        <v>2319</v>
      </c>
      <c r="F1990" s="590" t="s">
        <v>529</v>
      </c>
      <c r="G1990" s="590">
        <v>9847885200</v>
      </c>
      <c r="H1990" s="491"/>
      <c r="I1990" s="590">
        <v>26</v>
      </c>
      <c r="J1990" s="590" t="s">
        <v>90</v>
      </c>
      <c r="K1990" s="590" t="s">
        <v>53</v>
      </c>
      <c r="L1990" s="590"/>
      <c r="M1990" s="588" t="s">
        <v>2336</v>
      </c>
      <c r="N1990" s="750">
        <v>65037</v>
      </c>
      <c r="O1990" s="596">
        <v>65037</v>
      </c>
      <c r="P1990" s="496">
        <v>65052</v>
      </c>
      <c r="Q1990" s="491" t="s">
        <v>51</v>
      </c>
    </row>
    <row r="1991" spans="1:17" ht="18">
      <c r="A1991" s="512">
        <f t="shared" si="23"/>
        <v>1144</v>
      </c>
      <c r="B1991" s="692" t="s">
        <v>43</v>
      </c>
      <c r="C1991" s="693" t="s">
        <v>44</v>
      </c>
      <c r="D1991" s="693" t="s">
        <v>45</v>
      </c>
      <c r="E1991" s="795" t="s">
        <v>2514</v>
      </c>
      <c r="F1991" s="694" t="s">
        <v>510</v>
      </c>
      <c r="G1991" s="694">
        <v>9866176219</v>
      </c>
      <c r="H1991" s="795"/>
      <c r="I1991" s="694">
        <v>37</v>
      </c>
      <c r="J1991" s="694" t="s">
        <v>48</v>
      </c>
      <c r="K1991" s="590" t="s">
        <v>2592</v>
      </c>
      <c r="L1991" s="493"/>
      <c r="M1991" s="588" t="s">
        <v>2336</v>
      </c>
      <c r="N1991" s="796">
        <v>65037</v>
      </c>
      <c r="O1991" s="797">
        <v>65037</v>
      </c>
      <c r="P1991" s="496">
        <v>65052</v>
      </c>
      <c r="Q1991" s="491" t="s">
        <v>51</v>
      </c>
    </row>
    <row r="1992" spans="1:17" ht="18">
      <c r="A1992" s="512">
        <f t="shared" si="23"/>
        <v>1145</v>
      </c>
      <c r="B1992" s="692" t="s">
        <v>43</v>
      </c>
      <c r="C1992" s="693" t="s">
        <v>44</v>
      </c>
      <c r="D1992" s="693" t="s">
        <v>45</v>
      </c>
      <c r="E1992" s="693" t="s">
        <v>2320</v>
      </c>
      <c r="F1992" s="590" t="s">
        <v>617</v>
      </c>
      <c r="G1992" s="590">
        <v>9869879550</v>
      </c>
      <c r="H1992" s="491"/>
      <c r="I1992" s="590">
        <v>55</v>
      </c>
      <c r="J1992" s="590" t="s">
        <v>48</v>
      </c>
      <c r="K1992" s="590" t="s">
        <v>53</v>
      </c>
      <c r="L1992" s="590"/>
      <c r="M1992" s="588" t="s">
        <v>2336</v>
      </c>
      <c r="N1992" s="750">
        <v>65037</v>
      </c>
      <c r="O1992" s="596">
        <v>65037</v>
      </c>
      <c r="P1992" s="496">
        <v>65052</v>
      </c>
      <c r="Q1992" s="491" t="s">
        <v>51</v>
      </c>
    </row>
    <row r="1993" spans="1:17" ht="18">
      <c r="A1993" s="512">
        <f t="shared" si="23"/>
        <v>1146</v>
      </c>
      <c r="B1993" s="692" t="s">
        <v>43</v>
      </c>
      <c r="C1993" s="693" t="s">
        <v>44</v>
      </c>
      <c r="D1993" s="693" t="s">
        <v>45</v>
      </c>
      <c r="E1993" s="693" t="s">
        <v>2321</v>
      </c>
      <c r="F1993" s="590" t="s">
        <v>441</v>
      </c>
      <c r="G1993" s="590">
        <v>9864927322</v>
      </c>
      <c r="H1993" s="491"/>
      <c r="I1993" s="590">
        <v>27</v>
      </c>
      <c r="J1993" s="590" t="s">
        <v>48</v>
      </c>
      <c r="K1993" s="590" t="s">
        <v>53</v>
      </c>
      <c r="L1993" s="590"/>
      <c r="M1993" s="588" t="s">
        <v>2336</v>
      </c>
      <c r="N1993" s="750">
        <v>65037</v>
      </c>
      <c r="O1993" s="596">
        <v>65037</v>
      </c>
      <c r="P1993" s="496">
        <v>65052</v>
      </c>
      <c r="Q1993" s="491" t="s">
        <v>51</v>
      </c>
    </row>
    <row r="1994" spans="1:17" ht="18">
      <c r="A1994" s="512">
        <f t="shared" si="23"/>
        <v>1147</v>
      </c>
      <c r="B1994" s="692" t="s">
        <v>43</v>
      </c>
      <c r="C1994" s="693" t="s">
        <v>44</v>
      </c>
      <c r="D1994" s="693" t="s">
        <v>45</v>
      </c>
      <c r="E1994" s="795" t="s">
        <v>2562</v>
      </c>
      <c r="F1994" s="694" t="s">
        <v>441</v>
      </c>
      <c r="G1994" s="694">
        <v>9748507898</v>
      </c>
      <c r="H1994" s="795"/>
      <c r="I1994" s="694">
        <v>64</v>
      </c>
      <c r="J1994" s="694" t="s">
        <v>48</v>
      </c>
      <c r="K1994" s="590" t="s">
        <v>2592</v>
      </c>
      <c r="L1994" s="493"/>
      <c r="M1994" s="588" t="s">
        <v>2336</v>
      </c>
      <c r="N1994" s="796">
        <v>65037</v>
      </c>
      <c r="O1994" s="797">
        <v>65037</v>
      </c>
      <c r="P1994" s="496">
        <v>65052</v>
      </c>
      <c r="Q1994" s="491" t="s">
        <v>51</v>
      </c>
    </row>
    <row r="1995" spans="1:17" ht="18">
      <c r="A1995" s="512">
        <f t="shared" si="23"/>
        <v>1148</v>
      </c>
      <c r="B1995" s="692" t="s">
        <v>43</v>
      </c>
      <c r="C1995" s="693" t="s">
        <v>44</v>
      </c>
      <c r="D1995" s="693" t="s">
        <v>45</v>
      </c>
      <c r="E1995" s="795" t="s">
        <v>2583</v>
      </c>
      <c r="F1995" s="694" t="s">
        <v>124</v>
      </c>
      <c r="G1995" s="694">
        <v>9806275713</v>
      </c>
      <c r="H1995" s="795"/>
      <c r="I1995" s="694">
        <v>30</v>
      </c>
      <c r="J1995" s="694" t="s">
        <v>48</v>
      </c>
      <c r="K1995" s="590" t="s">
        <v>2592</v>
      </c>
      <c r="L1995" s="493"/>
      <c r="M1995" s="588" t="s">
        <v>2336</v>
      </c>
      <c r="N1995" s="796">
        <v>65037</v>
      </c>
      <c r="O1995" s="797">
        <v>65037</v>
      </c>
      <c r="P1995" s="496">
        <v>65052</v>
      </c>
      <c r="Q1995" s="491" t="s">
        <v>51</v>
      </c>
    </row>
    <row r="1996" spans="1:17" ht="18">
      <c r="A1996" s="512">
        <f t="shared" si="23"/>
        <v>1149</v>
      </c>
      <c r="B1996" s="692" t="s">
        <v>43</v>
      </c>
      <c r="C1996" s="693" t="s">
        <v>44</v>
      </c>
      <c r="D1996" s="693" t="s">
        <v>45</v>
      </c>
      <c r="E1996" s="795" t="s">
        <v>2584</v>
      </c>
      <c r="F1996" s="694" t="s">
        <v>124</v>
      </c>
      <c r="G1996" s="694">
        <v>9809828831</v>
      </c>
      <c r="H1996" s="795"/>
      <c r="I1996" s="694">
        <v>15</v>
      </c>
      <c r="J1996" s="694" t="s">
        <v>48</v>
      </c>
      <c r="K1996" s="590" t="s">
        <v>2592</v>
      </c>
      <c r="L1996" s="493"/>
      <c r="M1996" s="588" t="s">
        <v>2336</v>
      </c>
      <c r="N1996" s="796">
        <v>65037</v>
      </c>
      <c r="O1996" s="797">
        <v>65037</v>
      </c>
      <c r="P1996" s="496">
        <v>65052</v>
      </c>
      <c r="Q1996" s="491" t="s">
        <v>51</v>
      </c>
    </row>
    <row r="1997" spans="1:17" ht="18">
      <c r="A1997" s="512">
        <f t="shared" si="23"/>
        <v>1150</v>
      </c>
      <c r="B1997" s="692" t="s">
        <v>43</v>
      </c>
      <c r="C1997" s="693" t="s">
        <v>44</v>
      </c>
      <c r="D1997" s="693" t="s">
        <v>45</v>
      </c>
      <c r="E1997" s="693" t="s">
        <v>2322</v>
      </c>
      <c r="F1997" s="590" t="s">
        <v>441</v>
      </c>
      <c r="G1997" s="590">
        <v>9847885332</v>
      </c>
      <c r="H1997" s="491"/>
      <c r="I1997" s="590">
        <v>32</v>
      </c>
      <c r="J1997" s="590" t="s">
        <v>90</v>
      </c>
      <c r="K1997" s="590" t="s">
        <v>53</v>
      </c>
      <c r="L1997" s="590"/>
      <c r="M1997" s="588" t="s">
        <v>2336</v>
      </c>
      <c r="N1997" s="750">
        <v>65037</v>
      </c>
      <c r="O1997" s="596">
        <v>65037</v>
      </c>
      <c r="P1997" s="496">
        <v>65052</v>
      </c>
      <c r="Q1997" s="491" t="s">
        <v>51</v>
      </c>
    </row>
    <row r="1998" spans="1:17" ht="18">
      <c r="A1998" s="512">
        <f t="shared" si="23"/>
        <v>1151</v>
      </c>
      <c r="B1998" s="692" t="s">
        <v>43</v>
      </c>
      <c r="C1998" s="693" t="s">
        <v>44</v>
      </c>
      <c r="D1998" s="693" t="s">
        <v>45</v>
      </c>
      <c r="E1998" s="693" t="s">
        <v>2334</v>
      </c>
      <c r="F1998" s="694" t="s">
        <v>491</v>
      </c>
      <c r="G1998" s="590">
        <v>9805976711</v>
      </c>
      <c r="H1998" s="491"/>
      <c r="I1998" s="588">
        <v>28</v>
      </c>
      <c r="J1998" s="590" t="s">
        <v>48</v>
      </c>
      <c r="K1998" s="493" t="s">
        <v>2335</v>
      </c>
      <c r="L1998" s="590"/>
      <c r="M1998" s="588" t="s">
        <v>2336</v>
      </c>
      <c r="N1998" s="750">
        <v>65037</v>
      </c>
      <c r="O1998" s="596">
        <v>65037</v>
      </c>
      <c r="P1998" s="496">
        <v>65052</v>
      </c>
      <c r="Q1998" s="491" t="s">
        <v>51</v>
      </c>
    </row>
    <row r="1999" spans="1:17" ht="18">
      <c r="A1999" s="512">
        <f t="shared" si="23"/>
        <v>1152</v>
      </c>
      <c r="B1999" s="692" t="s">
        <v>43</v>
      </c>
      <c r="C1999" s="693" t="s">
        <v>44</v>
      </c>
      <c r="D1999" s="693" t="s">
        <v>45</v>
      </c>
      <c r="E1999" s="693" t="s">
        <v>2323</v>
      </c>
      <c r="F1999" s="590" t="s">
        <v>441</v>
      </c>
      <c r="G1999" s="590">
        <v>9847851545</v>
      </c>
      <c r="H1999" s="491"/>
      <c r="I1999" s="590">
        <v>35</v>
      </c>
      <c r="J1999" s="590" t="s">
        <v>48</v>
      </c>
      <c r="K1999" s="590" t="s">
        <v>53</v>
      </c>
      <c r="L1999" s="590"/>
      <c r="M1999" s="588" t="s">
        <v>2336</v>
      </c>
      <c r="N1999" s="750">
        <v>65037</v>
      </c>
      <c r="O1999" s="596">
        <v>65037</v>
      </c>
      <c r="P1999" s="496">
        <v>65052</v>
      </c>
      <c r="Q1999" s="491" t="s">
        <v>51</v>
      </c>
    </row>
    <row r="2000" spans="1:17" ht="18">
      <c r="A2000" s="512">
        <f t="shared" si="23"/>
        <v>1153</v>
      </c>
      <c r="B2000" s="692" t="s">
        <v>43</v>
      </c>
      <c r="C2000" s="693" t="s">
        <v>44</v>
      </c>
      <c r="D2000" s="693" t="s">
        <v>45</v>
      </c>
      <c r="E2000" s="693" t="s">
        <v>2324</v>
      </c>
      <c r="F2000" s="590" t="s">
        <v>441</v>
      </c>
      <c r="G2000" s="590">
        <v>9857835789</v>
      </c>
      <c r="H2000" s="491"/>
      <c r="I2000" s="590">
        <v>33</v>
      </c>
      <c r="J2000" s="590" t="s">
        <v>48</v>
      </c>
      <c r="K2000" s="590" t="s">
        <v>53</v>
      </c>
      <c r="L2000" s="590"/>
      <c r="M2000" s="588" t="s">
        <v>2336</v>
      </c>
      <c r="N2000" s="750">
        <v>65037</v>
      </c>
      <c r="O2000" s="596">
        <v>65037</v>
      </c>
      <c r="P2000" s="496">
        <v>65052</v>
      </c>
      <c r="Q2000" s="491" t="s">
        <v>51</v>
      </c>
    </row>
    <row r="2001" spans="1:17" ht="18">
      <c r="A2001" s="512">
        <f t="shared" si="23"/>
        <v>1154</v>
      </c>
      <c r="B2001" s="692" t="s">
        <v>43</v>
      </c>
      <c r="C2001" s="693" t="s">
        <v>44</v>
      </c>
      <c r="D2001" s="693" t="s">
        <v>45</v>
      </c>
      <c r="E2001" s="795" t="s">
        <v>2547</v>
      </c>
      <c r="F2001" s="694" t="s">
        <v>491</v>
      </c>
      <c r="G2001" s="694">
        <v>9809576356</v>
      </c>
      <c r="H2001" s="795"/>
      <c r="I2001" s="694">
        <v>32</v>
      </c>
      <c r="J2001" s="694" t="s">
        <v>48</v>
      </c>
      <c r="K2001" s="590" t="s">
        <v>2592</v>
      </c>
      <c r="L2001" s="493"/>
      <c r="M2001" s="588" t="s">
        <v>2336</v>
      </c>
      <c r="N2001" s="796">
        <v>65037</v>
      </c>
      <c r="O2001" s="797">
        <v>65037</v>
      </c>
      <c r="P2001" s="496">
        <v>65052</v>
      </c>
      <c r="Q2001" s="491" t="s">
        <v>51</v>
      </c>
    </row>
    <row r="2002" spans="1:17" ht="18">
      <c r="A2002" s="512">
        <f t="shared" ref="A2002:A2065" si="24">A2001+1</f>
        <v>1155</v>
      </c>
      <c r="B2002" s="692" t="s">
        <v>43</v>
      </c>
      <c r="C2002" s="693" t="s">
        <v>44</v>
      </c>
      <c r="D2002" s="693" t="s">
        <v>45</v>
      </c>
      <c r="E2002" s="795" t="s">
        <v>2503</v>
      </c>
      <c r="F2002" s="694" t="s">
        <v>512</v>
      </c>
      <c r="G2002" s="694">
        <v>9810874922</v>
      </c>
      <c r="H2002" s="795"/>
      <c r="I2002" s="694">
        <v>23</v>
      </c>
      <c r="J2002" s="694" t="s">
        <v>90</v>
      </c>
      <c r="K2002" s="590" t="s">
        <v>2592</v>
      </c>
      <c r="L2002" s="493"/>
      <c r="M2002" s="588" t="s">
        <v>2336</v>
      </c>
      <c r="N2002" s="796">
        <v>65037</v>
      </c>
      <c r="O2002" s="797">
        <v>65037</v>
      </c>
      <c r="P2002" s="496">
        <v>65052</v>
      </c>
      <c r="Q2002" s="491" t="s">
        <v>51</v>
      </c>
    </row>
    <row r="2003" spans="1:17" ht="18">
      <c r="A2003" s="512">
        <f t="shared" si="24"/>
        <v>1156</v>
      </c>
      <c r="B2003" s="692" t="s">
        <v>43</v>
      </c>
      <c r="C2003" s="693" t="s">
        <v>44</v>
      </c>
      <c r="D2003" s="693" t="s">
        <v>45</v>
      </c>
      <c r="E2003" s="795" t="s">
        <v>2590</v>
      </c>
      <c r="F2003" s="694" t="s">
        <v>791</v>
      </c>
      <c r="G2003" s="694">
        <v>9847849496</v>
      </c>
      <c r="H2003" s="795"/>
      <c r="I2003" s="694">
        <v>74</v>
      </c>
      <c r="J2003" s="694" t="s">
        <v>48</v>
      </c>
      <c r="K2003" s="590" t="s">
        <v>2592</v>
      </c>
      <c r="L2003" s="493"/>
      <c r="M2003" s="588" t="s">
        <v>2336</v>
      </c>
      <c r="N2003" s="796">
        <v>65037</v>
      </c>
      <c r="O2003" s="797">
        <v>65037</v>
      </c>
      <c r="P2003" s="496">
        <v>65052</v>
      </c>
      <c r="Q2003" s="491" t="s">
        <v>51</v>
      </c>
    </row>
    <row r="2004" spans="1:17" ht="18">
      <c r="A2004" s="512">
        <f t="shared" si="24"/>
        <v>1157</v>
      </c>
      <c r="B2004" s="692" t="s">
        <v>43</v>
      </c>
      <c r="C2004" s="693" t="s">
        <v>44</v>
      </c>
      <c r="D2004" s="693" t="s">
        <v>45</v>
      </c>
      <c r="E2004" s="795" t="s">
        <v>2571</v>
      </c>
      <c r="F2004" s="694" t="s">
        <v>529</v>
      </c>
      <c r="G2004" s="694">
        <v>9857822798</v>
      </c>
      <c r="H2004" s="795"/>
      <c r="I2004" s="694">
        <v>27</v>
      </c>
      <c r="J2004" s="694" t="s">
        <v>48</v>
      </c>
      <c r="K2004" s="590" t="s">
        <v>2592</v>
      </c>
      <c r="L2004" s="493"/>
      <c r="M2004" s="588" t="s">
        <v>2336</v>
      </c>
      <c r="N2004" s="796">
        <v>65037</v>
      </c>
      <c r="O2004" s="797">
        <v>65037</v>
      </c>
      <c r="P2004" s="496">
        <v>65052</v>
      </c>
      <c r="Q2004" s="491" t="s">
        <v>51</v>
      </c>
    </row>
    <row r="2005" spans="1:17" ht="18">
      <c r="A2005" s="512">
        <f t="shared" si="24"/>
        <v>1158</v>
      </c>
      <c r="B2005" s="692" t="s">
        <v>43</v>
      </c>
      <c r="C2005" s="693" t="s">
        <v>44</v>
      </c>
      <c r="D2005" s="693" t="s">
        <v>45</v>
      </c>
      <c r="E2005" s="795" t="s">
        <v>2505</v>
      </c>
      <c r="F2005" s="694" t="s">
        <v>512</v>
      </c>
      <c r="G2005" s="694">
        <v>9849758776</v>
      </c>
      <c r="H2005" s="795"/>
      <c r="I2005" s="694">
        <v>65</v>
      </c>
      <c r="J2005" s="694" t="s">
        <v>48</v>
      </c>
      <c r="K2005" s="590" t="s">
        <v>2592</v>
      </c>
      <c r="L2005" s="493"/>
      <c r="M2005" s="588" t="s">
        <v>2336</v>
      </c>
      <c r="N2005" s="796">
        <v>65037</v>
      </c>
      <c r="O2005" s="797">
        <v>65037</v>
      </c>
      <c r="P2005" s="496">
        <v>65052</v>
      </c>
      <c r="Q2005" s="491" t="s">
        <v>51</v>
      </c>
    </row>
    <row r="2006" spans="1:17" ht="18">
      <c r="A2006" s="512">
        <f t="shared" si="24"/>
        <v>1159</v>
      </c>
      <c r="B2006" s="692" t="s">
        <v>43</v>
      </c>
      <c r="C2006" s="693" t="s">
        <v>44</v>
      </c>
      <c r="D2006" s="693" t="s">
        <v>45</v>
      </c>
      <c r="E2006" s="795" t="s">
        <v>2504</v>
      </c>
      <c r="F2006" s="694" t="s">
        <v>512</v>
      </c>
      <c r="G2006" s="694">
        <v>9857823486</v>
      </c>
      <c r="H2006" s="795"/>
      <c r="I2006" s="694">
        <v>55</v>
      </c>
      <c r="J2006" s="694" t="s">
        <v>48</v>
      </c>
      <c r="K2006" s="590" t="s">
        <v>2592</v>
      </c>
      <c r="L2006" s="493"/>
      <c r="M2006" s="588" t="s">
        <v>2336</v>
      </c>
      <c r="N2006" s="796">
        <v>65037</v>
      </c>
      <c r="O2006" s="797">
        <v>65037</v>
      </c>
      <c r="P2006" s="496">
        <v>65052</v>
      </c>
      <c r="Q2006" s="491" t="s">
        <v>51</v>
      </c>
    </row>
    <row r="2007" spans="1:17" ht="18">
      <c r="A2007" s="512">
        <f t="shared" si="24"/>
        <v>1160</v>
      </c>
      <c r="B2007" s="692" t="s">
        <v>43</v>
      </c>
      <c r="C2007" s="693" t="s">
        <v>44</v>
      </c>
      <c r="D2007" s="693" t="s">
        <v>45</v>
      </c>
      <c r="E2007" s="795" t="s">
        <v>2591</v>
      </c>
      <c r="F2007" s="694" t="s">
        <v>791</v>
      </c>
      <c r="G2007" s="694">
        <v>9841034205</v>
      </c>
      <c r="H2007" s="795"/>
      <c r="I2007" s="694">
        <v>41</v>
      </c>
      <c r="J2007" s="694" t="s">
        <v>48</v>
      </c>
      <c r="K2007" s="590" t="s">
        <v>2592</v>
      </c>
      <c r="L2007" s="493"/>
      <c r="M2007" s="588" t="s">
        <v>2336</v>
      </c>
      <c r="N2007" s="796">
        <v>65037</v>
      </c>
      <c r="O2007" s="797">
        <v>65037</v>
      </c>
      <c r="P2007" s="496">
        <v>65052</v>
      </c>
      <c r="Q2007" s="491" t="s">
        <v>51</v>
      </c>
    </row>
    <row r="2008" spans="1:17" ht="18">
      <c r="A2008" s="512">
        <f t="shared" si="24"/>
        <v>1161</v>
      </c>
      <c r="B2008" s="692" t="s">
        <v>43</v>
      </c>
      <c r="C2008" s="693" t="s">
        <v>44</v>
      </c>
      <c r="D2008" s="693" t="s">
        <v>45</v>
      </c>
      <c r="E2008" s="693" t="s">
        <v>2325</v>
      </c>
      <c r="F2008" s="590" t="s">
        <v>497</v>
      </c>
      <c r="G2008" s="590">
        <v>9857826884</v>
      </c>
      <c r="H2008" s="491"/>
      <c r="I2008" s="590">
        <v>41</v>
      </c>
      <c r="J2008" s="590" t="s">
        <v>48</v>
      </c>
      <c r="K2008" s="590" t="s">
        <v>53</v>
      </c>
      <c r="L2008" s="590"/>
      <c r="M2008" s="588" t="s">
        <v>2336</v>
      </c>
      <c r="N2008" s="750">
        <v>65037</v>
      </c>
      <c r="O2008" s="596">
        <v>65037</v>
      </c>
      <c r="P2008" s="496">
        <v>65052</v>
      </c>
      <c r="Q2008" s="491" t="s">
        <v>51</v>
      </c>
    </row>
    <row r="2009" spans="1:17" ht="18">
      <c r="A2009" s="512">
        <f t="shared" si="24"/>
        <v>1162</v>
      </c>
      <c r="B2009" s="692" t="s">
        <v>43</v>
      </c>
      <c r="C2009" s="693" t="s">
        <v>44</v>
      </c>
      <c r="D2009" s="693" t="s">
        <v>45</v>
      </c>
      <c r="E2009" s="795" t="s">
        <v>2541</v>
      </c>
      <c r="F2009" s="694" t="s">
        <v>491</v>
      </c>
      <c r="G2009" s="694">
        <v>9849322795</v>
      </c>
      <c r="H2009" s="795"/>
      <c r="I2009" s="694">
        <v>53</v>
      </c>
      <c r="J2009" s="694" t="s">
        <v>48</v>
      </c>
      <c r="K2009" s="590" t="s">
        <v>2592</v>
      </c>
      <c r="L2009" s="493"/>
      <c r="M2009" s="588" t="s">
        <v>2336</v>
      </c>
      <c r="N2009" s="796">
        <v>65037</v>
      </c>
      <c r="O2009" s="797">
        <v>65037</v>
      </c>
      <c r="P2009" s="496">
        <v>65052</v>
      </c>
      <c r="Q2009" s="491" t="s">
        <v>51</v>
      </c>
    </row>
    <row r="2010" spans="1:17" ht="18">
      <c r="A2010" s="512">
        <f t="shared" si="24"/>
        <v>1163</v>
      </c>
      <c r="B2010" s="692" t="s">
        <v>43</v>
      </c>
      <c r="C2010" s="693" t="s">
        <v>44</v>
      </c>
      <c r="D2010" s="693" t="s">
        <v>45</v>
      </c>
      <c r="E2010" s="795" t="s">
        <v>2557</v>
      </c>
      <c r="F2010" s="694" t="s">
        <v>441</v>
      </c>
      <c r="G2010" s="694">
        <v>9847834687</v>
      </c>
      <c r="H2010" s="795"/>
      <c r="I2010" s="694">
        <v>70</v>
      </c>
      <c r="J2010" s="694" t="s">
        <v>90</v>
      </c>
      <c r="K2010" s="590" t="s">
        <v>2592</v>
      </c>
      <c r="L2010" s="493"/>
      <c r="M2010" s="588" t="s">
        <v>2336</v>
      </c>
      <c r="N2010" s="796">
        <v>65037</v>
      </c>
      <c r="O2010" s="797">
        <v>65037</v>
      </c>
      <c r="P2010" s="496">
        <v>65052</v>
      </c>
      <c r="Q2010" s="491" t="s">
        <v>51</v>
      </c>
    </row>
    <row r="2011" spans="1:17" ht="18">
      <c r="A2011" s="512">
        <f t="shared" si="24"/>
        <v>1164</v>
      </c>
      <c r="B2011" s="692" t="s">
        <v>43</v>
      </c>
      <c r="C2011" s="693" t="s">
        <v>44</v>
      </c>
      <c r="D2011" s="693" t="s">
        <v>45</v>
      </c>
      <c r="E2011" s="795" t="s">
        <v>2543</v>
      </c>
      <c r="F2011" s="694" t="s">
        <v>491</v>
      </c>
      <c r="G2011" s="694">
        <v>9857821100</v>
      </c>
      <c r="H2011" s="795"/>
      <c r="I2011" s="694">
        <v>33</v>
      </c>
      <c r="J2011" s="694" t="s">
        <v>48</v>
      </c>
      <c r="K2011" s="590" t="s">
        <v>2592</v>
      </c>
      <c r="L2011" s="493"/>
      <c r="M2011" s="588" t="s">
        <v>2336</v>
      </c>
      <c r="N2011" s="796">
        <v>65037</v>
      </c>
      <c r="O2011" s="797">
        <v>65037</v>
      </c>
      <c r="P2011" s="496">
        <v>65052</v>
      </c>
      <c r="Q2011" s="491" t="s">
        <v>51</v>
      </c>
    </row>
    <row r="2012" spans="1:17" ht="18">
      <c r="A2012" s="512">
        <f t="shared" si="24"/>
        <v>1165</v>
      </c>
      <c r="B2012" s="692" t="s">
        <v>43</v>
      </c>
      <c r="C2012" s="693" t="s">
        <v>44</v>
      </c>
      <c r="D2012" s="693" t="s">
        <v>45</v>
      </c>
      <c r="E2012" s="795" t="s">
        <v>2585</v>
      </c>
      <c r="F2012" s="694" t="s">
        <v>124</v>
      </c>
      <c r="G2012" s="694">
        <v>9822889290</v>
      </c>
      <c r="H2012" s="795"/>
      <c r="I2012" s="694">
        <v>35</v>
      </c>
      <c r="J2012" s="694" t="s">
        <v>48</v>
      </c>
      <c r="K2012" s="590" t="s">
        <v>2592</v>
      </c>
      <c r="L2012" s="493"/>
      <c r="M2012" s="588" t="s">
        <v>2336</v>
      </c>
      <c r="N2012" s="796">
        <v>65037</v>
      </c>
      <c r="O2012" s="797">
        <v>65037</v>
      </c>
      <c r="P2012" s="496">
        <v>65052</v>
      </c>
      <c r="Q2012" s="491" t="s">
        <v>51</v>
      </c>
    </row>
    <row r="2013" spans="1:17" ht="18">
      <c r="A2013" s="512">
        <f t="shared" si="24"/>
        <v>1166</v>
      </c>
      <c r="B2013" s="692" t="s">
        <v>43</v>
      </c>
      <c r="C2013" s="693" t="s">
        <v>44</v>
      </c>
      <c r="D2013" s="693" t="s">
        <v>45</v>
      </c>
      <c r="E2013" s="795" t="s">
        <v>2542</v>
      </c>
      <c r="F2013" s="694" t="s">
        <v>491</v>
      </c>
      <c r="G2013" s="694">
        <v>9857822931</v>
      </c>
      <c r="H2013" s="795"/>
      <c r="I2013" s="694">
        <v>45</v>
      </c>
      <c r="J2013" s="694" t="s">
        <v>48</v>
      </c>
      <c r="K2013" s="590" t="s">
        <v>2592</v>
      </c>
      <c r="L2013" s="493"/>
      <c r="M2013" s="588" t="s">
        <v>2336</v>
      </c>
      <c r="N2013" s="796">
        <v>65037</v>
      </c>
      <c r="O2013" s="797">
        <v>65037</v>
      </c>
      <c r="P2013" s="496">
        <v>65052</v>
      </c>
      <c r="Q2013" s="491" t="s">
        <v>51</v>
      </c>
    </row>
    <row r="2014" spans="1:17" ht="18">
      <c r="A2014" s="512">
        <f t="shared" si="24"/>
        <v>1167</v>
      </c>
      <c r="B2014" s="692" t="s">
        <v>43</v>
      </c>
      <c r="C2014" s="693" t="s">
        <v>44</v>
      </c>
      <c r="D2014" s="693" t="s">
        <v>45</v>
      </c>
      <c r="E2014" s="795" t="s">
        <v>2548</v>
      </c>
      <c r="F2014" s="694" t="s">
        <v>491</v>
      </c>
      <c r="G2014" s="694">
        <v>9857842068</v>
      </c>
      <c r="H2014" s="795"/>
      <c r="I2014" s="694">
        <v>48</v>
      </c>
      <c r="J2014" s="694" t="s">
        <v>48</v>
      </c>
      <c r="K2014" s="590" t="s">
        <v>2592</v>
      </c>
      <c r="L2014" s="493"/>
      <c r="M2014" s="588" t="s">
        <v>2336</v>
      </c>
      <c r="N2014" s="796">
        <v>65037</v>
      </c>
      <c r="O2014" s="797">
        <v>65037</v>
      </c>
      <c r="P2014" s="496">
        <v>65052</v>
      </c>
      <c r="Q2014" s="491" t="s">
        <v>51</v>
      </c>
    </row>
    <row r="2015" spans="1:17" ht="18">
      <c r="A2015" s="512">
        <f t="shared" si="24"/>
        <v>1168</v>
      </c>
      <c r="B2015" s="692" t="s">
        <v>43</v>
      </c>
      <c r="C2015" s="693" t="s">
        <v>44</v>
      </c>
      <c r="D2015" s="693" t="s">
        <v>45</v>
      </c>
      <c r="E2015" s="795" t="s">
        <v>2500</v>
      </c>
      <c r="F2015" s="694" t="s">
        <v>512</v>
      </c>
      <c r="G2015" s="694">
        <v>9861668290</v>
      </c>
      <c r="H2015" s="795"/>
      <c r="I2015" s="694">
        <v>35</v>
      </c>
      <c r="J2015" s="694" t="s">
        <v>90</v>
      </c>
      <c r="K2015" s="590" t="s">
        <v>2592</v>
      </c>
      <c r="L2015" s="493"/>
      <c r="M2015" s="588" t="s">
        <v>2336</v>
      </c>
      <c r="N2015" s="796">
        <v>65037</v>
      </c>
      <c r="O2015" s="797">
        <v>65037</v>
      </c>
      <c r="P2015" s="496">
        <v>65052</v>
      </c>
      <c r="Q2015" s="491" t="s">
        <v>51</v>
      </c>
    </row>
    <row r="2016" spans="1:17" ht="18">
      <c r="A2016" s="512">
        <f t="shared" si="24"/>
        <v>1169</v>
      </c>
      <c r="B2016" s="692" t="s">
        <v>43</v>
      </c>
      <c r="C2016" s="693" t="s">
        <v>44</v>
      </c>
      <c r="D2016" s="693" t="s">
        <v>45</v>
      </c>
      <c r="E2016" s="795" t="s">
        <v>2544</v>
      </c>
      <c r="F2016" s="694" t="s">
        <v>491</v>
      </c>
      <c r="G2016" s="694">
        <v>9822969977</v>
      </c>
      <c r="H2016" s="795"/>
      <c r="I2016" s="694">
        <v>33</v>
      </c>
      <c r="J2016" s="694" t="s">
        <v>48</v>
      </c>
      <c r="K2016" s="590" t="s">
        <v>2592</v>
      </c>
      <c r="L2016" s="493"/>
      <c r="M2016" s="588" t="s">
        <v>2336</v>
      </c>
      <c r="N2016" s="796">
        <v>65037</v>
      </c>
      <c r="O2016" s="797">
        <v>65037</v>
      </c>
      <c r="P2016" s="496">
        <v>65052</v>
      </c>
      <c r="Q2016" s="491" t="s">
        <v>51</v>
      </c>
    </row>
    <row r="2017" spans="1:19" ht="18">
      <c r="A2017" s="512">
        <f t="shared" si="24"/>
        <v>1170</v>
      </c>
      <c r="B2017" s="692" t="s">
        <v>43</v>
      </c>
      <c r="C2017" s="693" t="s">
        <v>44</v>
      </c>
      <c r="D2017" s="693" t="s">
        <v>45</v>
      </c>
      <c r="E2017" s="795" t="s">
        <v>2578</v>
      </c>
      <c r="F2017" s="694" t="s">
        <v>124</v>
      </c>
      <c r="G2017" s="694">
        <v>9810957619</v>
      </c>
      <c r="H2017" s="795"/>
      <c r="I2017" s="694">
        <v>46</v>
      </c>
      <c r="J2017" s="694" t="s">
        <v>90</v>
      </c>
      <c r="K2017" s="590" t="s">
        <v>2592</v>
      </c>
      <c r="L2017" s="493"/>
      <c r="M2017" s="588" t="s">
        <v>2336</v>
      </c>
      <c r="N2017" s="796">
        <v>65037</v>
      </c>
      <c r="O2017" s="797">
        <v>65037</v>
      </c>
      <c r="P2017" s="496">
        <v>65052</v>
      </c>
      <c r="Q2017" s="491" t="s">
        <v>51</v>
      </c>
    </row>
    <row r="2018" spans="1:19" ht="18">
      <c r="A2018" s="512">
        <f t="shared" si="24"/>
        <v>1171</v>
      </c>
      <c r="B2018" s="799" t="s">
        <v>43</v>
      </c>
      <c r="C2018" s="627" t="s">
        <v>44</v>
      </c>
      <c r="D2018" s="627" t="s">
        <v>45</v>
      </c>
      <c r="E2018" s="859" t="s">
        <v>103</v>
      </c>
      <c r="F2018" s="628" t="s">
        <v>491</v>
      </c>
      <c r="G2018" s="628">
        <v>9840912133</v>
      </c>
      <c r="H2018" s="509"/>
      <c r="I2018" s="628">
        <v>18</v>
      </c>
      <c r="J2018" s="628" t="s">
        <v>90</v>
      </c>
      <c r="K2018" s="628" t="s">
        <v>53</v>
      </c>
      <c r="L2018" s="628"/>
      <c r="M2018" s="609" t="s">
        <v>2336</v>
      </c>
      <c r="N2018" s="757">
        <v>65037</v>
      </c>
      <c r="O2018" s="817">
        <v>65037</v>
      </c>
      <c r="P2018" s="511">
        <v>65086</v>
      </c>
      <c r="Q2018" s="491" t="s">
        <v>51</v>
      </c>
    </row>
    <row r="2019" spans="1:19" ht="18">
      <c r="A2019" s="512">
        <f t="shared" si="24"/>
        <v>1172</v>
      </c>
      <c r="B2019" s="692" t="s">
        <v>43</v>
      </c>
      <c r="C2019" s="693" t="s">
        <v>44</v>
      </c>
      <c r="D2019" s="693" t="s">
        <v>45</v>
      </c>
      <c r="E2019" s="693" t="s">
        <v>2326</v>
      </c>
      <c r="F2019" s="590" t="s">
        <v>529</v>
      </c>
      <c r="G2019" s="590">
        <v>9847885200</v>
      </c>
      <c r="H2019" s="491"/>
      <c r="I2019" s="590">
        <v>12</v>
      </c>
      <c r="J2019" s="590" t="s">
        <v>90</v>
      </c>
      <c r="K2019" s="590" t="s">
        <v>53</v>
      </c>
      <c r="L2019" s="590"/>
      <c r="M2019" s="588" t="s">
        <v>2336</v>
      </c>
      <c r="N2019" s="750">
        <v>65037</v>
      </c>
      <c r="O2019" s="596">
        <v>65037</v>
      </c>
      <c r="P2019" s="496">
        <v>65052</v>
      </c>
      <c r="Q2019" s="491" t="s">
        <v>51</v>
      </c>
    </row>
    <row r="2020" spans="1:19" ht="18">
      <c r="A2020" s="512">
        <f t="shared" si="24"/>
        <v>1173</v>
      </c>
      <c r="B2020" s="692" t="s">
        <v>43</v>
      </c>
      <c r="C2020" s="693" t="s">
        <v>44</v>
      </c>
      <c r="D2020" s="693" t="s">
        <v>45</v>
      </c>
      <c r="E2020" s="795" t="s">
        <v>2516</v>
      </c>
      <c r="F2020" s="694" t="s">
        <v>502</v>
      </c>
      <c r="G2020" s="694">
        <v>9847890124</v>
      </c>
      <c r="H2020" s="795"/>
      <c r="I2020" s="694">
        <v>47</v>
      </c>
      <c r="J2020" s="694" t="s">
        <v>90</v>
      </c>
      <c r="K2020" s="590" t="s">
        <v>2592</v>
      </c>
      <c r="L2020" s="493"/>
      <c r="M2020" s="588" t="s">
        <v>2336</v>
      </c>
      <c r="N2020" s="796">
        <v>65037</v>
      </c>
      <c r="O2020" s="797">
        <v>65037</v>
      </c>
      <c r="P2020" s="496">
        <v>65052</v>
      </c>
      <c r="Q2020" s="491" t="s">
        <v>51</v>
      </c>
    </row>
    <row r="2021" spans="1:19" ht="18">
      <c r="A2021" s="512">
        <f t="shared" si="24"/>
        <v>1174</v>
      </c>
      <c r="B2021" s="692" t="s">
        <v>43</v>
      </c>
      <c r="C2021" s="693" t="s">
        <v>44</v>
      </c>
      <c r="D2021" s="693" t="s">
        <v>45</v>
      </c>
      <c r="E2021" s="795" t="s">
        <v>2531</v>
      </c>
      <c r="F2021" s="694" t="s">
        <v>491</v>
      </c>
      <c r="G2021" s="694">
        <v>9847980718</v>
      </c>
      <c r="H2021" s="795"/>
      <c r="I2021" s="694">
        <v>20</v>
      </c>
      <c r="J2021" s="694" t="s">
        <v>90</v>
      </c>
      <c r="K2021" s="590" t="s">
        <v>2592</v>
      </c>
      <c r="L2021" s="493"/>
      <c r="M2021" s="588" t="s">
        <v>2336</v>
      </c>
      <c r="N2021" s="796">
        <v>65037</v>
      </c>
      <c r="O2021" s="797">
        <v>65037</v>
      </c>
      <c r="P2021" s="496">
        <v>65052</v>
      </c>
      <c r="Q2021" s="491" t="s">
        <v>51</v>
      </c>
    </row>
    <row r="2022" spans="1:19" ht="18">
      <c r="A2022" s="512">
        <f t="shared" si="24"/>
        <v>1175</v>
      </c>
      <c r="B2022" s="692" t="s">
        <v>43</v>
      </c>
      <c r="C2022" s="693" t="s">
        <v>44</v>
      </c>
      <c r="D2022" s="693" t="s">
        <v>45</v>
      </c>
      <c r="E2022" s="795" t="s">
        <v>2519</v>
      </c>
      <c r="F2022" s="694" t="s">
        <v>502</v>
      </c>
      <c r="G2022" s="694">
        <v>9847855223</v>
      </c>
      <c r="H2022" s="795"/>
      <c r="I2022" s="694">
        <v>38</v>
      </c>
      <c r="J2022" s="694" t="s">
        <v>90</v>
      </c>
      <c r="K2022" s="590" t="s">
        <v>2592</v>
      </c>
      <c r="L2022" s="493"/>
      <c r="M2022" s="588" t="s">
        <v>2336</v>
      </c>
      <c r="N2022" s="796">
        <v>65037</v>
      </c>
      <c r="O2022" s="797">
        <v>65037</v>
      </c>
      <c r="P2022" s="496">
        <v>65052</v>
      </c>
      <c r="Q2022" s="491" t="s">
        <v>51</v>
      </c>
    </row>
    <row r="2023" spans="1:19" ht="18">
      <c r="A2023" s="512">
        <f t="shared" si="24"/>
        <v>1176</v>
      </c>
      <c r="B2023" s="692" t="s">
        <v>43</v>
      </c>
      <c r="C2023" s="693" t="s">
        <v>44</v>
      </c>
      <c r="D2023" s="693" t="s">
        <v>45</v>
      </c>
      <c r="E2023" s="693" t="s">
        <v>2327</v>
      </c>
      <c r="F2023" s="590" t="s">
        <v>441</v>
      </c>
      <c r="G2023" s="590">
        <v>9847203879</v>
      </c>
      <c r="H2023" s="491"/>
      <c r="I2023" s="590">
        <v>28</v>
      </c>
      <c r="J2023" s="590" t="s">
        <v>90</v>
      </c>
      <c r="K2023" s="590" t="s">
        <v>53</v>
      </c>
      <c r="L2023" s="590"/>
      <c r="M2023" s="588" t="s">
        <v>2336</v>
      </c>
      <c r="N2023" s="750">
        <v>65037</v>
      </c>
      <c r="O2023" s="596">
        <v>65037</v>
      </c>
      <c r="P2023" s="496">
        <v>65052</v>
      </c>
      <c r="Q2023" s="491" t="s">
        <v>51</v>
      </c>
    </row>
    <row r="2024" spans="1:19" ht="18">
      <c r="A2024" s="512">
        <f t="shared" si="24"/>
        <v>1177</v>
      </c>
      <c r="B2024" s="692" t="s">
        <v>43</v>
      </c>
      <c r="C2024" s="693" t="s">
        <v>44</v>
      </c>
      <c r="D2024" s="693" t="s">
        <v>45</v>
      </c>
      <c r="E2024" s="693" t="s">
        <v>2328</v>
      </c>
      <c r="F2024" s="590" t="s">
        <v>441</v>
      </c>
      <c r="G2024" s="590">
        <v>9866927000</v>
      </c>
      <c r="H2024" s="491"/>
      <c r="I2024" s="590">
        <v>38</v>
      </c>
      <c r="J2024" s="590" t="s">
        <v>48</v>
      </c>
      <c r="K2024" s="590" t="s">
        <v>53</v>
      </c>
      <c r="L2024" s="590"/>
      <c r="M2024" s="588" t="s">
        <v>2336</v>
      </c>
      <c r="N2024" s="750">
        <v>65037</v>
      </c>
      <c r="O2024" s="596">
        <v>65037</v>
      </c>
      <c r="P2024" s="496">
        <v>65052</v>
      </c>
      <c r="Q2024" s="491" t="s">
        <v>51</v>
      </c>
    </row>
    <row r="2025" spans="1:19" ht="18">
      <c r="A2025" s="512">
        <f t="shared" si="24"/>
        <v>1178</v>
      </c>
      <c r="B2025" s="692" t="s">
        <v>43</v>
      </c>
      <c r="C2025" s="693" t="s">
        <v>44</v>
      </c>
      <c r="D2025" s="693" t="s">
        <v>45</v>
      </c>
      <c r="E2025" s="693" t="s">
        <v>2329</v>
      </c>
      <c r="F2025" s="590" t="s">
        <v>1046</v>
      </c>
      <c r="G2025" s="590">
        <v>9809542339</v>
      </c>
      <c r="H2025" s="491"/>
      <c r="I2025" s="590">
        <v>22</v>
      </c>
      <c r="J2025" s="590" t="s">
        <v>90</v>
      </c>
      <c r="K2025" s="590" t="s">
        <v>53</v>
      </c>
      <c r="L2025" s="590"/>
      <c r="M2025" s="588" t="s">
        <v>2336</v>
      </c>
      <c r="N2025" s="750">
        <v>65037</v>
      </c>
      <c r="O2025" s="596">
        <v>65037</v>
      </c>
      <c r="P2025" s="496">
        <v>65052</v>
      </c>
      <c r="Q2025" s="491" t="s">
        <v>51</v>
      </c>
    </row>
    <row r="2026" spans="1:19" ht="18">
      <c r="A2026" s="512">
        <f t="shared" si="24"/>
        <v>1179</v>
      </c>
      <c r="B2026" s="692" t="s">
        <v>43</v>
      </c>
      <c r="C2026" s="693" t="s">
        <v>44</v>
      </c>
      <c r="D2026" s="693" t="s">
        <v>45</v>
      </c>
      <c r="E2026" s="795" t="s">
        <v>2530</v>
      </c>
      <c r="F2026" s="694" t="s">
        <v>491</v>
      </c>
      <c r="G2026" s="694">
        <v>9847908874</v>
      </c>
      <c r="H2026" s="795"/>
      <c r="I2026" s="694">
        <v>35</v>
      </c>
      <c r="J2026" s="694" t="s">
        <v>90</v>
      </c>
      <c r="K2026" s="590" t="s">
        <v>2592</v>
      </c>
      <c r="L2026" s="493"/>
      <c r="M2026" s="588" t="s">
        <v>2336</v>
      </c>
      <c r="N2026" s="796">
        <v>65037</v>
      </c>
      <c r="O2026" s="797">
        <v>65037</v>
      </c>
      <c r="P2026" s="496">
        <v>65052</v>
      </c>
      <c r="Q2026" s="491" t="s">
        <v>51</v>
      </c>
    </row>
    <row r="2027" spans="1:19" ht="18">
      <c r="A2027" s="512">
        <f t="shared" si="24"/>
        <v>1180</v>
      </c>
      <c r="B2027" s="692" t="s">
        <v>43</v>
      </c>
      <c r="C2027" s="693" t="s">
        <v>44</v>
      </c>
      <c r="D2027" s="693" t="s">
        <v>45</v>
      </c>
      <c r="E2027" s="795" t="s">
        <v>2515</v>
      </c>
      <c r="F2027" s="694" t="s">
        <v>502</v>
      </c>
      <c r="G2027" s="694">
        <v>9809725872</v>
      </c>
      <c r="H2027" s="795"/>
      <c r="I2027" s="694">
        <v>21</v>
      </c>
      <c r="J2027" s="694" t="s">
        <v>90</v>
      </c>
      <c r="K2027" s="590" t="s">
        <v>2592</v>
      </c>
      <c r="L2027" s="493"/>
      <c r="M2027" s="588" t="s">
        <v>2336</v>
      </c>
      <c r="N2027" s="796">
        <v>65037</v>
      </c>
      <c r="O2027" s="797">
        <v>65037</v>
      </c>
      <c r="P2027" s="496">
        <v>65052</v>
      </c>
      <c r="Q2027" s="491" t="s">
        <v>51</v>
      </c>
    </row>
    <row r="2028" spans="1:19" ht="18">
      <c r="A2028" s="512">
        <f t="shared" si="24"/>
        <v>1181</v>
      </c>
      <c r="B2028" s="692" t="s">
        <v>43</v>
      </c>
      <c r="C2028" s="693" t="s">
        <v>44</v>
      </c>
      <c r="D2028" s="693" t="s">
        <v>45</v>
      </c>
      <c r="E2028" s="795" t="s">
        <v>2528</v>
      </c>
      <c r="F2028" s="694" t="s">
        <v>502</v>
      </c>
      <c r="G2028" s="694">
        <v>9847946765</v>
      </c>
      <c r="H2028" s="795"/>
      <c r="I2028" s="694">
        <v>42</v>
      </c>
      <c r="J2028" s="694" t="s">
        <v>48</v>
      </c>
      <c r="K2028" s="590" t="s">
        <v>2592</v>
      </c>
      <c r="L2028" s="493"/>
      <c r="M2028" s="588" t="s">
        <v>2336</v>
      </c>
      <c r="N2028" s="796">
        <v>65037</v>
      </c>
      <c r="O2028" s="797">
        <v>65037</v>
      </c>
      <c r="P2028" s="496">
        <v>65052</v>
      </c>
      <c r="Q2028" s="491" t="s">
        <v>51</v>
      </c>
    </row>
    <row r="2029" spans="1:19" ht="18">
      <c r="A2029" s="512">
        <f t="shared" si="24"/>
        <v>1182</v>
      </c>
      <c r="B2029" s="692" t="s">
        <v>43</v>
      </c>
      <c r="C2029" s="693" t="s">
        <v>44</v>
      </c>
      <c r="D2029" s="693" t="s">
        <v>45</v>
      </c>
      <c r="E2029" s="795" t="s">
        <v>2502</v>
      </c>
      <c r="F2029" s="694" t="s">
        <v>512</v>
      </c>
      <c r="G2029" s="694">
        <v>9822851065</v>
      </c>
      <c r="H2029" s="795"/>
      <c r="I2029" s="694">
        <v>45</v>
      </c>
      <c r="J2029" s="694" t="s">
        <v>90</v>
      </c>
      <c r="K2029" s="590" t="s">
        <v>2592</v>
      </c>
      <c r="L2029" s="493"/>
      <c r="M2029" s="588" t="s">
        <v>2336</v>
      </c>
      <c r="N2029" s="796">
        <v>65037</v>
      </c>
      <c r="O2029" s="797">
        <v>65037</v>
      </c>
      <c r="P2029" s="496">
        <v>65052</v>
      </c>
      <c r="Q2029" s="491" t="s">
        <v>51</v>
      </c>
    </row>
    <row r="2030" spans="1:19" s="163" customFormat="1" ht="18">
      <c r="A2030" s="512">
        <f t="shared" si="24"/>
        <v>1183</v>
      </c>
      <c r="B2030" s="692" t="s">
        <v>43</v>
      </c>
      <c r="C2030" s="693" t="s">
        <v>44</v>
      </c>
      <c r="D2030" s="693" t="s">
        <v>45</v>
      </c>
      <c r="E2030" s="795" t="s">
        <v>2512</v>
      </c>
      <c r="F2030" s="694" t="s">
        <v>598</v>
      </c>
      <c r="G2030" s="694">
        <v>9809590030</v>
      </c>
      <c r="H2030" s="795"/>
      <c r="I2030" s="694">
        <v>20</v>
      </c>
      <c r="J2030" s="694" t="s">
        <v>48</v>
      </c>
      <c r="K2030" s="590" t="s">
        <v>2592</v>
      </c>
      <c r="L2030" s="493"/>
      <c r="M2030" s="588" t="s">
        <v>2336</v>
      </c>
      <c r="N2030" s="796">
        <v>65037</v>
      </c>
      <c r="O2030" s="797">
        <v>65037</v>
      </c>
      <c r="P2030" s="496">
        <v>65052</v>
      </c>
      <c r="Q2030" s="491" t="s">
        <v>51</v>
      </c>
      <c r="R2030" s="322"/>
      <c r="S2030" s="322"/>
    </row>
    <row r="2031" spans="1:19" ht="18">
      <c r="A2031" s="512">
        <f t="shared" si="24"/>
        <v>1184</v>
      </c>
      <c r="B2031" s="692" t="s">
        <v>43</v>
      </c>
      <c r="C2031" s="693" t="s">
        <v>44</v>
      </c>
      <c r="D2031" s="693" t="s">
        <v>45</v>
      </c>
      <c r="E2031" s="795" t="s">
        <v>2506</v>
      </c>
      <c r="F2031" s="694" t="s">
        <v>512</v>
      </c>
      <c r="G2031" s="694">
        <v>9822851065</v>
      </c>
      <c r="H2031" s="795"/>
      <c r="I2031" s="694">
        <v>21</v>
      </c>
      <c r="J2031" s="694" t="s">
        <v>48</v>
      </c>
      <c r="K2031" s="590" t="s">
        <v>2592</v>
      </c>
      <c r="L2031" s="493"/>
      <c r="M2031" s="588" t="s">
        <v>2336</v>
      </c>
      <c r="N2031" s="796">
        <v>65037</v>
      </c>
      <c r="O2031" s="797">
        <v>65037</v>
      </c>
      <c r="P2031" s="496">
        <v>65052</v>
      </c>
      <c r="Q2031" s="491" t="s">
        <v>51</v>
      </c>
    </row>
    <row r="2032" spans="1:19" ht="18">
      <c r="A2032" s="512">
        <f t="shared" si="24"/>
        <v>1185</v>
      </c>
      <c r="B2032" s="692" t="s">
        <v>43</v>
      </c>
      <c r="C2032" s="693" t="s">
        <v>44</v>
      </c>
      <c r="D2032" s="693" t="s">
        <v>45</v>
      </c>
      <c r="E2032" s="795" t="s">
        <v>2572</v>
      </c>
      <c r="F2032" s="694" t="s">
        <v>529</v>
      </c>
      <c r="G2032" s="694">
        <v>9844975572</v>
      </c>
      <c r="H2032" s="795"/>
      <c r="I2032" s="694">
        <v>72</v>
      </c>
      <c r="J2032" s="694" t="s">
        <v>48</v>
      </c>
      <c r="K2032" s="590" t="s">
        <v>2592</v>
      </c>
      <c r="L2032" s="493"/>
      <c r="M2032" s="588" t="s">
        <v>2336</v>
      </c>
      <c r="N2032" s="796">
        <v>65037</v>
      </c>
      <c r="O2032" s="797">
        <v>65037</v>
      </c>
      <c r="P2032" s="496">
        <v>65052</v>
      </c>
      <c r="Q2032" s="491" t="s">
        <v>51</v>
      </c>
    </row>
    <row r="2033" spans="1:19" ht="18">
      <c r="A2033" s="512">
        <f t="shared" si="24"/>
        <v>1186</v>
      </c>
      <c r="B2033" s="692" t="s">
        <v>43</v>
      </c>
      <c r="C2033" s="693" t="s">
        <v>44</v>
      </c>
      <c r="D2033" s="693" t="s">
        <v>45</v>
      </c>
      <c r="E2033" s="795" t="s">
        <v>2499</v>
      </c>
      <c r="F2033" s="694" t="s">
        <v>512</v>
      </c>
      <c r="G2033" s="694">
        <v>9847932060</v>
      </c>
      <c r="H2033" s="795"/>
      <c r="I2033" s="694">
        <v>60</v>
      </c>
      <c r="J2033" s="694" t="s">
        <v>90</v>
      </c>
      <c r="K2033" s="590" t="s">
        <v>2592</v>
      </c>
      <c r="L2033" s="493"/>
      <c r="M2033" s="588" t="s">
        <v>2336</v>
      </c>
      <c r="N2033" s="796">
        <v>65037</v>
      </c>
      <c r="O2033" s="797">
        <v>65037</v>
      </c>
      <c r="P2033" s="496">
        <v>65052</v>
      </c>
      <c r="Q2033" s="491" t="s">
        <v>51</v>
      </c>
    </row>
    <row r="2034" spans="1:19" ht="18">
      <c r="A2034" s="512">
        <f t="shared" si="24"/>
        <v>1187</v>
      </c>
      <c r="B2034" s="692" t="s">
        <v>43</v>
      </c>
      <c r="C2034" s="693" t="s">
        <v>44</v>
      </c>
      <c r="D2034" s="693" t="s">
        <v>45</v>
      </c>
      <c r="E2034" s="795" t="s">
        <v>2537</v>
      </c>
      <c r="F2034" s="694" t="s">
        <v>491</v>
      </c>
      <c r="G2034" s="694">
        <v>9857820030</v>
      </c>
      <c r="H2034" s="795"/>
      <c r="I2034" s="694">
        <v>46</v>
      </c>
      <c r="J2034" s="694" t="s">
        <v>48</v>
      </c>
      <c r="K2034" s="590" t="s">
        <v>2592</v>
      </c>
      <c r="L2034" s="493"/>
      <c r="M2034" s="588" t="s">
        <v>2336</v>
      </c>
      <c r="N2034" s="796">
        <v>65037</v>
      </c>
      <c r="O2034" s="797">
        <v>65037</v>
      </c>
      <c r="P2034" s="496">
        <v>65052</v>
      </c>
      <c r="Q2034" s="491" t="s">
        <v>51</v>
      </c>
    </row>
    <row r="2035" spans="1:19" ht="18">
      <c r="A2035" s="512">
        <f t="shared" si="24"/>
        <v>1188</v>
      </c>
      <c r="B2035" s="692" t="s">
        <v>43</v>
      </c>
      <c r="C2035" s="693" t="s">
        <v>44</v>
      </c>
      <c r="D2035" s="693" t="s">
        <v>45</v>
      </c>
      <c r="E2035" s="693" t="s">
        <v>2330</v>
      </c>
      <c r="F2035" s="590" t="s">
        <v>1204</v>
      </c>
      <c r="G2035" s="590">
        <v>9847836533</v>
      </c>
      <c r="H2035" s="491"/>
      <c r="I2035" s="590">
        <v>52</v>
      </c>
      <c r="J2035" s="590" t="s">
        <v>90</v>
      </c>
      <c r="K2035" s="590" t="s">
        <v>53</v>
      </c>
      <c r="L2035" s="590"/>
      <c r="M2035" s="588" t="s">
        <v>2336</v>
      </c>
      <c r="N2035" s="750">
        <v>65037</v>
      </c>
      <c r="O2035" s="596">
        <v>65037</v>
      </c>
      <c r="P2035" s="496">
        <v>65052</v>
      </c>
      <c r="Q2035" s="491" t="s">
        <v>51</v>
      </c>
      <c r="R2035" s="163"/>
      <c r="S2035" s="163"/>
    </row>
    <row r="2036" spans="1:19" ht="18">
      <c r="A2036" s="512">
        <f t="shared" si="24"/>
        <v>1189</v>
      </c>
      <c r="B2036" s="692" t="s">
        <v>43</v>
      </c>
      <c r="C2036" s="693" t="s">
        <v>44</v>
      </c>
      <c r="D2036" s="693" t="s">
        <v>45</v>
      </c>
      <c r="E2036" s="798" t="s">
        <v>1352</v>
      </c>
      <c r="F2036" s="590" t="s">
        <v>491</v>
      </c>
      <c r="G2036" s="590">
        <v>9849388619</v>
      </c>
      <c r="H2036" s="491"/>
      <c r="I2036" s="590">
        <v>30</v>
      </c>
      <c r="J2036" s="590" t="s">
        <v>48</v>
      </c>
      <c r="K2036" s="590" t="s">
        <v>53</v>
      </c>
      <c r="L2036" s="590"/>
      <c r="M2036" s="588" t="s">
        <v>2336</v>
      </c>
      <c r="N2036" s="750">
        <v>65037</v>
      </c>
      <c r="O2036" s="596">
        <v>65037</v>
      </c>
      <c r="P2036" s="496">
        <v>65052</v>
      </c>
      <c r="Q2036" s="491" t="s">
        <v>51</v>
      </c>
    </row>
    <row r="2037" spans="1:19" ht="18">
      <c r="A2037" s="512">
        <f t="shared" si="24"/>
        <v>1190</v>
      </c>
      <c r="B2037" s="669" t="s">
        <v>43</v>
      </c>
      <c r="C2037" s="640" t="s">
        <v>44</v>
      </c>
      <c r="D2037" s="640" t="s">
        <v>45</v>
      </c>
      <c r="E2037" s="640" t="s">
        <v>2331</v>
      </c>
      <c r="F2037" s="635" t="s">
        <v>502</v>
      </c>
      <c r="G2037" s="635"/>
      <c r="H2037" s="436"/>
      <c r="I2037" s="635">
        <v>52</v>
      </c>
      <c r="J2037" s="635" t="s">
        <v>90</v>
      </c>
      <c r="K2037" s="635" t="s">
        <v>53</v>
      </c>
      <c r="L2037" s="635"/>
      <c r="M2037" s="592" t="s">
        <v>2009</v>
      </c>
      <c r="N2037" s="748">
        <v>65037</v>
      </c>
      <c r="O2037" s="593">
        <v>65037</v>
      </c>
      <c r="P2037" s="465">
        <v>65061</v>
      </c>
      <c r="Q2037" s="436" t="s">
        <v>51</v>
      </c>
    </row>
    <row r="2038" spans="1:19" ht="18">
      <c r="A2038" s="512">
        <f t="shared" si="24"/>
        <v>1191</v>
      </c>
      <c r="B2038" s="692" t="s">
        <v>43</v>
      </c>
      <c r="C2038" s="693" t="s">
        <v>44</v>
      </c>
      <c r="D2038" s="693" t="s">
        <v>45</v>
      </c>
      <c r="E2038" s="795" t="s">
        <v>2582</v>
      </c>
      <c r="F2038" s="694" t="s">
        <v>124</v>
      </c>
      <c r="G2038" s="694">
        <v>9847946492</v>
      </c>
      <c r="H2038" s="795"/>
      <c r="I2038" s="694">
        <v>12</v>
      </c>
      <c r="J2038" s="694" t="s">
        <v>48</v>
      </c>
      <c r="K2038" s="590" t="s">
        <v>2592</v>
      </c>
      <c r="L2038" s="493"/>
      <c r="M2038" s="588" t="s">
        <v>2336</v>
      </c>
      <c r="N2038" s="796">
        <v>65037</v>
      </c>
      <c r="O2038" s="797">
        <v>65037</v>
      </c>
      <c r="P2038" s="496">
        <v>65052</v>
      </c>
      <c r="Q2038" s="491" t="s">
        <v>51</v>
      </c>
    </row>
    <row r="2039" spans="1:19" ht="18">
      <c r="A2039" s="512">
        <f t="shared" si="24"/>
        <v>1192</v>
      </c>
      <c r="B2039" s="692" t="s">
        <v>43</v>
      </c>
      <c r="C2039" s="693" t="s">
        <v>44</v>
      </c>
      <c r="D2039" s="693" t="s">
        <v>45</v>
      </c>
      <c r="E2039" s="693" t="s">
        <v>2332</v>
      </c>
      <c r="F2039" s="590" t="s">
        <v>441</v>
      </c>
      <c r="G2039" s="590">
        <v>9829503140</v>
      </c>
      <c r="H2039" s="491"/>
      <c r="I2039" s="590">
        <v>30</v>
      </c>
      <c r="J2039" s="590" t="s">
        <v>90</v>
      </c>
      <c r="K2039" s="590" t="s">
        <v>53</v>
      </c>
      <c r="L2039" s="590"/>
      <c r="M2039" s="588" t="s">
        <v>2336</v>
      </c>
      <c r="N2039" s="750">
        <v>65037</v>
      </c>
      <c r="O2039" s="596">
        <v>65037</v>
      </c>
      <c r="P2039" s="496">
        <v>65052</v>
      </c>
      <c r="Q2039" s="491" t="s">
        <v>51</v>
      </c>
    </row>
    <row r="2040" spans="1:19" ht="18">
      <c r="A2040" s="512">
        <f t="shared" si="24"/>
        <v>1193</v>
      </c>
      <c r="B2040" s="692" t="s">
        <v>43</v>
      </c>
      <c r="C2040" s="693" t="s">
        <v>44</v>
      </c>
      <c r="D2040" s="693" t="s">
        <v>45</v>
      </c>
      <c r="E2040" s="798" t="s">
        <v>1329</v>
      </c>
      <c r="F2040" s="590" t="s">
        <v>730</v>
      </c>
      <c r="G2040" s="590">
        <v>9809880437</v>
      </c>
      <c r="H2040" s="491"/>
      <c r="I2040" s="590">
        <v>26</v>
      </c>
      <c r="J2040" s="590" t="s">
        <v>48</v>
      </c>
      <c r="K2040" s="590" t="s">
        <v>53</v>
      </c>
      <c r="L2040" s="590"/>
      <c r="M2040" s="588" t="s">
        <v>2336</v>
      </c>
      <c r="N2040" s="750">
        <v>65037</v>
      </c>
      <c r="O2040" s="596">
        <v>65037</v>
      </c>
      <c r="P2040" s="496">
        <v>65052</v>
      </c>
      <c r="Q2040" s="491" t="s">
        <v>51</v>
      </c>
    </row>
    <row r="2041" spans="1:19" ht="18">
      <c r="A2041" s="512">
        <f t="shared" si="24"/>
        <v>1194</v>
      </c>
      <c r="B2041" s="692" t="s">
        <v>43</v>
      </c>
      <c r="C2041" s="693" t="s">
        <v>44</v>
      </c>
      <c r="D2041" s="693" t="s">
        <v>45</v>
      </c>
      <c r="E2041" s="795" t="s">
        <v>2540</v>
      </c>
      <c r="F2041" s="694" t="s">
        <v>491</v>
      </c>
      <c r="G2041" s="694">
        <v>9847823740</v>
      </c>
      <c r="H2041" s="795"/>
      <c r="I2041" s="694">
        <v>60</v>
      </c>
      <c r="J2041" s="694" t="s">
        <v>48</v>
      </c>
      <c r="K2041" s="590" t="s">
        <v>2592</v>
      </c>
      <c r="L2041" s="493"/>
      <c r="M2041" s="588" t="s">
        <v>2336</v>
      </c>
      <c r="N2041" s="796">
        <v>65037</v>
      </c>
      <c r="O2041" s="797">
        <v>65037</v>
      </c>
      <c r="P2041" s="496">
        <v>65052</v>
      </c>
      <c r="Q2041" s="491" t="s">
        <v>51</v>
      </c>
    </row>
    <row r="2042" spans="1:19" ht="18">
      <c r="A2042" s="512">
        <f t="shared" si="24"/>
        <v>1195</v>
      </c>
      <c r="B2042" s="692" t="s">
        <v>43</v>
      </c>
      <c r="C2042" s="693" t="s">
        <v>44</v>
      </c>
      <c r="D2042" s="693" t="s">
        <v>45</v>
      </c>
      <c r="E2042" s="693" t="s">
        <v>2333</v>
      </c>
      <c r="F2042" s="590" t="s">
        <v>441</v>
      </c>
      <c r="G2042" s="590">
        <v>9848065036</v>
      </c>
      <c r="H2042" s="491"/>
      <c r="I2042" s="590">
        <v>57</v>
      </c>
      <c r="J2042" s="590" t="s">
        <v>90</v>
      </c>
      <c r="K2042" s="590" t="s">
        <v>53</v>
      </c>
      <c r="L2042" s="590"/>
      <c r="M2042" s="588" t="s">
        <v>2336</v>
      </c>
      <c r="N2042" s="750">
        <v>65037</v>
      </c>
      <c r="O2042" s="596">
        <v>65037</v>
      </c>
      <c r="P2042" s="496">
        <v>65052</v>
      </c>
      <c r="Q2042" s="491" t="s">
        <v>51</v>
      </c>
    </row>
    <row r="2043" spans="1:19" ht="18">
      <c r="A2043" s="512">
        <f t="shared" si="24"/>
        <v>1196</v>
      </c>
      <c r="B2043" s="692" t="s">
        <v>43</v>
      </c>
      <c r="C2043" s="693" t="s">
        <v>44</v>
      </c>
      <c r="D2043" s="693" t="s">
        <v>45</v>
      </c>
      <c r="E2043" s="798" t="s">
        <v>1488</v>
      </c>
      <c r="F2043" s="590" t="s">
        <v>1046</v>
      </c>
      <c r="G2043" s="590">
        <v>9851231542</v>
      </c>
      <c r="H2043" s="491"/>
      <c r="I2043" s="590">
        <v>33</v>
      </c>
      <c r="J2043" s="590" t="s">
        <v>48</v>
      </c>
      <c r="K2043" s="590" t="s">
        <v>53</v>
      </c>
      <c r="L2043" s="590"/>
      <c r="M2043" s="588" t="s">
        <v>2336</v>
      </c>
      <c r="N2043" s="750">
        <v>65037</v>
      </c>
      <c r="O2043" s="596">
        <v>65037</v>
      </c>
      <c r="P2043" s="496">
        <v>65052</v>
      </c>
      <c r="Q2043" s="491" t="s">
        <v>51</v>
      </c>
    </row>
    <row r="2044" spans="1:19" ht="18">
      <c r="A2044" s="512">
        <f t="shared" si="24"/>
        <v>1197</v>
      </c>
      <c r="B2044" s="692" t="s">
        <v>43</v>
      </c>
      <c r="C2044" s="693" t="s">
        <v>44</v>
      </c>
      <c r="D2044" s="693" t="s">
        <v>45</v>
      </c>
      <c r="E2044" s="795" t="s">
        <v>2560</v>
      </c>
      <c r="F2044" s="694" t="s">
        <v>441</v>
      </c>
      <c r="G2044" s="694">
        <v>9860497372</v>
      </c>
      <c r="H2044" s="795"/>
      <c r="I2044" s="694">
        <v>31</v>
      </c>
      <c r="J2044" s="694" t="s">
        <v>90</v>
      </c>
      <c r="K2044" s="590" t="s">
        <v>2592</v>
      </c>
      <c r="L2044" s="493"/>
      <c r="M2044" s="588" t="s">
        <v>2336</v>
      </c>
      <c r="N2044" s="796">
        <v>65037</v>
      </c>
      <c r="O2044" s="797">
        <v>65037</v>
      </c>
      <c r="P2044" s="496">
        <v>65052</v>
      </c>
      <c r="Q2044" s="491" t="s">
        <v>51</v>
      </c>
    </row>
    <row r="2045" spans="1:19" ht="18">
      <c r="A2045" s="512">
        <f t="shared" si="24"/>
        <v>1198</v>
      </c>
      <c r="B2045" s="692" t="s">
        <v>43</v>
      </c>
      <c r="C2045" s="693" t="s">
        <v>44</v>
      </c>
      <c r="D2045" s="693" t="s">
        <v>45</v>
      </c>
      <c r="E2045" s="795" t="s">
        <v>2556</v>
      </c>
      <c r="F2045" s="694" t="s">
        <v>441</v>
      </c>
      <c r="G2045" s="694">
        <v>9842176221</v>
      </c>
      <c r="H2045" s="795"/>
      <c r="I2045" s="694">
        <v>45</v>
      </c>
      <c r="J2045" s="694" t="s">
        <v>90</v>
      </c>
      <c r="K2045" s="590" t="s">
        <v>2592</v>
      </c>
      <c r="L2045" s="493"/>
      <c r="M2045" s="588" t="s">
        <v>2336</v>
      </c>
      <c r="N2045" s="796">
        <v>65037</v>
      </c>
      <c r="O2045" s="797">
        <v>65037</v>
      </c>
      <c r="P2045" s="496">
        <v>65052</v>
      </c>
      <c r="Q2045" s="491" t="s">
        <v>51</v>
      </c>
    </row>
    <row r="2046" spans="1:19" ht="18">
      <c r="A2046" s="512">
        <f t="shared" si="24"/>
        <v>1199</v>
      </c>
      <c r="B2046" s="692" t="s">
        <v>43</v>
      </c>
      <c r="C2046" s="693" t="s">
        <v>44</v>
      </c>
      <c r="D2046" s="693" t="s">
        <v>45</v>
      </c>
      <c r="E2046" s="795" t="s">
        <v>2526</v>
      </c>
      <c r="F2046" s="694" t="s">
        <v>502</v>
      </c>
      <c r="G2046" s="694">
        <v>9847940367</v>
      </c>
      <c r="H2046" s="795"/>
      <c r="I2046" s="694">
        <v>34</v>
      </c>
      <c r="J2046" s="694" t="s">
        <v>48</v>
      </c>
      <c r="K2046" s="590" t="s">
        <v>2592</v>
      </c>
      <c r="L2046" s="493"/>
      <c r="M2046" s="588" t="s">
        <v>2336</v>
      </c>
      <c r="N2046" s="796">
        <v>65037</v>
      </c>
      <c r="O2046" s="797">
        <v>65037</v>
      </c>
      <c r="P2046" s="496">
        <v>65052</v>
      </c>
      <c r="Q2046" s="491" t="s">
        <v>51</v>
      </c>
    </row>
    <row r="2047" spans="1:19" ht="18">
      <c r="A2047" s="512">
        <f t="shared" si="24"/>
        <v>1200</v>
      </c>
      <c r="B2047" s="692" t="s">
        <v>43</v>
      </c>
      <c r="C2047" s="693" t="s">
        <v>44</v>
      </c>
      <c r="D2047" s="693" t="s">
        <v>45</v>
      </c>
      <c r="E2047" s="795" t="s">
        <v>2524</v>
      </c>
      <c r="F2047" s="694" t="s">
        <v>502</v>
      </c>
      <c r="G2047" s="694">
        <v>9866502208</v>
      </c>
      <c r="H2047" s="795"/>
      <c r="I2047" s="694">
        <v>36</v>
      </c>
      <c r="J2047" s="694" t="s">
        <v>48</v>
      </c>
      <c r="K2047" s="590" t="s">
        <v>2592</v>
      </c>
      <c r="L2047" s="493"/>
      <c r="M2047" s="588" t="s">
        <v>2336</v>
      </c>
      <c r="N2047" s="796">
        <v>65037</v>
      </c>
      <c r="O2047" s="797">
        <v>65037</v>
      </c>
      <c r="P2047" s="496">
        <v>65052</v>
      </c>
      <c r="Q2047" s="491" t="s">
        <v>51</v>
      </c>
    </row>
    <row r="2048" spans="1:19" ht="18">
      <c r="A2048" s="512">
        <f t="shared" si="24"/>
        <v>1201</v>
      </c>
      <c r="B2048" s="692" t="s">
        <v>43</v>
      </c>
      <c r="C2048" s="693" t="s">
        <v>44</v>
      </c>
      <c r="D2048" s="693" t="s">
        <v>45</v>
      </c>
      <c r="E2048" s="795" t="s">
        <v>2521</v>
      </c>
      <c r="F2048" s="694" t="s">
        <v>502</v>
      </c>
      <c r="G2048" s="694">
        <v>9857822867</v>
      </c>
      <c r="H2048" s="795"/>
      <c r="I2048" s="694">
        <v>62</v>
      </c>
      <c r="J2048" s="694" t="s">
        <v>90</v>
      </c>
      <c r="K2048" s="590" t="s">
        <v>2592</v>
      </c>
      <c r="L2048" s="493"/>
      <c r="M2048" s="588" t="s">
        <v>2336</v>
      </c>
      <c r="N2048" s="796">
        <v>65037</v>
      </c>
      <c r="O2048" s="797">
        <v>65037</v>
      </c>
      <c r="P2048" s="496">
        <v>65052</v>
      </c>
      <c r="Q2048" s="491" t="s">
        <v>51</v>
      </c>
    </row>
    <row r="2049" spans="1:17" ht="18">
      <c r="A2049" s="512">
        <f t="shared" si="24"/>
        <v>1202</v>
      </c>
      <c r="B2049" s="692" t="s">
        <v>43</v>
      </c>
      <c r="C2049" s="693" t="s">
        <v>44</v>
      </c>
      <c r="D2049" s="693" t="s">
        <v>45</v>
      </c>
      <c r="E2049" s="795" t="s">
        <v>2568</v>
      </c>
      <c r="F2049" s="694" t="s">
        <v>529</v>
      </c>
      <c r="G2049" s="694">
        <v>9844975572</v>
      </c>
      <c r="H2049" s="795"/>
      <c r="I2049" s="694">
        <v>65</v>
      </c>
      <c r="J2049" s="694" t="s">
        <v>90</v>
      </c>
      <c r="K2049" s="590" t="s">
        <v>2592</v>
      </c>
      <c r="L2049" s="493"/>
      <c r="M2049" s="588" t="s">
        <v>2336</v>
      </c>
      <c r="N2049" s="796">
        <v>65037</v>
      </c>
      <c r="O2049" s="797">
        <v>65037</v>
      </c>
      <c r="P2049" s="496">
        <v>65052</v>
      </c>
      <c r="Q2049" s="491" t="s">
        <v>51</v>
      </c>
    </row>
    <row r="2050" spans="1:17" ht="18">
      <c r="A2050" s="512">
        <f t="shared" si="24"/>
        <v>1203</v>
      </c>
      <c r="B2050" s="655" t="s">
        <v>43</v>
      </c>
      <c r="C2050" s="626" t="s">
        <v>44</v>
      </c>
      <c r="D2050" s="626" t="s">
        <v>45</v>
      </c>
      <c r="E2050" s="626" t="s">
        <v>2405</v>
      </c>
      <c r="F2050" s="654" t="s">
        <v>730</v>
      </c>
      <c r="G2050" s="575">
        <v>9809756920</v>
      </c>
      <c r="H2050" s="626"/>
      <c r="I2050" s="575">
        <v>70</v>
      </c>
      <c r="J2050" s="575" t="s">
        <v>48</v>
      </c>
      <c r="K2050" s="575" t="s">
        <v>1480</v>
      </c>
      <c r="L2050" s="575"/>
      <c r="M2050" s="560" t="s">
        <v>119</v>
      </c>
      <c r="N2050" s="752">
        <v>65038</v>
      </c>
      <c r="O2050" s="600">
        <v>65038</v>
      </c>
      <c r="P2050" s="541">
        <v>65053</v>
      </c>
      <c r="Q2050" s="533" t="s">
        <v>51</v>
      </c>
    </row>
    <row r="2051" spans="1:17" ht="18">
      <c r="A2051" s="512">
        <f t="shared" si="24"/>
        <v>1204</v>
      </c>
      <c r="B2051" s="655" t="s">
        <v>43</v>
      </c>
      <c r="C2051" s="626" t="s">
        <v>44</v>
      </c>
      <c r="D2051" s="626" t="s">
        <v>45</v>
      </c>
      <c r="E2051" s="774" t="s">
        <v>2342</v>
      </c>
      <c r="F2051" s="654" t="s">
        <v>636</v>
      </c>
      <c r="G2051" s="575"/>
      <c r="H2051" s="626"/>
      <c r="I2051" s="575">
        <v>26</v>
      </c>
      <c r="J2051" s="575" t="s">
        <v>48</v>
      </c>
      <c r="K2051" s="575" t="s">
        <v>1468</v>
      </c>
      <c r="L2051" s="575"/>
      <c r="M2051" s="560" t="s">
        <v>119</v>
      </c>
      <c r="N2051" s="752">
        <v>65038</v>
      </c>
      <c r="O2051" s="600">
        <v>65038</v>
      </c>
      <c r="P2051" s="541">
        <v>65053</v>
      </c>
      <c r="Q2051" s="533" t="s">
        <v>51</v>
      </c>
    </row>
    <row r="2052" spans="1:17" ht="18">
      <c r="A2052" s="512">
        <f t="shared" si="24"/>
        <v>1205</v>
      </c>
      <c r="B2052" s="655" t="s">
        <v>43</v>
      </c>
      <c r="C2052" s="626" t="s">
        <v>44</v>
      </c>
      <c r="D2052" s="626" t="s">
        <v>45</v>
      </c>
      <c r="E2052" s="626" t="s">
        <v>2431</v>
      </c>
      <c r="F2052" s="654" t="s">
        <v>730</v>
      </c>
      <c r="G2052" s="575">
        <v>9843982176</v>
      </c>
      <c r="H2052" s="626"/>
      <c r="I2052" s="575">
        <v>25</v>
      </c>
      <c r="J2052" s="575" t="s">
        <v>90</v>
      </c>
      <c r="K2052" s="575" t="s">
        <v>1480</v>
      </c>
      <c r="L2052" s="575"/>
      <c r="M2052" s="560" t="s">
        <v>119</v>
      </c>
      <c r="N2052" s="752">
        <v>65038</v>
      </c>
      <c r="O2052" s="600">
        <v>65038</v>
      </c>
      <c r="P2052" s="541">
        <v>65053</v>
      </c>
      <c r="Q2052" s="533" t="s">
        <v>51</v>
      </c>
    </row>
    <row r="2053" spans="1:17" ht="18">
      <c r="A2053" s="512">
        <f t="shared" si="24"/>
        <v>1206</v>
      </c>
      <c r="B2053" s="655" t="s">
        <v>43</v>
      </c>
      <c r="C2053" s="626" t="s">
        <v>44</v>
      </c>
      <c r="D2053" s="626" t="s">
        <v>45</v>
      </c>
      <c r="E2053" s="626" t="s">
        <v>2343</v>
      </c>
      <c r="F2053" s="654" t="s">
        <v>441</v>
      </c>
      <c r="G2053" s="575"/>
      <c r="H2053" s="626"/>
      <c r="I2053" s="575">
        <v>55</v>
      </c>
      <c r="J2053" s="575" t="s">
        <v>90</v>
      </c>
      <c r="K2053" s="575" t="s">
        <v>1468</v>
      </c>
      <c r="L2053" s="575"/>
      <c r="M2053" s="560" t="s">
        <v>119</v>
      </c>
      <c r="N2053" s="752">
        <v>65038</v>
      </c>
      <c r="O2053" s="600">
        <v>65038</v>
      </c>
      <c r="P2053" s="541">
        <v>65053</v>
      </c>
      <c r="Q2053" s="533" t="s">
        <v>51</v>
      </c>
    </row>
    <row r="2054" spans="1:17" ht="18">
      <c r="A2054" s="512">
        <f t="shared" si="24"/>
        <v>1207</v>
      </c>
      <c r="B2054" s="655" t="s">
        <v>43</v>
      </c>
      <c r="C2054" s="626" t="s">
        <v>44</v>
      </c>
      <c r="D2054" s="626" t="s">
        <v>45</v>
      </c>
      <c r="E2054" s="626" t="s">
        <v>2344</v>
      </c>
      <c r="F2054" s="654" t="s">
        <v>791</v>
      </c>
      <c r="G2054" s="575"/>
      <c r="H2054" s="626"/>
      <c r="I2054" s="575">
        <v>51</v>
      </c>
      <c r="J2054" s="575" t="s">
        <v>90</v>
      </c>
      <c r="K2054" s="575" t="s">
        <v>1468</v>
      </c>
      <c r="L2054" s="575"/>
      <c r="M2054" s="560" t="s">
        <v>119</v>
      </c>
      <c r="N2054" s="752">
        <v>65038</v>
      </c>
      <c r="O2054" s="600">
        <v>65038</v>
      </c>
      <c r="P2054" s="541">
        <v>65053</v>
      </c>
      <c r="Q2054" s="533" t="s">
        <v>51</v>
      </c>
    </row>
    <row r="2055" spans="1:17" ht="18">
      <c r="A2055" s="512">
        <f t="shared" si="24"/>
        <v>1208</v>
      </c>
      <c r="B2055" s="655" t="s">
        <v>43</v>
      </c>
      <c r="C2055" s="626" t="s">
        <v>44</v>
      </c>
      <c r="D2055" s="626" t="s">
        <v>45</v>
      </c>
      <c r="E2055" s="626" t="s">
        <v>2345</v>
      </c>
      <c r="F2055" s="654" t="s">
        <v>502</v>
      </c>
      <c r="G2055" s="575"/>
      <c r="H2055" s="626"/>
      <c r="I2055" s="575"/>
      <c r="J2055" s="575" t="s">
        <v>90</v>
      </c>
      <c r="K2055" s="575" t="s">
        <v>1468</v>
      </c>
      <c r="L2055" s="575"/>
      <c r="M2055" s="560" t="s">
        <v>119</v>
      </c>
      <c r="N2055" s="752">
        <v>65038</v>
      </c>
      <c r="O2055" s="600">
        <v>65038</v>
      </c>
      <c r="P2055" s="541">
        <v>65053</v>
      </c>
      <c r="Q2055" s="533" t="s">
        <v>51</v>
      </c>
    </row>
    <row r="2056" spans="1:17" ht="18">
      <c r="A2056" s="512">
        <f t="shared" si="24"/>
        <v>1209</v>
      </c>
      <c r="B2056" s="655" t="s">
        <v>43</v>
      </c>
      <c r="C2056" s="626" t="s">
        <v>44</v>
      </c>
      <c r="D2056" s="626" t="s">
        <v>45</v>
      </c>
      <c r="E2056" s="626" t="s">
        <v>2432</v>
      </c>
      <c r="F2056" s="654" t="s">
        <v>730</v>
      </c>
      <c r="G2056" s="575">
        <v>9849298072</v>
      </c>
      <c r="H2056" s="626"/>
      <c r="I2056" s="575">
        <v>15</v>
      </c>
      <c r="J2056" s="575" t="s">
        <v>90</v>
      </c>
      <c r="K2056" s="575" t="s">
        <v>1480</v>
      </c>
      <c r="L2056" s="575"/>
      <c r="M2056" s="560" t="s">
        <v>119</v>
      </c>
      <c r="N2056" s="752">
        <v>65038</v>
      </c>
      <c r="O2056" s="600">
        <v>65038</v>
      </c>
      <c r="P2056" s="541">
        <v>65053</v>
      </c>
      <c r="Q2056" s="533" t="s">
        <v>51</v>
      </c>
    </row>
    <row r="2057" spans="1:17" ht="18">
      <c r="A2057" s="512">
        <f t="shared" si="24"/>
        <v>1210</v>
      </c>
      <c r="B2057" s="655" t="s">
        <v>43</v>
      </c>
      <c r="C2057" s="626" t="s">
        <v>44</v>
      </c>
      <c r="D2057" s="626" t="s">
        <v>45</v>
      </c>
      <c r="E2057" s="626" t="s">
        <v>2346</v>
      </c>
      <c r="F2057" s="654" t="s">
        <v>491</v>
      </c>
      <c r="G2057" s="575">
        <v>9857840074</v>
      </c>
      <c r="H2057" s="626"/>
      <c r="I2057" s="575">
        <v>35</v>
      </c>
      <c r="J2057" s="575" t="s">
        <v>90</v>
      </c>
      <c r="K2057" s="575" t="s">
        <v>53</v>
      </c>
      <c r="L2057" s="575"/>
      <c r="M2057" s="560" t="s">
        <v>119</v>
      </c>
      <c r="N2057" s="752">
        <v>65038</v>
      </c>
      <c r="O2057" s="600">
        <v>65038</v>
      </c>
      <c r="P2057" s="541">
        <v>65053</v>
      </c>
      <c r="Q2057" s="533" t="s">
        <v>51</v>
      </c>
    </row>
    <row r="2058" spans="1:17" ht="18">
      <c r="A2058" s="512">
        <f t="shared" si="24"/>
        <v>1211</v>
      </c>
      <c r="B2058" s="655" t="s">
        <v>43</v>
      </c>
      <c r="C2058" s="626" t="s">
        <v>44</v>
      </c>
      <c r="D2058" s="626" t="s">
        <v>45</v>
      </c>
      <c r="E2058" s="626" t="s">
        <v>2182</v>
      </c>
      <c r="F2058" s="654" t="s">
        <v>510</v>
      </c>
      <c r="G2058" s="575"/>
      <c r="H2058" s="626"/>
      <c r="I2058" s="575">
        <v>52</v>
      </c>
      <c r="J2058" s="575" t="s">
        <v>48</v>
      </c>
      <c r="K2058" s="575" t="s">
        <v>1468</v>
      </c>
      <c r="L2058" s="575"/>
      <c r="M2058" s="560" t="s">
        <v>119</v>
      </c>
      <c r="N2058" s="752">
        <v>65038</v>
      </c>
      <c r="O2058" s="600">
        <v>65038</v>
      </c>
      <c r="P2058" s="541">
        <v>65053</v>
      </c>
      <c r="Q2058" s="533" t="s">
        <v>51</v>
      </c>
    </row>
    <row r="2059" spans="1:17" ht="18">
      <c r="A2059" s="512">
        <f t="shared" si="24"/>
        <v>1212</v>
      </c>
      <c r="B2059" s="655" t="s">
        <v>43</v>
      </c>
      <c r="C2059" s="626" t="s">
        <v>44</v>
      </c>
      <c r="D2059" s="626" t="s">
        <v>45</v>
      </c>
      <c r="E2059" s="626" t="s">
        <v>2347</v>
      </c>
      <c r="F2059" s="654" t="s">
        <v>502</v>
      </c>
      <c r="G2059" s="575">
        <v>9857824504</v>
      </c>
      <c r="H2059" s="626"/>
      <c r="I2059" s="575">
        <v>35</v>
      </c>
      <c r="J2059" s="575" t="s">
        <v>48</v>
      </c>
      <c r="K2059" s="575" t="s">
        <v>53</v>
      </c>
      <c r="L2059" s="575"/>
      <c r="M2059" s="560" t="s">
        <v>119</v>
      </c>
      <c r="N2059" s="752">
        <v>65038</v>
      </c>
      <c r="O2059" s="600">
        <v>65038</v>
      </c>
      <c r="P2059" s="541">
        <v>65053</v>
      </c>
      <c r="Q2059" s="533" t="s">
        <v>51</v>
      </c>
    </row>
    <row r="2060" spans="1:17" ht="18">
      <c r="A2060" s="512">
        <f t="shared" si="24"/>
        <v>1213</v>
      </c>
      <c r="B2060" s="655" t="s">
        <v>43</v>
      </c>
      <c r="C2060" s="626" t="s">
        <v>44</v>
      </c>
      <c r="D2060" s="626" t="s">
        <v>45</v>
      </c>
      <c r="E2060" s="774" t="s">
        <v>2554</v>
      </c>
      <c r="F2060" s="654" t="s">
        <v>491</v>
      </c>
      <c r="G2060" s="654">
        <v>9857823056</v>
      </c>
      <c r="H2060" s="774"/>
      <c r="I2060" s="654">
        <v>38</v>
      </c>
      <c r="J2060" s="654" t="s">
        <v>48</v>
      </c>
      <c r="K2060" s="575" t="s">
        <v>2592</v>
      </c>
      <c r="L2060" s="531"/>
      <c r="M2060" s="560" t="s">
        <v>2336</v>
      </c>
      <c r="N2060" s="808">
        <v>65038</v>
      </c>
      <c r="O2060" s="809">
        <v>65038</v>
      </c>
      <c r="P2060" s="541">
        <v>65053</v>
      </c>
      <c r="Q2060" s="533" t="s">
        <v>51</v>
      </c>
    </row>
    <row r="2061" spans="1:17" ht="18">
      <c r="A2061" s="512">
        <f t="shared" si="24"/>
        <v>1214</v>
      </c>
      <c r="B2061" s="661" t="s">
        <v>43</v>
      </c>
      <c r="C2061" s="662" t="s">
        <v>44</v>
      </c>
      <c r="D2061" s="662" t="s">
        <v>45</v>
      </c>
      <c r="E2061" s="662" t="s">
        <v>2406</v>
      </c>
      <c r="F2061" s="620" t="s">
        <v>1046</v>
      </c>
      <c r="G2061" s="620">
        <v>9847946862</v>
      </c>
      <c r="H2061" s="662"/>
      <c r="I2061" s="620">
        <v>78</v>
      </c>
      <c r="J2061" s="620" t="s">
        <v>48</v>
      </c>
      <c r="K2061" s="620" t="s">
        <v>1480</v>
      </c>
      <c r="L2061" s="620"/>
      <c r="M2061" s="620" t="s">
        <v>4013</v>
      </c>
      <c r="N2061" s="764">
        <v>65038</v>
      </c>
      <c r="O2061" s="678">
        <v>65038</v>
      </c>
      <c r="P2061" s="475">
        <v>65052</v>
      </c>
      <c r="Q2061" s="472" t="s">
        <v>940</v>
      </c>
    </row>
    <row r="2062" spans="1:17" ht="18">
      <c r="A2062" s="512">
        <f t="shared" si="24"/>
        <v>1215</v>
      </c>
      <c r="B2062" s="655" t="s">
        <v>43</v>
      </c>
      <c r="C2062" s="626" t="s">
        <v>44</v>
      </c>
      <c r="D2062" s="626" t="s">
        <v>45</v>
      </c>
      <c r="E2062" s="626" t="s">
        <v>2407</v>
      </c>
      <c r="F2062" s="654" t="s">
        <v>491</v>
      </c>
      <c r="G2062" s="575">
        <v>9840831765</v>
      </c>
      <c r="H2062" s="626"/>
      <c r="I2062" s="575">
        <v>62</v>
      </c>
      <c r="J2062" s="575" t="s">
        <v>48</v>
      </c>
      <c r="K2062" s="575" t="s">
        <v>1480</v>
      </c>
      <c r="L2062" s="575"/>
      <c r="M2062" s="560" t="s">
        <v>119</v>
      </c>
      <c r="N2062" s="752">
        <v>65038</v>
      </c>
      <c r="O2062" s="600">
        <v>65038</v>
      </c>
      <c r="P2062" s="541">
        <v>65053</v>
      </c>
      <c r="Q2062" s="533" t="s">
        <v>51</v>
      </c>
    </row>
    <row r="2063" spans="1:17" ht="18">
      <c r="A2063" s="512">
        <f t="shared" si="24"/>
        <v>1216</v>
      </c>
      <c r="B2063" s="655" t="s">
        <v>43</v>
      </c>
      <c r="C2063" s="626" t="s">
        <v>44</v>
      </c>
      <c r="D2063" s="626" t="s">
        <v>45</v>
      </c>
      <c r="E2063" s="626" t="s">
        <v>2433</v>
      </c>
      <c r="F2063" s="654" t="s">
        <v>529</v>
      </c>
      <c r="G2063" s="575">
        <v>9857820503</v>
      </c>
      <c r="H2063" s="626"/>
      <c r="I2063" s="575">
        <v>30</v>
      </c>
      <c r="J2063" s="575" t="s">
        <v>90</v>
      </c>
      <c r="K2063" s="575" t="s">
        <v>1480</v>
      </c>
      <c r="L2063" s="575"/>
      <c r="M2063" s="560" t="s">
        <v>119</v>
      </c>
      <c r="N2063" s="752">
        <v>65038</v>
      </c>
      <c r="O2063" s="600">
        <v>65038</v>
      </c>
      <c r="P2063" s="541">
        <v>65053</v>
      </c>
      <c r="Q2063" s="533" t="s">
        <v>51</v>
      </c>
    </row>
    <row r="2064" spans="1:17" s="163" customFormat="1" ht="18">
      <c r="A2064" s="512">
        <f t="shared" si="24"/>
        <v>1217</v>
      </c>
      <c r="B2064" s="655" t="s">
        <v>43</v>
      </c>
      <c r="C2064" s="626" t="s">
        <v>44</v>
      </c>
      <c r="D2064" s="626" t="s">
        <v>45</v>
      </c>
      <c r="E2064" s="626" t="s">
        <v>2348</v>
      </c>
      <c r="F2064" s="654" t="s">
        <v>502</v>
      </c>
      <c r="G2064" s="575"/>
      <c r="H2064" s="626"/>
      <c r="I2064" s="575">
        <v>27</v>
      </c>
      <c r="J2064" s="575" t="s">
        <v>90</v>
      </c>
      <c r="K2064" s="575" t="s">
        <v>1468</v>
      </c>
      <c r="L2064" s="575"/>
      <c r="M2064" s="560" t="s">
        <v>119</v>
      </c>
      <c r="N2064" s="752">
        <v>65038</v>
      </c>
      <c r="O2064" s="600">
        <v>65038</v>
      </c>
      <c r="P2064" s="541">
        <v>65053</v>
      </c>
      <c r="Q2064" s="533" t="s">
        <v>51</v>
      </c>
    </row>
    <row r="2065" spans="1:17" ht="18">
      <c r="A2065" s="512">
        <f t="shared" si="24"/>
        <v>1218</v>
      </c>
      <c r="B2065" s="669" t="s">
        <v>43</v>
      </c>
      <c r="C2065" s="640" t="s">
        <v>44</v>
      </c>
      <c r="D2065" s="640" t="s">
        <v>45</v>
      </c>
      <c r="E2065" s="640" t="s">
        <v>2349</v>
      </c>
      <c r="F2065" s="642" t="s">
        <v>1009</v>
      </c>
      <c r="G2065" s="635"/>
      <c r="H2065" s="640"/>
      <c r="I2065" s="635">
        <v>42</v>
      </c>
      <c r="J2065" s="635" t="s">
        <v>48</v>
      </c>
      <c r="K2065" s="635" t="s">
        <v>1468</v>
      </c>
      <c r="L2065" s="635"/>
      <c r="M2065" s="592" t="s">
        <v>2650</v>
      </c>
      <c r="N2065" s="754">
        <v>65038</v>
      </c>
      <c r="O2065" s="610">
        <v>65038</v>
      </c>
      <c r="P2065" s="465">
        <v>65077</v>
      </c>
      <c r="Q2065" s="436" t="s">
        <v>51</v>
      </c>
    </row>
    <row r="2066" spans="1:17" ht="18">
      <c r="A2066" s="512">
        <f t="shared" ref="A2066:A2129" si="25">A2065+1</f>
        <v>1219</v>
      </c>
      <c r="B2066" s="655" t="s">
        <v>43</v>
      </c>
      <c r="C2066" s="626" t="s">
        <v>44</v>
      </c>
      <c r="D2066" s="626" t="s">
        <v>45</v>
      </c>
      <c r="E2066" s="626" t="s">
        <v>2350</v>
      </c>
      <c r="F2066" s="654" t="s">
        <v>491</v>
      </c>
      <c r="G2066" s="575">
        <v>9857891111</v>
      </c>
      <c r="H2066" s="626"/>
      <c r="I2066" s="575">
        <v>47</v>
      </c>
      <c r="J2066" s="575" t="s">
        <v>48</v>
      </c>
      <c r="K2066" s="575" t="s">
        <v>53</v>
      </c>
      <c r="L2066" s="575"/>
      <c r="M2066" s="560" t="s">
        <v>119</v>
      </c>
      <c r="N2066" s="752">
        <v>65038</v>
      </c>
      <c r="O2066" s="600">
        <v>65038</v>
      </c>
      <c r="P2066" s="541">
        <v>65053</v>
      </c>
      <c r="Q2066" s="533" t="s">
        <v>51</v>
      </c>
    </row>
    <row r="2067" spans="1:17" ht="18">
      <c r="A2067" s="512">
        <f t="shared" si="25"/>
        <v>1220</v>
      </c>
      <c r="B2067" s="655" t="s">
        <v>43</v>
      </c>
      <c r="C2067" s="626" t="s">
        <v>44</v>
      </c>
      <c r="D2067" s="626" t="s">
        <v>45</v>
      </c>
      <c r="E2067" s="774" t="s">
        <v>2552</v>
      </c>
      <c r="F2067" s="654" t="s">
        <v>491</v>
      </c>
      <c r="G2067" s="654">
        <v>9857820287</v>
      </c>
      <c r="H2067" s="774"/>
      <c r="I2067" s="654">
        <v>39</v>
      </c>
      <c r="J2067" s="654" t="s">
        <v>48</v>
      </c>
      <c r="K2067" s="575" t="s">
        <v>2592</v>
      </c>
      <c r="L2067" s="531"/>
      <c r="M2067" s="560" t="s">
        <v>2336</v>
      </c>
      <c r="N2067" s="808">
        <v>65038</v>
      </c>
      <c r="O2067" s="809">
        <v>65038</v>
      </c>
      <c r="P2067" s="541">
        <v>65053</v>
      </c>
      <c r="Q2067" s="533" t="s">
        <v>51</v>
      </c>
    </row>
    <row r="2068" spans="1:17" ht="18">
      <c r="A2068" s="512">
        <f t="shared" si="25"/>
        <v>1221</v>
      </c>
      <c r="B2068" s="655" t="s">
        <v>43</v>
      </c>
      <c r="C2068" s="626" t="s">
        <v>44</v>
      </c>
      <c r="D2068" s="626" t="s">
        <v>45</v>
      </c>
      <c r="E2068" s="626" t="s">
        <v>2408</v>
      </c>
      <c r="F2068" s="654" t="s">
        <v>502</v>
      </c>
      <c r="G2068" s="575">
        <v>9857823956</v>
      </c>
      <c r="H2068" s="626"/>
      <c r="I2068" s="575">
        <v>30</v>
      </c>
      <c r="J2068" s="575" t="s">
        <v>48</v>
      </c>
      <c r="K2068" s="575" t="s">
        <v>1480</v>
      </c>
      <c r="L2068" s="575"/>
      <c r="M2068" s="560" t="s">
        <v>119</v>
      </c>
      <c r="N2068" s="752">
        <v>65038</v>
      </c>
      <c r="O2068" s="600">
        <v>65038</v>
      </c>
      <c r="P2068" s="541">
        <v>65053</v>
      </c>
      <c r="Q2068" s="533" t="s">
        <v>51</v>
      </c>
    </row>
    <row r="2069" spans="1:17" ht="18">
      <c r="A2069" s="512">
        <f t="shared" si="25"/>
        <v>1222</v>
      </c>
      <c r="B2069" s="655" t="s">
        <v>43</v>
      </c>
      <c r="C2069" s="626" t="s">
        <v>44</v>
      </c>
      <c r="D2069" s="626" t="s">
        <v>45</v>
      </c>
      <c r="E2069" s="774" t="s">
        <v>2565</v>
      </c>
      <c r="F2069" s="654" t="s">
        <v>441</v>
      </c>
      <c r="G2069" s="654">
        <v>9806280912</v>
      </c>
      <c r="H2069" s="774"/>
      <c r="I2069" s="654">
        <v>21</v>
      </c>
      <c r="J2069" s="654" t="s">
        <v>48</v>
      </c>
      <c r="K2069" s="575" t="s">
        <v>2592</v>
      </c>
      <c r="L2069" s="531"/>
      <c r="M2069" s="560" t="s">
        <v>2336</v>
      </c>
      <c r="N2069" s="808">
        <v>65038</v>
      </c>
      <c r="O2069" s="809">
        <v>65038</v>
      </c>
      <c r="P2069" s="541">
        <v>65053</v>
      </c>
      <c r="Q2069" s="533" t="s">
        <v>51</v>
      </c>
    </row>
    <row r="2070" spans="1:17" ht="18">
      <c r="A2070" s="512">
        <f t="shared" si="25"/>
        <v>1223</v>
      </c>
      <c r="B2070" s="655" t="s">
        <v>43</v>
      </c>
      <c r="C2070" s="626" t="s">
        <v>44</v>
      </c>
      <c r="D2070" s="626" t="s">
        <v>45</v>
      </c>
      <c r="E2070" s="774" t="s">
        <v>2586</v>
      </c>
      <c r="F2070" s="654" t="s">
        <v>124</v>
      </c>
      <c r="G2070" s="654">
        <v>9809554545</v>
      </c>
      <c r="H2070" s="774"/>
      <c r="I2070" s="654">
        <v>40</v>
      </c>
      <c r="J2070" s="654" t="s">
        <v>48</v>
      </c>
      <c r="K2070" s="575" t="s">
        <v>2592</v>
      </c>
      <c r="L2070" s="531"/>
      <c r="M2070" s="560" t="s">
        <v>2336</v>
      </c>
      <c r="N2070" s="808">
        <v>65038</v>
      </c>
      <c r="O2070" s="809">
        <v>65038</v>
      </c>
      <c r="P2070" s="541">
        <v>65053</v>
      </c>
      <c r="Q2070" s="533" t="s">
        <v>51</v>
      </c>
    </row>
    <row r="2071" spans="1:17" ht="18">
      <c r="A2071" s="512">
        <f t="shared" si="25"/>
        <v>1224</v>
      </c>
      <c r="B2071" s="655" t="s">
        <v>43</v>
      </c>
      <c r="C2071" s="626" t="s">
        <v>44</v>
      </c>
      <c r="D2071" s="626" t="s">
        <v>45</v>
      </c>
      <c r="E2071" s="626" t="s">
        <v>2351</v>
      </c>
      <c r="F2071" s="654" t="s">
        <v>497</v>
      </c>
      <c r="G2071" s="575">
        <v>984789028</v>
      </c>
      <c r="H2071" s="626"/>
      <c r="I2071" s="575">
        <v>34</v>
      </c>
      <c r="J2071" s="575" t="s">
        <v>48</v>
      </c>
      <c r="K2071" s="575" t="s">
        <v>53</v>
      </c>
      <c r="L2071" s="575"/>
      <c r="M2071" s="560" t="s">
        <v>119</v>
      </c>
      <c r="N2071" s="752">
        <v>65038</v>
      </c>
      <c r="O2071" s="600">
        <v>65038</v>
      </c>
      <c r="P2071" s="541">
        <v>65053</v>
      </c>
      <c r="Q2071" s="533" t="s">
        <v>51</v>
      </c>
    </row>
    <row r="2072" spans="1:17" ht="18">
      <c r="A2072" s="512">
        <f t="shared" si="25"/>
        <v>1225</v>
      </c>
      <c r="B2072" s="655" t="s">
        <v>43</v>
      </c>
      <c r="C2072" s="626" t="s">
        <v>44</v>
      </c>
      <c r="D2072" s="626" t="s">
        <v>45</v>
      </c>
      <c r="E2072" s="626" t="s">
        <v>2352</v>
      </c>
      <c r="F2072" s="654" t="s">
        <v>491</v>
      </c>
      <c r="G2072" s="575"/>
      <c r="H2072" s="626"/>
      <c r="I2072" s="575">
        <v>59</v>
      </c>
      <c r="J2072" s="575" t="s">
        <v>48</v>
      </c>
      <c r="K2072" s="575" t="s">
        <v>1468</v>
      </c>
      <c r="L2072" s="575"/>
      <c r="M2072" s="560" t="s">
        <v>119</v>
      </c>
      <c r="N2072" s="752">
        <v>65038</v>
      </c>
      <c r="O2072" s="600">
        <v>65038</v>
      </c>
      <c r="P2072" s="541">
        <v>65053</v>
      </c>
      <c r="Q2072" s="533" t="s">
        <v>51</v>
      </c>
    </row>
    <row r="2073" spans="1:17" ht="18">
      <c r="A2073" s="512">
        <f t="shared" si="25"/>
        <v>1226</v>
      </c>
      <c r="B2073" s="655" t="s">
        <v>43</v>
      </c>
      <c r="C2073" s="626" t="s">
        <v>44</v>
      </c>
      <c r="D2073" s="626" t="s">
        <v>45</v>
      </c>
      <c r="E2073" s="626" t="s">
        <v>2353</v>
      </c>
      <c r="F2073" s="654" t="s">
        <v>124</v>
      </c>
      <c r="G2073" s="575"/>
      <c r="H2073" s="626"/>
      <c r="I2073" s="575">
        <v>80</v>
      </c>
      <c r="J2073" s="575" t="s">
        <v>48</v>
      </c>
      <c r="K2073" s="575" t="s">
        <v>1468</v>
      </c>
      <c r="L2073" s="575"/>
      <c r="M2073" s="560" t="s">
        <v>119</v>
      </c>
      <c r="N2073" s="752">
        <v>65038</v>
      </c>
      <c r="O2073" s="600">
        <v>65038</v>
      </c>
      <c r="P2073" s="541">
        <v>65053</v>
      </c>
      <c r="Q2073" s="533" t="s">
        <v>51</v>
      </c>
    </row>
    <row r="2074" spans="1:17" ht="18">
      <c r="A2074" s="512">
        <f t="shared" si="25"/>
        <v>1227</v>
      </c>
      <c r="B2074" s="799" t="s">
        <v>43</v>
      </c>
      <c r="C2074" s="627" t="s">
        <v>44</v>
      </c>
      <c r="D2074" s="627" t="s">
        <v>45</v>
      </c>
      <c r="E2074" s="627" t="s">
        <v>2409</v>
      </c>
      <c r="F2074" s="801" t="s">
        <v>1008</v>
      </c>
      <c r="G2074" s="628">
        <v>9857834650</v>
      </c>
      <c r="H2074" s="627"/>
      <c r="I2074" s="628">
        <v>40</v>
      </c>
      <c r="J2074" s="628" t="s">
        <v>48</v>
      </c>
      <c r="K2074" s="628" t="s">
        <v>1480</v>
      </c>
      <c r="L2074" s="628"/>
      <c r="M2074" s="609" t="s">
        <v>119</v>
      </c>
      <c r="N2074" s="757">
        <v>65038</v>
      </c>
      <c r="O2074" s="817">
        <v>65038</v>
      </c>
      <c r="P2074" s="541">
        <v>65076</v>
      </c>
      <c r="Q2074" s="533" t="s">
        <v>51</v>
      </c>
    </row>
    <row r="2075" spans="1:17" ht="18">
      <c r="A2075" s="512">
        <f t="shared" si="25"/>
        <v>1228</v>
      </c>
      <c r="B2075" s="655" t="s">
        <v>43</v>
      </c>
      <c r="C2075" s="626" t="s">
        <v>44</v>
      </c>
      <c r="D2075" s="626" t="s">
        <v>45</v>
      </c>
      <c r="E2075" s="626" t="s">
        <v>2354</v>
      </c>
      <c r="F2075" s="654" t="s">
        <v>491</v>
      </c>
      <c r="G2075" s="575"/>
      <c r="H2075" s="626"/>
      <c r="I2075" s="575">
        <v>50</v>
      </c>
      <c r="J2075" s="575" t="s">
        <v>48</v>
      </c>
      <c r="K2075" s="575" t="s">
        <v>1468</v>
      </c>
      <c r="L2075" s="575"/>
      <c r="M2075" s="560" t="s">
        <v>119</v>
      </c>
      <c r="N2075" s="752">
        <v>65038</v>
      </c>
      <c r="O2075" s="600">
        <v>65038</v>
      </c>
      <c r="P2075" s="541">
        <v>65053</v>
      </c>
      <c r="Q2075" s="533" t="s">
        <v>51</v>
      </c>
    </row>
    <row r="2076" spans="1:17" ht="18">
      <c r="A2076" s="512">
        <f t="shared" si="25"/>
        <v>1229</v>
      </c>
      <c r="B2076" s="655" t="s">
        <v>43</v>
      </c>
      <c r="C2076" s="626" t="s">
        <v>44</v>
      </c>
      <c r="D2076" s="626" t="s">
        <v>45</v>
      </c>
      <c r="E2076" s="626" t="s">
        <v>2410</v>
      </c>
      <c r="F2076" s="654" t="s">
        <v>491</v>
      </c>
      <c r="G2076" s="575">
        <v>9841754292</v>
      </c>
      <c r="H2076" s="626"/>
      <c r="I2076" s="575">
        <v>6</v>
      </c>
      <c r="J2076" s="575" t="s">
        <v>48</v>
      </c>
      <c r="K2076" s="575" t="s">
        <v>1480</v>
      </c>
      <c r="L2076" s="575"/>
      <c r="M2076" s="560" t="s">
        <v>119</v>
      </c>
      <c r="N2076" s="752">
        <v>65038</v>
      </c>
      <c r="O2076" s="600">
        <v>65038</v>
      </c>
      <c r="P2076" s="541">
        <v>65053</v>
      </c>
      <c r="Q2076" s="533" t="s">
        <v>51</v>
      </c>
    </row>
    <row r="2077" spans="1:17" ht="18">
      <c r="A2077" s="512">
        <f t="shared" si="25"/>
        <v>1230</v>
      </c>
      <c r="B2077" s="655" t="s">
        <v>43</v>
      </c>
      <c r="C2077" s="626" t="s">
        <v>44</v>
      </c>
      <c r="D2077" s="626" t="s">
        <v>45</v>
      </c>
      <c r="E2077" s="626" t="s">
        <v>2411</v>
      </c>
      <c r="F2077" s="654" t="s">
        <v>1009</v>
      </c>
      <c r="G2077" s="575">
        <v>9809704387</v>
      </c>
      <c r="H2077" s="626"/>
      <c r="I2077" s="575">
        <v>30</v>
      </c>
      <c r="J2077" s="575" t="s">
        <v>48</v>
      </c>
      <c r="K2077" s="575" t="s">
        <v>1480</v>
      </c>
      <c r="L2077" s="575"/>
      <c r="M2077" s="560" t="s">
        <v>119</v>
      </c>
      <c r="N2077" s="752">
        <v>65038</v>
      </c>
      <c r="O2077" s="600">
        <v>65038</v>
      </c>
      <c r="P2077" s="541">
        <v>65053</v>
      </c>
      <c r="Q2077" s="533" t="s">
        <v>51</v>
      </c>
    </row>
    <row r="2078" spans="1:17" ht="18">
      <c r="A2078" s="512">
        <f t="shared" si="25"/>
        <v>1231</v>
      </c>
      <c r="B2078" s="655" t="s">
        <v>43</v>
      </c>
      <c r="C2078" s="626" t="s">
        <v>44</v>
      </c>
      <c r="D2078" s="626" t="s">
        <v>45</v>
      </c>
      <c r="E2078" s="626" t="s">
        <v>2355</v>
      </c>
      <c r="F2078" s="654" t="s">
        <v>502</v>
      </c>
      <c r="G2078" s="575"/>
      <c r="H2078" s="626"/>
      <c r="I2078" s="575">
        <v>33</v>
      </c>
      <c r="J2078" s="575" t="s">
        <v>90</v>
      </c>
      <c r="K2078" s="575" t="s">
        <v>1468</v>
      </c>
      <c r="L2078" s="575"/>
      <c r="M2078" s="560" t="s">
        <v>119</v>
      </c>
      <c r="N2078" s="752">
        <v>65038</v>
      </c>
      <c r="O2078" s="600">
        <v>65038</v>
      </c>
      <c r="P2078" s="541">
        <v>65053</v>
      </c>
      <c r="Q2078" s="533" t="s">
        <v>51</v>
      </c>
    </row>
    <row r="2079" spans="1:17" ht="18">
      <c r="A2079" s="512">
        <f t="shared" si="25"/>
        <v>1232</v>
      </c>
      <c r="B2079" s="655" t="s">
        <v>43</v>
      </c>
      <c r="C2079" s="626" t="s">
        <v>44</v>
      </c>
      <c r="D2079" s="626" t="s">
        <v>45</v>
      </c>
      <c r="E2079" s="626" t="s">
        <v>2434</v>
      </c>
      <c r="F2079" s="654" t="s">
        <v>491</v>
      </c>
      <c r="G2079" s="575">
        <v>9857821539</v>
      </c>
      <c r="H2079" s="626"/>
      <c r="I2079" s="575">
        <v>13</v>
      </c>
      <c r="J2079" s="575" t="s">
        <v>90</v>
      </c>
      <c r="K2079" s="575" t="s">
        <v>1480</v>
      </c>
      <c r="L2079" s="575"/>
      <c r="M2079" s="560" t="s">
        <v>119</v>
      </c>
      <c r="N2079" s="752">
        <v>65038</v>
      </c>
      <c r="O2079" s="600">
        <v>65038</v>
      </c>
      <c r="P2079" s="541">
        <v>65053</v>
      </c>
      <c r="Q2079" s="533" t="s">
        <v>51</v>
      </c>
    </row>
    <row r="2080" spans="1:17" ht="18">
      <c r="A2080" s="512">
        <f t="shared" si="25"/>
        <v>1233</v>
      </c>
      <c r="B2080" s="655" t="s">
        <v>43</v>
      </c>
      <c r="C2080" s="626" t="s">
        <v>44</v>
      </c>
      <c r="D2080" s="626" t="s">
        <v>45</v>
      </c>
      <c r="E2080" s="774" t="s">
        <v>2510</v>
      </c>
      <c r="F2080" s="654" t="s">
        <v>598</v>
      </c>
      <c r="G2080" s="654">
        <v>9823617740</v>
      </c>
      <c r="H2080" s="774"/>
      <c r="I2080" s="654">
        <v>22</v>
      </c>
      <c r="J2080" s="654" t="s">
        <v>48</v>
      </c>
      <c r="K2080" s="575" t="s">
        <v>2592</v>
      </c>
      <c r="L2080" s="531"/>
      <c r="M2080" s="560" t="s">
        <v>2336</v>
      </c>
      <c r="N2080" s="808">
        <v>65038</v>
      </c>
      <c r="O2080" s="809">
        <v>65038</v>
      </c>
      <c r="P2080" s="541">
        <v>65053</v>
      </c>
      <c r="Q2080" s="533" t="s">
        <v>51</v>
      </c>
    </row>
    <row r="2081" spans="1:17" ht="18">
      <c r="A2081" s="512">
        <f t="shared" si="25"/>
        <v>1234</v>
      </c>
      <c r="B2081" s="655" t="s">
        <v>43</v>
      </c>
      <c r="C2081" s="626" t="s">
        <v>44</v>
      </c>
      <c r="D2081" s="626" t="s">
        <v>45</v>
      </c>
      <c r="E2081" s="774" t="s">
        <v>2511</v>
      </c>
      <c r="F2081" s="654" t="s">
        <v>598</v>
      </c>
      <c r="G2081" s="654">
        <v>9866276625</v>
      </c>
      <c r="H2081" s="774"/>
      <c r="I2081" s="654">
        <v>38</v>
      </c>
      <c r="J2081" s="654" t="s">
        <v>48</v>
      </c>
      <c r="K2081" s="575" t="s">
        <v>2592</v>
      </c>
      <c r="L2081" s="531"/>
      <c r="M2081" s="560" t="s">
        <v>2336</v>
      </c>
      <c r="N2081" s="808">
        <v>65038</v>
      </c>
      <c r="O2081" s="809">
        <v>65038</v>
      </c>
      <c r="P2081" s="541">
        <v>65053</v>
      </c>
      <c r="Q2081" s="533" t="s">
        <v>51</v>
      </c>
    </row>
    <row r="2082" spans="1:17" ht="18">
      <c r="A2082" s="512">
        <f t="shared" si="25"/>
        <v>1235</v>
      </c>
      <c r="B2082" s="655" t="s">
        <v>43</v>
      </c>
      <c r="C2082" s="626" t="s">
        <v>44</v>
      </c>
      <c r="D2082" s="626" t="s">
        <v>45</v>
      </c>
      <c r="E2082" s="626" t="s">
        <v>2412</v>
      </c>
      <c r="F2082" s="654" t="s">
        <v>529</v>
      </c>
      <c r="G2082" s="575">
        <v>9866963339</v>
      </c>
      <c r="H2082" s="626"/>
      <c r="I2082" s="575">
        <v>23</v>
      </c>
      <c r="J2082" s="575" t="s">
        <v>48</v>
      </c>
      <c r="K2082" s="575" t="s">
        <v>1480</v>
      </c>
      <c r="L2082" s="575"/>
      <c r="M2082" s="560" t="s">
        <v>119</v>
      </c>
      <c r="N2082" s="752">
        <v>65038</v>
      </c>
      <c r="O2082" s="600">
        <v>65038</v>
      </c>
      <c r="P2082" s="541">
        <v>65053</v>
      </c>
      <c r="Q2082" s="533" t="s">
        <v>51</v>
      </c>
    </row>
    <row r="2083" spans="1:17" ht="18">
      <c r="A2083" s="512">
        <f t="shared" si="25"/>
        <v>1236</v>
      </c>
      <c r="B2083" s="655" t="s">
        <v>43</v>
      </c>
      <c r="C2083" s="626" t="s">
        <v>44</v>
      </c>
      <c r="D2083" s="626" t="s">
        <v>45</v>
      </c>
      <c r="E2083" s="626" t="s">
        <v>2356</v>
      </c>
      <c r="F2083" s="654" t="s">
        <v>502</v>
      </c>
      <c r="G2083" s="575"/>
      <c r="H2083" s="626"/>
      <c r="I2083" s="575">
        <v>43</v>
      </c>
      <c r="J2083" s="575" t="s">
        <v>48</v>
      </c>
      <c r="K2083" s="575" t="s">
        <v>1468</v>
      </c>
      <c r="L2083" s="575"/>
      <c r="M2083" s="560" t="s">
        <v>119</v>
      </c>
      <c r="N2083" s="752">
        <v>65038</v>
      </c>
      <c r="O2083" s="600">
        <v>65038</v>
      </c>
      <c r="P2083" s="541">
        <v>65053</v>
      </c>
      <c r="Q2083" s="533" t="s">
        <v>51</v>
      </c>
    </row>
    <row r="2084" spans="1:17" ht="18">
      <c r="A2084" s="512">
        <f t="shared" si="25"/>
        <v>1237</v>
      </c>
      <c r="B2084" s="655" t="s">
        <v>43</v>
      </c>
      <c r="C2084" s="626" t="s">
        <v>44</v>
      </c>
      <c r="D2084" s="626" t="s">
        <v>45</v>
      </c>
      <c r="E2084" s="626" t="s">
        <v>2357</v>
      </c>
      <c r="F2084" s="654" t="s">
        <v>124</v>
      </c>
      <c r="G2084" s="575"/>
      <c r="H2084" s="626"/>
      <c r="I2084" s="575">
        <v>78</v>
      </c>
      <c r="J2084" s="575" t="s">
        <v>48</v>
      </c>
      <c r="K2084" s="575" t="s">
        <v>1468</v>
      </c>
      <c r="L2084" s="575"/>
      <c r="M2084" s="560" t="s">
        <v>119</v>
      </c>
      <c r="N2084" s="752">
        <v>65038</v>
      </c>
      <c r="O2084" s="600">
        <v>65038</v>
      </c>
      <c r="P2084" s="541">
        <v>65053</v>
      </c>
      <c r="Q2084" s="533" t="s">
        <v>51</v>
      </c>
    </row>
    <row r="2085" spans="1:17" ht="18">
      <c r="A2085" s="512">
        <f t="shared" si="25"/>
        <v>1238</v>
      </c>
      <c r="B2085" s="655" t="s">
        <v>43</v>
      </c>
      <c r="C2085" s="626" t="s">
        <v>44</v>
      </c>
      <c r="D2085" s="626" t="s">
        <v>45</v>
      </c>
      <c r="E2085" s="626" t="s">
        <v>2435</v>
      </c>
      <c r="F2085" s="654" t="s">
        <v>1009</v>
      </c>
      <c r="G2085" s="575">
        <v>9847820614</v>
      </c>
      <c r="H2085" s="626"/>
      <c r="I2085" s="575">
        <v>70</v>
      </c>
      <c r="J2085" s="575" t="s">
        <v>90</v>
      </c>
      <c r="K2085" s="575" t="s">
        <v>1480</v>
      </c>
      <c r="L2085" s="575"/>
      <c r="M2085" s="560" t="s">
        <v>119</v>
      </c>
      <c r="N2085" s="752">
        <v>65038</v>
      </c>
      <c r="O2085" s="600">
        <v>65038</v>
      </c>
      <c r="P2085" s="541">
        <v>65053</v>
      </c>
      <c r="Q2085" s="533" t="s">
        <v>51</v>
      </c>
    </row>
    <row r="2086" spans="1:17" ht="18">
      <c r="A2086" s="512">
        <f t="shared" si="25"/>
        <v>1239</v>
      </c>
      <c r="B2086" s="655" t="s">
        <v>43</v>
      </c>
      <c r="C2086" s="626" t="s">
        <v>44</v>
      </c>
      <c r="D2086" s="626" t="s">
        <v>45</v>
      </c>
      <c r="E2086" s="626" t="s">
        <v>2358</v>
      </c>
      <c r="F2086" s="654" t="s">
        <v>491</v>
      </c>
      <c r="G2086" s="575">
        <v>9866901000</v>
      </c>
      <c r="H2086" s="626"/>
      <c r="I2086" s="575">
        <v>31</v>
      </c>
      <c r="J2086" s="575" t="s">
        <v>90</v>
      </c>
      <c r="K2086" s="575" t="s">
        <v>53</v>
      </c>
      <c r="L2086" s="575"/>
      <c r="M2086" s="560" t="s">
        <v>119</v>
      </c>
      <c r="N2086" s="752">
        <v>65038</v>
      </c>
      <c r="O2086" s="600">
        <v>65038</v>
      </c>
      <c r="P2086" s="541">
        <v>65053</v>
      </c>
      <c r="Q2086" s="533" t="s">
        <v>51</v>
      </c>
    </row>
    <row r="2087" spans="1:17" ht="18">
      <c r="A2087" s="512">
        <f t="shared" si="25"/>
        <v>1240</v>
      </c>
      <c r="B2087" s="655" t="s">
        <v>43</v>
      </c>
      <c r="C2087" s="626" t="s">
        <v>44</v>
      </c>
      <c r="D2087" s="626" t="s">
        <v>45</v>
      </c>
      <c r="E2087" s="626" t="s">
        <v>2359</v>
      </c>
      <c r="F2087" s="654" t="s">
        <v>502</v>
      </c>
      <c r="G2087" s="575"/>
      <c r="H2087" s="626"/>
      <c r="I2087" s="575">
        <v>46</v>
      </c>
      <c r="J2087" s="575" t="s">
        <v>48</v>
      </c>
      <c r="K2087" s="575" t="s">
        <v>1468</v>
      </c>
      <c r="L2087" s="575"/>
      <c r="M2087" s="560" t="s">
        <v>119</v>
      </c>
      <c r="N2087" s="752">
        <v>65038</v>
      </c>
      <c r="O2087" s="600">
        <v>65038</v>
      </c>
      <c r="P2087" s="541">
        <v>65053</v>
      </c>
      <c r="Q2087" s="533" t="s">
        <v>51</v>
      </c>
    </row>
    <row r="2088" spans="1:17" ht="18">
      <c r="A2088" s="512">
        <f t="shared" si="25"/>
        <v>1241</v>
      </c>
      <c r="B2088" s="655" t="s">
        <v>43</v>
      </c>
      <c r="C2088" s="626" t="s">
        <v>44</v>
      </c>
      <c r="D2088" s="626" t="s">
        <v>45</v>
      </c>
      <c r="E2088" s="626" t="s">
        <v>2360</v>
      </c>
      <c r="F2088" s="654" t="s">
        <v>502</v>
      </c>
      <c r="G2088" s="575"/>
      <c r="H2088" s="626"/>
      <c r="I2088" s="575">
        <v>58</v>
      </c>
      <c r="J2088" s="575" t="s">
        <v>90</v>
      </c>
      <c r="K2088" s="575" t="s">
        <v>1468</v>
      </c>
      <c r="L2088" s="575"/>
      <c r="M2088" s="560" t="s">
        <v>119</v>
      </c>
      <c r="N2088" s="752">
        <v>65038</v>
      </c>
      <c r="O2088" s="600">
        <v>65038</v>
      </c>
      <c r="P2088" s="541">
        <v>65053</v>
      </c>
      <c r="Q2088" s="533" t="s">
        <v>51</v>
      </c>
    </row>
    <row r="2089" spans="1:17" ht="18">
      <c r="A2089" s="512">
        <f t="shared" si="25"/>
        <v>1242</v>
      </c>
      <c r="B2089" s="655" t="s">
        <v>43</v>
      </c>
      <c r="C2089" s="626" t="s">
        <v>44</v>
      </c>
      <c r="D2089" s="626" t="s">
        <v>45</v>
      </c>
      <c r="E2089" s="626" t="s">
        <v>2436</v>
      </c>
      <c r="F2089" s="654" t="s">
        <v>491</v>
      </c>
      <c r="G2089" s="575">
        <v>9844933214</v>
      </c>
      <c r="H2089" s="626"/>
      <c r="I2089" s="575">
        <v>44</v>
      </c>
      <c r="J2089" s="575" t="s">
        <v>90</v>
      </c>
      <c r="K2089" s="575" t="s">
        <v>1480</v>
      </c>
      <c r="L2089" s="575"/>
      <c r="M2089" s="560" t="s">
        <v>119</v>
      </c>
      <c r="N2089" s="752">
        <v>65038</v>
      </c>
      <c r="O2089" s="600">
        <v>65038</v>
      </c>
      <c r="P2089" s="541">
        <v>65053</v>
      </c>
      <c r="Q2089" s="533" t="s">
        <v>51</v>
      </c>
    </row>
    <row r="2090" spans="1:17" ht="18">
      <c r="A2090" s="512">
        <f t="shared" si="25"/>
        <v>1243</v>
      </c>
      <c r="B2090" s="655" t="s">
        <v>43</v>
      </c>
      <c r="C2090" s="626" t="s">
        <v>44</v>
      </c>
      <c r="D2090" s="626" t="s">
        <v>45</v>
      </c>
      <c r="E2090" s="626" t="s">
        <v>2361</v>
      </c>
      <c r="F2090" s="654" t="s">
        <v>124</v>
      </c>
      <c r="G2090" s="575"/>
      <c r="H2090" s="626"/>
      <c r="I2090" s="575">
        <v>43</v>
      </c>
      <c r="J2090" s="575" t="s">
        <v>48</v>
      </c>
      <c r="K2090" s="575" t="s">
        <v>1468</v>
      </c>
      <c r="L2090" s="575"/>
      <c r="M2090" s="560" t="s">
        <v>119</v>
      </c>
      <c r="N2090" s="752">
        <v>65038</v>
      </c>
      <c r="O2090" s="600">
        <v>65038</v>
      </c>
      <c r="P2090" s="541">
        <v>65053</v>
      </c>
      <c r="Q2090" s="533" t="s">
        <v>51</v>
      </c>
    </row>
    <row r="2091" spans="1:17" ht="18">
      <c r="A2091" s="512">
        <f t="shared" si="25"/>
        <v>1244</v>
      </c>
      <c r="B2091" s="655" t="s">
        <v>43</v>
      </c>
      <c r="C2091" s="626" t="s">
        <v>44</v>
      </c>
      <c r="D2091" s="626" t="s">
        <v>45</v>
      </c>
      <c r="E2091" s="626" t="s">
        <v>2362</v>
      </c>
      <c r="F2091" s="654" t="s">
        <v>502</v>
      </c>
      <c r="G2091" s="575"/>
      <c r="H2091" s="626"/>
      <c r="I2091" s="575">
        <v>25</v>
      </c>
      <c r="J2091" s="575" t="s">
        <v>90</v>
      </c>
      <c r="K2091" s="575" t="s">
        <v>1468</v>
      </c>
      <c r="L2091" s="575"/>
      <c r="M2091" s="560" t="s">
        <v>119</v>
      </c>
      <c r="N2091" s="752">
        <v>65038</v>
      </c>
      <c r="O2091" s="600">
        <v>65038</v>
      </c>
      <c r="P2091" s="541">
        <v>65053</v>
      </c>
      <c r="Q2091" s="533" t="s">
        <v>51</v>
      </c>
    </row>
    <row r="2092" spans="1:17" ht="18">
      <c r="A2092" s="512">
        <f t="shared" si="25"/>
        <v>1245</v>
      </c>
      <c r="B2092" s="655" t="s">
        <v>43</v>
      </c>
      <c r="C2092" s="626" t="s">
        <v>44</v>
      </c>
      <c r="D2092" s="626" t="s">
        <v>45</v>
      </c>
      <c r="E2092" s="626" t="s">
        <v>2413</v>
      </c>
      <c r="F2092" s="654" t="s">
        <v>502</v>
      </c>
      <c r="G2092" s="575">
        <v>9847910844</v>
      </c>
      <c r="H2092" s="626"/>
      <c r="I2092" s="575">
        <v>33</v>
      </c>
      <c r="J2092" s="575" t="s">
        <v>48</v>
      </c>
      <c r="K2092" s="575" t="s">
        <v>1480</v>
      </c>
      <c r="L2092" s="575"/>
      <c r="M2092" s="560" t="s">
        <v>119</v>
      </c>
      <c r="N2092" s="752">
        <v>65038</v>
      </c>
      <c r="O2092" s="600">
        <v>65038</v>
      </c>
      <c r="P2092" s="541">
        <v>65053</v>
      </c>
      <c r="Q2092" s="533" t="s">
        <v>51</v>
      </c>
    </row>
    <row r="2093" spans="1:17" ht="18">
      <c r="A2093" s="512">
        <f t="shared" si="25"/>
        <v>1246</v>
      </c>
      <c r="B2093" s="655" t="s">
        <v>43</v>
      </c>
      <c r="C2093" s="626" t="s">
        <v>44</v>
      </c>
      <c r="D2093" s="626" t="s">
        <v>45</v>
      </c>
      <c r="E2093" s="626" t="s">
        <v>2414</v>
      </c>
      <c r="F2093" s="654" t="s">
        <v>529</v>
      </c>
      <c r="G2093" s="575">
        <v>9864064723</v>
      </c>
      <c r="H2093" s="626"/>
      <c r="I2093" s="575">
        <v>19</v>
      </c>
      <c r="J2093" s="575" t="s">
        <v>48</v>
      </c>
      <c r="K2093" s="575" t="s">
        <v>1480</v>
      </c>
      <c r="L2093" s="575"/>
      <c r="M2093" s="560" t="s">
        <v>119</v>
      </c>
      <c r="N2093" s="752">
        <v>65038</v>
      </c>
      <c r="O2093" s="600">
        <v>65038</v>
      </c>
      <c r="P2093" s="541">
        <v>65053</v>
      </c>
      <c r="Q2093" s="533" t="s">
        <v>51</v>
      </c>
    </row>
    <row r="2094" spans="1:17" ht="18">
      <c r="A2094" s="512">
        <f t="shared" si="25"/>
        <v>1247</v>
      </c>
      <c r="B2094" s="655" t="s">
        <v>43</v>
      </c>
      <c r="C2094" s="626" t="s">
        <v>44</v>
      </c>
      <c r="D2094" s="626" t="s">
        <v>45</v>
      </c>
      <c r="E2094" s="626" t="s">
        <v>2415</v>
      </c>
      <c r="F2094" s="654" t="s">
        <v>441</v>
      </c>
      <c r="G2094" s="575">
        <v>9847842995</v>
      </c>
      <c r="H2094" s="626"/>
      <c r="I2094" s="575">
        <v>54</v>
      </c>
      <c r="J2094" s="575" t="s">
        <v>48</v>
      </c>
      <c r="K2094" s="575" t="s">
        <v>1480</v>
      </c>
      <c r="L2094" s="575"/>
      <c r="M2094" s="560" t="s">
        <v>119</v>
      </c>
      <c r="N2094" s="752">
        <v>65038</v>
      </c>
      <c r="O2094" s="600">
        <v>65038</v>
      </c>
      <c r="P2094" s="541">
        <v>65053</v>
      </c>
      <c r="Q2094" s="533" t="s">
        <v>51</v>
      </c>
    </row>
    <row r="2095" spans="1:17" ht="18">
      <c r="A2095" s="512">
        <f t="shared" si="25"/>
        <v>1248</v>
      </c>
      <c r="B2095" s="655" t="s">
        <v>43</v>
      </c>
      <c r="C2095" s="626" t="s">
        <v>44</v>
      </c>
      <c r="D2095" s="626" t="s">
        <v>45</v>
      </c>
      <c r="E2095" s="626" t="s">
        <v>2363</v>
      </c>
      <c r="F2095" s="654" t="s">
        <v>124</v>
      </c>
      <c r="G2095" s="575">
        <v>9866749748</v>
      </c>
      <c r="H2095" s="626"/>
      <c r="I2095" s="575">
        <v>25</v>
      </c>
      <c r="J2095" s="575" t="s">
        <v>48</v>
      </c>
      <c r="K2095" s="575" t="s">
        <v>53</v>
      </c>
      <c r="L2095" s="575"/>
      <c r="M2095" s="560" t="s">
        <v>119</v>
      </c>
      <c r="N2095" s="752">
        <v>65038</v>
      </c>
      <c r="O2095" s="600">
        <v>65038</v>
      </c>
      <c r="P2095" s="541">
        <v>65053</v>
      </c>
      <c r="Q2095" s="533" t="s">
        <v>51</v>
      </c>
    </row>
    <row r="2096" spans="1:17" ht="18">
      <c r="A2096" s="512">
        <f t="shared" si="25"/>
        <v>1249</v>
      </c>
      <c r="B2096" s="655" t="s">
        <v>43</v>
      </c>
      <c r="C2096" s="626" t="s">
        <v>44</v>
      </c>
      <c r="D2096" s="626" t="s">
        <v>45</v>
      </c>
      <c r="E2096" s="774" t="s">
        <v>2553</v>
      </c>
      <c r="F2096" s="654" t="s">
        <v>491</v>
      </c>
      <c r="G2096" s="654">
        <v>9867896716</v>
      </c>
      <c r="H2096" s="774"/>
      <c r="I2096" s="654">
        <v>33</v>
      </c>
      <c r="J2096" s="654" t="s">
        <v>48</v>
      </c>
      <c r="K2096" s="575" t="s">
        <v>2592</v>
      </c>
      <c r="L2096" s="531"/>
      <c r="M2096" s="560" t="s">
        <v>2336</v>
      </c>
      <c r="N2096" s="808">
        <v>65038</v>
      </c>
      <c r="O2096" s="809">
        <v>65038</v>
      </c>
      <c r="P2096" s="541">
        <v>65053</v>
      </c>
      <c r="Q2096" s="533" t="s">
        <v>51</v>
      </c>
    </row>
    <row r="2097" spans="1:19" ht="18">
      <c r="A2097" s="512">
        <f t="shared" si="25"/>
        <v>1250</v>
      </c>
      <c r="B2097" s="655" t="s">
        <v>43</v>
      </c>
      <c r="C2097" s="626" t="s">
        <v>44</v>
      </c>
      <c r="D2097" s="626" t="s">
        <v>45</v>
      </c>
      <c r="E2097" s="774" t="s">
        <v>2507</v>
      </c>
      <c r="F2097" s="654" t="s">
        <v>512</v>
      </c>
      <c r="G2097" s="654">
        <v>9857821299</v>
      </c>
      <c r="H2097" s="774"/>
      <c r="I2097" s="654">
        <v>44</v>
      </c>
      <c r="J2097" s="654" t="s">
        <v>48</v>
      </c>
      <c r="K2097" s="575" t="s">
        <v>2592</v>
      </c>
      <c r="L2097" s="531"/>
      <c r="M2097" s="560" t="s">
        <v>2336</v>
      </c>
      <c r="N2097" s="808">
        <v>65038</v>
      </c>
      <c r="O2097" s="809">
        <v>65038</v>
      </c>
      <c r="P2097" s="541">
        <v>65053</v>
      </c>
      <c r="Q2097" s="533" t="s">
        <v>51</v>
      </c>
    </row>
    <row r="2098" spans="1:19" ht="18">
      <c r="A2098" s="512">
        <f t="shared" si="25"/>
        <v>1251</v>
      </c>
      <c r="B2098" s="655" t="s">
        <v>43</v>
      </c>
      <c r="C2098" s="626" t="s">
        <v>44</v>
      </c>
      <c r="D2098" s="626" t="s">
        <v>45</v>
      </c>
      <c r="E2098" s="626" t="s">
        <v>2364</v>
      </c>
      <c r="F2098" s="654" t="s">
        <v>502</v>
      </c>
      <c r="G2098" s="575"/>
      <c r="H2098" s="626"/>
      <c r="I2098" s="575">
        <v>33</v>
      </c>
      <c r="J2098" s="575" t="s">
        <v>48</v>
      </c>
      <c r="K2098" s="575" t="s">
        <v>1468</v>
      </c>
      <c r="L2098" s="575"/>
      <c r="M2098" s="560" t="s">
        <v>119</v>
      </c>
      <c r="N2098" s="752">
        <v>65038</v>
      </c>
      <c r="O2098" s="600">
        <v>65038</v>
      </c>
      <c r="P2098" s="541">
        <v>65053</v>
      </c>
      <c r="Q2098" s="533" t="s">
        <v>51</v>
      </c>
    </row>
    <row r="2099" spans="1:19" ht="18">
      <c r="A2099" s="512">
        <f t="shared" si="25"/>
        <v>1252</v>
      </c>
      <c r="B2099" s="655" t="s">
        <v>43</v>
      </c>
      <c r="C2099" s="626" t="s">
        <v>44</v>
      </c>
      <c r="D2099" s="626" t="s">
        <v>45</v>
      </c>
      <c r="E2099" s="626" t="s">
        <v>2416</v>
      </c>
      <c r="F2099" s="654" t="s">
        <v>491</v>
      </c>
      <c r="G2099" s="575">
        <v>9813456255</v>
      </c>
      <c r="H2099" s="626"/>
      <c r="I2099" s="575">
        <v>30</v>
      </c>
      <c r="J2099" s="575" t="s">
        <v>48</v>
      </c>
      <c r="K2099" s="575" t="s">
        <v>1480</v>
      </c>
      <c r="L2099" s="575"/>
      <c r="M2099" s="560" t="s">
        <v>119</v>
      </c>
      <c r="N2099" s="752">
        <v>65038</v>
      </c>
      <c r="O2099" s="600">
        <v>65038</v>
      </c>
      <c r="P2099" s="541">
        <v>65053</v>
      </c>
      <c r="Q2099" s="533" t="s">
        <v>51</v>
      </c>
    </row>
    <row r="2100" spans="1:19" ht="18">
      <c r="A2100" s="512">
        <f t="shared" si="25"/>
        <v>1253</v>
      </c>
      <c r="B2100" s="655" t="s">
        <v>43</v>
      </c>
      <c r="C2100" s="626" t="s">
        <v>44</v>
      </c>
      <c r="D2100" s="626" t="s">
        <v>45</v>
      </c>
      <c r="E2100" s="774" t="s">
        <v>2527</v>
      </c>
      <c r="F2100" s="654" t="s">
        <v>502</v>
      </c>
      <c r="G2100" s="654">
        <v>9822860634</v>
      </c>
      <c r="H2100" s="774"/>
      <c r="I2100" s="654">
        <v>72</v>
      </c>
      <c r="J2100" s="654" t="s">
        <v>48</v>
      </c>
      <c r="K2100" s="575" t="s">
        <v>2592</v>
      </c>
      <c r="L2100" s="531"/>
      <c r="M2100" s="560" t="s">
        <v>2336</v>
      </c>
      <c r="N2100" s="808">
        <v>65038</v>
      </c>
      <c r="O2100" s="809">
        <v>65038</v>
      </c>
      <c r="P2100" s="541">
        <v>65053</v>
      </c>
      <c r="Q2100" s="533" t="s">
        <v>51</v>
      </c>
    </row>
    <row r="2101" spans="1:19" ht="18">
      <c r="A2101" s="512">
        <f t="shared" si="25"/>
        <v>1254</v>
      </c>
      <c r="B2101" s="655" t="s">
        <v>43</v>
      </c>
      <c r="C2101" s="626" t="s">
        <v>44</v>
      </c>
      <c r="D2101" s="626" t="s">
        <v>45</v>
      </c>
      <c r="E2101" s="626" t="s">
        <v>2365</v>
      </c>
      <c r="F2101" s="654" t="s">
        <v>491</v>
      </c>
      <c r="G2101" s="575">
        <v>9841539794</v>
      </c>
      <c r="H2101" s="626"/>
      <c r="I2101" s="575">
        <v>27</v>
      </c>
      <c r="J2101" s="575" t="s">
        <v>48</v>
      </c>
      <c r="K2101" s="575" t="s">
        <v>53</v>
      </c>
      <c r="L2101" s="575"/>
      <c r="M2101" s="560" t="s">
        <v>119</v>
      </c>
      <c r="N2101" s="752">
        <v>65038</v>
      </c>
      <c r="O2101" s="600">
        <v>65038</v>
      </c>
      <c r="P2101" s="541">
        <v>65053</v>
      </c>
      <c r="Q2101" s="533" t="s">
        <v>51</v>
      </c>
    </row>
    <row r="2102" spans="1:19" ht="18">
      <c r="A2102" s="512">
        <f t="shared" si="25"/>
        <v>1255</v>
      </c>
      <c r="B2102" s="655" t="s">
        <v>43</v>
      </c>
      <c r="C2102" s="626" t="s">
        <v>44</v>
      </c>
      <c r="D2102" s="626" t="s">
        <v>45</v>
      </c>
      <c r="E2102" s="626" t="s">
        <v>2417</v>
      </c>
      <c r="F2102" s="654" t="s">
        <v>502</v>
      </c>
      <c r="G2102" s="575">
        <v>9847827051</v>
      </c>
      <c r="H2102" s="626"/>
      <c r="I2102" s="575">
        <v>50</v>
      </c>
      <c r="J2102" s="575" t="s">
        <v>48</v>
      </c>
      <c r="K2102" s="575" t="s">
        <v>1480</v>
      </c>
      <c r="L2102" s="575"/>
      <c r="M2102" s="560" t="s">
        <v>119</v>
      </c>
      <c r="N2102" s="752">
        <v>65038</v>
      </c>
      <c r="O2102" s="600">
        <v>65038</v>
      </c>
      <c r="P2102" s="541">
        <v>65053</v>
      </c>
      <c r="Q2102" s="533" t="s">
        <v>51</v>
      </c>
    </row>
    <row r="2103" spans="1:19" ht="18">
      <c r="A2103" s="512">
        <f t="shared" si="25"/>
        <v>1256</v>
      </c>
      <c r="B2103" s="655" t="s">
        <v>43</v>
      </c>
      <c r="C2103" s="626" t="s">
        <v>44</v>
      </c>
      <c r="D2103" s="626" t="s">
        <v>45</v>
      </c>
      <c r="E2103" s="626" t="s">
        <v>2366</v>
      </c>
      <c r="F2103" s="654" t="s">
        <v>491</v>
      </c>
      <c r="G2103" s="575">
        <v>9847836878</v>
      </c>
      <c r="H2103" s="626"/>
      <c r="I2103" s="575">
        <v>28</v>
      </c>
      <c r="J2103" s="575" t="s">
        <v>48</v>
      </c>
      <c r="K2103" s="575" t="s">
        <v>53</v>
      </c>
      <c r="L2103" s="575"/>
      <c r="M2103" s="560" t="s">
        <v>119</v>
      </c>
      <c r="N2103" s="752">
        <v>65038</v>
      </c>
      <c r="O2103" s="600">
        <v>65038</v>
      </c>
      <c r="P2103" s="541">
        <v>65053</v>
      </c>
      <c r="Q2103" s="533" t="s">
        <v>51</v>
      </c>
    </row>
    <row r="2104" spans="1:19" ht="18">
      <c r="A2104" s="512">
        <f t="shared" si="25"/>
        <v>1257</v>
      </c>
      <c r="B2104" s="655" t="s">
        <v>43</v>
      </c>
      <c r="C2104" s="626" t="s">
        <v>44</v>
      </c>
      <c r="D2104" s="626" t="s">
        <v>45</v>
      </c>
      <c r="E2104" s="626" t="s">
        <v>2418</v>
      </c>
      <c r="F2104" s="654" t="s">
        <v>636</v>
      </c>
      <c r="G2104" s="575">
        <v>9810306128</v>
      </c>
      <c r="H2104" s="626"/>
      <c r="I2104" s="575">
        <v>60</v>
      </c>
      <c r="J2104" s="575" t="s">
        <v>48</v>
      </c>
      <c r="K2104" s="575" t="s">
        <v>1480</v>
      </c>
      <c r="L2104" s="575"/>
      <c r="M2104" s="560" t="s">
        <v>119</v>
      </c>
      <c r="N2104" s="752">
        <v>65038</v>
      </c>
      <c r="O2104" s="600">
        <v>65038</v>
      </c>
      <c r="P2104" s="541">
        <v>65053</v>
      </c>
      <c r="Q2104" s="533" t="s">
        <v>51</v>
      </c>
    </row>
    <row r="2105" spans="1:19" ht="18">
      <c r="A2105" s="512">
        <f t="shared" si="25"/>
        <v>1258</v>
      </c>
      <c r="B2105" s="655" t="s">
        <v>43</v>
      </c>
      <c r="C2105" s="626" t="s">
        <v>44</v>
      </c>
      <c r="D2105" s="626" t="s">
        <v>45</v>
      </c>
      <c r="E2105" s="626" t="s">
        <v>2367</v>
      </c>
      <c r="F2105" s="654" t="s">
        <v>124</v>
      </c>
      <c r="G2105" s="575"/>
      <c r="H2105" s="626"/>
      <c r="I2105" s="575">
        <v>53</v>
      </c>
      <c r="J2105" s="575" t="s">
        <v>48</v>
      </c>
      <c r="K2105" s="575" t="s">
        <v>1468</v>
      </c>
      <c r="L2105" s="575"/>
      <c r="M2105" s="560" t="s">
        <v>119</v>
      </c>
      <c r="N2105" s="752">
        <v>65038</v>
      </c>
      <c r="O2105" s="600">
        <v>65038</v>
      </c>
      <c r="P2105" s="541">
        <v>65053</v>
      </c>
      <c r="Q2105" s="533" t="s">
        <v>51</v>
      </c>
    </row>
    <row r="2106" spans="1:19" ht="18">
      <c r="A2106" s="512">
        <f t="shared" si="25"/>
        <v>1259</v>
      </c>
      <c r="B2106" s="655" t="s">
        <v>43</v>
      </c>
      <c r="C2106" s="626" t="s">
        <v>44</v>
      </c>
      <c r="D2106" s="626" t="s">
        <v>45</v>
      </c>
      <c r="E2106" s="626" t="s">
        <v>2368</v>
      </c>
      <c r="F2106" s="654" t="s">
        <v>124</v>
      </c>
      <c r="G2106" s="575">
        <v>9858050966</v>
      </c>
      <c r="H2106" s="626"/>
      <c r="I2106" s="575">
        <v>50</v>
      </c>
      <c r="J2106" s="575" t="s">
        <v>48</v>
      </c>
      <c r="K2106" s="575" t="s">
        <v>1459</v>
      </c>
      <c r="L2106" s="575"/>
      <c r="M2106" s="560" t="s">
        <v>119</v>
      </c>
      <c r="N2106" s="752">
        <v>65038</v>
      </c>
      <c r="O2106" s="600">
        <v>65038</v>
      </c>
      <c r="P2106" s="541">
        <v>65053</v>
      </c>
      <c r="Q2106" s="533" t="s">
        <v>51</v>
      </c>
    </row>
    <row r="2107" spans="1:19" ht="18">
      <c r="A2107" s="512">
        <f t="shared" si="25"/>
        <v>1260</v>
      </c>
      <c r="B2107" s="655" t="s">
        <v>43</v>
      </c>
      <c r="C2107" s="626" t="s">
        <v>44</v>
      </c>
      <c r="D2107" s="626" t="s">
        <v>45</v>
      </c>
      <c r="E2107" s="626" t="s">
        <v>2437</v>
      </c>
      <c r="F2107" s="654" t="s">
        <v>1009</v>
      </c>
      <c r="G2107" s="575">
        <v>9847833099</v>
      </c>
      <c r="H2107" s="626"/>
      <c r="I2107" s="575">
        <v>39</v>
      </c>
      <c r="J2107" s="575" t="s">
        <v>90</v>
      </c>
      <c r="K2107" s="575" t="s">
        <v>1480</v>
      </c>
      <c r="L2107" s="575"/>
      <c r="M2107" s="560" t="s">
        <v>119</v>
      </c>
      <c r="N2107" s="752">
        <v>65038</v>
      </c>
      <c r="O2107" s="600">
        <v>65038</v>
      </c>
      <c r="P2107" s="541">
        <v>65053</v>
      </c>
      <c r="Q2107" s="533" t="s">
        <v>51</v>
      </c>
    </row>
    <row r="2108" spans="1:19" s="163" customFormat="1" ht="18">
      <c r="A2108" s="512">
        <f t="shared" si="25"/>
        <v>1261</v>
      </c>
      <c r="B2108" s="655" t="s">
        <v>43</v>
      </c>
      <c r="C2108" s="626" t="s">
        <v>44</v>
      </c>
      <c r="D2108" s="626" t="s">
        <v>45</v>
      </c>
      <c r="E2108" s="626" t="s">
        <v>2369</v>
      </c>
      <c r="F2108" s="654" t="s">
        <v>491</v>
      </c>
      <c r="G2108" s="575"/>
      <c r="H2108" s="626"/>
      <c r="I2108" s="575">
        <v>48</v>
      </c>
      <c r="J2108" s="575" t="s">
        <v>48</v>
      </c>
      <c r="K2108" s="575" t="s">
        <v>1468</v>
      </c>
      <c r="L2108" s="575"/>
      <c r="M2108" s="560" t="s">
        <v>119</v>
      </c>
      <c r="N2108" s="752">
        <v>65038</v>
      </c>
      <c r="O2108" s="600">
        <v>65038</v>
      </c>
      <c r="P2108" s="541">
        <v>65053</v>
      </c>
      <c r="Q2108" s="533" t="s">
        <v>51</v>
      </c>
      <c r="R2108" s="322"/>
      <c r="S2108" s="322"/>
    </row>
    <row r="2109" spans="1:19" ht="18">
      <c r="A2109" s="512">
        <f t="shared" si="25"/>
        <v>1262</v>
      </c>
      <c r="B2109" s="655" t="s">
        <v>43</v>
      </c>
      <c r="C2109" s="626" t="s">
        <v>44</v>
      </c>
      <c r="D2109" s="626" t="s">
        <v>45</v>
      </c>
      <c r="E2109" s="626" t="s">
        <v>2370</v>
      </c>
      <c r="F2109" s="654" t="s">
        <v>497</v>
      </c>
      <c r="G2109" s="575"/>
      <c r="H2109" s="626"/>
      <c r="I2109" s="575">
        <v>29</v>
      </c>
      <c r="J2109" s="575" t="s">
        <v>48</v>
      </c>
      <c r="K2109" s="575" t="s">
        <v>1468</v>
      </c>
      <c r="L2109" s="575"/>
      <c r="M2109" s="560" t="s">
        <v>119</v>
      </c>
      <c r="N2109" s="752">
        <v>65038</v>
      </c>
      <c r="O2109" s="600">
        <v>65038</v>
      </c>
      <c r="P2109" s="541">
        <v>65053</v>
      </c>
      <c r="Q2109" s="533" t="s">
        <v>51</v>
      </c>
    </row>
    <row r="2110" spans="1:19" ht="18">
      <c r="A2110" s="512">
        <f t="shared" si="25"/>
        <v>1263</v>
      </c>
      <c r="B2110" s="655" t="s">
        <v>43</v>
      </c>
      <c r="C2110" s="626" t="s">
        <v>44</v>
      </c>
      <c r="D2110" s="626" t="s">
        <v>45</v>
      </c>
      <c r="E2110" s="774" t="s">
        <v>2509</v>
      </c>
      <c r="F2110" s="654" t="s">
        <v>598</v>
      </c>
      <c r="G2110" s="654">
        <v>9847834566</v>
      </c>
      <c r="H2110" s="774"/>
      <c r="I2110" s="654">
        <v>52</v>
      </c>
      <c r="J2110" s="654" t="s">
        <v>48</v>
      </c>
      <c r="K2110" s="575" t="s">
        <v>2592</v>
      </c>
      <c r="L2110" s="531"/>
      <c r="M2110" s="560" t="s">
        <v>2336</v>
      </c>
      <c r="N2110" s="808">
        <v>65038</v>
      </c>
      <c r="O2110" s="809">
        <v>65038</v>
      </c>
      <c r="P2110" s="541">
        <v>65053</v>
      </c>
      <c r="Q2110" s="533" t="s">
        <v>51</v>
      </c>
    </row>
    <row r="2111" spans="1:19" ht="18">
      <c r="A2111" s="512">
        <f t="shared" si="25"/>
        <v>1264</v>
      </c>
      <c r="B2111" s="655" t="s">
        <v>43</v>
      </c>
      <c r="C2111" s="626" t="s">
        <v>44</v>
      </c>
      <c r="D2111" s="626" t="s">
        <v>45</v>
      </c>
      <c r="E2111" s="774" t="s">
        <v>2566</v>
      </c>
      <c r="F2111" s="654" t="s">
        <v>441</v>
      </c>
      <c r="G2111" s="654">
        <v>9847829762</v>
      </c>
      <c r="H2111" s="774"/>
      <c r="I2111" s="654">
        <v>80</v>
      </c>
      <c r="J2111" s="654" t="s">
        <v>48</v>
      </c>
      <c r="K2111" s="575" t="s">
        <v>2592</v>
      </c>
      <c r="L2111" s="531"/>
      <c r="M2111" s="560" t="s">
        <v>2336</v>
      </c>
      <c r="N2111" s="808">
        <v>65038</v>
      </c>
      <c r="O2111" s="809">
        <v>65038</v>
      </c>
      <c r="P2111" s="541">
        <v>65053</v>
      </c>
      <c r="Q2111" s="533" t="s">
        <v>51</v>
      </c>
    </row>
    <row r="2112" spans="1:19" ht="18">
      <c r="A2112" s="512">
        <f t="shared" si="25"/>
        <v>1265</v>
      </c>
      <c r="B2112" s="655" t="s">
        <v>43</v>
      </c>
      <c r="C2112" s="626" t="s">
        <v>44</v>
      </c>
      <c r="D2112" s="626" t="s">
        <v>45</v>
      </c>
      <c r="E2112" s="624" t="s">
        <v>2371</v>
      </c>
      <c r="F2112" s="654" t="s">
        <v>502</v>
      </c>
      <c r="G2112" s="575"/>
      <c r="H2112" s="626"/>
      <c r="I2112" s="575">
        <v>28</v>
      </c>
      <c r="J2112" s="575" t="s">
        <v>48</v>
      </c>
      <c r="K2112" s="575" t="s">
        <v>1468</v>
      </c>
      <c r="L2112" s="575"/>
      <c r="M2112" s="560" t="s">
        <v>119</v>
      </c>
      <c r="N2112" s="752">
        <v>65038</v>
      </c>
      <c r="O2112" s="600">
        <v>65038</v>
      </c>
      <c r="P2112" s="541">
        <v>65053</v>
      </c>
      <c r="Q2112" s="533" t="s">
        <v>51</v>
      </c>
    </row>
    <row r="2113" spans="1:19" ht="18">
      <c r="A2113" s="512">
        <f t="shared" si="25"/>
        <v>1266</v>
      </c>
      <c r="B2113" s="655" t="s">
        <v>43</v>
      </c>
      <c r="C2113" s="626" t="s">
        <v>44</v>
      </c>
      <c r="D2113" s="626" t="s">
        <v>45</v>
      </c>
      <c r="E2113" s="626" t="s">
        <v>2372</v>
      </c>
      <c r="F2113" s="654" t="s">
        <v>502</v>
      </c>
      <c r="G2113" s="575"/>
      <c r="H2113" s="626"/>
      <c r="I2113" s="575">
        <v>53</v>
      </c>
      <c r="J2113" s="575" t="s">
        <v>48</v>
      </c>
      <c r="K2113" s="575" t="s">
        <v>1468</v>
      </c>
      <c r="L2113" s="575"/>
      <c r="M2113" s="560" t="s">
        <v>119</v>
      </c>
      <c r="N2113" s="752">
        <v>65038</v>
      </c>
      <c r="O2113" s="600">
        <v>65038</v>
      </c>
      <c r="P2113" s="541">
        <v>65053</v>
      </c>
      <c r="Q2113" s="533" t="s">
        <v>51</v>
      </c>
      <c r="R2113" s="163"/>
      <c r="S2113" s="163"/>
    </row>
    <row r="2114" spans="1:19" s="163" customFormat="1" ht="18">
      <c r="A2114" s="512">
        <f t="shared" si="25"/>
        <v>1267</v>
      </c>
      <c r="B2114" s="655" t="s">
        <v>43</v>
      </c>
      <c r="C2114" s="626" t="s">
        <v>44</v>
      </c>
      <c r="D2114" s="626" t="s">
        <v>45</v>
      </c>
      <c r="E2114" s="626" t="s">
        <v>2373</v>
      </c>
      <c r="F2114" s="654" t="s">
        <v>529</v>
      </c>
      <c r="G2114" s="575"/>
      <c r="H2114" s="626"/>
      <c r="I2114" s="575">
        <v>36</v>
      </c>
      <c r="J2114" s="575" t="s">
        <v>48</v>
      </c>
      <c r="K2114" s="575" t="s">
        <v>1468</v>
      </c>
      <c r="L2114" s="575"/>
      <c r="M2114" s="560" t="s">
        <v>119</v>
      </c>
      <c r="N2114" s="752">
        <v>65038</v>
      </c>
      <c r="O2114" s="600">
        <v>65038</v>
      </c>
      <c r="P2114" s="541">
        <v>65053</v>
      </c>
      <c r="Q2114" s="533" t="s">
        <v>51</v>
      </c>
      <c r="R2114" s="322"/>
      <c r="S2114" s="322"/>
    </row>
    <row r="2115" spans="1:19" ht="18">
      <c r="A2115" s="512">
        <f t="shared" si="25"/>
        <v>1268</v>
      </c>
      <c r="B2115" s="669" t="s">
        <v>43</v>
      </c>
      <c r="C2115" s="640" t="s">
        <v>44</v>
      </c>
      <c r="D2115" s="640" t="s">
        <v>45</v>
      </c>
      <c r="E2115" s="640" t="s">
        <v>2374</v>
      </c>
      <c r="F2115" s="642" t="s">
        <v>502</v>
      </c>
      <c r="G2115" s="635"/>
      <c r="H2115" s="640"/>
      <c r="I2115" s="635">
        <v>58</v>
      </c>
      <c r="J2115" s="635" t="s">
        <v>48</v>
      </c>
      <c r="K2115" s="635" t="s">
        <v>53</v>
      </c>
      <c r="L2115" s="635"/>
      <c r="M2115" s="592" t="s">
        <v>54</v>
      </c>
      <c r="N2115" s="754">
        <v>65038</v>
      </c>
      <c r="O2115" s="610">
        <v>65038</v>
      </c>
      <c r="P2115" s="465">
        <v>65061</v>
      </c>
      <c r="Q2115" s="436" t="s">
        <v>51</v>
      </c>
    </row>
    <row r="2116" spans="1:19" ht="18">
      <c r="A2116" s="512">
        <f t="shared" si="25"/>
        <v>1269</v>
      </c>
      <c r="B2116" s="655" t="s">
        <v>43</v>
      </c>
      <c r="C2116" s="626" t="s">
        <v>44</v>
      </c>
      <c r="D2116" s="626" t="s">
        <v>45</v>
      </c>
      <c r="E2116" s="626" t="s">
        <v>2375</v>
      </c>
      <c r="F2116" s="654" t="s">
        <v>491</v>
      </c>
      <c r="G2116" s="575">
        <v>9866749788</v>
      </c>
      <c r="H2116" s="626"/>
      <c r="I2116" s="575">
        <v>35</v>
      </c>
      <c r="J2116" s="575" t="s">
        <v>48</v>
      </c>
      <c r="K2116" s="575" t="s">
        <v>53</v>
      </c>
      <c r="L2116" s="575"/>
      <c r="M2116" s="560" t="s">
        <v>119</v>
      </c>
      <c r="N2116" s="752">
        <v>65038</v>
      </c>
      <c r="O2116" s="600">
        <v>65038</v>
      </c>
      <c r="P2116" s="541">
        <v>65053</v>
      </c>
      <c r="Q2116" s="533" t="s">
        <v>51</v>
      </c>
    </row>
    <row r="2117" spans="1:19" ht="18">
      <c r="A2117" s="512">
        <f t="shared" si="25"/>
        <v>1270</v>
      </c>
      <c r="B2117" s="655" t="s">
        <v>43</v>
      </c>
      <c r="C2117" s="626" t="s">
        <v>44</v>
      </c>
      <c r="D2117" s="626" t="s">
        <v>45</v>
      </c>
      <c r="E2117" s="626" t="s">
        <v>2419</v>
      </c>
      <c r="F2117" s="654" t="s">
        <v>502</v>
      </c>
      <c r="G2117" s="575">
        <v>9866854929</v>
      </c>
      <c r="H2117" s="626"/>
      <c r="I2117" s="575">
        <v>43</v>
      </c>
      <c r="J2117" s="575" t="s">
        <v>48</v>
      </c>
      <c r="K2117" s="575" t="s">
        <v>1480</v>
      </c>
      <c r="L2117" s="575"/>
      <c r="M2117" s="560" t="s">
        <v>119</v>
      </c>
      <c r="N2117" s="752">
        <v>65038</v>
      </c>
      <c r="O2117" s="600">
        <v>65038</v>
      </c>
      <c r="P2117" s="541">
        <v>65053</v>
      </c>
      <c r="Q2117" s="533" t="s">
        <v>51</v>
      </c>
    </row>
    <row r="2118" spans="1:19" ht="18">
      <c r="A2118" s="512">
        <f t="shared" si="25"/>
        <v>1271</v>
      </c>
      <c r="B2118" s="655" t="s">
        <v>43</v>
      </c>
      <c r="C2118" s="626" t="s">
        <v>44</v>
      </c>
      <c r="D2118" s="626" t="s">
        <v>45</v>
      </c>
      <c r="E2118" s="626" t="s">
        <v>2376</v>
      </c>
      <c r="F2118" s="654" t="s">
        <v>598</v>
      </c>
      <c r="G2118" s="575"/>
      <c r="H2118" s="626"/>
      <c r="I2118" s="575">
        <v>24</v>
      </c>
      <c r="J2118" s="575" t="s">
        <v>90</v>
      </c>
      <c r="K2118" s="575" t="s">
        <v>1468</v>
      </c>
      <c r="L2118" s="575"/>
      <c r="M2118" s="560" t="s">
        <v>119</v>
      </c>
      <c r="N2118" s="752">
        <v>65038</v>
      </c>
      <c r="O2118" s="600">
        <v>65038</v>
      </c>
      <c r="P2118" s="541">
        <v>65053</v>
      </c>
      <c r="Q2118" s="533" t="s">
        <v>51</v>
      </c>
    </row>
    <row r="2119" spans="1:19" ht="18">
      <c r="A2119" s="512">
        <f t="shared" si="25"/>
        <v>1272</v>
      </c>
      <c r="B2119" s="655" t="s">
        <v>43</v>
      </c>
      <c r="C2119" s="626" t="s">
        <v>44</v>
      </c>
      <c r="D2119" s="626" t="s">
        <v>45</v>
      </c>
      <c r="E2119" s="626" t="s">
        <v>2377</v>
      </c>
      <c r="F2119" s="654" t="s">
        <v>510</v>
      </c>
      <c r="G2119" s="575">
        <v>9847837572</v>
      </c>
      <c r="H2119" s="626"/>
      <c r="I2119" s="575">
        <v>29</v>
      </c>
      <c r="J2119" s="575" t="s">
        <v>48</v>
      </c>
      <c r="K2119" s="575" t="s">
        <v>53</v>
      </c>
      <c r="L2119" s="575"/>
      <c r="M2119" s="560" t="s">
        <v>119</v>
      </c>
      <c r="N2119" s="752">
        <v>65038</v>
      </c>
      <c r="O2119" s="600">
        <v>65038</v>
      </c>
      <c r="P2119" s="541">
        <v>65053</v>
      </c>
      <c r="Q2119" s="533" t="s">
        <v>51</v>
      </c>
      <c r="R2119" s="163"/>
      <c r="S2119" s="163"/>
    </row>
    <row r="2120" spans="1:19" ht="18">
      <c r="A2120" s="512">
        <f t="shared" si="25"/>
        <v>1273</v>
      </c>
      <c r="B2120" s="655" t="s">
        <v>43</v>
      </c>
      <c r="C2120" s="626" t="s">
        <v>44</v>
      </c>
      <c r="D2120" s="626" t="s">
        <v>45</v>
      </c>
      <c r="E2120" s="774" t="s">
        <v>2569</v>
      </c>
      <c r="F2120" s="654" t="s">
        <v>529</v>
      </c>
      <c r="G2120" s="654">
        <v>9844944081</v>
      </c>
      <c r="H2120" s="774"/>
      <c r="I2120" s="654">
        <v>52</v>
      </c>
      <c r="J2120" s="654" t="s">
        <v>90</v>
      </c>
      <c r="K2120" s="575" t="s">
        <v>2592</v>
      </c>
      <c r="L2120" s="531"/>
      <c r="M2120" s="560" t="s">
        <v>2336</v>
      </c>
      <c r="N2120" s="808">
        <v>65038</v>
      </c>
      <c r="O2120" s="809">
        <v>65038</v>
      </c>
      <c r="P2120" s="541">
        <v>65053</v>
      </c>
      <c r="Q2120" s="533" t="s">
        <v>51</v>
      </c>
    </row>
    <row r="2121" spans="1:19" ht="18">
      <c r="A2121" s="512">
        <f t="shared" si="25"/>
        <v>1274</v>
      </c>
      <c r="B2121" s="669" t="s">
        <v>43</v>
      </c>
      <c r="C2121" s="640" t="s">
        <v>44</v>
      </c>
      <c r="D2121" s="640" t="s">
        <v>45</v>
      </c>
      <c r="E2121" s="640" t="s">
        <v>2378</v>
      </c>
      <c r="F2121" s="642" t="s">
        <v>491</v>
      </c>
      <c r="G2121" s="635">
        <v>9843663492</v>
      </c>
      <c r="H2121" s="640"/>
      <c r="I2121" s="635">
        <v>66</v>
      </c>
      <c r="J2121" s="635" t="s">
        <v>90</v>
      </c>
      <c r="K2121" s="635" t="s">
        <v>345</v>
      </c>
      <c r="L2121" s="635"/>
      <c r="M2121" s="592" t="s">
        <v>262</v>
      </c>
      <c r="N2121" s="754">
        <v>65038</v>
      </c>
      <c r="O2121" s="610">
        <v>65038</v>
      </c>
      <c r="P2121" s="459">
        <v>65080</v>
      </c>
      <c r="Q2121" s="432" t="s">
        <v>51</v>
      </c>
    </row>
    <row r="2122" spans="1:19" ht="18">
      <c r="A2122" s="512">
        <f t="shared" si="25"/>
        <v>1275</v>
      </c>
      <c r="B2122" s="655" t="s">
        <v>43</v>
      </c>
      <c r="C2122" s="626" t="s">
        <v>44</v>
      </c>
      <c r="D2122" s="626" t="s">
        <v>45</v>
      </c>
      <c r="E2122" s="626" t="s">
        <v>2379</v>
      </c>
      <c r="F2122" s="654" t="s">
        <v>636</v>
      </c>
      <c r="G2122" s="575"/>
      <c r="H2122" s="626"/>
      <c r="I2122" s="575">
        <v>50</v>
      </c>
      <c r="J2122" s="575" t="s">
        <v>90</v>
      </c>
      <c r="K2122" s="575" t="s">
        <v>1468</v>
      </c>
      <c r="L2122" s="575"/>
      <c r="M2122" s="560" t="s">
        <v>119</v>
      </c>
      <c r="N2122" s="752">
        <v>65038</v>
      </c>
      <c r="O2122" s="600">
        <v>65038</v>
      </c>
      <c r="P2122" s="541">
        <v>65053</v>
      </c>
      <c r="Q2122" s="533" t="s">
        <v>51</v>
      </c>
    </row>
    <row r="2123" spans="1:19" ht="18">
      <c r="A2123" s="512">
        <f t="shared" si="25"/>
        <v>1276</v>
      </c>
      <c r="B2123" s="655" t="s">
        <v>43</v>
      </c>
      <c r="C2123" s="626" t="s">
        <v>44</v>
      </c>
      <c r="D2123" s="626" t="s">
        <v>45</v>
      </c>
      <c r="E2123" s="626" t="s">
        <v>2420</v>
      </c>
      <c r="F2123" s="654" t="s">
        <v>1009</v>
      </c>
      <c r="G2123" s="575">
        <v>9857821434</v>
      </c>
      <c r="H2123" s="626"/>
      <c r="I2123" s="575">
        <v>37</v>
      </c>
      <c r="J2123" s="575" t="s">
        <v>48</v>
      </c>
      <c r="K2123" s="575" t="s">
        <v>1480</v>
      </c>
      <c r="L2123" s="575"/>
      <c r="M2123" s="560" t="s">
        <v>119</v>
      </c>
      <c r="N2123" s="752">
        <v>65038</v>
      </c>
      <c r="O2123" s="600">
        <v>65038</v>
      </c>
      <c r="P2123" s="541">
        <v>65053</v>
      </c>
      <c r="Q2123" s="533" t="s">
        <v>51</v>
      </c>
    </row>
    <row r="2124" spans="1:19" ht="18">
      <c r="A2124" s="512">
        <f t="shared" si="25"/>
        <v>1277</v>
      </c>
      <c r="B2124" s="655" t="s">
        <v>43</v>
      </c>
      <c r="C2124" s="626" t="s">
        <v>44</v>
      </c>
      <c r="D2124" s="626" t="s">
        <v>45</v>
      </c>
      <c r="E2124" s="624" t="s">
        <v>2380</v>
      </c>
      <c r="F2124" s="654" t="s">
        <v>491</v>
      </c>
      <c r="G2124" s="575"/>
      <c r="H2124" s="626"/>
      <c r="I2124" s="575">
        <v>30</v>
      </c>
      <c r="J2124" s="575" t="s">
        <v>90</v>
      </c>
      <c r="K2124" s="575" t="s">
        <v>1468</v>
      </c>
      <c r="L2124" s="575"/>
      <c r="M2124" s="560" t="s">
        <v>119</v>
      </c>
      <c r="N2124" s="752">
        <v>65038</v>
      </c>
      <c r="O2124" s="600">
        <v>65038</v>
      </c>
      <c r="P2124" s="541">
        <v>65053</v>
      </c>
      <c r="Q2124" s="533" t="s">
        <v>51</v>
      </c>
    </row>
    <row r="2125" spans="1:19" ht="18">
      <c r="A2125" s="512">
        <f t="shared" si="25"/>
        <v>1278</v>
      </c>
      <c r="B2125" s="655" t="s">
        <v>43</v>
      </c>
      <c r="C2125" s="626" t="s">
        <v>44</v>
      </c>
      <c r="D2125" s="626" t="s">
        <v>45</v>
      </c>
      <c r="E2125" s="626" t="s">
        <v>2381</v>
      </c>
      <c r="F2125" s="654" t="s">
        <v>124</v>
      </c>
      <c r="G2125" s="575"/>
      <c r="H2125" s="626"/>
      <c r="I2125" s="575">
        <v>24</v>
      </c>
      <c r="J2125" s="575" t="s">
        <v>90</v>
      </c>
      <c r="K2125" s="575" t="s">
        <v>1468</v>
      </c>
      <c r="L2125" s="575"/>
      <c r="M2125" s="560" t="s">
        <v>119</v>
      </c>
      <c r="N2125" s="752">
        <v>65038</v>
      </c>
      <c r="O2125" s="600">
        <v>65038</v>
      </c>
      <c r="P2125" s="541">
        <v>65053</v>
      </c>
      <c r="Q2125" s="533" t="s">
        <v>51</v>
      </c>
    </row>
    <row r="2126" spans="1:19" ht="18">
      <c r="A2126" s="512">
        <f t="shared" si="25"/>
        <v>1279</v>
      </c>
      <c r="B2126" s="655" t="s">
        <v>43</v>
      </c>
      <c r="C2126" s="626" t="s">
        <v>44</v>
      </c>
      <c r="D2126" s="626" t="s">
        <v>45</v>
      </c>
      <c r="E2126" s="626" t="s">
        <v>2382</v>
      </c>
      <c r="F2126" s="654" t="s">
        <v>491</v>
      </c>
      <c r="G2126" s="575">
        <v>9847830405</v>
      </c>
      <c r="H2126" s="626"/>
      <c r="I2126" s="575">
        <v>35</v>
      </c>
      <c r="J2126" s="575" t="s">
        <v>90</v>
      </c>
      <c r="K2126" s="575" t="s">
        <v>53</v>
      </c>
      <c r="L2126" s="575"/>
      <c r="M2126" s="560" t="s">
        <v>119</v>
      </c>
      <c r="N2126" s="752">
        <v>65038</v>
      </c>
      <c r="O2126" s="600">
        <v>65038</v>
      </c>
      <c r="P2126" s="541">
        <v>65053</v>
      </c>
      <c r="Q2126" s="533" t="s">
        <v>51</v>
      </c>
    </row>
    <row r="2127" spans="1:19" ht="18">
      <c r="A2127" s="512">
        <f t="shared" si="25"/>
        <v>1280</v>
      </c>
      <c r="B2127" s="655" t="s">
        <v>43</v>
      </c>
      <c r="C2127" s="626" t="s">
        <v>44</v>
      </c>
      <c r="D2127" s="626" t="s">
        <v>45</v>
      </c>
      <c r="E2127" s="626" t="s">
        <v>2383</v>
      </c>
      <c r="F2127" s="654" t="s">
        <v>1204</v>
      </c>
      <c r="G2127" s="575">
        <v>9847846006</v>
      </c>
      <c r="H2127" s="626"/>
      <c r="I2127" s="575">
        <v>59</v>
      </c>
      <c r="J2127" s="575" t="s">
        <v>90</v>
      </c>
      <c r="K2127" s="575" t="s">
        <v>53</v>
      </c>
      <c r="L2127" s="575"/>
      <c r="M2127" s="560" t="s">
        <v>119</v>
      </c>
      <c r="N2127" s="752">
        <v>65038</v>
      </c>
      <c r="O2127" s="600">
        <v>65038</v>
      </c>
      <c r="P2127" s="541">
        <v>65053</v>
      </c>
      <c r="Q2127" s="533" t="s">
        <v>51</v>
      </c>
    </row>
    <row r="2128" spans="1:19" s="163" customFormat="1" ht="18">
      <c r="A2128" s="512">
        <f t="shared" si="25"/>
        <v>1281</v>
      </c>
      <c r="B2128" s="655" t="s">
        <v>43</v>
      </c>
      <c r="C2128" s="626" t="s">
        <v>44</v>
      </c>
      <c r="D2128" s="626" t="s">
        <v>45</v>
      </c>
      <c r="E2128" s="626" t="s">
        <v>2384</v>
      </c>
      <c r="F2128" s="654" t="s">
        <v>502</v>
      </c>
      <c r="G2128" s="575"/>
      <c r="H2128" s="626"/>
      <c r="I2128" s="575">
        <v>36</v>
      </c>
      <c r="J2128" s="575" t="s">
        <v>48</v>
      </c>
      <c r="K2128" s="575" t="s">
        <v>1468</v>
      </c>
      <c r="L2128" s="575"/>
      <c r="M2128" s="560" t="s">
        <v>119</v>
      </c>
      <c r="N2128" s="752">
        <v>65038</v>
      </c>
      <c r="O2128" s="600">
        <v>65038</v>
      </c>
      <c r="P2128" s="541">
        <v>65053</v>
      </c>
      <c r="Q2128" s="533" t="s">
        <v>51</v>
      </c>
    </row>
    <row r="2129" spans="1:17" ht="18">
      <c r="A2129" s="512">
        <f t="shared" si="25"/>
        <v>1282</v>
      </c>
      <c r="B2129" s="669" t="s">
        <v>43</v>
      </c>
      <c r="C2129" s="640" t="s">
        <v>44</v>
      </c>
      <c r="D2129" s="640" t="s">
        <v>45</v>
      </c>
      <c r="E2129" s="640" t="s">
        <v>2385</v>
      </c>
      <c r="F2129" s="642" t="s">
        <v>1046</v>
      </c>
      <c r="G2129" s="635"/>
      <c r="H2129" s="640"/>
      <c r="I2129" s="635">
        <v>54</v>
      </c>
      <c r="J2129" s="635" t="s">
        <v>90</v>
      </c>
      <c r="K2129" s="635" t="s">
        <v>345</v>
      </c>
      <c r="L2129" s="635"/>
      <c r="M2129" s="592" t="s">
        <v>262</v>
      </c>
      <c r="N2129" s="754">
        <v>65038</v>
      </c>
      <c r="O2129" s="610">
        <v>65038</v>
      </c>
      <c r="P2129" s="465">
        <v>65086</v>
      </c>
      <c r="Q2129" s="533" t="s">
        <v>51</v>
      </c>
    </row>
    <row r="2130" spans="1:17" ht="18">
      <c r="A2130" s="512">
        <f t="shared" ref="A2130:A2193" si="26">A2129+1</f>
        <v>1283</v>
      </c>
      <c r="B2130" s="655" t="s">
        <v>43</v>
      </c>
      <c r="C2130" s="626" t="s">
        <v>44</v>
      </c>
      <c r="D2130" s="626" t="s">
        <v>45</v>
      </c>
      <c r="E2130" s="626" t="s">
        <v>2386</v>
      </c>
      <c r="F2130" s="654" t="s">
        <v>1204</v>
      </c>
      <c r="G2130" s="575">
        <v>9847846006</v>
      </c>
      <c r="H2130" s="626"/>
      <c r="I2130" s="575">
        <v>65</v>
      </c>
      <c r="J2130" s="575" t="s">
        <v>48</v>
      </c>
      <c r="K2130" s="575" t="s">
        <v>53</v>
      </c>
      <c r="L2130" s="575"/>
      <c r="M2130" s="560" t="s">
        <v>119</v>
      </c>
      <c r="N2130" s="752">
        <v>65038</v>
      </c>
      <c r="O2130" s="600">
        <v>65038</v>
      </c>
      <c r="P2130" s="541">
        <v>65053</v>
      </c>
      <c r="Q2130" s="533" t="s">
        <v>51</v>
      </c>
    </row>
    <row r="2131" spans="1:17" ht="18">
      <c r="A2131" s="512">
        <f t="shared" si="26"/>
        <v>1284</v>
      </c>
      <c r="B2131" s="655" t="s">
        <v>43</v>
      </c>
      <c r="C2131" s="626" t="s">
        <v>44</v>
      </c>
      <c r="D2131" s="626" t="s">
        <v>45</v>
      </c>
      <c r="E2131" s="774" t="s">
        <v>2587</v>
      </c>
      <c r="F2131" s="654" t="s">
        <v>124</v>
      </c>
      <c r="G2131" s="654">
        <v>9808378030</v>
      </c>
      <c r="H2131" s="774"/>
      <c r="I2131" s="654">
        <v>32</v>
      </c>
      <c r="J2131" s="654" t="s">
        <v>48</v>
      </c>
      <c r="K2131" s="575" t="s">
        <v>2592</v>
      </c>
      <c r="L2131" s="531"/>
      <c r="M2131" s="560" t="s">
        <v>2336</v>
      </c>
      <c r="N2131" s="808">
        <v>65038</v>
      </c>
      <c r="O2131" s="809">
        <v>65038</v>
      </c>
      <c r="P2131" s="541">
        <v>65053</v>
      </c>
      <c r="Q2131" s="533" t="s">
        <v>51</v>
      </c>
    </row>
    <row r="2132" spans="1:17" ht="18">
      <c r="A2132" s="512">
        <f t="shared" si="26"/>
        <v>1285</v>
      </c>
      <c r="B2132" s="655" t="s">
        <v>43</v>
      </c>
      <c r="C2132" s="626" t="s">
        <v>44</v>
      </c>
      <c r="D2132" s="626" t="s">
        <v>45</v>
      </c>
      <c r="E2132" s="626" t="s">
        <v>2387</v>
      </c>
      <c r="F2132" s="654" t="s">
        <v>491</v>
      </c>
      <c r="G2132" s="575"/>
      <c r="H2132" s="626"/>
      <c r="I2132" s="575">
        <v>48</v>
      </c>
      <c r="J2132" s="575" t="s">
        <v>48</v>
      </c>
      <c r="K2132" s="575" t="s">
        <v>1468</v>
      </c>
      <c r="L2132" s="575"/>
      <c r="M2132" s="560" t="s">
        <v>119</v>
      </c>
      <c r="N2132" s="752">
        <v>65038</v>
      </c>
      <c r="O2132" s="600">
        <v>65038</v>
      </c>
      <c r="P2132" s="541">
        <v>65053</v>
      </c>
      <c r="Q2132" s="533" t="s">
        <v>51</v>
      </c>
    </row>
    <row r="2133" spans="1:17" ht="18">
      <c r="A2133" s="512">
        <f t="shared" si="26"/>
        <v>1286</v>
      </c>
      <c r="B2133" s="655" t="s">
        <v>43</v>
      </c>
      <c r="C2133" s="626" t="s">
        <v>44</v>
      </c>
      <c r="D2133" s="626" t="s">
        <v>45</v>
      </c>
      <c r="E2133" s="626" t="s">
        <v>2388</v>
      </c>
      <c r="F2133" s="654" t="s">
        <v>1008</v>
      </c>
      <c r="G2133" s="575">
        <v>9841095708</v>
      </c>
      <c r="H2133" s="626"/>
      <c r="I2133" s="575">
        <v>27</v>
      </c>
      <c r="J2133" s="575" t="s">
        <v>90</v>
      </c>
      <c r="K2133" s="575" t="s">
        <v>53</v>
      </c>
      <c r="L2133" s="575"/>
      <c r="M2133" s="560" t="s">
        <v>119</v>
      </c>
      <c r="N2133" s="752">
        <v>65038</v>
      </c>
      <c r="O2133" s="600">
        <v>65038</v>
      </c>
      <c r="P2133" s="541">
        <v>65053</v>
      </c>
      <c r="Q2133" s="533" t="s">
        <v>51</v>
      </c>
    </row>
    <row r="2134" spans="1:17" ht="18">
      <c r="A2134" s="512">
        <f t="shared" si="26"/>
        <v>1287</v>
      </c>
      <c r="B2134" s="655" t="s">
        <v>43</v>
      </c>
      <c r="C2134" s="626" t="s">
        <v>44</v>
      </c>
      <c r="D2134" s="626" t="s">
        <v>45</v>
      </c>
      <c r="E2134" s="626" t="s">
        <v>2421</v>
      </c>
      <c r="F2134" s="654" t="s">
        <v>502</v>
      </c>
      <c r="G2134" s="575">
        <v>9868626060</v>
      </c>
      <c r="H2134" s="626"/>
      <c r="I2134" s="575">
        <v>65</v>
      </c>
      <c r="J2134" s="575" t="s">
        <v>48</v>
      </c>
      <c r="K2134" s="575" t="s">
        <v>1480</v>
      </c>
      <c r="L2134" s="575"/>
      <c r="M2134" s="560" t="s">
        <v>119</v>
      </c>
      <c r="N2134" s="752">
        <v>65038</v>
      </c>
      <c r="O2134" s="600">
        <v>65038</v>
      </c>
      <c r="P2134" s="541">
        <v>65053</v>
      </c>
      <c r="Q2134" s="533" t="s">
        <v>51</v>
      </c>
    </row>
    <row r="2135" spans="1:17" ht="18">
      <c r="A2135" s="512">
        <f t="shared" si="26"/>
        <v>1288</v>
      </c>
      <c r="B2135" s="655" t="s">
        <v>43</v>
      </c>
      <c r="C2135" s="626" t="s">
        <v>44</v>
      </c>
      <c r="D2135" s="626" t="s">
        <v>45</v>
      </c>
      <c r="E2135" s="626" t="s">
        <v>2389</v>
      </c>
      <c r="F2135" s="654" t="s">
        <v>636</v>
      </c>
      <c r="G2135" s="575"/>
      <c r="H2135" s="626"/>
      <c r="I2135" s="575">
        <v>65</v>
      </c>
      <c r="J2135" s="575" t="s">
        <v>90</v>
      </c>
      <c r="K2135" s="575" t="s">
        <v>1468</v>
      </c>
      <c r="L2135" s="575"/>
      <c r="M2135" s="560" t="s">
        <v>119</v>
      </c>
      <c r="N2135" s="752">
        <v>65038</v>
      </c>
      <c r="O2135" s="600">
        <v>65038</v>
      </c>
      <c r="P2135" s="541">
        <v>65053</v>
      </c>
      <c r="Q2135" s="533" t="s">
        <v>51</v>
      </c>
    </row>
    <row r="2136" spans="1:17" ht="18">
      <c r="A2136" s="512">
        <f t="shared" si="26"/>
        <v>1289</v>
      </c>
      <c r="B2136" s="655" t="s">
        <v>43</v>
      </c>
      <c r="C2136" s="626" t="s">
        <v>44</v>
      </c>
      <c r="D2136" s="626" t="s">
        <v>45</v>
      </c>
      <c r="E2136" s="626" t="s">
        <v>2390</v>
      </c>
      <c r="F2136" s="654" t="s">
        <v>791</v>
      </c>
      <c r="G2136" s="575"/>
      <c r="H2136" s="626"/>
      <c r="I2136" s="575">
        <v>59</v>
      </c>
      <c r="J2136" s="575" t="s">
        <v>90</v>
      </c>
      <c r="K2136" s="575" t="s">
        <v>1468</v>
      </c>
      <c r="L2136" s="575"/>
      <c r="M2136" s="560" t="s">
        <v>119</v>
      </c>
      <c r="N2136" s="752">
        <v>65038</v>
      </c>
      <c r="O2136" s="600">
        <v>65038</v>
      </c>
      <c r="P2136" s="541">
        <v>65053</v>
      </c>
      <c r="Q2136" s="533" t="s">
        <v>51</v>
      </c>
    </row>
    <row r="2137" spans="1:17" ht="18">
      <c r="A2137" s="512">
        <f t="shared" si="26"/>
        <v>1290</v>
      </c>
      <c r="B2137" s="655" t="s">
        <v>43</v>
      </c>
      <c r="C2137" s="626" t="s">
        <v>44</v>
      </c>
      <c r="D2137" s="626" t="s">
        <v>45</v>
      </c>
      <c r="E2137" s="626" t="s">
        <v>2391</v>
      </c>
      <c r="F2137" s="654" t="s">
        <v>557</v>
      </c>
      <c r="G2137" s="575"/>
      <c r="H2137" s="626"/>
      <c r="I2137" s="575">
        <v>30</v>
      </c>
      <c r="J2137" s="575" t="s">
        <v>48</v>
      </c>
      <c r="K2137" s="575" t="s">
        <v>1468</v>
      </c>
      <c r="L2137" s="575"/>
      <c r="M2137" s="560" t="s">
        <v>119</v>
      </c>
      <c r="N2137" s="752">
        <v>65038</v>
      </c>
      <c r="O2137" s="600">
        <v>65038</v>
      </c>
      <c r="P2137" s="541">
        <v>65053</v>
      </c>
      <c r="Q2137" s="533" t="s">
        <v>51</v>
      </c>
    </row>
    <row r="2138" spans="1:17" ht="18">
      <c r="A2138" s="512">
        <f t="shared" si="26"/>
        <v>1291</v>
      </c>
      <c r="B2138" s="655" t="s">
        <v>43</v>
      </c>
      <c r="C2138" s="626" t="s">
        <v>44</v>
      </c>
      <c r="D2138" s="626" t="s">
        <v>45</v>
      </c>
      <c r="E2138" s="626" t="s">
        <v>2392</v>
      </c>
      <c r="F2138" s="654" t="s">
        <v>1009</v>
      </c>
      <c r="G2138" s="575">
        <v>9822567760</v>
      </c>
      <c r="H2138" s="626"/>
      <c r="I2138" s="575">
        <v>42</v>
      </c>
      <c r="J2138" s="575" t="s">
        <v>48</v>
      </c>
      <c r="K2138" s="575" t="s">
        <v>53</v>
      </c>
      <c r="L2138" s="575"/>
      <c r="M2138" s="560" t="s">
        <v>119</v>
      </c>
      <c r="N2138" s="752">
        <v>65038</v>
      </c>
      <c r="O2138" s="600">
        <v>65038</v>
      </c>
      <c r="P2138" s="541">
        <v>65053</v>
      </c>
      <c r="Q2138" s="533" t="s">
        <v>51</v>
      </c>
    </row>
    <row r="2139" spans="1:17" ht="18">
      <c r="A2139" s="512">
        <f t="shared" si="26"/>
        <v>1292</v>
      </c>
      <c r="B2139" s="655" t="s">
        <v>43</v>
      </c>
      <c r="C2139" s="626" t="s">
        <v>44</v>
      </c>
      <c r="D2139" s="626" t="s">
        <v>45</v>
      </c>
      <c r="E2139" s="774" t="s">
        <v>2508</v>
      </c>
      <c r="F2139" s="654" t="s">
        <v>598</v>
      </c>
      <c r="G2139" s="654">
        <v>9810939794</v>
      </c>
      <c r="H2139" s="774"/>
      <c r="I2139" s="654">
        <v>21</v>
      </c>
      <c r="J2139" s="654" t="s">
        <v>48</v>
      </c>
      <c r="K2139" s="575" t="s">
        <v>2592</v>
      </c>
      <c r="L2139" s="531"/>
      <c r="M2139" s="560" t="s">
        <v>2336</v>
      </c>
      <c r="N2139" s="808">
        <v>65038</v>
      </c>
      <c r="O2139" s="809">
        <v>65038</v>
      </c>
      <c r="P2139" s="541">
        <v>65053</v>
      </c>
      <c r="Q2139" s="533" t="s">
        <v>51</v>
      </c>
    </row>
    <row r="2140" spans="1:17" ht="18">
      <c r="A2140" s="512">
        <f t="shared" si="26"/>
        <v>1293</v>
      </c>
      <c r="B2140" s="655" t="s">
        <v>43</v>
      </c>
      <c r="C2140" s="626" t="s">
        <v>44</v>
      </c>
      <c r="D2140" s="626" t="s">
        <v>45</v>
      </c>
      <c r="E2140" s="774" t="s">
        <v>2588</v>
      </c>
      <c r="F2140" s="654" t="s">
        <v>124</v>
      </c>
      <c r="G2140" s="654">
        <v>9869595115</v>
      </c>
      <c r="H2140" s="774"/>
      <c r="I2140" s="654">
        <v>33</v>
      </c>
      <c r="J2140" s="654" t="s">
        <v>48</v>
      </c>
      <c r="K2140" s="575" t="s">
        <v>2592</v>
      </c>
      <c r="L2140" s="531"/>
      <c r="M2140" s="560" t="s">
        <v>2336</v>
      </c>
      <c r="N2140" s="808">
        <v>65038</v>
      </c>
      <c r="O2140" s="809">
        <v>65038</v>
      </c>
      <c r="P2140" s="541">
        <v>65053</v>
      </c>
      <c r="Q2140" s="533" t="s">
        <v>51</v>
      </c>
    </row>
    <row r="2141" spans="1:17" ht="18">
      <c r="A2141" s="512">
        <f t="shared" si="26"/>
        <v>1294</v>
      </c>
      <c r="B2141" s="655" t="s">
        <v>43</v>
      </c>
      <c r="C2141" s="626" t="s">
        <v>44</v>
      </c>
      <c r="D2141" s="626" t="s">
        <v>45</v>
      </c>
      <c r="E2141" s="774" t="s">
        <v>2536</v>
      </c>
      <c r="F2141" s="654" t="s">
        <v>491</v>
      </c>
      <c r="G2141" s="654">
        <v>9847947978</v>
      </c>
      <c r="H2141" s="774"/>
      <c r="I2141" s="654">
        <v>34</v>
      </c>
      <c r="J2141" s="654" t="s">
        <v>90</v>
      </c>
      <c r="K2141" s="575" t="s">
        <v>2592</v>
      </c>
      <c r="L2141" s="531"/>
      <c r="M2141" s="560" t="s">
        <v>2336</v>
      </c>
      <c r="N2141" s="808">
        <v>65038</v>
      </c>
      <c r="O2141" s="809">
        <v>65038</v>
      </c>
      <c r="P2141" s="541">
        <v>65053</v>
      </c>
      <c r="Q2141" s="533" t="s">
        <v>51</v>
      </c>
    </row>
    <row r="2142" spans="1:17" ht="18">
      <c r="A2142" s="512">
        <f t="shared" si="26"/>
        <v>1295</v>
      </c>
      <c r="B2142" s="655" t="s">
        <v>43</v>
      </c>
      <c r="C2142" s="626" t="s">
        <v>44</v>
      </c>
      <c r="D2142" s="626" t="s">
        <v>45</v>
      </c>
      <c r="E2142" s="626" t="s">
        <v>2393</v>
      </c>
      <c r="F2142" s="654" t="s">
        <v>791</v>
      </c>
      <c r="G2142" s="575"/>
      <c r="H2142" s="626"/>
      <c r="I2142" s="575">
        <v>52</v>
      </c>
      <c r="J2142" s="575" t="s">
        <v>48</v>
      </c>
      <c r="K2142" s="575" t="s">
        <v>1468</v>
      </c>
      <c r="L2142" s="575"/>
      <c r="M2142" s="560" t="s">
        <v>119</v>
      </c>
      <c r="N2142" s="752">
        <v>65038</v>
      </c>
      <c r="O2142" s="600">
        <v>65038</v>
      </c>
      <c r="P2142" s="541">
        <v>65053</v>
      </c>
      <c r="Q2142" s="533" t="s">
        <v>51</v>
      </c>
    </row>
    <row r="2143" spans="1:17" ht="18">
      <c r="A2143" s="512">
        <f t="shared" si="26"/>
        <v>1296</v>
      </c>
      <c r="B2143" s="655" t="s">
        <v>43</v>
      </c>
      <c r="C2143" s="626" t="s">
        <v>44</v>
      </c>
      <c r="D2143" s="626" t="s">
        <v>45</v>
      </c>
      <c r="E2143" s="626" t="s">
        <v>2438</v>
      </c>
      <c r="F2143" s="654" t="s">
        <v>730</v>
      </c>
      <c r="G2143" s="575">
        <v>9849298072</v>
      </c>
      <c r="H2143" s="626"/>
      <c r="I2143" s="575">
        <v>20</v>
      </c>
      <c r="J2143" s="575" t="s">
        <v>90</v>
      </c>
      <c r="K2143" s="575" t="s">
        <v>1480</v>
      </c>
      <c r="L2143" s="575"/>
      <c r="M2143" s="560" t="s">
        <v>119</v>
      </c>
      <c r="N2143" s="752">
        <v>65038</v>
      </c>
      <c r="O2143" s="600">
        <v>65038</v>
      </c>
      <c r="P2143" s="541">
        <v>65053</v>
      </c>
      <c r="Q2143" s="533" t="s">
        <v>51</v>
      </c>
    </row>
    <row r="2144" spans="1:17" ht="18">
      <c r="A2144" s="512">
        <f t="shared" si="26"/>
        <v>1297</v>
      </c>
      <c r="B2144" s="655" t="s">
        <v>43</v>
      </c>
      <c r="C2144" s="626" t="s">
        <v>44</v>
      </c>
      <c r="D2144" s="626" t="s">
        <v>45</v>
      </c>
      <c r="E2144" s="626" t="s">
        <v>2439</v>
      </c>
      <c r="F2144" s="654" t="s">
        <v>730</v>
      </c>
      <c r="G2144" s="575">
        <v>9843982176</v>
      </c>
      <c r="H2144" s="626"/>
      <c r="I2144" s="575">
        <v>30</v>
      </c>
      <c r="J2144" s="575" t="s">
        <v>90</v>
      </c>
      <c r="K2144" s="575" t="s">
        <v>1480</v>
      </c>
      <c r="L2144" s="575"/>
      <c r="M2144" s="560" t="s">
        <v>119</v>
      </c>
      <c r="N2144" s="752">
        <v>65038</v>
      </c>
      <c r="O2144" s="600">
        <v>65038</v>
      </c>
      <c r="P2144" s="541">
        <v>65053</v>
      </c>
      <c r="Q2144" s="533" t="s">
        <v>51</v>
      </c>
    </row>
    <row r="2145" spans="1:17" ht="18">
      <c r="A2145" s="512">
        <f t="shared" si="26"/>
        <v>1298</v>
      </c>
      <c r="B2145" s="655" t="s">
        <v>43</v>
      </c>
      <c r="C2145" s="626" t="s">
        <v>44</v>
      </c>
      <c r="D2145" s="626" t="s">
        <v>45</v>
      </c>
      <c r="E2145" s="774" t="s">
        <v>2558</v>
      </c>
      <c r="F2145" s="654" t="s">
        <v>441</v>
      </c>
      <c r="G2145" s="654">
        <v>9847820675</v>
      </c>
      <c r="H2145" s="774"/>
      <c r="I2145" s="654">
        <v>45</v>
      </c>
      <c r="J2145" s="654" t="s">
        <v>90</v>
      </c>
      <c r="K2145" s="575" t="s">
        <v>2592</v>
      </c>
      <c r="L2145" s="531"/>
      <c r="M2145" s="560" t="s">
        <v>2336</v>
      </c>
      <c r="N2145" s="808">
        <v>65038</v>
      </c>
      <c r="O2145" s="809">
        <v>65038</v>
      </c>
      <c r="P2145" s="541">
        <v>65053</v>
      </c>
      <c r="Q2145" s="533" t="s">
        <v>51</v>
      </c>
    </row>
    <row r="2146" spans="1:17" ht="18">
      <c r="A2146" s="512">
        <f t="shared" si="26"/>
        <v>1299</v>
      </c>
      <c r="B2146" s="655" t="s">
        <v>43</v>
      </c>
      <c r="C2146" s="626" t="s">
        <v>44</v>
      </c>
      <c r="D2146" s="626" t="s">
        <v>45</v>
      </c>
      <c r="E2146" s="626" t="s">
        <v>2394</v>
      </c>
      <c r="F2146" s="654" t="s">
        <v>491</v>
      </c>
      <c r="G2146" s="575"/>
      <c r="H2146" s="626"/>
      <c r="I2146" s="575">
        <v>37</v>
      </c>
      <c r="J2146" s="575" t="s">
        <v>90</v>
      </c>
      <c r="K2146" s="575" t="s">
        <v>1468</v>
      </c>
      <c r="L2146" s="575"/>
      <c r="M2146" s="560" t="s">
        <v>119</v>
      </c>
      <c r="N2146" s="752">
        <v>65038</v>
      </c>
      <c r="O2146" s="600">
        <v>65038</v>
      </c>
      <c r="P2146" s="541">
        <v>65053</v>
      </c>
      <c r="Q2146" s="533" t="s">
        <v>51</v>
      </c>
    </row>
    <row r="2147" spans="1:17" ht="18">
      <c r="A2147" s="512">
        <f t="shared" si="26"/>
        <v>1300</v>
      </c>
      <c r="B2147" s="655" t="s">
        <v>43</v>
      </c>
      <c r="C2147" s="626" t="s">
        <v>44</v>
      </c>
      <c r="D2147" s="626" t="s">
        <v>45</v>
      </c>
      <c r="E2147" s="626" t="s">
        <v>2395</v>
      </c>
      <c r="F2147" s="654" t="s">
        <v>502</v>
      </c>
      <c r="G2147" s="575"/>
      <c r="H2147" s="626"/>
      <c r="I2147" s="575">
        <v>53</v>
      </c>
      <c r="J2147" s="575" t="s">
        <v>90</v>
      </c>
      <c r="K2147" s="575" t="s">
        <v>1468</v>
      </c>
      <c r="L2147" s="575"/>
      <c r="M2147" s="560" t="s">
        <v>119</v>
      </c>
      <c r="N2147" s="752">
        <v>65038</v>
      </c>
      <c r="O2147" s="600">
        <v>65038</v>
      </c>
      <c r="P2147" s="541">
        <v>65053</v>
      </c>
      <c r="Q2147" s="533" t="s">
        <v>51</v>
      </c>
    </row>
    <row r="2148" spans="1:17" ht="18">
      <c r="A2148" s="512">
        <f t="shared" si="26"/>
        <v>1301</v>
      </c>
      <c r="B2148" s="655" t="s">
        <v>43</v>
      </c>
      <c r="C2148" s="626" t="s">
        <v>44</v>
      </c>
      <c r="D2148" s="626" t="s">
        <v>45</v>
      </c>
      <c r="E2148" s="626" t="s">
        <v>2396</v>
      </c>
      <c r="F2148" s="654" t="s">
        <v>441</v>
      </c>
      <c r="G2148" s="575">
        <v>9848044589</v>
      </c>
      <c r="H2148" s="626"/>
      <c r="I2148" s="575">
        <v>40</v>
      </c>
      <c r="J2148" s="575" t="s">
        <v>90</v>
      </c>
      <c r="K2148" s="575" t="s">
        <v>53</v>
      </c>
      <c r="L2148" s="575"/>
      <c r="M2148" s="560" t="s">
        <v>119</v>
      </c>
      <c r="N2148" s="752">
        <v>65038</v>
      </c>
      <c r="O2148" s="600">
        <v>65038</v>
      </c>
      <c r="P2148" s="541">
        <v>65053</v>
      </c>
      <c r="Q2148" s="533" t="s">
        <v>51</v>
      </c>
    </row>
    <row r="2149" spans="1:17" ht="18">
      <c r="A2149" s="512">
        <f t="shared" si="26"/>
        <v>1302</v>
      </c>
      <c r="B2149" s="655" t="s">
        <v>43</v>
      </c>
      <c r="C2149" s="626" t="s">
        <v>44</v>
      </c>
      <c r="D2149" s="626" t="s">
        <v>45</v>
      </c>
      <c r="E2149" s="626" t="s">
        <v>2397</v>
      </c>
      <c r="F2149" s="654" t="s">
        <v>730</v>
      </c>
      <c r="G2149" s="575">
        <v>9809822763</v>
      </c>
      <c r="H2149" s="626"/>
      <c r="I2149" s="575">
        <v>47</v>
      </c>
      <c r="J2149" s="575" t="s">
        <v>48</v>
      </c>
      <c r="K2149" s="575" t="s">
        <v>53</v>
      </c>
      <c r="L2149" s="575"/>
      <c r="M2149" s="560" t="s">
        <v>119</v>
      </c>
      <c r="N2149" s="752">
        <v>65038</v>
      </c>
      <c r="O2149" s="600">
        <v>65038</v>
      </c>
      <c r="P2149" s="541">
        <v>65053</v>
      </c>
      <c r="Q2149" s="533" t="s">
        <v>51</v>
      </c>
    </row>
    <row r="2150" spans="1:17" ht="18">
      <c r="A2150" s="512">
        <f t="shared" si="26"/>
        <v>1303</v>
      </c>
      <c r="B2150" s="655" t="s">
        <v>43</v>
      </c>
      <c r="C2150" s="626" t="s">
        <v>44</v>
      </c>
      <c r="D2150" s="626" t="s">
        <v>45</v>
      </c>
      <c r="E2150" s="624" t="s">
        <v>2398</v>
      </c>
      <c r="F2150" s="654" t="s">
        <v>636</v>
      </c>
      <c r="G2150" s="575"/>
      <c r="H2150" s="626"/>
      <c r="I2150" s="575">
        <v>35</v>
      </c>
      <c r="J2150" s="575" t="s">
        <v>48</v>
      </c>
      <c r="K2150" s="575" t="s">
        <v>1468</v>
      </c>
      <c r="L2150" s="575"/>
      <c r="M2150" s="560" t="s">
        <v>119</v>
      </c>
      <c r="N2150" s="752">
        <v>65038</v>
      </c>
      <c r="O2150" s="600">
        <v>65038</v>
      </c>
      <c r="P2150" s="541">
        <v>65053</v>
      </c>
      <c r="Q2150" s="533" t="s">
        <v>51</v>
      </c>
    </row>
    <row r="2151" spans="1:17" ht="18">
      <c r="A2151" s="512">
        <f t="shared" si="26"/>
        <v>1304</v>
      </c>
      <c r="B2151" s="655" t="s">
        <v>43</v>
      </c>
      <c r="C2151" s="626" t="s">
        <v>44</v>
      </c>
      <c r="D2151" s="626" t="s">
        <v>45</v>
      </c>
      <c r="E2151" s="774" t="s">
        <v>2574</v>
      </c>
      <c r="F2151" s="654" t="s">
        <v>529</v>
      </c>
      <c r="G2151" s="654">
        <v>9847855126</v>
      </c>
      <c r="H2151" s="774"/>
      <c r="I2151" s="654">
        <v>38</v>
      </c>
      <c r="J2151" s="654" t="s">
        <v>48</v>
      </c>
      <c r="K2151" s="575" t="s">
        <v>2592</v>
      </c>
      <c r="L2151" s="531"/>
      <c r="M2151" s="560" t="s">
        <v>2336</v>
      </c>
      <c r="N2151" s="808">
        <v>65038</v>
      </c>
      <c r="O2151" s="809">
        <v>65038</v>
      </c>
      <c r="P2151" s="541">
        <v>65053</v>
      </c>
      <c r="Q2151" s="533" t="s">
        <v>51</v>
      </c>
    </row>
    <row r="2152" spans="1:17" ht="18">
      <c r="A2152" s="512">
        <f t="shared" si="26"/>
        <v>1305</v>
      </c>
      <c r="B2152" s="655" t="s">
        <v>43</v>
      </c>
      <c r="C2152" s="626" t="s">
        <v>44</v>
      </c>
      <c r="D2152" s="626" t="s">
        <v>45</v>
      </c>
      <c r="E2152" s="626" t="s">
        <v>2399</v>
      </c>
      <c r="F2152" s="654" t="s">
        <v>502</v>
      </c>
      <c r="G2152" s="575"/>
      <c r="H2152" s="626"/>
      <c r="I2152" s="575">
        <v>35</v>
      </c>
      <c r="J2152" s="575" t="s">
        <v>48</v>
      </c>
      <c r="K2152" s="575" t="s">
        <v>1468</v>
      </c>
      <c r="L2152" s="575"/>
      <c r="M2152" s="560" t="s">
        <v>119</v>
      </c>
      <c r="N2152" s="752">
        <v>65038</v>
      </c>
      <c r="O2152" s="600">
        <v>65038</v>
      </c>
      <c r="P2152" s="541">
        <v>65053</v>
      </c>
      <c r="Q2152" s="533" t="s">
        <v>51</v>
      </c>
    </row>
    <row r="2153" spans="1:17" ht="18">
      <c r="A2153" s="512">
        <f t="shared" si="26"/>
        <v>1306</v>
      </c>
      <c r="B2153" s="655" t="s">
        <v>43</v>
      </c>
      <c r="C2153" s="626" t="s">
        <v>44</v>
      </c>
      <c r="D2153" s="626" t="s">
        <v>45</v>
      </c>
      <c r="E2153" s="626" t="s">
        <v>2440</v>
      </c>
      <c r="F2153" s="654" t="s">
        <v>791</v>
      </c>
      <c r="G2153" s="575">
        <v>9844933555</v>
      </c>
      <c r="H2153" s="626"/>
      <c r="I2153" s="575">
        <v>33</v>
      </c>
      <c r="J2153" s="575" t="s">
        <v>90</v>
      </c>
      <c r="K2153" s="575" t="s">
        <v>1480</v>
      </c>
      <c r="L2153" s="575"/>
      <c r="M2153" s="560" t="s">
        <v>119</v>
      </c>
      <c r="N2153" s="752">
        <v>65038</v>
      </c>
      <c r="O2153" s="600">
        <v>65038</v>
      </c>
      <c r="P2153" s="541">
        <v>65053</v>
      </c>
      <c r="Q2153" s="533" t="s">
        <v>51</v>
      </c>
    </row>
    <row r="2154" spans="1:17" ht="18">
      <c r="A2154" s="512">
        <f t="shared" si="26"/>
        <v>1307</v>
      </c>
      <c r="B2154" s="655" t="s">
        <v>43</v>
      </c>
      <c r="C2154" s="626" t="s">
        <v>44</v>
      </c>
      <c r="D2154" s="626" t="s">
        <v>45</v>
      </c>
      <c r="E2154" s="626" t="s">
        <v>2400</v>
      </c>
      <c r="F2154" s="654" t="s">
        <v>124</v>
      </c>
      <c r="G2154" s="575">
        <v>9858050966</v>
      </c>
      <c r="H2154" s="626"/>
      <c r="I2154" s="575">
        <v>48</v>
      </c>
      <c r="J2154" s="575" t="s">
        <v>90</v>
      </c>
      <c r="K2154" s="575" t="s">
        <v>1459</v>
      </c>
      <c r="L2154" s="575"/>
      <c r="M2154" s="560" t="s">
        <v>119</v>
      </c>
      <c r="N2154" s="752">
        <v>65038</v>
      </c>
      <c r="O2154" s="600">
        <v>65038</v>
      </c>
      <c r="P2154" s="541">
        <v>65053</v>
      </c>
      <c r="Q2154" s="533" t="s">
        <v>51</v>
      </c>
    </row>
    <row r="2155" spans="1:17" ht="18">
      <c r="A2155" s="512">
        <f t="shared" si="26"/>
        <v>1308</v>
      </c>
      <c r="B2155" s="655" t="s">
        <v>43</v>
      </c>
      <c r="C2155" s="626" t="s">
        <v>44</v>
      </c>
      <c r="D2155" s="626" t="s">
        <v>45</v>
      </c>
      <c r="E2155" s="624" t="s">
        <v>2401</v>
      </c>
      <c r="F2155" s="654" t="s">
        <v>502</v>
      </c>
      <c r="G2155" s="575">
        <v>9822970290</v>
      </c>
      <c r="H2155" s="626"/>
      <c r="I2155" s="575">
        <v>31</v>
      </c>
      <c r="J2155" s="575" t="s">
        <v>90</v>
      </c>
      <c r="K2155" s="575" t="s">
        <v>53</v>
      </c>
      <c r="L2155" s="575"/>
      <c r="M2155" s="560" t="s">
        <v>119</v>
      </c>
      <c r="N2155" s="752">
        <v>65038</v>
      </c>
      <c r="O2155" s="600">
        <v>65038</v>
      </c>
      <c r="P2155" s="541">
        <v>65053</v>
      </c>
      <c r="Q2155" s="533" t="s">
        <v>51</v>
      </c>
    </row>
    <row r="2156" spans="1:17" ht="18">
      <c r="A2156" s="512">
        <f t="shared" si="26"/>
        <v>1309</v>
      </c>
      <c r="B2156" s="655" t="s">
        <v>43</v>
      </c>
      <c r="C2156" s="626" t="s">
        <v>44</v>
      </c>
      <c r="D2156" s="626" t="s">
        <v>45</v>
      </c>
      <c r="E2156" s="626" t="s">
        <v>2402</v>
      </c>
      <c r="F2156" s="654" t="s">
        <v>124</v>
      </c>
      <c r="G2156" s="575"/>
      <c r="H2156" s="626"/>
      <c r="I2156" s="575">
        <v>50</v>
      </c>
      <c r="J2156" s="575" t="s">
        <v>48</v>
      </c>
      <c r="K2156" s="575" t="s">
        <v>1468</v>
      </c>
      <c r="L2156" s="575"/>
      <c r="M2156" s="560" t="s">
        <v>119</v>
      </c>
      <c r="N2156" s="752">
        <v>65038</v>
      </c>
      <c r="O2156" s="600">
        <v>65038</v>
      </c>
      <c r="P2156" s="541">
        <v>65053</v>
      </c>
      <c r="Q2156" s="533" t="s">
        <v>51</v>
      </c>
    </row>
    <row r="2157" spans="1:17" ht="18">
      <c r="A2157" s="512">
        <f t="shared" si="26"/>
        <v>1310</v>
      </c>
      <c r="B2157" s="655" t="s">
        <v>43</v>
      </c>
      <c r="C2157" s="626" t="s">
        <v>44</v>
      </c>
      <c r="D2157" s="626" t="s">
        <v>45</v>
      </c>
      <c r="E2157" s="624" t="s">
        <v>2403</v>
      </c>
      <c r="F2157" s="654" t="s">
        <v>502</v>
      </c>
      <c r="G2157" s="575"/>
      <c r="H2157" s="626"/>
      <c r="I2157" s="575">
        <v>44</v>
      </c>
      <c r="J2157" s="575" t="s">
        <v>48</v>
      </c>
      <c r="K2157" s="575" t="s">
        <v>1468</v>
      </c>
      <c r="L2157" s="575"/>
      <c r="M2157" s="560" t="s">
        <v>119</v>
      </c>
      <c r="N2157" s="752">
        <v>65038</v>
      </c>
      <c r="O2157" s="600">
        <v>65038</v>
      </c>
      <c r="P2157" s="541">
        <v>65053</v>
      </c>
      <c r="Q2157" s="533" t="s">
        <v>51</v>
      </c>
    </row>
    <row r="2158" spans="1:17" ht="18">
      <c r="A2158" s="512">
        <f t="shared" si="26"/>
        <v>1311</v>
      </c>
      <c r="B2158" s="655" t="s">
        <v>43</v>
      </c>
      <c r="C2158" s="626" t="s">
        <v>44</v>
      </c>
      <c r="D2158" s="626" t="s">
        <v>45</v>
      </c>
      <c r="E2158" s="626" t="s">
        <v>2422</v>
      </c>
      <c r="F2158" s="654" t="s">
        <v>512</v>
      </c>
      <c r="G2158" s="575">
        <v>9847824744</v>
      </c>
      <c r="H2158" s="626"/>
      <c r="I2158" s="575">
        <v>59</v>
      </c>
      <c r="J2158" s="575" t="s">
        <v>48</v>
      </c>
      <c r="K2158" s="575" t="s">
        <v>1480</v>
      </c>
      <c r="L2158" s="575"/>
      <c r="M2158" s="560" t="s">
        <v>119</v>
      </c>
      <c r="N2158" s="752">
        <v>65038</v>
      </c>
      <c r="O2158" s="600">
        <v>65038</v>
      </c>
      <c r="P2158" s="541">
        <v>65053</v>
      </c>
      <c r="Q2158" s="533" t="s">
        <v>51</v>
      </c>
    </row>
    <row r="2159" spans="1:17" ht="18">
      <c r="A2159" s="512">
        <f t="shared" si="26"/>
        <v>1312</v>
      </c>
      <c r="B2159" s="655" t="s">
        <v>43</v>
      </c>
      <c r="C2159" s="626" t="s">
        <v>44</v>
      </c>
      <c r="D2159" s="626" t="s">
        <v>45</v>
      </c>
      <c r="E2159" s="626" t="s">
        <v>2404</v>
      </c>
      <c r="F2159" s="654" t="s">
        <v>124</v>
      </c>
      <c r="G2159" s="575"/>
      <c r="H2159" s="626"/>
      <c r="I2159" s="575">
        <v>50</v>
      </c>
      <c r="J2159" s="575" t="s">
        <v>90</v>
      </c>
      <c r="K2159" s="575" t="s">
        <v>1468</v>
      </c>
      <c r="L2159" s="575"/>
      <c r="M2159" s="560" t="s">
        <v>119</v>
      </c>
      <c r="N2159" s="752">
        <v>65038</v>
      </c>
      <c r="O2159" s="600">
        <v>65038</v>
      </c>
      <c r="P2159" s="541">
        <v>65053</v>
      </c>
      <c r="Q2159" s="533" t="s">
        <v>51</v>
      </c>
    </row>
    <row r="2160" spans="1:17" ht="18">
      <c r="A2160" s="512">
        <f t="shared" si="26"/>
        <v>1313</v>
      </c>
      <c r="B2160" s="655" t="s">
        <v>43</v>
      </c>
      <c r="C2160" s="626" t="s">
        <v>44</v>
      </c>
      <c r="D2160" s="626" t="s">
        <v>45</v>
      </c>
      <c r="E2160" s="626" t="s">
        <v>2452</v>
      </c>
      <c r="F2160" s="654" t="s">
        <v>617</v>
      </c>
      <c r="G2160" s="575">
        <v>9847914028</v>
      </c>
      <c r="H2160" s="626"/>
      <c r="I2160" s="575">
        <v>37</v>
      </c>
      <c r="J2160" s="575" t="s">
        <v>48</v>
      </c>
      <c r="K2160" s="575" t="s">
        <v>53</v>
      </c>
      <c r="L2160" s="575"/>
      <c r="M2160" s="560" t="s">
        <v>119</v>
      </c>
      <c r="N2160" s="752">
        <v>65038</v>
      </c>
      <c r="O2160" s="600">
        <v>65038</v>
      </c>
      <c r="P2160" s="541">
        <v>65053</v>
      </c>
      <c r="Q2160" s="533" t="s">
        <v>51</v>
      </c>
    </row>
    <row r="2161" spans="1:19" ht="18">
      <c r="A2161" s="512">
        <f t="shared" si="26"/>
        <v>1314</v>
      </c>
      <c r="B2161" s="655" t="s">
        <v>43</v>
      </c>
      <c r="C2161" s="626" t="s">
        <v>44</v>
      </c>
      <c r="D2161" s="626" t="s">
        <v>45</v>
      </c>
      <c r="E2161" s="626" t="s">
        <v>2441</v>
      </c>
      <c r="F2161" s="654" t="s">
        <v>529</v>
      </c>
      <c r="G2161" s="575">
        <v>9866539849</v>
      </c>
      <c r="H2161" s="626"/>
      <c r="I2161" s="575">
        <v>35</v>
      </c>
      <c r="J2161" s="575" t="s">
        <v>90</v>
      </c>
      <c r="K2161" s="575" t="s">
        <v>1480</v>
      </c>
      <c r="L2161" s="575"/>
      <c r="M2161" s="560" t="s">
        <v>119</v>
      </c>
      <c r="N2161" s="752">
        <v>65038</v>
      </c>
      <c r="O2161" s="600">
        <v>65038</v>
      </c>
      <c r="P2161" s="541">
        <v>65053</v>
      </c>
      <c r="Q2161" s="533" t="s">
        <v>51</v>
      </c>
    </row>
    <row r="2162" spans="1:19" ht="18">
      <c r="A2162" s="512">
        <f t="shared" si="26"/>
        <v>1315</v>
      </c>
      <c r="B2162" s="655" t="s">
        <v>43</v>
      </c>
      <c r="C2162" s="626" t="s">
        <v>44</v>
      </c>
      <c r="D2162" s="626" t="s">
        <v>45</v>
      </c>
      <c r="E2162" s="626" t="s">
        <v>2453</v>
      </c>
      <c r="F2162" s="654" t="s">
        <v>510</v>
      </c>
      <c r="G2162" s="575"/>
      <c r="H2162" s="626"/>
      <c r="I2162" s="575">
        <v>21</v>
      </c>
      <c r="J2162" s="575" t="s">
        <v>90</v>
      </c>
      <c r="K2162" s="575" t="s">
        <v>1468</v>
      </c>
      <c r="L2162" s="575"/>
      <c r="M2162" s="560" t="s">
        <v>119</v>
      </c>
      <c r="N2162" s="752">
        <v>65038</v>
      </c>
      <c r="O2162" s="600">
        <v>65038</v>
      </c>
      <c r="P2162" s="541">
        <v>65053</v>
      </c>
      <c r="Q2162" s="533" t="s">
        <v>51</v>
      </c>
    </row>
    <row r="2163" spans="1:19" ht="18">
      <c r="A2163" s="512">
        <f t="shared" si="26"/>
        <v>1316</v>
      </c>
      <c r="B2163" s="655" t="s">
        <v>43</v>
      </c>
      <c r="C2163" s="626" t="s">
        <v>44</v>
      </c>
      <c r="D2163" s="626" t="s">
        <v>45</v>
      </c>
      <c r="E2163" s="626" t="s">
        <v>2454</v>
      </c>
      <c r="F2163" s="654" t="s">
        <v>1046</v>
      </c>
      <c r="G2163" s="575"/>
      <c r="H2163" s="626"/>
      <c r="I2163" s="575">
        <v>40</v>
      </c>
      <c r="J2163" s="575" t="s">
        <v>90</v>
      </c>
      <c r="K2163" s="575" t="s">
        <v>1468</v>
      </c>
      <c r="L2163" s="575"/>
      <c r="M2163" s="560" t="s">
        <v>119</v>
      </c>
      <c r="N2163" s="752">
        <v>65038</v>
      </c>
      <c r="O2163" s="600">
        <v>65038</v>
      </c>
      <c r="P2163" s="541">
        <v>65053</v>
      </c>
      <c r="Q2163" s="533" t="s">
        <v>51</v>
      </c>
    </row>
    <row r="2164" spans="1:19" ht="18">
      <c r="A2164" s="512">
        <f t="shared" si="26"/>
        <v>1317</v>
      </c>
      <c r="B2164" s="655" t="s">
        <v>43</v>
      </c>
      <c r="C2164" s="626" t="s">
        <v>44</v>
      </c>
      <c r="D2164" s="626" t="s">
        <v>45</v>
      </c>
      <c r="E2164" s="626" t="s">
        <v>2455</v>
      </c>
      <c r="F2164" s="654" t="s">
        <v>124</v>
      </c>
      <c r="G2164" s="575"/>
      <c r="H2164" s="626"/>
      <c r="I2164" s="575">
        <v>25</v>
      </c>
      <c r="J2164" s="575" t="s">
        <v>90</v>
      </c>
      <c r="K2164" s="575" t="s">
        <v>1468</v>
      </c>
      <c r="L2164" s="575"/>
      <c r="M2164" s="560" t="s">
        <v>119</v>
      </c>
      <c r="N2164" s="752">
        <v>65038</v>
      </c>
      <c r="O2164" s="600">
        <v>65038</v>
      </c>
      <c r="P2164" s="541">
        <v>65053</v>
      </c>
      <c r="Q2164" s="533" t="s">
        <v>51</v>
      </c>
    </row>
    <row r="2165" spans="1:19" ht="18">
      <c r="A2165" s="512">
        <f t="shared" si="26"/>
        <v>1318</v>
      </c>
      <c r="B2165" s="655" t="s">
        <v>43</v>
      </c>
      <c r="C2165" s="626" t="s">
        <v>44</v>
      </c>
      <c r="D2165" s="626" t="s">
        <v>45</v>
      </c>
      <c r="E2165" s="626" t="s">
        <v>2456</v>
      </c>
      <c r="F2165" s="654" t="s">
        <v>491</v>
      </c>
      <c r="G2165" s="575">
        <v>9857891111</v>
      </c>
      <c r="H2165" s="626"/>
      <c r="I2165" s="575">
        <v>42</v>
      </c>
      <c r="J2165" s="575" t="s">
        <v>90</v>
      </c>
      <c r="K2165" s="575" t="s">
        <v>53</v>
      </c>
      <c r="L2165" s="575"/>
      <c r="M2165" s="560" t="s">
        <v>119</v>
      </c>
      <c r="N2165" s="752">
        <v>65038</v>
      </c>
      <c r="O2165" s="600">
        <v>65038</v>
      </c>
      <c r="P2165" s="541">
        <v>65053</v>
      </c>
      <c r="Q2165" s="533" t="s">
        <v>51</v>
      </c>
    </row>
    <row r="2166" spans="1:19" ht="18">
      <c r="A2166" s="512">
        <f t="shared" si="26"/>
        <v>1319</v>
      </c>
      <c r="B2166" s="655" t="s">
        <v>43</v>
      </c>
      <c r="C2166" s="626" t="s">
        <v>44</v>
      </c>
      <c r="D2166" s="626" t="s">
        <v>45</v>
      </c>
      <c r="E2166" s="626" t="s">
        <v>2457</v>
      </c>
      <c r="F2166" s="654" t="s">
        <v>491</v>
      </c>
      <c r="G2166" s="575"/>
      <c r="H2166" s="626"/>
      <c r="I2166" s="575">
        <v>15</v>
      </c>
      <c r="J2166" s="575" t="s">
        <v>90</v>
      </c>
      <c r="K2166" s="575" t="s">
        <v>1468</v>
      </c>
      <c r="L2166" s="575"/>
      <c r="M2166" s="560" t="s">
        <v>119</v>
      </c>
      <c r="N2166" s="752">
        <v>65038</v>
      </c>
      <c r="O2166" s="600">
        <v>65038</v>
      </c>
      <c r="P2166" s="541">
        <v>65053</v>
      </c>
      <c r="Q2166" s="533" t="s">
        <v>51</v>
      </c>
    </row>
    <row r="2167" spans="1:19" ht="18">
      <c r="A2167" s="512">
        <f t="shared" si="26"/>
        <v>1320</v>
      </c>
      <c r="B2167" s="655" t="s">
        <v>43</v>
      </c>
      <c r="C2167" s="626" t="s">
        <v>44</v>
      </c>
      <c r="D2167" s="626" t="s">
        <v>45</v>
      </c>
      <c r="E2167" s="626" t="s">
        <v>2458</v>
      </c>
      <c r="F2167" s="654" t="s">
        <v>441</v>
      </c>
      <c r="G2167" s="575"/>
      <c r="H2167" s="626"/>
      <c r="I2167" s="575">
        <v>39</v>
      </c>
      <c r="J2167" s="575" t="s">
        <v>90</v>
      </c>
      <c r="K2167" s="575" t="s">
        <v>1468</v>
      </c>
      <c r="L2167" s="575"/>
      <c r="M2167" s="560" t="s">
        <v>119</v>
      </c>
      <c r="N2167" s="752">
        <v>65038</v>
      </c>
      <c r="O2167" s="600">
        <v>65038</v>
      </c>
      <c r="P2167" s="541">
        <v>65053</v>
      </c>
      <c r="Q2167" s="533" t="s">
        <v>51</v>
      </c>
    </row>
    <row r="2168" spans="1:19" ht="18">
      <c r="A2168" s="512">
        <f t="shared" si="26"/>
        <v>1321</v>
      </c>
      <c r="B2168" s="655" t="s">
        <v>43</v>
      </c>
      <c r="C2168" s="626" t="s">
        <v>44</v>
      </c>
      <c r="D2168" s="626" t="s">
        <v>45</v>
      </c>
      <c r="E2168" s="626" t="s">
        <v>2459</v>
      </c>
      <c r="F2168" s="654" t="s">
        <v>491</v>
      </c>
      <c r="G2168" s="575"/>
      <c r="H2168" s="626"/>
      <c r="I2168" s="575">
        <v>43</v>
      </c>
      <c r="J2168" s="575" t="s">
        <v>90</v>
      </c>
      <c r="K2168" s="575" t="s">
        <v>1468</v>
      </c>
      <c r="L2168" s="575"/>
      <c r="M2168" s="560" t="s">
        <v>119</v>
      </c>
      <c r="N2168" s="752">
        <v>65038</v>
      </c>
      <c r="O2168" s="600">
        <v>65038</v>
      </c>
      <c r="P2168" s="541">
        <v>65053</v>
      </c>
      <c r="Q2168" s="533" t="s">
        <v>51</v>
      </c>
    </row>
    <row r="2169" spans="1:19" s="863" customFormat="1" ht="18">
      <c r="A2169" s="512">
        <f t="shared" si="26"/>
        <v>1322</v>
      </c>
      <c r="B2169" s="655" t="s">
        <v>43</v>
      </c>
      <c r="C2169" s="626" t="s">
        <v>44</v>
      </c>
      <c r="D2169" s="626" t="s">
        <v>45</v>
      </c>
      <c r="E2169" s="626" t="s">
        <v>2460</v>
      </c>
      <c r="F2169" s="654" t="s">
        <v>441</v>
      </c>
      <c r="G2169" s="575"/>
      <c r="H2169" s="626"/>
      <c r="I2169" s="575">
        <v>32</v>
      </c>
      <c r="J2169" s="575" t="s">
        <v>90</v>
      </c>
      <c r="K2169" s="575" t="s">
        <v>1468</v>
      </c>
      <c r="L2169" s="575"/>
      <c r="M2169" s="560" t="s">
        <v>119</v>
      </c>
      <c r="N2169" s="752">
        <v>65038</v>
      </c>
      <c r="O2169" s="600">
        <v>65038</v>
      </c>
      <c r="P2169" s="541">
        <v>65053</v>
      </c>
      <c r="Q2169" s="533" t="s">
        <v>51</v>
      </c>
    </row>
    <row r="2170" spans="1:19" s="163" customFormat="1" ht="18">
      <c r="A2170" s="512">
        <f t="shared" si="26"/>
        <v>1323</v>
      </c>
      <c r="B2170" s="860" t="s">
        <v>43</v>
      </c>
      <c r="C2170" s="698" t="s">
        <v>44</v>
      </c>
      <c r="D2170" s="698" t="s">
        <v>45</v>
      </c>
      <c r="E2170" s="698" t="s">
        <v>2423</v>
      </c>
      <c r="F2170" s="699" t="s">
        <v>441</v>
      </c>
      <c r="G2170" s="699">
        <v>9847917873</v>
      </c>
      <c r="H2170" s="698"/>
      <c r="I2170" s="699">
        <v>64</v>
      </c>
      <c r="J2170" s="699" t="s">
        <v>48</v>
      </c>
      <c r="K2170" s="699" t="s">
        <v>1480</v>
      </c>
      <c r="L2170" s="699"/>
      <c r="M2170" s="699" t="s">
        <v>119</v>
      </c>
      <c r="N2170" s="861">
        <v>65038</v>
      </c>
      <c r="O2170" s="862">
        <v>65038</v>
      </c>
      <c r="P2170" s="559">
        <v>65055</v>
      </c>
      <c r="Q2170" s="527" t="s">
        <v>940</v>
      </c>
      <c r="R2170" s="322"/>
      <c r="S2170" s="322"/>
    </row>
    <row r="2171" spans="1:19" ht="18">
      <c r="A2171" s="512">
        <f t="shared" si="26"/>
        <v>1324</v>
      </c>
      <c r="B2171" s="655" t="s">
        <v>43</v>
      </c>
      <c r="C2171" s="626" t="s">
        <v>44</v>
      </c>
      <c r="D2171" s="626" t="s">
        <v>45</v>
      </c>
      <c r="E2171" s="626" t="s">
        <v>2424</v>
      </c>
      <c r="F2171" s="654" t="s">
        <v>730</v>
      </c>
      <c r="G2171" s="575">
        <v>9848544731</v>
      </c>
      <c r="H2171" s="626"/>
      <c r="I2171" s="575">
        <v>49</v>
      </c>
      <c r="J2171" s="575" t="s">
        <v>48</v>
      </c>
      <c r="K2171" s="575" t="s">
        <v>1480</v>
      </c>
      <c r="L2171" s="575"/>
      <c r="M2171" s="560" t="s">
        <v>119</v>
      </c>
      <c r="N2171" s="752">
        <v>65038</v>
      </c>
      <c r="O2171" s="600">
        <v>65038</v>
      </c>
      <c r="P2171" s="541">
        <v>65053</v>
      </c>
      <c r="Q2171" s="533" t="s">
        <v>51</v>
      </c>
    </row>
    <row r="2172" spans="1:19" ht="18">
      <c r="A2172" s="512">
        <f t="shared" si="26"/>
        <v>1325</v>
      </c>
      <c r="B2172" s="655" t="s">
        <v>43</v>
      </c>
      <c r="C2172" s="626" t="s">
        <v>44</v>
      </c>
      <c r="D2172" s="626" t="s">
        <v>45</v>
      </c>
      <c r="E2172" s="626" t="s">
        <v>2442</v>
      </c>
      <c r="F2172" s="654" t="s">
        <v>502</v>
      </c>
      <c r="G2172" s="575">
        <v>9847827051</v>
      </c>
      <c r="H2172" s="626"/>
      <c r="I2172" s="575">
        <v>36</v>
      </c>
      <c r="J2172" s="575" t="s">
        <v>90</v>
      </c>
      <c r="K2172" s="575" t="s">
        <v>1480</v>
      </c>
      <c r="L2172" s="575"/>
      <c r="M2172" s="560" t="s">
        <v>119</v>
      </c>
      <c r="N2172" s="752">
        <v>65038</v>
      </c>
      <c r="O2172" s="600">
        <v>65038</v>
      </c>
      <c r="P2172" s="541">
        <v>65053</v>
      </c>
      <c r="Q2172" s="533" t="s">
        <v>51</v>
      </c>
    </row>
    <row r="2173" spans="1:19" ht="18">
      <c r="A2173" s="512">
        <f t="shared" si="26"/>
        <v>1326</v>
      </c>
      <c r="B2173" s="655" t="s">
        <v>43</v>
      </c>
      <c r="C2173" s="626" t="s">
        <v>44</v>
      </c>
      <c r="D2173" s="626" t="s">
        <v>45</v>
      </c>
      <c r="E2173" s="626" t="s">
        <v>2425</v>
      </c>
      <c r="F2173" s="654" t="s">
        <v>617</v>
      </c>
      <c r="G2173" s="575">
        <v>9801354976</v>
      </c>
      <c r="H2173" s="626"/>
      <c r="I2173" s="575">
        <v>58</v>
      </c>
      <c r="J2173" s="575" t="s">
        <v>48</v>
      </c>
      <c r="K2173" s="575" t="s">
        <v>1480</v>
      </c>
      <c r="L2173" s="575"/>
      <c r="M2173" s="560" t="s">
        <v>119</v>
      </c>
      <c r="N2173" s="752">
        <v>65038</v>
      </c>
      <c r="O2173" s="600">
        <v>65038</v>
      </c>
      <c r="P2173" s="541">
        <v>65053</v>
      </c>
      <c r="Q2173" s="533" t="s">
        <v>51</v>
      </c>
    </row>
    <row r="2174" spans="1:19" ht="18">
      <c r="A2174" s="512">
        <f t="shared" si="26"/>
        <v>1327</v>
      </c>
      <c r="B2174" s="655" t="s">
        <v>43</v>
      </c>
      <c r="C2174" s="626" t="s">
        <v>44</v>
      </c>
      <c r="D2174" s="626" t="s">
        <v>45</v>
      </c>
      <c r="E2174" s="626" t="s">
        <v>2461</v>
      </c>
      <c r="F2174" s="654" t="s">
        <v>636</v>
      </c>
      <c r="G2174" s="575"/>
      <c r="H2174" s="626"/>
      <c r="I2174" s="575">
        <v>42</v>
      </c>
      <c r="J2174" s="575" t="s">
        <v>90</v>
      </c>
      <c r="K2174" s="575" t="s">
        <v>1468</v>
      </c>
      <c r="L2174" s="575"/>
      <c r="M2174" s="560" t="s">
        <v>119</v>
      </c>
      <c r="N2174" s="752">
        <v>65038</v>
      </c>
      <c r="O2174" s="600">
        <v>65038</v>
      </c>
      <c r="P2174" s="541">
        <v>65053</v>
      </c>
      <c r="Q2174" s="533" t="s">
        <v>51</v>
      </c>
    </row>
    <row r="2175" spans="1:19" ht="18">
      <c r="A2175" s="512">
        <f t="shared" si="26"/>
        <v>1328</v>
      </c>
      <c r="B2175" s="655" t="s">
        <v>43</v>
      </c>
      <c r="C2175" s="626" t="s">
        <v>44</v>
      </c>
      <c r="D2175" s="626" t="s">
        <v>45</v>
      </c>
      <c r="E2175" s="626" t="s">
        <v>2462</v>
      </c>
      <c r="F2175" s="654" t="s">
        <v>730</v>
      </c>
      <c r="G2175" s="575">
        <v>9818354833</v>
      </c>
      <c r="H2175" s="626"/>
      <c r="I2175" s="575">
        <v>30</v>
      </c>
      <c r="J2175" s="575" t="s">
        <v>90</v>
      </c>
      <c r="K2175" s="575" t="s">
        <v>53</v>
      </c>
      <c r="L2175" s="575"/>
      <c r="M2175" s="560" t="s">
        <v>119</v>
      </c>
      <c r="N2175" s="752">
        <v>65038</v>
      </c>
      <c r="O2175" s="600">
        <v>65038</v>
      </c>
      <c r="P2175" s="541">
        <v>65053</v>
      </c>
      <c r="Q2175" s="533" t="s">
        <v>51</v>
      </c>
      <c r="R2175" s="163"/>
      <c r="S2175" s="163"/>
    </row>
    <row r="2176" spans="1:19" ht="18">
      <c r="A2176" s="512">
        <f t="shared" si="26"/>
        <v>1329</v>
      </c>
      <c r="B2176" s="655" t="s">
        <v>43</v>
      </c>
      <c r="C2176" s="626" t="s">
        <v>44</v>
      </c>
      <c r="D2176" s="626" t="s">
        <v>45</v>
      </c>
      <c r="E2176" s="626" t="s">
        <v>2463</v>
      </c>
      <c r="F2176" s="654" t="s">
        <v>491</v>
      </c>
      <c r="G2176" s="575"/>
      <c r="H2176" s="626"/>
      <c r="I2176" s="575">
        <v>32</v>
      </c>
      <c r="J2176" s="575" t="s">
        <v>48</v>
      </c>
      <c r="K2176" s="575" t="s">
        <v>1468</v>
      </c>
      <c r="L2176" s="575"/>
      <c r="M2176" s="560" t="s">
        <v>119</v>
      </c>
      <c r="N2176" s="752">
        <v>65038</v>
      </c>
      <c r="O2176" s="600">
        <v>65038</v>
      </c>
      <c r="P2176" s="541">
        <v>65053</v>
      </c>
      <c r="Q2176" s="533" t="s">
        <v>51</v>
      </c>
    </row>
    <row r="2177" spans="1:17" ht="18">
      <c r="A2177" s="512">
        <f t="shared" si="26"/>
        <v>1330</v>
      </c>
      <c r="B2177" s="669" t="s">
        <v>43</v>
      </c>
      <c r="C2177" s="640" t="s">
        <v>44</v>
      </c>
      <c r="D2177" s="640" t="s">
        <v>45</v>
      </c>
      <c r="E2177" s="640" t="s">
        <v>2464</v>
      </c>
      <c r="F2177" s="642" t="s">
        <v>502</v>
      </c>
      <c r="G2177" s="635"/>
      <c r="H2177" s="640"/>
      <c r="I2177" s="635">
        <v>58</v>
      </c>
      <c r="J2177" s="635" t="s">
        <v>48</v>
      </c>
      <c r="K2177" s="635" t="s">
        <v>53</v>
      </c>
      <c r="L2177" s="635"/>
      <c r="M2177" s="592" t="s">
        <v>54</v>
      </c>
      <c r="N2177" s="754">
        <v>65038</v>
      </c>
      <c r="O2177" s="610">
        <v>65038</v>
      </c>
      <c r="P2177" s="465">
        <v>65061</v>
      </c>
      <c r="Q2177" s="436" t="s">
        <v>51</v>
      </c>
    </row>
    <row r="2178" spans="1:17" s="163" customFormat="1" ht="18">
      <c r="A2178" s="512">
        <f t="shared" si="26"/>
        <v>1331</v>
      </c>
      <c r="B2178" s="655" t="s">
        <v>43</v>
      </c>
      <c r="C2178" s="626" t="s">
        <v>44</v>
      </c>
      <c r="D2178" s="626" t="s">
        <v>45</v>
      </c>
      <c r="E2178" s="626" t="s">
        <v>2465</v>
      </c>
      <c r="F2178" s="654" t="s">
        <v>636</v>
      </c>
      <c r="G2178" s="575">
        <v>9822989669</v>
      </c>
      <c r="H2178" s="626"/>
      <c r="I2178" s="575">
        <v>78</v>
      </c>
      <c r="J2178" s="575" t="s">
        <v>48</v>
      </c>
      <c r="K2178" s="575" t="s">
        <v>53</v>
      </c>
      <c r="L2178" s="575"/>
      <c r="M2178" s="560" t="s">
        <v>119</v>
      </c>
      <c r="N2178" s="752">
        <v>65038</v>
      </c>
      <c r="O2178" s="600">
        <v>65038</v>
      </c>
      <c r="P2178" s="541">
        <v>65053</v>
      </c>
      <c r="Q2178" s="533" t="s">
        <v>51</v>
      </c>
    </row>
    <row r="2179" spans="1:17" ht="18">
      <c r="A2179" s="512">
        <f t="shared" si="26"/>
        <v>1332</v>
      </c>
      <c r="B2179" s="669" t="s">
        <v>43</v>
      </c>
      <c r="C2179" s="640" t="s">
        <v>44</v>
      </c>
      <c r="D2179" s="640" t="s">
        <v>45</v>
      </c>
      <c r="E2179" s="640" t="s">
        <v>2466</v>
      </c>
      <c r="F2179" s="642" t="s">
        <v>529</v>
      </c>
      <c r="G2179" s="635"/>
      <c r="H2179" s="640"/>
      <c r="I2179" s="635">
        <v>54</v>
      </c>
      <c r="J2179" s="635" t="s">
        <v>90</v>
      </c>
      <c r="K2179" s="635" t="s">
        <v>53</v>
      </c>
      <c r="L2179" s="635"/>
      <c r="M2179" s="592" t="s">
        <v>2651</v>
      </c>
      <c r="N2179" s="754">
        <v>65038</v>
      </c>
      <c r="O2179" s="610">
        <v>65038</v>
      </c>
      <c r="P2179" s="465">
        <v>65086</v>
      </c>
      <c r="Q2179" s="533" t="s">
        <v>51</v>
      </c>
    </row>
    <row r="2180" spans="1:17" ht="18">
      <c r="A2180" s="512">
        <f t="shared" si="26"/>
        <v>1333</v>
      </c>
      <c r="B2180" s="655" t="s">
        <v>43</v>
      </c>
      <c r="C2180" s="626" t="s">
        <v>44</v>
      </c>
      <c r="D2180" s="626" t="s">
        <v>45</v>
      </c>
      <c r="E2180" s="626" t="s">
        <v>2426</v>
      </c>
      <c r="F2180" s="654" t="s">
        <v>529</v>
      </c>
      <c r="G2180" s="575">
        <v>9848128487</v>
      </c>
      <c r="H2180" s="626"/>
      <c r="I2180" s="575">
        <v>18</v>
      </c>
      <c r="J2180" s="575" t="s">
        <v>48</v>
      </c>
      <c r="K2180" s="575" t="s">
        <v>1480</v>
      </c>
      <c r="L2180" s="575"/>
      <c r="M2180" s="560" t="s">
        <v>119</v>
      </c>
      <c r="N2180" s="752">
        <v>65038</v>
      </c>
      <c r="O2180" s="600">
        <v>65038</v>
      </c>
      <c r="P2180" s="541">
        <v>65053</v>
      </c>
      <c r="Q2180" s="533" t="s">
        <v>51</v>
      </c>
    </row>
    <row r="2181" spans="1:17" ht="18">
      <c r="A2181" s="512">
        <f t="shared" si="26"/>
        <v>1334</v>
      </c>
      <c r="B2181" s="655" t="s">
        <v>43</v>
      </c>
      <c r="C2181" s="626" t="s">
        <v>44</v>
      </c>
      <c r="D2181" s="626" t="s">
        <v>45</v>
      </c>
      <c r="E2181" s="626" t="s">
        <v>2467</v>
      </c>
      <c r="F2181" s="654" t="s">
        <v>124</v>
      </c>
      <c r="G2181" s="575">
        <v>9866749748</v>
      </c>
      <c r="H2181" s="626"/>
      <c r="I2181" s="575">
        <v>20</v>
      </c>
      <c r="J2181" s="575" t="s">
        <v>90</v>
      </c>
      <c r="K2181" s="575" t="s">
        <v>53</v>
      </c>
      <c r="L2181" s="575"/>
      <c r="M2181" s="560" t="s">
        <v>119</v>
      </c>
      <c r="N2181" s="752">
        <v>65038</v>
      </c>
      <c r="O2181" s="600">
        <v>65038</v>
      </c>
      <c r="P2181" s="541">
        <v>65053</v>
      </c>
      <c r="Q2181" s="533" t="s">
        <v>51</v>
      </c>
    </row>
    <row r="2182" spans="1:17" ht="18">
      <c r="A2182" s="512">
        <f t="shared" si="26"/>
        <v>1335</v>
      </c>
      <c r="B2182" s="655" t="s">
        <v>43</v>
      </c>
      <c r="C2182" s="626" t="s">
        <v>44</v>
      </c>
      <c r="D2182" s="626" t="s">
        <v>45</v>
      </c>
      <c r="E2182" s="626" t="s">
        <v>2427</v>
      </c>
      <c r="F2182" s="654" t="s">
        <v>529</v>
      </c>
      <c r="G2182" s="575">
        <v>9857820503</v>
      </c>
      <c r="H2182" s="626"/>
      <c r="I2182" s="575">
        <v>40</v>
      </c>
      <c r="J2182" s="575" t="s">
        <v>48</v>
      </c>
      <c r="K2182" s="575" t="s">
        <v>1480</v>
      </c>
      <c r="L2182" s="575"/>
      <c r="M2182" s="560" t="s">
        <v>119</v>
      </c>
      <c r="N2182" s="752">
        <v>65038</v>
      </c>
      <c r="O2182" s="600">
        <v>65038</v>
      </c>
      <c r="P2182" s="541">
        <v>65053</v>
      </c>
      <c r="Q2182" s="533" t="s">
        <v>51</v>
      </c>
    </row>
    <row r="2183" spans="1:17" ht="18">
      <c r="A2183" s="512">
        <f t="shared" si="26"/>
        <v>1336</v>
      </c>
      <c r="B2183" s="655" t="s">
        <v>43</v>
      </c>
      <c r="C2183" s="626" t="s">
        <v>44</v>
      </c>
      <c r="D2183" s="626" t="s">
        <v>45</v>
      </c>
      <c r="E2183" s="626" t="s">
        <v>2468</v>
      </c>
      <c r="F2183" s="654" t="s">
        <v>124</v>
      </c>
      <c r="G2183" s="575"/>
      <c r="H2183" s="626"/>
      <c r="I2183" s="575">
        <v>55</v>
      </c>
      <c r="J2183" s="575" t="s">
        <v>48</v>
      </c>
      <c r="K2183" s="575" t="s">
        <v>1468</v>
      </c>
      <c r="L2183" s="575"/>
      <c r="M2183" s="560" t="s">
        <v>119</v>
      </c>
      <c r="N2183" s="752">
        <v>65038</v>
      </c>
      <c r="O2183" s="600">
        <v>65038</v>
      </c>
      <c r="P2183" s="541">
        <v>65053</v>
      </c>
      <c r="Q2183" s="533" t="s">
        <v>51</v>
      </c>
    </row>
    <row r="2184" spans="1:17" ht="18">
      <c r="A2184" s="512">
        <f t="shared" si="26"/>
        <v>1337</v>
      </c>
      <c r="B2184" s="655" t="s">
        <v>43</v>
      </c>
      <c r="C2184" s="626" t="s">
        <v>44</v>
      </c>
      <c r="D2184" s="626" t="s">
        <v>45</v>
      </c>
      <c r="E2184" s="626" t="s">
        <v>2469</v>
      </c>
      <c r="F2184" s="654" t="s">
        <v>497</v>
      </c>
      <c r="G2184" s="575">
        <v>9806228586</v>
      </c>
      <c r="H2184" s="626"/>
      <c r="I2184" s="575">
        <v>31</v>
      </c>
      <c r="J2184" s="575" t="s">
        <v>90</v>
      </c>
      <c r="K2184" s="575" t="s">
        <v>53</v>
      </c>
      <c r="L2184" s="575"/>
      <c r="M2184" s="560" t="s">
        <v>119</v>
      </c>
      <c r="N2184" s="752">
        <v>65038</v>
      </c>
      <c r="O2184" s="600">
        <v>65038</v>
      </c>
      <c r="P2184" s="541">
        <v>65053</v>
      </c>
      <c r="Q2184" s="533" t="s">
        <v>51</v>
      </c>
    </row>
    <row r="2185" spans="1:17" ht="18">
      <c r="A2185" s="512">
        <f t="shared" si="26"/>
        <v>1338</v>
      </c>
      <c r="B2185" s="655" t="s">
        <v>43</v>
      </c>
      <c r="C2185" s="626" t="s">
        <v>44</v>
      </c>
      <c r="D2185" s="626" t="s">
        <v>45</v>
      </c>
      <c r="E2185" s="626" t="s">
        <v>2470</v>
      </c>
      <c r="F2185" s="654" t="s">
        <v>491</v>
      </c>
      <c r="G2185" s="575"/>
      <c r="H2185" s="626"/>
      <c r="I2185" s="575">
        <v>27</v>
      </c>
      <c r="J2185" s="575" t="s">
        <v>90</v>
      </c>
      <c r="K2185" s="575" t="s">
        <v>1468</v>
      </c>
      <c r="L2185" s="575"/>
      <c r="M2185" s="560" t="s">
        <v>119</v>
      </c>
      <c r="N2185" s="752">
        <v>65038</v>
      </c>
      <c r="O2185" s="600">
        <v>65038</v>
      </c>
      <c r="P2185" s="541">
        <v>65053</v>
      </c>
      <c r="Q2185" s="533" t="s">
        <v>51</v>
      </c>
    </row>
    <row r="2186" spans="1:17" ht="18">
      <c r="A2186" s="512">
        <f t="shared" si="26"/>
        <v>1339</v>
      </c>
      <c r="B2186" s="655" t="s">
        <v>43</v>
      </c>
      <c r="C2186" s="626" t="s">
        <v>44</v>
      </c>
      <c r="D2186" s="626" t="s">
        <v>45</v>
      </c>
      <c r="E2186" s="624" t="s">
        <v>2471</v>
      </c>
      <c r="F2186" s="654" t="s">
        <v>502</v>
      </c>
      <c r="G2186" s="575"/>
      <c r="H2186" s="626"/>
      <c r="I2186" s="575">
        <v>28</v>
      </c>
      <c r="J2186" s="575" t="s">
        <v>90</v>
      </c>
      <c r="K2186" s="575" t="s">
        <v>1468</v>
      </c>
      <c r="L2186" s="575"/>
      <c r="M2186" s="560" t="s">
        <v>119</v>
      </c>
      <c r="N2186" s="752">
        <v>65038</v>
      </c>
      <c r="O2186" s="600">
        <v>65038</v>
      </c>
      <c r="P2186" s="541">
        <v>65053</v>
      </c>
      <c r="Q2186" s="533" t="s">
        <v>51</v>
      </c>
    </row>
    <row r="2187" spans="1:17" ht="18">
      <c r="A2187" s="512">
        <f t="shared" si="26"/>
        <v>1340</v>
      </c>
      <c r="B2187" s="655" t="s">
        <v>43</v>
      </c>
      <c r="C2187" s="626" t="s">
        <v>44</v>
      </c>
      <c r="D2187" s="626" t="s">
        <v>45</v>
      </c>
      <c r="E2187" s="626" t="s">
        <v>2443</v>
      </c>
      <c r="F2187" s="654" t="s">
        <v>502</v>
      </c>
      <c r="G2187" s="575">
        <v>9847827051</v>
      </c>
      <c r="H2187" s="626"/>
      <c r="I2187" s="575">
        <v>45</v>
      </c>
      <c r="J2187" s="575" t="s">
        <v>90</v>
      </c>
      <c r="K2187" s="575" t="s">
        <v>1480</v>
      </c>
      <c r="L2187" s="575"/>
      <c r="M2187" s="560" t="s">
        <v>119</v>
      </c>
      <c r="N2187" s="752">
        <v>65038</v>
      </c>
      <c r="O2187" s="600">
        <v>65038</v>
      </c>
      <c r="P2187" s="541">
        <v>65053</v>
      </c>
      <c r="Q2187" s="533" t="s">
        <v>51</v>
      </c>
    </row>
    <row r="2188" spans="1:17" ht="18">
      <c r="A2188" s="512">
        <f t="shared" si="26"/>
        <v>1341</v>
      </c>
      <c r="B2188" s="655" t="s">
        <v>43</v>
      </c>
      <c r="C2188" s="626" t="s">
        <v>44</v>
      </c>
      <c r="D2188" s="626" t="s">
        <v>45</v>
      </c>
      <c r="E2188" s="626" t="s">
        <v>2472</v>
      </c>
      <c r="F2188" s="654" t="s">
        <v>730</v>
      </c>
      <c r="G2188" s="575"/>
      <c r="H2188" s="626"/>
      <c r="I2188" s="575">
        <v>22</v>
      </c>
      <c r="J2188" s="575" t="s">
        <v>48</v>
      </c>
      <c r="K2188" s="575" t="s">
        <v>1468</v>
      </c>
      <c r="L2188" s="575"/>
      <c r="M2188" s="560" t="s">
        <v>119</v>
      </c>
      <c r="N2188" s="752">
        <v>65038</v>
      </c>
      <c r="O2188" s="600">
        <v>65038</v>
      </c>
      <c r="P2188" s="541">
        <v>65053</v>
      </c>
      <c r="Q2188" s="533" t="s">
        <v>51</v>
      </c>
    </row>
    <row r="2189" spans="1:17" ht="18">
      <c r="A2189" s="512">
        <f t="shared" si="26"/>
        <v>1342</v>
      </c>
      <c r="B2189" s="655" t="s">
        <v>43</v>
      </c>
      <c r="C2189" s="626" t="s">
        <v>44</v>
      </c>
      <c r="D2189" s="626" t="s">
        <v>45</v>
      </c>
      <c r="E2189" s="626" t="s">
        <v>2473</v>
      </c>
      <c r="F2189" s="654" t="s">
        <v>124</v>
      </c>
      <c r="G2189" s="575"/>
      <c r="H2189" s="626"/>
      <c r="I2189" s="575">
        <v>50</v>
      </c>
      <c r="J2189" s="575" t="s">
        <v>90</v>
      </c>
      <c r="K2189" s="575" t="s">
        <v>1468</v>
      </c>
      <c r="L2189" s="575"/>
      <c r="M2189" s="560" t="s">
        <v>119</v>
      </c>
      <c r="N2189" s="752">
        <v>65038</v>
      </c>
      <c r="O2189" s="600">
        <v>65038</v>
      </c>
      <c r="P2189" s="541">
        <v>65053</v>
      </c>
      <c r="Q2189" s="533" t="s">
        <v>51</v>
      </c>
    </row>
    <row r="2190" spans="1:17" ht="18">
      <c r="A2190" s="512">
        <f t="shared" si="26"/>
        <v>1343</v>
      </c>
      <c r="B2190" s="655" t="s">
        <v>43</v>
      </c>
      <c r="C2190" s="626" t="s">
        <v>44</v>
      </c>
      <c r="D2190" s="626" t="s">
        <v>45</v>
      </c>
      <c r="E2190" s="774" t="s">
        <v>2559</v>
      </c>
      <c r="F2190" s="654" t="s">
        <v>441</v>
      </c>
      <c r="G2190" s="654">
        <v>9847829762</v>
      </c>
      <c r="H2190" s="774"/>
      <c r="I2190" s="654">
        <v>75</v>
      </c>
      <c r="J2190" s="654" t="s">
        <v>90</v>
      </c>
      <c r="K2190" s="575" t="s">
        <v>2592</v>
      </c>
      <c r="L2190" s="531"/>
      <c r="M2190" s="560" t="s">
        <v>2336</v>
      </c>
      <c r="N2190" s="808">
        <v>65038</v>
      </c>
      <c r="O2190" s="809">
        <v>65038</v>
      </c>
      <c r="P2190" s="541">
        <v>65053</v>
      </c>
      <c r="Q2190" s="533" t="s">
        <v>51</v>
      </c>
    </row>
    <row r="2191" spans="1:17" ht="18">
      <c r="A2191" s="512">
        <f t="shared" si="26"/>
        <v>1344</v>
      </c>
      <c r="B2191" s="655" t="s">
        <v>43</v>
      </c>
      <c r="C2191" s="626" t="s">
        <v>44</v>
      </c>
      <c r="D2191" s="626" t="s">
        <v>45</v>
      </c>
      <c r="E2191" s="626" t="s">
        <v>2444</v>
      </c>
      <c r="F2191" s="654" t="s">
        <v>529</v>
      </c>
      <c r="G2191" s="575">
        <v>9857820503</v>
      </c>
      <c r="H2191" s="626"/>
      <c r="I2191" s="575">
        <v>36</v>
      </c>
      <c r="J2191" s="575" t="s">
        <v>90</v>
      </c>
      <c r="K2191" s="575" t="s">
        <v>1480</v>
      </c>
      <c r="L2191" s="575"/>
      <c r="M2191" s="560" t="s">
        <v>119</v>
      </c>
      <c r="N2191" s="752">
        <v>65038</v>
      </c>
      <c r="O2191" s="600">
        <v>65038</v>
      </c>
      <c r="P2191" s="541">
        <v>65053</v>
      </c>
      <c r="Q2191" s="533" t="s">
        <v>51</v>
      </c>
    </row>
    <row r="2192" spans="1:17" ht="18">
      <c r="A2192" s="512">
        <f t="shared" si="26"/>
        <v>1345</v>
      </c>
      <c r="B2192" s="655" t="s">
        <v>43</v>
      </c>
      <c r="C2192" s="626" t="s">
        <v>44</v>
      </c>
      <c r="D2192" s="626" t="s">
        <v>45</v>
      </c>
      <c r="E2192" s="626" t="s">
        <v>2445</v>
      </c>
      <c r="F2192" s="654" t="s">
        <v>636</v>
      </c>
      <c r="G2192" s="575">
        <v>9840306128</v>
      </c>
      <c r="H2192" s="626"/>
      <c r="I2192" s="575">
        <v>55</v>
      </c>
      <c r="J2192" s="575" t="s">
        <v>90</v>
      </c>
      <c r="K2192" s="575" t="s">
        <v>1480</v>
      </c>
      <c r="L2192" s="575"/>
      <c r="M2192" s="560" t="s">
        <v>119</v>
      </c>
      <c r="N2192" s="752">
        <v>65038</v>
      </c>
      <c r="O2192" s="600">
        <v>65038</v>
      </c>
      <c r="P2192" s="541">
        <v>65053</v>
      </c>
      <c r="Q2192" s="533" t="s">
        <v>51</v>
      </c>
    </row>
    <row r="2193" spans="1:17" ht="18">
      <c r="A2193" s="512">
        <f t="shared" si="26"/>
        <v>1346</v>
      </c>
      <c r="B2193" s="655" t="s">
        <v>43</v>
      </c>
      <c r="C2193" s="626" t="s">
        <v>44</v>
      </c>
      <c r="D2193" s="626" t="s">
        <v>45</v>
      </c>
      <c r="E2193" s="624" t="s">
        <v>2474</v>
      </c>
      <c r="F2193" s="654" t="s">
        <v>502</v>
      </c>
      <c r="G2193" s="575"/>
      <c r="H2193" s="626"/>
      <c r="I2193" s="575">
        <v>52</v>
      </c>
      <c r="J2193" s="575" t="s">
        <v>90</v>
      </c>
      <c r="K2193" s="575" t="s">
        <v>1468</v>
      </c>
      <c r="L2193" s="575"/>
      <c r="M2193" s="560" t="s">
        <v>119</v>
      </c>
      <c r="N2193" s="752">
        <v>65038</v>
      </c>
      <c r="O2193" s="600">
        <v>65038</v>
      </c>
      <c r="P2193" s="541">
        <v>65053</v>
      </c>
      <c r="Q2193" s="533" t="s">
        <v>51</v>
      </c>
    </row>
    <row r="2194" spans="1:17" ht="18">
      <c r="A2194" s="512">
        <f t="shared" ref="A2194:A2257" si="27">A2193+1</f>
        <v>1347</v>
      </c>
      <c r="B2194" s="655" t="s">
        <v>43</v>
      </c>
      <c r="C2194" s="626" t="s">
        <v>44</v>
      </c>
      <c r="D2194" s="626" t="s">
        <v>45</v>
      </c>
      <c r="E2194" s="626" t="s">
        <v>2475</v>
      </c>
      <c r="F2194" s="654" t="s">
        <v>491</v>
      </c>
      <c r="G2194" s="575"/>
      <c r="H2194" s="626"/>
      <c r="I2194" s="575">
        <v>52</v>
      </c>
      <c r="J2194" s="575" t="s">
        <v>90</v>
      </c>
      <c r="K2194" s="575" t="s">
        <v>1468</v>
      </c>
      <c r="L2194" s="575"/>
      <c r="M2194" s="560" t="s">
        <v>119</v>
      </c>
      <c r="N2194" s="752">
        <v>65038</v>
      </c>
      <c r="O2194" s="600">
        <v>65038</v>
      </c>
      <c r="P2194" s="541">
        <v>65053</v>
      </c>
      <c r="Q2194" s="533" t="s">
        <v>51</v>
      </c>
    </row>
    <row r="2195" spans="1:17" ht="18">
      <c r="A2195" s="512">
        <f t="shared" si="27"/>
        <v>1348</v>
      </c>
      <c r="B2195" s="655" t="s">
        <v>43</v>
      </c>
      <c r="C2195" s="626" t="s">
        <v>44</v>
      </c>
      <c r="D2195" s="626" t="s">
        <v>45</v>
      </c>
      <c r="E2195" s="626" t="s">
        <v>2476</v>
      </c>
      <c r="F2195" s="654" t="s">
        <v>1204</v>
      </c>
      <c r="G2195" s="575">
        <v>9847885587</v>
      </c>
      <c r="H2195" s="626"/>
      <c r="I2195" s="575">
        <v>42</v>
      </c>
      <c r="J2195" s="575" t="s">
        <v>48</v>
      </c>
      <c r="K2195" s="575" t="s">
        <v>53</v>
      </c>
      <c r="L2195" s="575"/>
      <c r="M2195" s="560" t="s">
        <v>119</v>
      </c>
      <c r="N2195" s="752">
        <v>65038</v>
      </c>
      <c r="O2195" s="600">
        <v>65038</v>
      </c>
      <c r="P2195" s="541">
        <v>65053</v>
      </c>
      <c r="Q2195" s="533" t="s">
        <v>51</v>
      </c>
    </row>
    <row r="2196" spans="1:17" ht="18">
      <c r="A2196" s="512">
        <f t="shared" si="27"/>
        <v>1349</v>
      </c>
      <c r="B2196" s="799" t="s">
        <v>43</v>
      </c>
      <c r="C2196" s="627" t="s">
        <v>44</v>
      </c>
      <c r="D2196" s="627" t="s">
        <v>45</v>
      </c>
      <c r="E2196" s="627" t="s">
        <v>2477</v>
      </c>
      <c r="F2196" s="801" t="s">
        <v>491</v>
      </c>
      <c r="G2196" s="628">
        <v>9847940898</v>
      </c>
      <c r="H2196" s="627"/>
      <c r="I2196" s="628">
        <v>35</v>
      </c>
      <c r="J2196" s="628" t="s">
        <v>48</v>
      </c>
      <c r="K2196" s="628" t="s">
        <v>53</v>
      </c>
      <c r="L2196" s="628"/>
      <c r="M2196" s="609" t="s">
        <v>119</v>
      </c>
      <c r="N2196" s="757">
        <v>65038</v>
      </c>
      <c r="O2196" s="817">
        <v>65038</v>
      </c>
      <c r="P2196" s="511">
        <v>65086</v>
      </c>
      <c r="Q2196" s="533" t="s">
        <v>51</v>
      </c>
    </row>
    <row r="2197" spans="1:17" ht="18">
      <c r="A2197" s="512">
        <f t="shared" si="27"/>
        <v>1350</v>
      </c>
      <c r="B2197" s="655" t="s">
        <v>43</v>
      </c>
      <c r="C2197" s="626" t="s">
        <v>44</v>
      </c>
      <c r="D2197" s="626" t="s">
        <v>45</v>
      </c>
      <c r="E2197" s="626" t="s">
        <v>2478</v>
      </c>
      <c r="F2197" s="654" t="s">
        <v>502</v>
      </c>
      <c r="G2197" s="575">
        <v>9844984282</v>
      </c>
      <c r="H2197" s="626"/>
      <c r="I2197" s="575">
        <v>38</v>
      </c>
      <c r="J2197" s="575" t="s">
        <v>48</v>
      </c>
      <c r="K2197" s="575" t="s">
        <v>53</v>
      </c>
      <c r="L2197" s="575"/>
      <c r="M2197" s="560" t="s">
        <v>119</v>
      </c>
      <c r="N2197" s="752">
        <v>65038</v>
      </c>
      <c r="O2197" s="600">
        <v>65038</v>
      </c>
      <c r="P2197" s="541">
        <v>65053</v>
      </c>
      <c r="Q2197" s="533" t="s">
        <v>51</v>
      </c>
    </row>
    <row r="2198" spans="1:17" ht="18">
      <c r="A2198" s="512">
        <f t="shared" si="27"/>
        <v>1351</v>
      </c>
      <c r="B2198" s="655" t="s">
        <v>43</v>
      </c>
      <c r="C2198" s="626" t="s">
        <v>44</v>
      </c>
      <c r="D2198" s="626" t="s">
        <v>45</v>
      </c>
      <c r="E2198" s="626" t="s">
        <v>2479</v>
      </c>
      <c r="F2198" s="654" t="s">
        <v>1204</v>
      </c>
      <c r="G2198" s="575">
        <v>9847846006</v>
      </c>
      <c r="H2198" s="626"/>
      <c r="I2198" s="575">
        <v>11</v>
      </c>
      <c r="J2198" s="575" t="s">
        <v>90</v>
      </c>
      <c r="K2198" s="575" t="s">
        <v>53</v>
      </c>
      <c r="L2198" s="575"/>
      <c r="M2198" s="560" t="s">
        <v>119</v>
      </c>
      <c r="N2198" s="752">
        <v>65038</v>
      </c>
      <c r="O2198" s="600">
        <v>65038</v>
      </c>
      <c r="P2198" s="541">
        <v>65053</v>
      </c>
      <c r="Q2198" s="533" t="s">
        <v>51</v>
      </c>
    </row>
    <row r="2199" spans="1:17" ht="18">
      <c r="A2199" s="512">
        <f t="shared" si="27"/>
        <v>1352</v>
      </c>
      <c r="B2199" s="655" t="s">
        <v>43</v>
      </c>
      <c r="C2199" s="626" t="s">
        <v>44</v>
      </c>
      <c r="D2199" s="626" t="s">
        <v>45</v>
      </c>
      <c r="E2199" s="626" t="s">
        <v>2480</v>
      </c>
      <c r="F2199" s="654" t="s">
        <v>502</v>
      </c>
      <c r="G2199" s="575"/>
      <c r="H2199" s="626"/>
      <c r="I2199" s="575">
        <v>28</v>
      </c>
      <c r="J2199" s="575" t="s">
        <v>90</v>
      </c>
      <c r="K2199" s="575" t="s">
        <v>1468</v>
      </c>
      <c r="L2199" s="575"/>
      <c r="M2199" s="560" t="s">
        <v>119</v>
      </c>
      <c r="N2199" s="752">
        <v>65038</v>
      </c>
      <c r="O2199" s="600">
        <v>65038</v>
      </c>
      <c r="P2199" s="541">
        <v>65053</v>
      </c>
      <c r="Q2199" s="533" t="s">
        <v>51</v>
      </c>
    </row>
    <row r="2200" spans="1:17" ht="18">
      <c r="A2200" s="512">
        <f t="shared" si="27"/>
        <v>1353</v>
      </c>
      <c r="B2200" s="655" t="s">
        <v>43</v>
      </c>
      <c r="C2200" s="626" t="s">
        <v>44</v>
      </c>
      <c r="D2200" s="626" t="s">
        <v>45</v>
      </c>
      <c r="E2200" s="626" t="s">
        <v>2481</v>
      </c>
      <c r="F2200" s="654" t="s">
        <v>441</v>
      </c>
      <c r="G2200" s="575"/>
      <c r="H2200" s="626"/>
      <c r="I2200" s="575">
        <v>65</v>
      </c>
      <c r="J2200" s="575" t="s">
        <v>48</v>
      </c>
      <c r="K2200" s="575" t="s">
        <v>1468</v>
      </c>
      <c r="L2200" s="575"/>
      <c r="M2200" s="560" t="s">
        <v>119</v>
      </c>
      <c r="N2200" s="752">
        <v>65038</v>
      </c>
      <c r="O2200" s="600">
        <v>65038</v>
      </c>
      <c r="P2200" s="541">
        <v>65053</v>
      </c>
      <c r="Q2200" s="533" t="s">
        <v>51</v>
      </c>
    </row>
    <row r="2201" spans="1:17" ht="18">
      <c r="A2201" s="512">
        <f t="shared" si="27"/>
        <v>1354</v>
      </c>
      <c r="B2201" s="655" t="s">
        <v>43</v>
      </c>
      <c r="C2201" s="626" t="s">
        <v>44</v>
      </c>
      <c r="D2201" s="626" t="s">
        <v>45</v>
      </c>
      <c r="E2201" s="626" t="s">
        <v>2482</v>
      </c>
      <c r="F2201" s="654" t="s">
        <v>502</v>
      </c>
      <c r="G2201" s="575">
        <v>9847891475</v>
      </c>
      <c r="H2201" s="626"/>
      <c r="I2201" s="575">
        <v>40</v>
      </c>
      <c r="J2201" s="575" t="s">
        <v>90</v>
      </c>
      <c r="K2201" s="575" t="s">
        <v>53</v>
      </c>
      <c r="L2201" s="575"/>
      <c r="M2201" s="560" t="s">
        <v>119</v>
      </c>
      <c r="N2201" s="752">
        <v>65038</v>
      </c>
      <c r="O2201" s="600">
        <v>65038</v>
      </c>
      <c r="P2201" s="541">
        <v>65053</v>
      </c>
      <c r="Q2201" s="533" t="s">
        <v>51</v>
      </c>
    </row>
    <row r="2202" spans="1:17" ht="18">
      <c r="A2202" s="512">
        <f t="shared" si="27"/>
        <v>1355</v>
      </c>
      <c r="B2202" s="655" t="s">
        <v>43</v>
      </c>
      <c r="C2202" s="626" t="s">
        <v>44</v>
      </c>
      <c r="D2202" s="626" t="s">
        <v>45</v>
      </c>
      <c r="E2202" s="626" t="s">
        <v>2483</v>
      </c>
      <c r="F2202" s="654" t="s">
        <v>730</v>
      </c>
      <c r="G2202" s="575"/>
      <c r="H2202" s="626"/>
      <c r="I2202" s="575">
        <v>45</v>
      </c>
      <c r="J2202" s="575" t="s">
        <v>90</v>
      </c>
      <c r="K2202" s="575" t="s">
        <v>1468</v>
      </c>
      <c r="L2202" s="575"/>
      <c r="M2202" s="560" t="s">
        <v>119</v>
      </c>
      <c r="N2202" s="752">
        <v>65038</v>
      </c>
      <c r="O2202" s="600">
        <v>65038</v>
      </c>
      <c r="P2202" s="541">
        <v>65053</v>
      </c>
      <c r="Q2202" s="533" t="s">
        <v>51</v>
      </c>
    </row>
    <row r="2203" spans="1:17" ht="18">
      <c r="A2203" s="512">
        <f t="shared" si="27"/>
        <v>1356</v>
      </c>
      <c r="B2203" s="655" t="s">
        <v>43</v>
      </c>
      <c r="C2203" s="626" t="s">
        <v>44</v>
      </c>
      <c r="D2203" s="626" t="s">
        <v>45</v>
      </c>
      <c r="E2203" s="626" t="s">
        <v>2484</v>
      </c>
      <c r="F2203" s="654" t="s">
        <v>497</v>
      </c>
      <c r="G2203" s="575">
        <v>9860676932</v>
      </c>
      <c r="H2203" s="626"/>
      <c r="I2203" s="575">
        <v>30</v>
      </c>
      <c r="J2203" s="575" t="s">
        <v>90</v>
      </c>
      <c r="K2203" s="575" t="s">
        <v>53</v>
      </c>
      <c r="L2203" s="575"/>
      <c r="M2203" s="560" t="s">
        <v>119</v>
      </c>
      <c r="N2203" s="752">
        <v>65038</v>
      </c>
      <c r="O2203" s="600">
        <v>65038</v>
      </c>
      <c r="P2203" s="541">
        <v>65053</v>
      </c>
      <c r="Q2203" s="533" t="s">
        <v>51</v>
      </c>
    </row>
    <row r="2204" spans="1:17" ht="18">
      <c r="A2204" s="512">
        <f t="shared" si="27"/>
        <v>1357</v>
      </c>
      <c r="B2204" s="655" t="s">
        <v>43</v>
      </c>
      <c r="C2204" s="626" t="s">
        <v>44</v>
      </c>
      <c r="D2204" s="626" t="s">
        <v>45</v>
      </c>
      <c r="E2204" s="626" t="s">
        <v>2485</v>
      </c>
      <c r="F2204" s="654" t="s">
        <v>502</v>
      </c>
      <c r="G2204" s="575"/>
      <c r="H2204" s="626"/>
      <c r="I2204" s="575">
        <v>59</v>
      </c>
      <c r="J2204" s="575" t="s">
        <v>48</v>
      </c>
      <c r="K2204" s="575" t="s">
        <v>1468</v>
      </c>
      <c r="L2204" s="575"/>
      <c r="M2204" s="560" t="s">
        <v>119</v>
      </c>
      <c r="N2204" s="752">
        <v>65038</v>
      </c>
      <c r="O2204" s="600">
        <v>65038</v>
      </c>
      <c r="P2204" s="541">
        <v>65053</v>
      </c>
      <c r="Q2204" s="533" t="s">
        <v>51</v>
      </c>
    </row>
    <row r="2205" spans="1:17" ht="18">
      <c r="A2205" s="512">
        <f t="shared" si="27"/>
        <v>1358</v>
      </c>
      <c r="B2205" s="655" t="s">
        <v>43</v>
      </c>
      <c r="C2205" s="626" t="s">
        <v>44</v>
      </c>
      <c r="D2205" s="626" t="s">
        <v>45</v>
      </c>
      <c r="E2205" s="626" t="s">
        <v>2486</v>
      </c>
      <c r="F2205" s="654" t="s">
        <v>791</v>
      </c>
      <c r="G2205" s="575"/>
      <c r="H2205" s="626"/>
      <c r="I2205" s="575">
        <v>28</v>
      </c>
      <c r="J2205" s="575" t="s">
        <v>90</v>
      </c>
      <c r="K2205" s="575" t="s">
        <v>1468</v>
      </c>
      <c r="L2205" s="575"/>
      <c r="M2205" s="560" t="s">
        <v>119</v>
      </c>
      <c r="N2205" s="752">
        <v>65038</v>
      </c>
      <c r="O2205" s="600">
        <v>65038</v>
      </c>
      <c r="P2205" s="541">
        <v>65053</v>
      </c>
      <c r="Q2205" s="533" t="s">
        <v>51</v>
      </c>
    </row>
    <row r="2206" spans="1:17" ht="18">
      <c r="A2206" s="512">
        <f t="shared" si="27"/>
        <v>1359</v>
      </c>
      <c r="B2206" s="655" t="s">
        <v>43</v>
      </c>
      <c r="C2206" s="626" t="s">
        <v>44</v>
      </c>
      <c r="D2206" s="626" t="s">
        <v>45</v>
      </c>
      <c r="E2206" s="626" t="s">
        <v>2446</v>
      </c>
      <c r="F2206" s="654" t="s">
        <v>502</v>
      </c>
      <c r="G2206" s="575">
        <v>9822941079</v>
      </c>
      <c r="H2206" s="626"/>
      <c r="I2206" s="575">
        <v>48</v>
      </c>
      <c r="J2206" s="575" t="s">
        <v>90</v>
      </c>
      <c r="K2206" s="575" t="s">
        <v>1480</v>
      </c>
      <c r="L2206" s="575"/>
      <c r="M2206" s="560" t="s">
        <v>119</v>
      </c>
      <c r="N2206" s="752">
        <v>65038</v>
      </c>
      <c r="O2206" s="600">
        <v>65038</v>
      </c>
      <c r="P2206" s="541">
        <v>65053</v>
      </c>
      <c r="Q2206" s="533" t="s">
        <v>51</v>
      </c>
    </row>
    <row r="2207" spans="1:17" ht="18">
      <c r="A2207" s="512">
        <f t="shared" si="27"/>
        <v>1360</v>
      </c>
      <c r="B2207" s="655" t="s">
        <v>43</v>
      </c>
      <c r="C2207" s="626" t="s">
        <v>44</v>
      </c>
      <c r="D2207" s="626" t="s">
        <v>45</v>
      </c>
      <c r="E2207" s="626" t="s">
        <v>2428</v>
      </c>
      <c r="F2207" s="654" t="s">
        <v>730</v>
      </c>
      <c r="G2207" s="575">
        <v>9847864580</v>
      </c>
      <c r="H2207" s="626"/>
      <c r="I2207" s="575">
        <v>15</v>
      </c>
      <c r="J2207" s="575" t="s">
        <v>48</v>
      </c>
      <c r="K2207" s="575" t="s">
        <v>1480</v>
      </c>
      <c r="L2207" s="575"/>
      <c r="M2207" s="560" t="s">
        <v>119</v>
      </c>
      <c r="N2207" s="752">
        <v>65038</v>
      </c>
      <c r="O2207" s="600">
        <v>65038</v>
      </c>
      <c r="P2207" s="541">
        <v>65053</v>
      </c>
      <c r="Q2207" s="533" t="s">
        <v>51</v>
      </c>
    </row>
    <row r="2208" spans="1:17" ht="18">
      <c r="A2208" s="512">
        <f t="shared" si="27"/>
        <v>1361</v>
      </c>
      <c r="B2208" s="655" t="s">
        <v>43</v>
      </c>
      <c r="C2208" s="626" t="s">
        <v>44</v>
      </c>
      <c r="D2208" s="626" t="s">
        <v>45</v>
      </c>
      <c r="E2208" s="626" t="s">
        <v>2447</v>
      </c>
      <c r="F2208" s="654" t="s">
        <v>441</v>
      </c>
      <c r="G2208" s="575">
        <v>9847917873</v>
      </c>
      <c r="H2208" s="626"/>
      <c r="I2208" s="575">
        <v>65</v>
      </c>
      <c r="J2208" s="575" t="s">
        <v>90</v>
      </c>
      <c r="K2208" s="575" t="s">
        <v>1480</v>
      </c>
      <c r="L2208" s="575"/>
      <c r="M2208" s="560" t="s">
        <v>119</v>
      </c>
      <c r="N2208" s="752">
        <v>65038</v>
      </c>
      <c r="O2208" s="600">
        <v>65038</v>
      </c>
      <c r="P2208" s="541">
        <v>65053</v>
      </c>
      <c r="Q2208" s="533" t="s">
        <v>51</v>
      </c>
    </row>
    <row r="2209" spans="1:19" ht="18">
      <c r="A2209" s="512">
        <f t="shared" si="27"/>
        <v>1362</v>
      </c>
      <c r="B2209" s="655" t="s">
        <v>43</v>
      </c>
      <c r="C2209" s="626" t="s">
        <v>44</v>
      </c>
      <c r="D2209" s="626" t="s">
        <v>45</v>
      </c>
      <c r="E2209" s="626" t="s">
        <v>2448</v>
      </c>
      <c r="F2209" s="654" t="s">
        <v>1009</v>
      </c>
      <c r="G2209" s="575">
        <v>9857821434</v>
      </c>
      <c r="H2209" s="626"/>
      <c r="I2209" s="575">
        <v>33</v>
      </c>
      <c r="J2209" s="575" t="s">
        <v>90</v>
      </c>
      <c r="K2209" s="575" t="s">
        <v>1480</v>
      </c>
      <c r="L2209" s="575"/>
      <c r="M2209" s="560" t="s">
        <v>119</v>
      </c>
      <c r="N2209" s="752">
        <v>65038</v>
      </c>
      <c r="O2209" s="600">
        <v>65038</v>
      </c>
      <c r="P2209" s="541">
        <v>65053</v>
      </c>
      <c r="Q2209" s="533" t="s">
        <v>51</v>
      </c>
    </row>
    <row r="2210" spans="1:19" ht="18">
      <c r="A2210" s="512">
        <f t="shared" si="27"/>
        <v>1363</v>
      </c>
      <c r="B2210" s="655" t="s">
        <v>43</v>
      </c>
      <c r="C2210" s="626" t="s">
        <v>44</v>
      </c>
      <c r="D2210" s="626" t="s">
        <v>45</v>
      </c>
      <c r="E2210" s="626" t="s">
        <v>2449</v>
      </c>
      <c r="F2210" s="654" t="s">
        <v>529</v>
      </c>
      <c r="G2210" s="575">
        <v>9848128487</v>
      </c>
      <c r="H2210" s="626"/>
      <c r="I2210" s="575">
        <v>47</v>
      </c>
      <c r="J2210" s="575" t="s">
        <v>90</v>
      </c>
      <c r="K2210" s="575" t="s">
        <v>1480</v>
      </c>
      <c r="L2210" s="575"/>
      <c r="M2210" s="560" t="s">
        <v>119</v>
      </c>
      <c r="N2210" s="752">
        <v>65038</v>
      </c>
      <c r="O2210" s="600">
        <v>65038</v>
      </c>
      <c r="P2210" s="541">
        <v>65053</v>
      </c>
      <c r="Q2210" s="533" t="s">
        <v>51</v>
      </c>
    </row>
    <row r="2211" spans="1:19" s="163" customFormat="1" ht="18">
      <c r="A2211" s="512">
        <f t="shared" si="27"/>
        <v>1364</v>
      </c>
      <c r="B2211" s="655" t="s">
        <v>43</v>
      </c>
      <c r="C2211" s="626" t="s">
        <v>44</v>
      </c>
      <c r="D2211" s="626" t="s">
        <v>45</v>
      </c>
      <c r="E2211" s="626" t="s">
        <v>2450</v>
      </c>
      <c r="F2211" s="654" t="s">
        <v>502</v>
      </c>
      <c r="G2211" s="575">
        <v>9847886174</v>
      </c>
      <c r="H2211" s="626"/>
      <c r="I2211" s="575">
        <v>43</v>
      </c>
      <c r="J2211" s="575" t="s">
        <v>90</v>
      </c>
      <c r="K2211" s="575" t="s">
        <v>1480</v>
      </c>
      <c r="L2211" s="575"/>
      <c r="M2211" s="560" t="s">
        <v>119</v>
      </c>
      <c r="N2211" s="752">
        <v>65038</v>
      </c>
      <c r="O2211" s="600">
        <v>65038</v>
      </c>
      <c r="P2211" s="541">
        <v>65053</v>
      </c>
      <c r="Q2211" s="533" t="s">
        <v>51</v>
      </c>
      <c r="R2211" s="322"/>
      <c r="S2211" s="322"/>
    </row>
    <row r="2212" spans="1:19" ht="18">
      <c r="A2212" s="512">
        <f t="shared" si="27"/>
        <v>1365</v>
      </c>
      <c r="B2212" s="655" t="s">
        <v>43</v>
      </c>
      <c r="C2212" s="626" t="s">
        <v>44</v>
      </c>
      <c r="D2212" s="626" t="s">
        <v>45</v>
      </c>
      <c r="E2212" s="626" t="s">
        <v>2487</v>
      </c>
      <c r="F2212" s="654" t="s">
        <v>124</v>
      </c>
      <c r="G2212" s="575"/>
      <c r="H2212" s="626"/>
      <c r="I2212" s="575">
        <v>25</v>
      </c>
      <c r="J2212" s="575" t="s">
        <v>48</v>
      </c>
      <c r="K2212" s="575" t="s">
        <v>1468</v>
      </c>
      <c r="L2212" s="575"/>
      <c r="M2212" s="560" t="s">
        <v>119</v>
      </c>
      <c r="N2212" s="752">
        <v>65038</v>
      </c>
      <c r="O2212" s="600">
        <v>65038</v>
      </c>
      <c r="P2212" s="541">
        <v>65053</v>
      </c>
      <c r="Q2212" s="533" t="s">
        <v>51</v>
      </c>
    </row>
    <row r="2213" spans="1:19" ht="18">
      <c r="A2213" s="512">
        <f t="shared" si="27"/>
        <v>1366</v>
      </c>
      <c r="B2213" s="655" t="s">
        <v>43</v>
      </c>
      <c r="C2213" s="626" t="s">
        <v>44</v>
      </c>
      <c r="D2213" s="626" t="s">
        <v>45</v>
      </c>
      <c r="E2213" s="626" t="s">
        <v>2488</v>
      </c>
      <c r="F2213" s="654" t="s">
        <v>491</v>
      </c>
      <c r="G2213" s="575"/>
      <c r="H2213" s="626"/>
      <c r="I2213" s="575">
        <v>31</v>
      </c>
      <c r="J2213" s="575" t="s">
        <v>90</v>
      </c>
      <c r="K2213" s="575" t="s">
        <v>1468</v>
      </c>
      <c r="L2213" s="575"/>
      <c r="M2213" s="560" t="s">
        <v>119</v>
      </c>
      <c r="N2213" s="752">
        <v>65038</v>
      </c>
      <c r="O2213" s="600">
        <v>65038</v>
      </c>
      <c r="P2213" s="541">
        <v>65053</v>
      </c>
      <c r="Q2213" s="533" t="s">
        <v>51</v>
      </c>
    </row>
    <row r="2214" spans="1:19" ht="18">
      <c r="A2214" s="512">
        <f t="shared" si="27"/>
        <v>1367</v>
      </c>
      <c r="B2214" s="655" t="s">
        <v>43</v>
      </c>
      <c r="C2214" s="626" t="s">
        <v>44</v>
      </c>
      <c r="D2214" s="626" t="s">
        <v>45</v>
      </c>
      <c r="E2214" s="624" t="s">
        <v>1696</v>
      </c>
      <c r="F2214" s="654" t="s">
        <v>1009</v>
      </c>
      <c r="G2214" s="575">
        <v>9847820614</v>
      </c>
      <c r="H2214" s="626"/>
      <c r="I2214" s="575">
        <v>76</v>
      </c>
      <c r="J2214" s="575" t="s">
        <v>48</v>
      </c>
      <c r="K2214" s="575" t="s">
        <v>1480</v>
      </c>
      <c r="L2214" s="575"/>
      <c r="M2214" s="560" t="s">
        <v>119</v>
      </c>
      <c r="N2214" s="752">
        <v>65038</v>
      </c>
      <c r="O2214" s="600">
        <v>65038</v>
      </c>
      <c r="P2214" s="541">
        <v>65053</v>
      </c>
      <c r="Q2214" s="533" t="s">
        <v>51</v>
      </c>
    </row>
    <row r="2215" spans="1:19" s="163" customFormat="1" ht="18">
      <c r="A2215" s="512">
        <f t="shared" si="27"/>
        <v>1368</v>
      </c>
      <c r="B2215" s="655" t="s">
        <v>43</v>
      </c>
      <c r="C2215" s="626" t="s">
        <v>44</v>
      </c>
      <c r="D2215" s="626" t="s">
        <v>45</v>
      </c>
      <c r="E2215" s="626" t="s">
        <v>2429</v>
      </c>
      <c r="F2215" s="654" t="s">
        <v>502</v>
      </c>
      <c r="G2215" s="575">
        <v>9815523906</v>
      </c>
      <c r="H2215" s="626"/>
      <c r="I2215" s="575">
        <v>65</v>
      </c>
      <c r="J2215" s="575" t="s">
        <v>48</v>
      </c>
      <c r="K2215" s="575" t="s">
        <v>1480</v>
      </c>
      <c r="L2215" s="575"/>
      <c r="M2215" s="560" t="s">
        <v>119</v>
      </c>
      <c r="N2215" s="752">
        <v>65038</v>
      </c>
      <c r="O2215" s="600">
        <v>65038</v>
      </c>
      <c r="P2215" s="541">
        <v>65053</v>
      </c>
      <c r="Q2215" s="533" t="s">
        <v>51</v>
      </c>
    </row>
    <row r="2216" spans="1:19" ht="18">
      <c r="A2216" s="512">
        <f t="shared" si="27"/>
        <v>1369</v>
      </c>
      <c r="B2216" s="669" t="s">
        <v>43</v>
      </c>
      <c r="C2216" s="640" t="s">
        <v>44</v>
      </c>
      <c r="D2216" s="640" t="s">
        <v>45</v>
      </c>
      <c r="E2216" s="640" t="s">
        <v>2489</v>
      </c>
      <c r="F2216" s="642" t="s">
        <v>502</v>
      </c>
      <c r="G2216" s="635">
        <v>9843663492</v>
      </c>
      <c r="H2216" s="640"/>
      <c r="I2216" s="635">
        <v>65</v>
      </c>
      <c r="J2216" s="635" t="s">
        <v>48</v>
      </c>
      <c r="K2216" s="635" t="s">
        <v>345</v>
      </c>
      <c r="L2216" s="635"/>
      <c r="M2216" s="592" t="s">
        <v>262</v>
      </c>
      <c r="N2216" s="754">
        <v>65038</v>
      </c>
      <c r="O2216" s="610">
        <v>65038</v>
      </c>
      <c r="P2216" s="465">
        <v>65086</v>
      </c>
      <c r="Q2216" s="533" t="s">
        <v>51</v>
      </c>
      <c r="R2216" s="163"/>
      <c r="S2216" s="163"/>
    </row>
    <row r="2217" spans="1:19" ht="18">
      <c r="A2217" s="512">
        <f t="shared" si="27"/>
        <v>1370</v>
      </c>
      <c r="B2217" s="655" t="s">
        <v>43</v>
      </c>
      <c r="C2217" s="626" t="s">
        <v>44</v>
      </c>
      <c r="D2217" s="626" t="s">
        <v>45</v>
      </c>
      <c r="E2217" s="626" t="s">
        <v>2430</v>
      </c>
      <c r="F2217" s="654" t="s">
        <v>491</v>
      </c>
      <c r="G2217" s="575">
        <v>9857828198</v>
      </c>
      <c r="H2217" s="626"/>
      <c r="I2217" s="575">
        <v>61</v>
      </c>
      <c r="J2217" s="575" t="s">
        <v>48</v>
      </c>
      <c r="K2217" s="575" t="s">
        <v>1480</v>
      </c>
      <c r="L2217" s="575"/>
      <c r="M2217" s="560" t="s">
        <v>119</v>
      </c>
      <c r="N2217" s="752">
        <v>65038</v>
      </c>
      <c r="O2217" s="600">
        <v>65038</v>
      </c>
      <c r="P2217" s="541">
        <v>65053</v>
      </c>
      <c r="Q2217" s="533" t="s">
        <v>51</v>
      </c>
    </row>
    <row r="2218" spans="1:19" ht="18">
      <c r="A2218" s="512">
        <f t="shared" si="27"/>
        <v>1371</v>
      </c>
      <c r="B2218" s="661" t="s">
        <v>43</v>
      </c>
      <c r="C2218" s="662" t="s">
        <v>44</v>
      </c>
      <c r="D2218" s="662" t="s">
        <v>45</v>
      </c>
      <c r="E2218" s="662" t="s">
        <v>2490</v>
      </c>
      <c r="F2218" s="620" t="s">
        <v>441</v>
      </c>
      <c r="G2218" s="620"/>
      <c r="H2218" s="662"/>
      <c r="I2218" s="620">
        <v>55</v>
      </c>
      <c r="J2218" s="620" t="s">
        <v>48</v>
      </c>
      <c r="K2218" s="620" t="s">
        <v>53</v>
      </c>
      <c r="L2218" s="620"/>
      <c r="M2218" s="620" t="s">
        <v>54</v>
      </c>
      <c r="N2218" s="764">
        <v>65038</v>
      </c>
      <c r="O2218" s="678">
        <v>65038</v>
      </c>
      <c r="P2218" s="476">
        <v>65049</v>
      </c>
      <c r="Q2218" s="422" t="s">
        <v>940</v>
      </c>
    </row>
    <row r="2219" spans="1:19" ht="18">
      <c r="A2219" s="512">
        <f t="shared" si="27"/>
        <v>1372</v>
      </c>
      <c r="B2219" s="655" t="s">
        <v>43</v>
      </c>
      <c r="C2219" s="626" t="s">
        <v>44</v>
      </c>
      <c r="D2219" s="626" t="s">
        <v>45</v>
      </c>
      <c r="E2219" s="774" t="s">
        <v>2551</v>
      </c>
      <c r="F2219" s="654" t="s">
        <v>491</v>
      </c>
      <c r="G2219" s="654">
        <v>9857834935</v>
      </c>
      <c r="H2219" s="774"/>
      <c r="I2219" s="654">
        <v>35</v>
      </c>
      <c r="J2219" s="654" t="s">
        <v>48</v>
      </c>
      <c r="K2219" s="575" t="s">
        <v>2592</v>
      </c>
      <c r="L2219" s="531"/>
      <c r="M2219" s="560" t="s">
        <v>2336</v>
      </c>
      <c r="N2219" s="808">
        <v>65038</v>
      </c>
      <c r="O2219" s="809">
        <v>65038</v>
      </c>
      <c r="P2219" s="541">
        <v>65053</v>
      </c>
      <c r="Q2219" s="533" t="s">
        <v>51</v>
      </c>
    </row>
    <row r="2220" spans="1:19" ht="18">
      <c r="A2220" s="512">
        <f t="shared" si="27"/>
        <v>1373</v>
      </c>
      <c r="B2220" s="655" t="s">
        <v>43</v>
      </c>
      <c r="C2220" s="626" t="s">
        <v>44</v>
      </c>
      <c r="D2220" s="626" t="s">
        <v>45</v>
      </c>
      <c r="E2220" s="626" t="s">
        <v>2491</v>
      </c>
      <c r="F2220" s="654" t="s">
        <v>1204</v>
      </c>
      <c r="G2220" s="575">
        <v>9826914235</v>
      </c>
      <c r="H2220" s="626"/>
      <c r="I2220" s="575">
        <v>57</v>
      </c>
      <c r="J2220" s="575" t="s">
        <v>90</v>
      </c>
      <c r="K2220" s="575" t="s">
        <v>53</v>
      </c>
      <c r="L2220" s="575"/>
      <c r="M2220" s="560" t="s">
        <v>119</v>
      </c>
      <c r="N2220" s="752">
        <v>65038</v>
      </c>
      <c r="O2220" s="600">
        <v>65038</v>
      </c>
      <c r="P2220" s="541">
        <v>65053</v>
      </c>
      <c r="Q2220" s="533" t="s">
        <v>51</v>
      </c>
    </row>
    <row r="2221" spans="1:19" ht="18">
      <c r="A2221" s="512">
        <f t="shared" si="27"/>
        <v>1374</v>
      </c>
      <c r="B2221" s="655" t="s">
        <v>43</v>
      </c>
      <c r="C2221" s="626" t="s">
        <v>44</v>
      </c>
      <c r="D2221" s="626" t="s">
        <v>45</v>
      </c>
      <c r="E2221" s="626" t="s">
        <v>2451</v>
      </c>
      <c r="F2221" s="654" t="s">
        <v>441</v>
      </c>
      <c r="G2221" s="575">
        <v>9847822376</v>
      </c>
      <c r="H2221" s="626"/>
      <c r="I2221" s="575">
        <v>33</v>
      </c>
      <c r="J2221" s="575" t="s">
        <v>90</v>
      </c>
      <c r="K2221" s="575" t="s">
        <v>1480</v>
      </c>
      <c r="L2221" s="575"/>
      <c r="M2221" s="560" t="s">
        <v>119</v>
      </c>
      <c r="N2221" s="752">
        <v>65038</v>
      </c>
      <c r="O2221" s="600">
        <v>65038</v>
      </c>
      <c r="P2221" s="541">
        <v>65053</v>
      </c>
      <c r="Q2221" s="533" t="s">
        <v>51</v>
      </c>
    </row>
    <row r="2222" spans="1:19" ht="18">
      <c r="A2222" s="512">
        <f t="shared" si="27"/>
        <v>1375</v>
      </c>
      <c r="B2222" s="655" t="s">
        <v>43</v>
      </c>
      <c r="C2222" s="626" t="s">
        <v>44</v>
      </c>
      <c r="D2222" s="626" t="s">
        <v>45</v>
      </c>
      <c r="E2222" s="626" t="s">
        <v>2492</v>
      </c>
      <c r="F2222" s="654" t="s">
        <v>502</v>
      </c>
      <c r="G2222" s="575"/>
      <c r="H2222" s="626"/>
      <c r="I2222" s="575">
        <v>26</v>
      </c>
      <c r="J2222" s="575" t="s">
        <v>90</v>
      </c>
      <c r="K2222" s="575" t="s">
        <v>1468</v>
      </c>
      <c r="L2222" s="575"/>
      <c r="M2222" s="560" t="s">
        <v>119</v>
      </c>
      <c r="N2222" s="752">
        <v>65038</v>
      </c>
      <c r="O2222" s="600">
        <v>65038</v>
      </c>
      <c r="P2222" s="541">
        <v>65053</v>
      </c>
      <c r="Q2222" s="533" t="s">
        <v>51</v>
      </c>
    </row>
    <row r="2223" spans="1:19" ht="18">
      <c r="A2223" s="512">
        <f t="shared" si="27"/>
        <v>1376</v>
      </c>
      <c r="B2223" s="655" t="s">
        <v>43</v>
      </c>
      <c r="C2223" s="626" t="s">
        <v>44</v>
      </c>
      <c r="D2223" s="626" t="s">
        <v>45</v>
      </c>
      <c r="E2223" s="626" t="s">
        <v>2493</v>
      </c>
      <c r="F2223" s="654" t="s">
        <v>529</v>
      </c>
      <c r="G2223" s="575"/>
      <c r="H2223" s="626"/>
      <c r="I2223" s="575">
        <v>27</v>
      </c>
      <c r="J2223" s="575" t="s">
        <v>48</v>
      </c>
      <c r="K2223" s="575" t="s">
        <v>1468</v>
      </c>
      <c r="L2223" s="575"/>
      <c r="M2223" s="560" t="s">
        <v>119</v>
      </c>
      <c r="N2223" s="752">
        <v>65038</v>
      </c>
      <c r="O2223" s="600">
        <v>65038</v>
      </c>
      <c r="P2223" s="541">
        <v>65053</v>
      </c>
      <c r="Q2223" s="533" t="s">
        <v>51</v>
      </c>
    </row>
    <row r="2224" spans="1:19" ht="18">
      <c r="A2224" s="512">
        <f t="shared" si="27"/>
        <v>1377</v>
      </c>
      <c r="B2224" s="655" t="s">
        <v>43</v>
      </c>
      <c r="C2224" s="626" t="s">
        <v>44</v>
      </c>
      <c r="D2224" s="626" t="s">
        <v>45</v>
      </c>
      <c r="E2224" s="626" t="s">
        <v>2494</v>
      </c>
      <c r="F2224" s="654" t="s">
        <v>491</v>
      </c>
      <c r="G2224" s="575">
        <v>9857840674</v>
      </c>
      <c r="H2224" s="626"/>
      <c r="I2224" s="575">
        <v>13</v>
      </c>
      <c r="J2224" s="575" t="s">
        <v>90</v>
      </c>
      <c r="K2224" s="575" t="s">
        <v>53</v>
      </c>
      <c r="L2224" s="575"/>
      <c r="M2224" s="560" t="s">
        <v>2336</v>
      </c>
      <c r="N2224" s="752">
        <v>65038</v>
      </c>
      <c r="O2224" s="600">
        <v>65038</v>
      </c>
      <c r="P2224" s="541">
        <v>65053</v>
      </c>
      <c r="Q2224" s="533" t="s">
        <v>51</v>
      </c>
    </row>
    <row r="2225" spans="1:17" ht="18">
      <c r="A2225" s="512">
        <f t="shared" si="27"/>
        <v>1378</v>
      </c>
      <c r="B2225" s="692" t="s">
        <v>43</v>
      </c>
      <c r="C2225" s="693" t="s">
        <v>44</v>
      </c>
      <c r="D2225" s="693" t="s">
        <v>45</v>
      </c>
      <c r="E2225" s="821" t="s">
        <v>2593</v>
      </c>
      <c r="F2225" s="818" t="s">
        <v>441</v>
      </c>
      <c r="G2225" s="818">
        <v>9850000000</v>
      </c>
      <c r="H2225" s="693"/>
      <c r="I2225" s="694">
        <v>41</v>
      </c>
      <c r="J2225" s="694" t="s">
        <v>90</v>
      </c>
      <c r="K2225" s="694" t="s">
        <v>53</v>
      </c>
      <c r="L2225" s="493"/>
      <c r="M2225" s="588" t="s">
        <v>2336</v>
      </c>
      <c r="N2225" s="819">
        <v>65039</v>
      </c>
      <c r="O2225" s="820">
        <v>65039</v>
      </c>
      <c r="P2225" s="496">
        <v>65054</v>
      </c>
      <c r="Q2225" s="491" t="s">
        <v>51</v>
      </c>
    </row>
    <row r="2226" spans="1:17" ht="18">
      <c r="A2226" s="512">
        <f t="shared" si="27"/>
        <v>1379</v>
      </c>
      <c r="B2226" s="692" t="s">
        <v>43</v>
      </c>
      <c r="C2226" s="693" t="s">
        <v>44</v>
      </c>
      <c r="D2226" s="693" t="s">
        <v>45</v>
      </c>
      <c r="E2226" s="795" t="s">
        <v>2594</v>
      </c>
      <c r="F2226" s="818" t="s">
        <v>730</v>
      </c>
      <c r="G2226" s="694">
        <v>9847835399</v>
      </c>
      <c r="H2226" s="693"/>
      <c r="I2226" s="694">
        <v>45</v>
      </c>
      <c r="J2226" s="694" t="s">
        <v>48</v>
      </c>
      <c r="K2226" s="694" t="s">
        <v>53</v>
      </c>
      <c r="L2226" s="493"/>
      <c r="M2226" s="588" t="s">
        <v>2336</v>
      </c>
      <c r="N2226" s="819">
        <v>65039</v>
      </c>
      <c r="O2226" s="820">
        <v>65039</v>
      </c>
      <c r="P2226" s="496">
        <v>65054</v>
      </c>
      <c r="Q2226" s="491" t="s">
        <v>51</v>
      </c>
    </row>
    <row r="2227" spans="1:17" ht="18">
      <c r="A2227" s="512">
        <f t="shared" si="27"/>
        <v>1380</v>
      </c>
      <c r="B2227" s="692" t="s">
        <v>43</v>
      </c>
      <c r="C2227" s="693" t="s">
        <v>44</v>
      </c>
      <c r="D2227" s="693" t="s">
        <v>45</v>
      </c>
      <c r="E2227" s="795" t="s">
        <v>2595</v>
      </c>
      <c r="F2227" s="818" t="s">
        <v>491</v>
      </c>
      <c r="G2227" s="694">
        <v>984002000000</v>
      </c>
      <c r="H2227" s="693"/>
      <c r="I2227" s="694">
        <v>33</v>
      </c>
      <c r="J2227" s="694" t="s">
        <v>90</v>
      </c>
      <c r="K2227" s="694" t="s">
        <v>53</v>
      </c>
      <c r="L2227" s="493"/>
      <c r="M2227" s="588" t="s">
        <v>2336</v>
      </c>
      <c r="N2227" s="819">
        <v>65039</v>
      </c>
      <c r="O2227" s="820">
        <v>65039</v>
      </c>
      <c r="P2227" s="496">
        <v>65054</v>
      </c>
      <c r="Q2227" s="491" t="s">
        <v>51</v>
      </c>
    </row>
    <row r="2228" spans="1:17" ht="18">
      <c r="A2228" s="512">
        <f t="shared" si="27"/>
        <v>1381</v>
      </c>
      <c r="B2228" s="692" t="s">
        <v>43</v>
      </c>
      <c r="C2228" s="693" t="s">
        <v>44</v>
      </c>
      <c r="D2228" s="693" t="s">
        <v>45</v>
      </c>
      <c r="E2228" s="795" t="s">
        <v>2596</v>
      </c>
      <c r="F2228" s="818" t="s">
        <v>1008</v>
      </c>
      <c r="G2228" s="694">
        <v>9847873425</v>
      </c>
      <c r="H2228" s="693"/>
      <c r="I2228" s="694">
        <v>33</v>
      </c>
      <c r="J2228" s="694" t="s">
        <v>48</v>
      </c>
      <c r="K2228" s="694" t="s">
        <v>1480</v>
      </c>
      <c r="L2228" s="493"/>
      <c r="M2228" s="588" t="s">
        <v>2336</v>
      </c>
      <c r="N2228" s="819">
        <v>65039</v>
      </c>
      <c r="O2228" s="820">
        <v>65039</v>
      </c>
      <c r="P2228" s="496">
        <v>65054</v>
      </c>
      <c r="Q2228" s="491" t="s">
        <v>51</v>
      </c>
    </row>
    <row r="2229" spans="1:17" ht="18">
      <c r="A2229" s="512">
        <f t="shared" si="27"/>
        <v>1382</v>
      </c>
      <c r="B2229" s="692" t="s">
        <v>43</v>
      </c>
      <c r="C2229" s="693" t="s">
        <v>44</v>
      </c>
      <c r="D2229" s="693" t="s">
        <v>45</v>
      </c>
      <c r="E2229" s="795" t="s">
        <v>2597</v>
      </c>
      <c r="F2229" s="818" t="s">
        <v>497</v>
      </c>
      <c r="G2229" s="818">
        <v>9860000000</v>
      </c>
      <c r="H2229" s="693"/>
      <c r="I2229" s="694">
        <v>35</v>
      </c>
      <c r="J2229" s="694" t="s">
        <v>48</v>
      </c>
      <c r="K2229" s="694" t="s">
        <v>53</v>
      </c>
      <c r="L2229" s="493"/>
      <c r="M2229" s="588" t="s">
        <v>2336</v>
      </c>
      <c r="N2229" s="819">
        <v>65039</v>
      </c>
      <c r="O2229" s="820">
        <v>65039</v>
      </c>
      <c r="P2229" s="496">
        <v>65054</v>
      </c>
      <c r="Q2229" s="491" t="s">
        <v>51</v>
      </c>
    </row>
    <row r="2230" spans="1:17" ht="18">
      <c r="A2230" s="512">
        <f t="shared" si="27"/>
        <v>1383</v>
      </c>
      <c r="B2230" s="692" t="s">
        <v>43</v>
      </c>
      <c r="C2230" s="693" t="s">
        <v>44</v>
      </c>
      <c r="D2230" s="693" t="s">
        <v>45</v>
      </c>
      <c r="E2230" s="795" t="s">
        <v>2598</v>
      </c>
      <c r="F2230" s="818" t="s">
        <v>491</v>
      </c>
      <c r="G2230" s="694">
        <v>9847865858</v>
      </c>
      <c r="H2230" s="693"/>
      <c r="I2230" s="694">
        <v>55</v>
      </c>
      <c r="J2230" s="694" t="s">
        <v>90</v>
      </c>
      <c r="K2230" s="694" t="s">
        <v>1480</v>
      </c>
      <c r="L2230" s="493"/>
      <c r="M2230" s="588" t="s">
        <v>2336</v>
      </c>
      <c r="N2230" s="819">
        <v>65039</v>
      </c>
      <c r="O2230" s="820">
        <v>65039</v>
      </c>
      <c r="P2230" s="496">
        <v>65054</v>
      </c>
      <c r="Q2230" s="491" t="s">
        <v>51</v>
      </c>
    </row>
    <row r="2231" spans="1:17" ht="18">
      <c r="A2231" s="512">
        <f t="shared" si="27"/>
        <v>1384</v>
      </c>
      <c r="B2231" s="692" t="s">
        <v>43</v>
      </c>
      <c r="C2231" s="693" t="s">
        <v>44</v>
      </c>
      <c r="D2231" s="693" t="s">
        <v>45</v>
      </c>
      <c r="E2231" s="795" t="s">
        <v>2599</v>
      </c>
      <c r="F2231" s="818" t="s">
        <v>491</v>
      </c>
      <c r="G2231" s="818">
        <v>9850000000</v>
      </c>
      <c r="H2231" s="693"/>
      <c r="I2231" s="694">
        <v>37</v>
      </c>
      <c r="J2231" s="694" t="s">
        <v>48</v>
      </c>
      <c r="K2231" s="694" t="s">
        <v>53</v>
      </c>
      <c r="L2231" s="493"/>
      <c r="M2231" s="588" t="s">
        <v>2336</v>
      </c>
      <c r="N2231" s="819">
        <v>65039</v>
      </c>
      <c r="O2231" s="820">
        <v>65039</v>
      </c>
      <c r="P2231" s="496">
        <v>65054</v>
      </c>
      <c r="Q2231" s="491" t="s">
        <v>51</v>
      </c>
    </row>
    <row r="2232" spans="1:17" ht="18">
      <c r="A2232" s="512">
        <f t="shared" si="27"/>
        <v>1385</v>
      </c>
      <c r="B2232" s="692" t="s">
        <v>43</v>
      </c>
      <c r="C2232" s="693" t="s">
        <v>44</v>
      </c>
      <c r="D2232" s="693" t="s">
        <v>45</v>
      </c>
      <c r="E2232" s="795" t="s">
        <v>2600</v>
      </c>
      <c r="F2232" s="818" t="s">
        <v>1008</v>
      </c>
      <c r="G2232" s="694">
        <v>9825617318</v>
      </c>
      <c r="H2232" s="693"/>
      <c r="I2232" s="694">
        <v>35</v>
      </c>
      <c r="J2232" s="694" t="s">
        <v>48</v>
      </c>
      <c r="K2232" s="694" t="s">
        <v>1480</v>
      </c>
      <c r="L2232" s="493"/>
      <c r="M2232" s="588" t="s">
        <v>2336</v>
      </c>
      <c r="N2232" s="819">
        <v>65039</v>
      </c>
      <c r="O2232" s="820">
        <v>65039</v>
      </c>
      <c r="P2232" s="496">
        <v>65054</v>
      </c>
      <c r="Q2232" s="491" t="s">
        <v>51</v>
      </c>
    </row>
    <row r="2233" spans="1:17" ht="18">
      <c r="A2233" s="512">
        <f t="shared" si="27"/>
        <v>1386</v>
      </c>
      <c r="B2233" s="692" t="s">
        <v>43</v>
      </c>
      <c r="C2233" s="693" t="s">
        <v>44</v>
      </c>
      <c r="D2233" s="693" t="s">
        <v>45</v>
      </c>
      <c r="E2233" s="795" t="s">
        <v>2601</v>
      </c>
      <c r="F2233" s="818" t="s">
        <v>1008</v>
      </c>
      <c r="G2233" s="694">
        <v>9810985402</v>
      </c>
      <c r="H2233" s="693"/>
      <c r="I2233" s="694">
        <v>30</v>
      </c>
      <c r="J2233" s="694" t="s">
        <v>48</v>
      </c>
      <c r="K2233" s="694" t="s">
        <v>1480</v>
      </c>
      <c r="L2233" s="493"/>
      <c r="M2233" s="588" t="s">
        <v>2336</v>
      </c>
      <c r="N2233" s="819">
        <v>65039</v>
      </c>
      <c r="O2233" s="820">
        <v>65039</v>
      </c>
      <c r="P2233" s="496">
        <v>65054</v>
      </c>
      <c r="Q2233" s="491" t="s">
        <v>51</v>
      </c>
    </row>
    <row r="2234" spans="1:17" ht="18">
      <c r="A2234" s="512">
        <f t="shared" si="27"/>
        <v>1387</v>
      </c>
      <c r="B2234" s="692" t="s">
        <v>43</v>
      </c>
      <c r="C2234" s="693" t="s">
        <v>44</v>
      </c>
      <c r="D2234" s="693" t="s">
        <v>45</v>
      </c>
      <c r="E2234" s="795" t="s">
        <v>2602</v>
      </c>
      <c r="F2234" s="818" t="s">
        <v>1008</v>
      </c>
      <c r="G2234" s="694">
        <v>9809533914</v>
      </c>
      <c r="H2234" s="693"/>
      <c r="I2234" s="694">
        <v>42</v>
      </c>
      <c r="J2234" s="694" t="s">
        <v>48</v>
      </c>
      <c r="K2234" s="694" t="s">
        <v>1480</v>
      </c>
      <c r="L2234" s="493"/>
      <c r="M2234" s="588" t="s">
        <v>2336</v>
      </c>
      <c r="N2234" s="819">
        <v>65039</v>
      </c>
      <c r="O2234" s="820">
        <v>65039</v>
      </c>
      <c r="P2234" s="496">
        <v>65054</v>
      </c>
      <c r="Q2234" s="491" t="s">
        <v>51</v>
      </c>
    </row>
    <row r="2235" spans="1:17" ht="18">
      <c r="A2235" s="512">
        <f t="shared" si="27"/>
        <v>1388</v>
      </c>
      <c r="B2235" s="692" t="s">
        <v>43</v>
      </c>
      <c r="C2235" s="693" t="s">
        <v>44</v>
      </c>
      <c r="D2235" s="693" t="s">
        <v>45</v>
      </c>
      <c r="E2235" s="795" t="s">
        <v>2603</v>
      </c>
      <c r="F2235" s="818" t="s">
        <v>1008</v>
      </c>
      <c r="G2235" s="694">
        <v>9847837274</v>
      </c>
      <c r="H2235" s="693"/>
      <c r="I2235" s="694">
        <v>48</v>
      </c>
      <c r="J2235" s="694" t="s">
        <v>48</v>
      </c>
      <c r="K2235" s="694" t="s">
        <v>1480</v>
      </c>
      <c r="L2235" s="493"/>
      <c r="M2235" s="588" t="s">
        <v>2336</v>
      </c>
      <c r="N2235" s="819">
        <v>65039</v>
      </c>
      <c r="O2235" s="820">
        <v>65039</v>
      </c>
      <c r="P2235" s="496">
        <v>65054</v>
      </c>
      <c r="Q2235" s="491" t="s">
        <v>51</v>
      </c>
    </row>
    <row r="2236" spans="1:17" ht="18">
      <c r="A2236" s="512">
        <f t="shared" si="27"/>
        <v>1389</v>
      </c>
      <c r="B2236" s="692" t="s">
        <v>43</v>
      </c>
      <c r="C2236" s="693" t="s">
        <v>44</v>
      </c>
      <c r="D2236" s="693" t="s">
        <v>45</v>
      </c>
      <c r="E2236" s="795" t="s">
        <v>2604</v>
      </c>
      <c r="F2236" s="818" t="s">
        <v>491</v>
      </c>
      <c r="G2236" s="818">
        <v>9870000000</v>
      </c>
      <c r="H2236" s="693"/>
      <c r="I2236" s="694">
        <v>31</v>
      </c>
      <c r="J2236" s="694" t="s">
        <v>48</v>
      </c>
      <c r="K2236" s="694" t="s">
        <v>53</v>
      </c>
      <c r="L2236" s="493"/>
      <c r="M2236" s="588" t="s">
        <v>2336</v>
      </c>
      <c r="N2236" s="819">
        <v>65039</v>
      </c>
      <c r="O2236" s="820">
        <v>65039</v>
      </c>
      <c r="P2236" s="496">
        <v>65054</v>
      </c>
      <c r="Q2236" s="491" t="s">
        <v>51</v>
      </c>
    </row>
    <row r="2237" spans="1:17" ht="18">
      <c r="A2237" s="512">
        <f t="shared" si="27"/>
        <v>1390</v>
      </c>
      <c r="B2237" s="692" t="s">
        <v>43</v>
      </c>
      <c r="C2237" s="693" t="s">
        <v>44</v>
      </c>
      <c r="D2237" s="693" t="s">
        <v>45</v>
      </c>
      <c r="E2237" s="795" t="s">
        <v>2605</v>
      </c>
      <c r="F2237" s="818" t="s">
        <v>1008</v>
      </c>
      <c r="G2237" s="694">
        <v>9825617328</v>
      </c>
      <c r="H2237" s="693"/>
      <c r="I2237" s="694">
        <v>30</v>
      </c>
      <c r="J2237" s="694" t="s">
        <v>90</v>
      </c>
      <c r="K2237" s="694" t="s">
        <v>1480</v>
      </c>
      <c r="L2237" s="493"/>
      <c r="M2237" s="588" t="s">
        <v>2336</v>
      </c>
      <c r="N2237" s="819">
        <v>65039</v>
      </c>
      <c r="O2237" s="820">
        <v>65039</v>
      </c>
      <c r="P2237" s="496">
        <v>65054</v>
      </c>
      <c r="Q2237" s="491" t="s">
        <v>51</v>
      </c>
    </row>
    <row r="2238" spans="1:17" ht="18">
      <c r="A2238" s="512">
        <f t="shared" si="27"/>
        <v>1391</v>
      </c>
      <c r="B2238" s="692" t="s">
        <v>43</v>
      </c>
      <c r="C2238" s="693" t="s">
        <v>44</v>
      </c>
      <c r="D2238" s="693" t="s">
        <v>45</v>
      </c>
      <c r="E2238" s="795" t="s">
        <v>2606</v>
      </c>
      <c r="F2238" s="818" t="s">
        <v>1009</v>
      </c>
      <c r="G2238" s="694">
        <v>9841290527</v>
      </c>
      <c r="H2238" s="693"/>
      <c r="I2238" s="694">
        <v>24</v>
      </c>
      <c r="J2238" s="694" t="s">
        <v>90</v>
      </c>
      <c r="K2238" s="694" t="s">
        <v>53</v>
      </c>
      <c r="L2238" s="493"/>
      <c r="M2238" s="588" t="s">
        <v>2336</v>
      </c>
      <c r="N2238" s="819">
        <v>65039</v>
      </c>
      <c r="O2238" s="820">
        <v>65039</v>
      </c>
      <c r="P2238" s="496">
        <v>65054</v>
      </c>
      <c r="Q2238" s="491" t="s">
        <v>51</v>
      </c>
    </row>
    <row r="2239" spans="1:17" s="163" customFormat="1" ht="18">
      <c r="A2239" s="512">
        <f t="shared" si="27"/>
        <v>1392</v>
      </c>
      <c r="B2239" s="692" t="s">
        <v>43</v>
      </c>
      <c r="C2239" s="693" t="s">
        <v>44</v>
      </c>
      <c r="D2239" s="693" t="s">
        <v>45</v>
      </c>
      <c r="E2239" s="795" t="s">
        <v>2607</v>
      </c>
      <c r="F2239" s="818" t="s">
        <v>497</v>
      </c>
      <c r="G2239" s="818">
        <v>9810000000</v>
      </c>
      <c r="H2239" s="693"/>
      <c r="I2239" s="694">
        <v>56</v>
      </c>
      <c r="J2239" s="694" t="s">
        <v>48</v>
      </c>
      <c r="K2239" s="694" t="s">
        <v>53</v>
      </c>
      <c r="L2239" s="493"/>
      <c r="M2239" s="588" t="s">
        <v>2336</v>
      </c>
      <c r="N2239" s="819">
        <v>65039</v>
      </c>
      <c r="O2239" s="820">
        <v>65039</v>
      </c>
      <c r="P2239" s="496">
        <v>65054</v>
      </c>
      <c r="Q2239" s="491" t="s">
        <v>51</v>
      </c>
    </row>
    <row r="2240" spans="1:17" ht="18">
      <c r="A2240" s="512">
        <f t="shared" si="27"/>
        <v>1393</v>
      </c>
      <c r="B2240" s="661" t="s">
        <v>43</v>
      </c>
      <c r="C2240" s="662" t="s">
        <v>44</v>
      </c>
      <c r="D2240" s="662" t="s">
        <v>45</v>
      </c>
      <c r="E2240" s="662" t="s">
        <v>4012</v>
      </c>
      <c r="F2240" s="794" t="s">
        <v>791</v>
      </c>
      <c r="G2240" s="620"/>
      <c r="H2240" s="662"/>
      <c r="I2240" s="620">
        <v>56</v>
      </c>
      <c r="J2240" s="620" t="s">
        <v>48</v>
      </c>
      <c r="K2240" s="620" t="s">
        <v>53</v>
      </c>
      <c r="L2240" s="474"/>
      <c r="M2240" s="620" t="s">
        <v>2648</v>
      </c>
      <c r="N2240" s="764">
        <v>65039</v>
      </c>
      <c r="O2240" s="678">
        <v>65039</v>
      </c>
      <c r="P2240" s="475">
        <v>65051</v>
      </c>
      <c r="Q2240" s="472" t="s">
        <v>940</v>
      </c>
    </row>
    <row r="2241" spans="1:17" ht="18">
      <c r="A2241" s="512">
        <f t="shared" si="27"/>
        <v>1394</v>
      </c>
      <c r="B2241" s="692" t="s">
        <v>43</v>
      </c>
      <c r="C2241" s="693" t="s">
        <v>44</v>
      </c>
      <c r="D2241" s="693" t="s">
        <v>45</v>
      </c>
      <c r="E2241" s="795" t="s">
        <v>2608</v>
      </c>
      <c r="F2241" s="818" t="s">
        <v>124</v>
      </c>
      <c r="G2241" s="694">
        <v>9844925213</v>
      </c>
      <c r="H2241" s="693"/>
      <c r="I2241" s="694">
        <v>33</v>
      </c>
      <c r="J2241" s="694" t="s">
        <v>90</v>
      </c>
      <c r="K2241" s="694" t="s">
        <v>1480</v>
      </c>
      <c r="L2241" s="493"/>
      <c r="M2241" s="588" t="s">
        <v>2336</v>
      </c>
      <c r="N2241" s="819">
        <v>65039</v>
      </c>
      <c r="O2241" s="820">
        <v>65039</v>
      </c>
      <c r="P2241" s="496">
        <v>65054</v>
      </c>
      <c r="Q2241" s="491" t="s">
        <v>51</v>
      </c>
    </row>
    <row r="2242" spans="1:17" ht="18">
      <c r="A2242" s="512">
        <f t="shared" si="27"/>
        <v>1395</v>
      </c>
      <c r="B2242" s="692" t="s">
        <v>43</v>
      </c>
      <c r="C2242" s="693" t="s">
        <v>44</v>
      </c>
      <c r="D2242" s="693" t="s">
        <v>45</v>
      </c>
      <c r="E2242" s="795" t="s">
        <v>2609</v>
      </c>
      <c r="F2242" s="818" t="s">
        <v>557</v>
      </c>
      <c r="G2242" s="694">
        <v>9822889156</v>
      </c>
      <c r="H2242" s="693"/>
      <c r="I2242" s="694">
        <v>30</v>
      </c>
      <c r="J2242" s="694" t="s">
        <v>48</v>
      </c>
      <c r="K2242" s="694" t="s">
        <v>53</v>
      </c>
      <c r="L2242" s="493"/>
      <c r="M2242" s="588" t="s">
        <v>2336</v>
      </c>
      <c r="N2242" s="819">
        <v>65039</v>
      </c>
      <c r="O2242" s="820">
        <v>65039</v>
      </c>
      <c r="P2242" s="496">
        <v>65054</v>
      </c>
      <c r="Q2242" s="491" t="s">
        <v>51</v>
      </c>
    </row>
    <row r="2243" spans="1:17" ht="18">
      <c r="A2243" s="512">
        <f t="shared" si="27"/>
        <v>1396</v>
      </c>
      <c r="B2243" s="692" t="s">
        <v>43</v>
      </c>
      <c r="C2243" s="693" t="s">
        <v>44</v>
      </c>
      <c r="D2243" s="693" t="s">
        <v>45</v>
      </c>
      <c r="E2243" s="795" t="s">
        <v>2610</v>
      </c>
      <c r="F2243" s="818" t="s">
        <v>510</v>
      </c>
      <c r="G2243" s="694">
        <v>9808936868</v>
      </c>
      <c r="H2243" s="693"/>
      <c r="I2243" s="694">
        <v>40</v>
      </c>
      <c r="J2243" s="694" t="s">
        <v>48</v>
      </c>
      <c r="K2243" s="694" t="s">
        <v>53</v>
      </c>
      <c r="L2243" s="493"/>
      <c r="M2243" s="588" t="s">
        <v>2336</v>
      </c>
      <c r="N2243" s="819">
        <v>65039</v>
      </c>
      <c r="O2243" s="820">
        <v>65039</v>
      </c>
      <c r="P2243" s="496">
        <v>65054</v>
      </c>
      <c r="Q2243" s="491" t="s">
        <v>51</v>
      </c>
    </row>
    <row r="2244" spans="1:17" ht="18">
      <c r="A2244" s="512">
        <f t="shared" si="27"/>
        <v>1397</v>
      </c>
      <c r="B2244" s="692" t="s">
        <v>43</v>
      </c>
      <c r="C2244" s="693" t="s">
        <v>44</v>
      </c>
      <c r="D2244" s="693" t="s">
        <v>45</v>
      </c>
      <c r="E2244" s="795" t="s">
        <v>2611</v>
      </c>
      <c r="F2244" s="818" t="s">
        <v>441</v>
      </c>
      <c r="G2244" s="694">
        <v>9801324067</v>
      </c>
      <c r="H2244" s="693"/>
      <c r="I2244" s="694">
        <v>26</v>
      </c>
      <c r="J2244" s="694" t="s">
        <v>48</v>
      </c>
      <c r="K2244" s="694" t="s">
        <v>53</v>
      </c>
      <c r="L2244" s="493"/>
      <c r="M2244" s="588" t="s">
        <v>2336</v>
      </c>
      <c r="N2244" s="819">
        <v>65039</v>
      </c>
      <c r="O2244" s="820">
        <v>65039</v>
      </c>
      <c r="P2244" s="496">
        <v>65054</v>
      </c>
      <c r="Q2244" s="491" t="s">
        <v>51</v>
      </c>
    </row>
    <row r="2245" spans="1:17" ht="18">
      <c r="A2245" s="512">
        <f t="shared" si="27"/>
        <v>1398</v>
      </c>
      <c r="B2245" s="692" t="s">
        <v>43</v>
      </c>
      <c r="C2245" s="693" t="s">
        <v>44</v>
      </c>
      <c r="D2245" s="693" t="s">
        <v>45</v>
      </c>
      <c r="E2245" s="795" t="s">
        <v>2612</v>
      </c>
      <c r="F2245" s="818" t="s">
        <v>441</v>
      </c>
      <c r="G2245" s="694">
        <v>9847823049</v>
      </c>
      <c r="H2245" s="693"/>
      <c r="I2245" s="694">
        <v>24</v>
      </c>
      <c r="J2245" s="694" t="s">
        <v>90</v>
      </c>
      <c r="K2245" s="694" t="s">
        <v>53</v>
      </c>
      <c r="L2245" s="493"/>
      <c r="M2245" s="588" t="s">
        <v>2336</v>
      </c>
      <c r="N2245" s="819">
        <v>65039</v>
      </c>
      <c r="O2245" s="820">
        <v>65039</v>
      </c>
      <c r="P2245" s="496">
        <v>65054</v>
      </c>
      <c r="Q2245" s="491" t="s">
        <v>51</v>
      </c>
    </row>
    <row r="2246" spans="1:17" ht="18">
      <c r="A2246" s="512">
        <f t="shared" si="27"/>
        <v>1399</v>
      </c>
      <c r="B2246" s="692" t="s">
        <v>43</v>
      </c>
      <c r="C2246" s="693" t="s">
        <v>44</v>
      </c>
      <c r="D2246" s="693" t="s">
        <v>45</v>
      </c>
      <c r="E2246" s="795" t="s">
        <v>2613</v>
      </c>
      <c r="F2246" s="818" t="s">
        <v>497</v>
      </c>
      <c r="G2246" s="818">
        <v>9870000000</v>
      </c>
      <c r="H2246" s="693"/>
      <c r="I2246" s="694">
        <v>37</v>
      </c>
      <c r="J2246" s="694" t="s">
        <v>48</v>
      </c>
      <c r="K2246" s="694" t="s">
        <v>53</v>
      </c>
      <c r="L2246" s="493"/>
      <c r="M2246" s="588" t="s">
        <v>2336</v>
      </c>
      <c r="N2246" s="819">
        <v>65039</v>
      </c>
      <c r="O2246" s="820">
        <v>65039</v>
      </c>
      <c r="P2246" s="496">
        <v>65054</v>
      </c>
      <c r="Q2246" s="491" t="s">
        <v>51</v>
      </c>
    </row>
    <row r="2247" spans="1:17" ht="18">
      <c r="A2247" s="512">
        <f t="shared" si="27"/>
        <v>1400</v>
      </c>
      <c r="B2247" s="692" t="s">
        <v>43</v>
      </c>
      <c r="C2247" s="693" t="s">
        <v>44</v>
      </c>
      <c r="D2247" s="693" t="s">
        <v>45</v>
      </c>
      <c r="E2247" s="795" t="s">
        <v>2614</v>
      </c>
      <c r="F2247" s="818" t="s">
        <v>502</v>
      </c>
      <c r="G2247" s="694">
        <v>9847824904</v>
      </c>
      <c r="H2247" s="693"/>
      <c r="I2247" s="694">
        <v>55</v>
      </c>
      <c r="J2247" s="694" t="s">
        <v>90</v>
      </c>
      <c r="K2247" s="694" t="s">
        <v>1480</v>
      </c>
      <c r="L2247" s="493"/>
      <c r="M2247" s="588" t="s">
        <v>2336</v>
      </c>
      <c r="N2247" s="819">
        <v>65039</v>
      </c>
      <c r="O2247" s="820">
        <v>65039</v>
      </c>
      <c r="P2247" s="496">
        <v>65054</v>
      </c>
      <c r="Q2247" s="491" t="s">
        <v>51</v>
      </c>
    </row>
    <row r="2248" spans="1:17" ht="18">
      <c r="A2248" s="512">
        <f t="shared" si="27"/>
        <v>1401</v>
      </c>
      <c r="B2248" s="692" t="s">
        <v>43</v>
      </c>
      <c r="C2248" s="693" t="s">
        <v>44</v>
      </c>
      <c r="D2248" s="693" t="s">
        <v>45</v>
      </c>
      <c r="E2248" s="795" t="s">
        <v>2615</v>
      </c>
      <c r="F2248" s="818" t="s">
        <v>529</v>
      </c>
      <c r="G2248" s="694">
        <v>9849789129</v>
      </c>
      <c r="H2248" s="693"/>
      <c r="I2248" s="694">
        <v>33</v>
      </c>
      <c r="J2248" s="694" t="s">
        <v>48</v>
      </c>
      <c r="K2248" s="694" t="s">
        <v>53</v>
      </c>
      <c r="L2248" s="493"/>
      <c r="M2248" s="588" t="s">
        <v>2336</v>
      </c>
      <c r="N2248" s="819">
        <v>65039</v>
      </c>
      <c r="O2248" s="820">
        <v>65039</v>
      </c>
      <c r="P2248" s="496">
        <v>65054</v>
      </c>
      <c r="Q2248" s="491" t="s">
        <v>51</v>
      </c>
    </row>
    <row r="2249" spans="1:17" ht="18.75" thickBot="1">
      <c r="A2249" s="512">
        <f t="shared" si="27"/>
        <v>1402</v>
      </c>
      <c r="B2249" s="692" t="s">
        <v>43</v>
      </c>
      <c r="C2249" s="693" t="s">
        <v>44</v>
      </c>
      <c r="D2249" s="693" t="s">
        <v>45</v>
      </c>
      <c r="E2249" s="795" t="s">
        <v>2616</v>
      </c>
      <c r="F2249" s="818" t="s">
        <v>1008</v>
      </c>
      <c r="G2249" s="694">
        <v>9847980691</v>
      </c>
      <c r="H2249" s="693"/>
      <c r="I2249" s="694">
        <v>62</v>
      </c>
      <c r="J2249" s="694" t="s">
        <v>90</v>
      </c>
      <c r="K2249" s="694" t="s">
        <v>53</v>
      </c>
      <c r="L2249" s="493"/>
      <c r="M2249" s="588" t="s">
        <v>2336</v>
      </c>
      <c r="N2249" s="819">
        <v>65039</v>
      </c>
      <c r="O2249" s="820">
        <v>65039</v>
      </c>
      <c r="P2249" s="496">
        <v>65054</v>
      </c>
      <c r="Q2249" s="491" t="s">
        <v>51</v>
      </c>
    </row>
    <row r="2250" spans="1:17" ht="18.75" thickBot="1">
      <c r="A2250" s="512">
        <f t="shared" si="27"/>
        <v>1403</v>
      </c>
      <c r="B2250" s="692" t="s">
        <v>43</v>
      </c>
      <c r="C2250" s="693" t="s">
        <v>44</v>
      </c>
      <c r="D2250" s="693" t="s">
        <v>45</v>
      </c>
      <c r="E2250" s="795" t="s">
        <v>2617</v>
      </c>
      <c r="F2250" s="818" t="s">
        <v>510</v>
      </c>
      <c r="G2250" s="1063">
        <v>9822957025</v>
      </c>
      <c r="H2250" s="693"/>
      <c r="I2250" s="694">
        <v>40</v>
      </c>
      <c r="J2250" s="694" t="s">
        <v>90</v>
      </c>
      <c r="K2250" s="694" t="s">
        <v>53</v>
      </c>
      <c r="L2250" s="493"/>
      <c r="M2250" s="588" t="s">
        <v>2336</v>
      </c>
      <c r="N2250" s="819">
        <v>65039</v>
      </c>
      <c r="O2250" s="820">
        <v>65039</v>
      </c>
      <c r="P2250" s="496">
        <v>65054</v>
      </c>
      <c r="Q2250" s="491" t="s">
        <v>51</v>
      </c>
    </row>
    <row r="2251" spans="1:17" ht="18">
      <c r="A2251" s="512">
        <f t="shared" si="27"/>
        <v>1404</v>
      </c>
      <c r="B2251" s="692" t="s">
        <v>43</v>
      </c>
      <c r="C2251" s="693" t="s">
        <v>44</v>
      </c>
      <c r="D2251" s="693" t="s">
        <v>45</v>
      </c>
      <c r="E2251" s="795" t="s">
        <v>2618</v>
      </c>
      <c r="F2251" s="818" t="s">
        <v>1046</v>
      </c>
      <c r="G2251" s="694">
        <v>9866934209</v>
      </c>
      <c r="H2251" s="693"/>
      <c r="I2251" s="694">
        <v>50</v>
      </c>
      <c r="J2251" s="694" t="s">
        <v>48</v>
      </c>
      <c r="K2251" s="694" t="s">
        <v>1480</v>
      </c>
      <c r="L2251" s="493"/>
      <c r="M2251" s="588" t="s">
        <v>2336</v>
      </c>
      <c r="N2251" s="819">
        <v>65039</v>
      </c>
      <c r="O2251" s="820">
        <v>65039</v>
      </c>
      <c r="P2251" s="496">
        <v>65054</v>
      </c>
      <c r="Q2251" s="491" t="s">
        <v>51</v>
      </c>
    </row>
    <row r="2252" spans="1:17" ht="18">
      <c r="A2252" s="512">
        <f t="shared" si="27"/>
        <v>1405</v>
      </c>
      <c r="B2252" s="692" t="s">
        <v>43</v>
      </c>
      <c r="C2252" s="693" t="s">
        <v>44</v>
      </c>
      <c r="D2252" s="693" t="s">
        <v>45</v>
      </c>
      <c r="E2252" s="795" t="s">
        <v>2619</v>
      </c>
      <c r="F2252" s="818" t="s">
        <v>1008</v>
      </c>
      <c r="G2252" s="694">
        <v>9812882082</v>
      </c>
      <c r="H2252" s="693"/>
      <c r="I2252" s="694">
        <v>26</v>
      </c>
      <c r="J2252" s="694" t="s">
        <v>90</v>
      </c>
      <c r="K2252" s="694" t="s">
        <v>1480</v>
      </c>
      <c r="L2252" s="493"/>
      <c r="M2252" s="588" t="s">
        <v>2336</v>
      </c>
      <c r="N2252" s="819">
        <v>65039</v>
      </c>
      <c r="O2252" s="820">
        <v>65039</v>
      </c>
      <c r="P2252" s="496">
        <v>65054</v>
      </c>
      <c r="Q2252" s="491" t="s">
        <v>51</v>
      </c>
    </row>
    <row r="2253" spans="1:17" ht="18">
      <c r="A2253" s="512">
        <f t="shared" si="27"/>
        <v>1406</v>
      </c>
      <c r="B2253" s="692" t="s">
        <v>43</v>
      </c>
      <c r="C2253" s="693" t="s">
        <v>44</v>
      </c>
      <c r="D2253" s="693" t="s">
        <v>45</v>
      </c>
      <c r="E2253" s="795" t="s">
        <v>327</v>
      </c>
      <c r="F2253" s="818" t="s">
        <v>497</v>
      </c>
      <c r="G2253" s="694">
        <v>9801242416</v>
      </c>
      <c r="H2253" s="693"/>
      <c r="I2253" s="694">
        <v>28</v>
      </c>
      <c r="J2253" s="694" t="s">
        <v>48</v>
      </c>
      <c r="K2253" s="694" t="s">
        <v>53</v>
      </c>
      <c r="L2253" s="493"/>
      <c r="M2253" s="588" t="s">
        <v>2336</v>
      </c>
      <c r="N2253" s="819">
        <v>65039</v>
      </c>
      <c r="O2253" s="820">
        <v>65039</v>
      </c>
      <c r="P2253" s="496">
        <v>65054</v>
      </c>
      <c r="Q2253" s="491" t="s">
        <v>51</v>
      </c>
    </row>
    <row r="2254" spans="1:17" ht="18">
      <c r="A2254" s="512">
        <f t="shared" si="27"/>
        <v>1407</v>
      </c>
      <c r="B2254" s="692" t="s">
        <v>43</v>
      </c>
      <c r="C2254" s="693" t="s">
        <v>44</v>
      </c>
      <c r="D2254" s="693" t="s">
        <v>45</v>
      </c>
      <c r="E2254" s="795" t="s">
        <v>2620</v>
      </c>
      <c r="F2254" s="818" t="s">
        <v>791</v>
      </c>
      <c r="G2254" s="694">
        <v>9857824000</v>
      </c>
      <c r="H2254" s="693"/>
      <c r="I2254" s="694">
        <v>34</v>
      </c>
      <c r="J2254" s="694" t="s">
        <v>48</v>
      </c>
      <c r="K2254" s="694" t="s">
        <v>1480</v>
      </c>
      <c r="L2254" s="493"/>
      <c r="M2254" s="588" t="s">
        <v>2336</v>
      </c>
      <c r="N2254" s="819">
        <v>65039</v>
      </c>
      <c r="O2254" s="820">
        <v>65039</v>
      </c>
      <c r="P2254" s="496">
        <v>65054</v>
      </c>
      <c r="Q2254" s="491" t="s">
        <v>51</v>
      </c>
    </row>
    <row r="2255" spans="1:17" ht="18">
      <c r="A2255" s="512">
        <f t="shared" si="27"/>
        <v>1408</v>
      </c>
      <c r="B2255" s="692" t="s">
        <v>43</v>
      </c>
      <c r="C2255" s="693" t="s">
        <v>44</v>
      </c>
      <c r="D2255" s="693" t="s">
        <v>45</v>
      </c>
      <c r="E2255" s="795" t="s">
        <v>2621</v>
      </c>
      <c r="F2255" s="818" t="s">
        <v>1008</v>
      </c>
      <c r="G2255" s="694">
        <v>9802053267</v>
      </c>
      <c r="H2255" s="693"/>
      <c r="I2255" s="694">
        <v>36</v>
      </c>
      <c r="J2255" s="694" t="s">
        <v>48</v>
      </c>
      <c r="K2255" s="694" t="s">
        <v>1480</v>
      </c>
      <c r="L2255" s="493"/>
      <c r="M2255" s="588" t="s">
        <v>2336</v>
      </c>
      <c r="N2255" s="819">
        <v>65039</v>
      </c>
      <c r="O2255" s="820">
        <v>65039</v>
      </c>
      <c r="P2255" s="496">
        <v>65054</v>
      </c>
      <c r="Q2255" s="491" t="s">
        <v>51</v>
      </c>
    </row>
    <row r="2256" spans="1:17" ht="18">
      <c r="A2256" s="512">
        <f t="shared" si="27"/>
        <v>1409</v>
      </c>
      <c r="B2256" s="692" t="s">
        <v>43</v>
      </c>
      <c r="C2256" s="693" t="s">
        <v>44</v>
      </c>
      <c r="D2256" s="693" t="s">
        <v>45</v>
      </c>
      <c r="E2256" s="795" t="s">
        <v>2622</v>
      </c>
      <c r="F2256" s="818" t="s">
        <v>491</v>
      </c>
      <c r="G2256" s="694"/>
      <c r="H2256" s="693"/>
      <c r="I2256" s="694">
        <v>30</v>
      </c>
      <c r="J2256" s="694" t="s">
        <v>48</v>
      </c>
      <c r="K2256" s="694" t="s">
        <v>1468</v>
      </c>
      <c r="L2256" s="493"/>
      <c r="M2256" s="588" t="s">
        <v>2336</v>
      </c>
      <c r="N2256" s="819">
        <v>65039</v>
      </c>
      <c r="O2256" s="820">
        <v>65039</v>
      </c>
      <c r="P2256" s="496">
        <v>65054</v>
      </c>
      <c r="Q2256" s="491" t="s">
        <v>51</v>
      </c>
    </row>
    <row r="2257" spans="1:17" ht="18">
      <c r="A2257" s="512">
        <f t="shared" si="27"/>
        <v>1410</v>
      </c>
      <c r="B2257" s="660" t="s">
        <v>43</v>
      </c>
      <c r="C2257" s="644" t="s">
        <v>44</v>
      </c>
      <c r="D2257" s="644" t="s">
        <v>45</v>
      </c>
      <c r="E2257" s="630" t="s">
        <v>2938</v>
      </c>
      <c r="F2257" s="675" t="s">
        <v>124</v>
      </c>
      <c r="G2257" s="597">
        <v>9847891351</v>
      </c>
      <c r="H2257" s="630"/>
      <c r="I2257" s="597">
        <v>66</v>
      </c>
      <c r="J2257" s="597" t="s">
        <v>48</v>
      </c>
      <c r="K2257" s="597" t="s">
        <v>1480</v>
      </c>
      <c r="L2257" s="423"/>
      <c r="M2257" s="597" t="s">
        <v>2336</v>
      </c>
      <c r="N2257" s="758">
        <v>65039</v>
      </c>
      <c r="O2257" s="632">
        <v>65039</v>
      </c>
      <c r="P2257" s="422"/>
      <c r="Q2257" s="422" t="s">
        <v>940</v>
      </c>
    </row>
    <row r="2258" spans="1:17" ht="18">
      <c r="A2258" s="512">
        <f t="shared" ref="A2258:A2321" si="28">A2257+1</f>
        <v>1411</v>
      </c>
      <c r="B2258" s="692" t="s">
        <v>43</v>
      </c>
      <c r="C2258" s="693" t="s">
        <v>44</v>
      </c>
      <c r="D2258" s="693" t="s">
        <v>45</v>
      </c>
      <c r="E2258" s="795" t="s">
        <v>2623</v>
      </c>
      <c r="F2258" s="818" t="s">
        <v>124</v>
      </c>
      <c r="G2258" s="694">
        <v>9847877505</v>
      </c>
      <c r="H2258" s="693"/>
      <c r="I2258" s="694">
        <v>37</v>
      </c>
      <c r="J2258" s="694" t="s">
        <v>90</v>
      </c>
      <c r="K2258" s="694" t="s">
        <v>1480</v>
      </c>
      <c r="L2258" s="493"/>
      <c r="M2258" s="588" t="s">
        <v>2336</v>
      </c>
      <c r="N2258" s="819">
        <v>65039</v>
      </c>
      <c r="O2258" s="820">
        <v>65039</v>
      </c>
      <c r="P2258" s="496">
        <v>65054</v>
      </c>
      <c r="Q2258" s="491" t="s">
        <v>51</v>
      </c>
    </row>
    <row r="2259" spans="1:17" ht="18">
      <c r="A2259" s="512">
        <f t="shared" si="28"/>
        <v>1412</v>
      </c>
      <c r="B2259" s="692" t="s">
        <v>43</v>
      </c>
      <c r="C2259" s="693" t="s">
        <v>44</v>
      </c>
      <c r="D2259" s="693" t="s">
        <v>45</v>
      </c>
      <c r="E2259" s="795" t="s">
        <v>2624</v>
      </c>
      <c r="F2259" s="818" t="s">
        <v>441</v>
      </c>
      <c r="G2259" s="694">
        <v>9847823049</v>
      </c>
      <c r="H2259" s="693"/>
      <c r="I2259" s="694">
        <v>2</v>
      </c>
      <c r="J2259" s="694" t="s">
        <v>48</v>
      </c>
      <c r="K2259" s="694" t="s">
        <v>53</v>
      </c>
      <c r="L2259" s="493"/>
      <c r="M2259" s="588" t="s">
        <v>2336</v>
      </c>
      <c r="N2259" s="819">
        <v>65039</v>
      </c>
      <c r="O2259" s="820">
        <v>65039</v>
      </c>
      <c r="P2259" s="496">
        <v>65054</v>
      </c>
      <c r="Q2259" s="491" t="s">
        <v>51</v>
      </c>
    </row>
    <row r="2260" spans="1:17" ht="18">
      <c r="A2260" s="512">
        <f t="shared" si="28"/>
        <v>1413</v>
      </c>
      <c r="B2260" s="692" t="s">
        <v>43</v>
      </c>
      <c r="C2260" s="693" t="s">
        <v>44</v>
      </c>
      <c r="D2260" s="693" t="s">
        <v>45</v>
      </c>
      <c r="E2260" s="795" t="s">
        <v>2625</v>
      </c>
      <c r="F2260" s="818" t="s">
        <v>491</v>
      </c>
      <c r="G2260" s="694">
        <v>9857821566</v>
      </c>
      <c r="H2260" s="693"/>
      <c r="I2260" s="694">
        <v>35</v>
      </c>
      <c r="J2260" s="694" t="s">
        <v>48</v>
      </c>
      <c r="K2260" s="694" t="s">
        <v>1480</v>
      </c>
      <c r="L2260" s="493"/>
      <c r="M2260" s="588" t="s">
        <v>2336</v>
      </c>
      <c r="N2260" s="819">
        <v>65039</v>
      </c>
      <c r="O2260" s="820">
        <v>65039</v>
      </c>
      <c r="P2260" s="496">
        <v>65054</v>
      </c>
      <c r="Q2260" s="491" t="s">
        <v>51</v>
      </c>
    </row>
    <row r="2261" spans="1:17" ht="18">
      <c r="A2261" s="512">
        <f t="shared" si="28"/>
        <v>1414</v>
      </c>
      <c r="B2261" s="692" t="s">
        <v>43</v>
      </c>
      <c r="C2261" s="693" t="s">
        <v>44</v>
      </c>
      <c r="D2261" s="693" t="s">
        <v>45</v>
      </c>
      <c r="E2261" s="795" t="s">
        <v>2626</v>
      </c>
      <c r="F2261" s="818" t="s">
        <v>497</v>
      </c>
      <c r="G2261" s="694">
        <v>9847827049</v>
      </c>
      <c r="H2261" s="693"/>
      <c r="I2261" s="694">
        <v>71</v>
      </c>
      <c r="J2261" s="694" t="s">
        <v>48</v>
      </c>
      <c r="K2261" s="694" t="s">
        <v>1480</v>
      </c>
      <c r="L2261" s="493"/>
      <c r="M2261" s="588" t="s">
        <v>2336</v>
      </c>
      <c r="N2261" s="819">
        <v>65039</v>
      </c>
      <c r="O2261" s="820">
        <v>65039</v>
      </c>
      <c r="P2261" s="496">
        <v>65054</v>
      </c>
      <c r="Q2261" s="491" t="s">
        <v>51</v>
      </c>
    </row>
    <row r="2262" spans="1:17" ht="18">
      <c r="A2262" s="512">
        <f t="shared" si="28"/>
        <v>1415</v>
      </c>
      <c r="B2262" s="692" t="s">
        <v>43</v>
      </c>
      <c r="C2262" s="693" t="s">
        <v>44</v>
      </c>
      <c r="D2262" s="693" t="s">
        <v>45</v>
      </c>
      <c r="E2262" s="795" t="s">
        <v>2627</v>
      </c>
      <c r="F2262" s="818" t="s">
        <v>730</v>
      </c>
      <c r="G2262" s="694">
        <v>9846653110</v>
      </c>
      <c r="H2262" s="693"/>
      <c r="I2262" s="694">
        <v>31</v>
      </c>
      <c r="J2262" s="694" t="s">
        <v>48</v>
      </c>
      <c r="K2262" s="694" t="s">
        <v>53</v>
      </c>
      <c r="L2262" s="493"/>
      <c r="M2262" s="588" t="s">
        <v>2336</v>
      </c>
      <c r="N2262" s="819">
        <v>65039</v>
      </c>
      <c r="O2262" s="820">
        <v>65039</v>
      </c>
      <c r="P2262" s="496">
        <v>65054</v>
      </c>
      <c r="Q2262" s="491" t="s">
        <v>51</v>
      </c>
    </row>
    <row r="2263" spans="1:17" ht="18">
      <c r="A2263" s="512">
        <f t="shared" si="28"/>
        <v>1416</v>
      </c>
      <c r="B2263" s="692" t="s">
        <v>43</v>
      </c>
      <c r="C2263" s="693" t="s">
        <v>44</v>
      </c>
      <c r="D2263" s="693" t="s">
        <v>45</v>
      </c>
      <c r="E2263" s="795" t="s">
        <v>2628</v>
      </c>
      <c r="F2263" s="818" t="s">
        <v>1046</v>
      </c>
      <c r="G2263" s="694">
        <v>9866934209</v>
      </c>
      <c r="H2263" s="693"/>
      <c r="I2263" s="694">
        <v>40</v>
      </c>
      <c r="J2263" s="694" t="s">
        <v>90</v>
      </c>
      <c r="K2263" s="694" t="s">
        <v>1480</v>
      </c>
      <c r="L2263" s="493"/>
      <c r="M2263" s="588" t="s">
        <v>2336</v>
      </c>
      <c r="N2263" s="819">
        <v>65039</v>
      </c>
      <c r="O2263" s="820">
        <v>65039</v>
      </c>
      <c r="P2263" s="496">
        <v>65054</v>
      </c>
      <c r="Q2263" s="491" t="s">
        <v>51</v>
      </c>
    </row>
    <row r="2264" spans="1:17" ht="18">
      <c r="A2264" s="512">
        <f t="shared" si="28"/>
        <v>1417</v>
      </c>
      <c r="B2264" s="692" t="s">
        <v>43</v>
      </c>
      <c r="C2264" s="693" t="s">
        <v>44</v>
      </c>
      <c r="D2264" s="693" t="s">
        <v>45</v>
      </c>
      <c r="E2264" s="795" t="s">
        <v>2629</v>
      </c>
      <c r="F2264" s="818" t="s">
        <v>502</v>
      </c>
      <c r="G2264" s="694">
        <v>9822872052</v>
      </c>
      <c r="H2264" s="693"/>
      <c r="I2264" s="694">
        <v>21</v>
      </c>
      <c r="J2264" s="694" t="s">
        <v>90</v>
      </c>
      <c r="K2264" s="694" t="s">
        <v>1480</v>
      </c>
      <c r="L2264" s="493"/>
      <c r="M2264" s="588" t="s">
        <v>2336</v>
      </c>
      <c r="N2264" s="819">
        <v>65039</v>
      </c>
      <c r="O2264" s="820">
        <v>65039</v>
      </c>
      <c r="P2264" s="496">
        <v>65054</v>
      </c>
      <c r="Q2264" s="491" t="s">
        <v>51</v>
      </c>
    </row>
    <row r="2265" spans="1:17" ht="18">
      <c r="A2265" s="512">
        <f t="shared" si="28"/>
        <v>1418</v>
      </c>
      <c r="B2265" s="692" t="s">
        <v>43</v>
      </c>
      <c r="C2265" s="693" t="s">
        <v>44</v>
      </c>
      <c r="D2265" s="693" t="s">
        <v>45</v>
      </c>
      <c r="E2265" s="795" t="s">
        <v>2630</v>
      </c>
      <c r="F2265" s="818" t="s">
        <v>1008</v>
      </c>
      <c r="G2265" s="694">
        <v>9822877574</v>
      </c>
      <c r="H2265" s="693"/>
      <c r="I2265" s="694">
        <v>38</v>
      </c>
      <c r="J2265" s="694" t="s">
        <v>48</v>
      </c>
      <c r="K2265" s="694" t="s">
        <v>1480</v>
      </c>
      <c r="L2265" s="493"/>
      <c r="M2265" s="588" t="s">
        <v>2336</v>
      </c>
      <c r="N2265" s="819">
        <v>65039</v>
      </c>
      <c r="O2265" s="820">
        <v>65039</v>
      </c>
      <c r="P2265" s="496">
        <v>65054</v>
      </c>
      <c r="Q2265" s="491" t="s">
        <v>51</v>
      </c>
    </row>
    <row r="2266" spans="1:17" ht="18">
      <c r="A2266" s="512">
        <f t="shared" si="28"/>
        <v>1419</v>
      </c>
      <c r="B2266" s="692" t="s">
        <v>43</v>
      </c>
      <c r="C2266" s="693" t="s">
        <v>44</v>
      </c>
      <c r="D2266" s="693" t="s">
        <v>45</v>
      </c>
      <c r="E2266" s="795" t="s">
        <v>2631</v>
      </c>
      <c r="F2266" s="818" t="s">
        <v>441</v>
      </c>
      <c r="G2266" s="694">
        <v>9847823049</v>
      </c>
      <c r="H2266" s="693"/>
      <c r="I2266" s="694">
        <v>33</v>
      </c>
      <c r="J2266" s="694" t="s">
        <v>48</v>
      </c>
      <c r="K2266" s="694" t="s">
        <v>53</v>
      </c>
      <c r="L2266" s="493"/>
      <c r="M2266" s="588" t="s">
        <v>2336</v>
      </c>
      <c r="N2266" s="819">
        <v>65039</v>
      </c>
      <c r="O2266" s="820">
        <v>65039</v>
      </c>
      <c r="P2266" s="496">
        <v>65054</v>
      </c>
      <c r="Q2266" s="491" t="s">
        <v>51</v>
      </c>
    </row>
    <row r="2267" spans="1:17" ht="18">
      <c r="A2267" s="512">
        <f t="shared" si="28"/>
        <v>1420</v>
      </c>
      <c r="B2267" s="692" t="s">
        <v>43</v>
      </c>
      <c r="C2267" s="693" t="s">
        <v>44</v>
      </c>
      <c r="D2267" s="693" t="s">
        <v>45</v>
      </c>
      <c r="E2267" s="795" t="s">
        <v>2632</v>
      </c>
      <c r="F2267" s="818" t="s">
        <v>124</v>
      </c>
      <c r="G2267" s="694">
        <v>9818093445</v>
      </c>
      <c r="H2267" s="693"/>
      <c r="I2267" s="694">
        <v>24</v>
      </c>
      <c r="J2267" s="694" t="s">
        <v>90</v>
      </c>
      <c r="K2267" s="694" t="s">
        <v>1480</v>
      </c>
      <c r="L2267" s="493"/>
      <c r="M2267" s="588" t="s">
        <v>2336</v>
      </c>
      <c r="N2267" s="819">
        <v>65039</v>
      </c>
      <c r="O2267" s="820">
        <v>65039</v>
      </c>
      <c r="P2267" s="496">
        <v>65054</v>
      </c>
      <c r="Q2267" s="491" t="s">
        <v>51</v>
      </c>
    </row>
    <row r="2268" spans="1:17" ht="18">
      <c r="A2268" s="512">
        <f t="shared" si="28"/>
        <v>1421</v>
      </c>
      <c r="B2268" s="692" t="s">
        <v>43</v>
      </c>
      <c r="C2268" s="693" t="s">
        <v>44</v>
      </c>
      <c r="D2268" s="693" t="s">
        <v>45</v>
      </c>
      <c r="E2268" s="795" t="s">
        <v>2633</v>
      </c>
      <c r="F2268" s="818" t="s">
        <v>1008</v>
      </c>
      <c r="G2268" s="694">
        <v>9812800310</v>
      </c>
      <c r="H2268" s="693"/>
      <c r="I2268" s="694">
        <v>35</v>
      </c>
      <c r="J2268" s="694" t="s">
        <v>90</v>
      </c>
      <c r="K2268" s="694" t="s">
        <v>1480</v>
      </c>
      <c r="L2268" s="493"/>
      <c r="M2268" s="588" t="s">
        <v>2336</v>
      </c>
      <c r="N2268" s="819">
        <v>65039</v>
      </c>
      <c r="O2268" s="820">
        <v>65039</v>
      </c>
      <c r="P2268" s="496">
        <v>65054</v>
      </c>
      <c r="Q2268" s="491" t="s">
        <v>51</v>
      </c>
    </row>
    <row r="2269" spans="1:17" ht="18">
      <c r="A2269" s="512">
        <f t="shared" si="28"/>
        <v>1422</v>
      </c>
      <c r="B2269" s="692" t="s">
        <v>43</v>
      </c>
      <c r="C2269" s="693" t="s">
        <v>44</v>
      </c>
      <c r="D2269" s="693" t="s">
        <v>45</v>
      </c>
      <c r="E2269" s="795" t="s">
        <v>2634</v>
      </c>
      <c r="F2269" s="818" t="s">
        <v>1008</v>
      </c>
      <c r="G2269" s="694"/>
      <c r="H2269" s="693"/>
      <c r="I2269" s="694">
        <v>30</v>
      </c>
      <c r="J2269" s="694" t="s">
        <v>48</v>
      </c>
      <c r="K2269" s="694" t="s">
        <v>345</v>
      </c>
      <c r="L2269" s="493"/>
      <c r="M2269" s="588" t="s">
        <v>2336</v>
      </c>
      <c r="N2269" s="819">
        <v>65039</v>
      </c>
      <c r="O2269" s="820">
        <v>65039</v>
      </c>
      <c r="P2269" s="496">
        <v>65054</v>
      </c>
      <c r="Q2269" s="491" t="s">
        <v>51</v>
      </c>
    </row>
    <row r="2270" spans="1:17" ht="18">
      <c r="A2270" s="512">
        <f t="shared" si="28"/>
        <v>1423</v>
      </c>
      <c r="B2270" s="692" t="s">
        <v>43</v>
      </c>
      <c r="C2270" s="693" t="s">
        <v>44</v>
      </c>
      <c r="D2270" s="693" t="s">
        <v>45</v>
      </c>
      <c r="E2270" s="795" t="s">
        <v>2635</v>
      </c>
      <c r="F2270" s="818" t="s">
        <v>1008</v>
      </c>
      <c r="G2270" s="694">
        <v>9814605025</v>
      </c>
      <c r="H2270" s="693"/>
      <c r="I2270" s="694">
        <v>27</v>
      </c>
      <c r="J2270" s="694" t="s">
        <v>48</v>
      </c>
      <c r="K2270" s="694" t="s">
        <v>1480</v>
      </c>
      <c r="L2270" s="493"/>
      <c r="M2270" s="588" t="s">
        <v>2336</v>
      </c>
      <c r="N2270" s="819">
        <v>65039</v>
      </c>
      <c r="O2270" s="820">
        <v>65039</v>
      </c>
      <c r="P2270" s="496">
        <v>65054</v>
      </c>
      <c r="Q2270" s="491" t="s">
        <v>51</v>
      </c>
    </row>
    <row r="2271" spans="1:17" ht="18">
      <c r="A2271" s="512">
        <f t="shared" si="28"/>
        <v>1424</v>
      </c>
      <c r="B2271" s="692" t="s">
        <v>43</v>
      </c>
      <c r="C2271" s="693" t="s">
        <v>44</v>
      </c>
      <c r="D2271" s="693" t="s">
        <v>45</v>
      </c>
      <c r="E2271" s="795" t="s">
        <v>2636</v>
      </c>
      <c r="F2271" s="818" t="s">
        <v>1009</v>
      </c>
      <c r="G2271" s="694">
        <v>9809769307</v>
      </c>
      <c r="H2271" s="693"/>
      <c r="I2271" s="694">
        <v>57</v>
      </c>
      <c r="J2271" s="694" t="s">
        <v>90</v>
      </c>
      <c r="K2271" s="694" t="s">
        <v>1480</v>
      </c>
      <c r="L2271" s="493"/>
      <c r="M2271" s="588" t="s">
        <v>2336</v>
      </c>
      <c r="N2271" s="819">
        <v>65039</v>
      </c>
      <c r="O2271" s="820">
        <v>65039</v>
      </c>
      <c r="P2271" s="496">
        <v>65054</v>
      </c>
      <c r="Q2271" s="491" t="s">
        <v>51</v>
      </c>
    </row>
    <row r="2272" spans="1:17" ht="18">
      <c r="A2272" s="512">
        <f t="shared" si="28"/>
        <v>1425</v>
      </c>
      <c r="B2272" s="692" t="s">
        <v>43</v>
      </c>
      <c r="C2272" s="693" t="s">
        <v>44</v>
      </c>
      <c r="D2272" s="693" t="s">
        <v>45</v>
      </c>
      <c r="E2272" s="795" t="s">
        <v>2637</v>
      </c>
      <c r="F2272" s="818" t="s">
        <v>529</v>
      </c>
      <c r="G2272" s="694">
        <v>9848031247</v>
      </c>
      <c r="H2272" s="693"/>
      <c r="I2272" s="694">
        <v>38</v>
      </c>
      <c r="J2272" s="694" t="s">
        <v>48</v>
      </c>
      <c r="K2272" s="694" t="s">
        <v>53</v>
      </c>
      <c r="L2272" s="493"/>
      <c r="M2272" s="588" t="s">
        <v>2336</v>
      </c>
      <c r="N2272" s="819">
        <v>65039</v>
      </c>
      <c r="O2272" s="820">
        <v>65039</v>
      </c>
      <c r="P2272" s="496">
        <v>65054</v>
      </c>
      <c r="Q2272" s="491" t="s">
        <v>51</v>
      </c>
    </row>
    <row r="2273" spans="1:31" ht="18">
      <c r="A2273" s="512">
        <f t="shared" si="28"/>
        <v>1426</v>
      </c>
      <c r="B2273" s="692" t="s">
        <v>43</v>
      </c>
      <c r="C2273" s="693" t="s">
        <v>44</v>
      </c>
      <c r="D2273" s="693" t="s">
        <v>45</v>
      </c>
      <c r="E2273" s="795" t="s">
        <v>2638</v>
      </c>
      <c r="F2273" s="818" t="s">
        <v>491</v>
      </c>
      <c r="G2273" s="694">
        <v>9841235895</v>
      </c>
      <c r="H2273" s="693"/>
      <c r="I2273" s="694">
        <v>28</v>
      </c>
      <c r="J2273" s="694" t="s">
        <v>48</v>
      </c>
      <c r="K2273" s="694" t="s">
        <v>1480</v>
      </c>
      <c r="L2273" s="493"/>
      <c r="M2273" s="588" t="s">
        <v>2336</v>
      </c>
      <c r="N2273" s="819">
        <v>65039</v>
      </c>
      <c r="O2273" s="820">
        <v>65039</v>
      </c>
      <c r="P2273" s="496">
        <v>65054</v>
      </c>
      <c r="Q2273" s="491" t="s">
        <v>51</v>
      </c>
    </row>
    <row r="2274" spans="1:31" ht="18">
      <c r="A2274" s="512">
        <f t="shared" si="28"/>
        <v>1427</v>
      </c>
      <c r="B2274" s="692" t="s">
        <v>43</v>
      </c>
      <c r="C2274" s="693" t="s">
        <v>44</v>
      </c>
      <c r="D2274" s="693" t="s">
        <v>45</v>
      </c>
      <c r="E2274" s="795" t="s">
        <v>2639</v>
      </c>
      <c r="F2274" s="818" t="s">
        <v>491</v>
      </c>
      <c r="G2274" s="694">
        <v>9806233133</v>
      </c>
      <c r="H2274" s="693"/>
      <c r="I2274" s="694">
        <v>23</v>
      </c>
      <c r="J2274" s="694" t="s">
        <v>90</v>
      </c>
      <c r="K2274" s="694" t="s">
        <v>1480</v>
      </c>
      <c r="L2274" s="493"/>
      <c r="M2274" s="588" t="s">
        <v>2336</v>
      </c>
      <c r="N2274" s="819">
        <v>65039</v>
      </c>
      <c r="O2274" s="820">
        <v>65039</v>
      </c>
      <c r="P2274" s="496">
        <v>65054</v>
      </c>
      <c r="Q2274" s="491" t="s">
        <v>51</v>
      </c>
    </row>
    <row r="2275" spans="1:31" ht="18">
      <c r="A2275" s="512">
        <f t="shared" si="28"/>
        <v>1428</v>
      </c>
      <c r="B2275" s="692" t="s">
        <v>43</v>
      </c>
      <c r="C2275" s="693" t="s">
        <v>44</v>
      </c>
      <c r="D2275" s="693" t="s">
        <v>45</v>
      </c>
      <c r="E2275" s="795" t="s">
        <v>2640</v>
      </c>
      <c r="F2275" s="818" t="s">
        <v>730</v>
      </c>
      <c r="G2275" s="818">
        <v>9870000000</v>
      </c>
      <c r="H2275" s="693"/>
      <c r="I2275" s="694">
        <v>13</v>
      </c>
      <c r="J2275" s="694" t="s">
        <v>90</v>
      </c>
      <c r="K2275" s="694" t="s">
        <v>53</v>
      </c>
      <c r="L2275" s="493"/>
      <c r="M2275" s="588" t="s">
        <v>2336</v>
      </c>
      <c r="N2275" s="819">
        <v>65039</v>
      </c>
      <c r="O2275" s="820">
        <v>65039</v>
      </c>
      <c r="P2275" s="496">
        <v>65054</v>
      </c>
      <c r="Q2275" s="491" t="s">
        <v>51</v>
      </c>
    </row>
    <row r="2276" spans="1:31" ht="18">
      <c r="A2276" s="512">
        <f t="shared" si="28"/>
        <v>1429</v>
      </c>
      <c r="B2276" s="692" t="s">
        <v>43</v>
      </c>
      <c r="C2276" s="693" t="s">
        <v>44</v>
      </c>
      <c r="D2276" s="693" t="s">
        <v>45</v>
      </c>
      <c r="E2276" s="795" t="s">
        <v>2641</v>
      </c>
      <c r="F2276" s="818" t="s">
        <v>598</v>
      </c>
      <c r="G2276" s="694">
        <v>9847910166</v>
      </c>
      <c r="H2276" s="693"/>
      <c r="I2276" s="694">
        <v>38</v>
      </c>
      <c r="J2276" s="694" t="s">
        <v>48</v>
      </c>
      <c r="K2276" s="694" t="s">
        <v>1480</v>
      </c>
      <c r="L2276" s="493"/>
      <c r="M2276" s="588" t="s">
        <v>2336</v>
      </c>
      <c r="N2276" s="819">
        <v>65039</v>
      </c>
      <c r="O2276" s="820">
        <v>65039</v>
      </c>
      <c r="P2276" s="496">
        <v>65054</v>
      </c>
      <c r="Q2276" s="491" t="s">
        <v>51</v>
      </c>
    </row>
    <row r="2277" spans="1:31" ht="18">
      <c r="A2277" s="512">
        <f t="shared" si="28"/>
        <v>1430</v>
      </c>
      <c r="B2277" s="692" t="s">
        <v>43</v>
      </c>
      <c r="C2277" s="693" t="s">
        <v>44</v>
      </c>
      <c r="D2277" s="693" t="s">
        <v>45</v>
      </c>
      <c r="E2277" s="795" t="s">
        <v>2642</v>
      </c>
      <c r="F2277" s="818" t="s">
        <v>502</v>
      </c>
      <c r="G2277" s="694">
        <v>9813623692</v>
      </c>
      <c r="H2277" s="693"/>
      <c r="I2277" s="694">
        <v>38</v>
      </c>
      <c r="J2277" s="694" t="s">
        <v>48</v>
      </c>
      <c r="K2277" s="694" t="s">
        <v>1480</v>
      </c>
      <c r="L2277" s="493"/>
      <c r="M2277" s="588" t="s">
        <v>2336</v>
      </c>
      <c r="N2277" s="819">
        <v>65039</v>
      </c>
      <c r="O2277" s="820">
        <v>65039</v>
      </c>
      <c r="P2277" s="496">
        <v>65054</v>
      </c>
      <c r="Q2277" s="491" t="s">
        <v>51</v>
      </c>
      <c r="T2277" s="326"/>
      <c r="U2277" s="326"/>
      <c r="V2277" s="326"/>
      <c r="W2277" s="326"/>
      <c r="X2277" s="326"/>
      <c r="Y2277" s="326"/>
      <c r="Z2277" s="326"/>
      <c r="AA2277" s="326"/>
      <c r="AB2277" s="326"/>
      <c r="AC2277" s="326"/>
      <c r="AD2277" s="326"/>
      <c r="AE2277" s="326"/>
    </row>
    <row r="2278" spans="1:31" ht="18">
      <c r="A2278" s="512">
        <f t="shared" si="28"/>
        <v>1431</v>
      </c>
      <c r="B2278" s="692" t="s">
        <v>43</v>
      </c>
      <c r="C2278" s="693" t="s">
        <v>44</v>
      </c>
      <c r="D2278" s="693" t="s">
        <v>45</v>
      </c>
      <c r="E2278" s="795" t="s">
        <v>2643</v>
      </c>
      <c r="F2278" s="818" t="s">
        <v>1008</v>
      </c>
      <c r="G2278" s="694">
        <v>9806261176</v>
      </c>
      <c r="H2278" s="693"/>
      <c r="I2278" s="694">
        <v>55</v>
      </c>
      <c r="J2278" s="694" t="s">
        <v>48</v>
      </c>
      <c r="K2278" s="694" t="s">
        <v>53</v>
      </c>
      <c r="L2278" s="493"/>
      <c r="M2278" s="588" t="s">
        <v>2336</v>
      </c>
      <c r="N2278" s="819">
        <v>65039</v>
      </c>
      <c r="O2278" s="820">
        <v>65039</v>
      </c>
      <c r="P2278" s="496">
        <v>65054</v>
      </c>
      <c r="Q2278" s="491" t="s">
        <v>51</v>
      </c>
      <c r="T2278" s="362"/>
      <c r="U2278" s="362"/>
      <c r="V2278" s="362"/>
      <c r="W2278" s="362"/>
      <c r="X2278" s="362"/>
      <c r="Y2278" s="362"/>
      <c r="Z2278" s="362"/>
      <c r="AA2278" s="362"/>
      <c r="AB2278" s="362"/>
      <c r="AC2278" s="362"/>
      <c r="AD2278" s="362"/>
      <c r="AE2278" s="362"/>
    </row>
    <row r="2279" spans="1:31" ht="18">
      <c r="A2279" s="512">
        <f t="shared" si="28"/>
        <v>1432</v>
      </c>
      <c r="B2279" s="692" t="s">
        <v>43</v>
      </c>
      <c r="C2279" s="693" t="s">
        <v>44</v>
      </c>
      <c r="D2279" s="693" t="s">
        <v>45</v>
      </c>
      <c r="E2279" s="795" t="s">
        <v>2644</v>
      </c>
      <c r="F2279" s="818" t="s">
        <v>1046</v>
      </c>
      <c r="G2279" s="694">
        <v>9857820217</v>
      </c>
      <c r="H2279" s="693"/>
      <c r="I2279" s="694">
        <v>48</v>
      </c>
      <c r="J2279" s="694" t="s">
        <v>90</v>
      </c>
      <c r="K2279" s="694" t="s">
        <v>1480</v>
      </c>
      <c r="L2279" s="493"/>
      <c r="M2279" s="588" t="s">
        <v>2336</v>
      </c>
      <c r="N2279" s="819">
        <v>65039</v>
      </c>
      <c r="O2279" s="820">
        <v>65039</v>
      </c>
      <c r="P2279" s="496">
        <v>65054</v>
      </c>
      <c r="Q2279" s="491" t="s">
        <v>51</v>
      </c>
    </row>
    <row r="2280" spans="1:31" ht="18">
      <c r="A2280" s="512">
        <f t="shared" si="28"/>
        <v>1433</v>
      </c>
      <c r="B2280" s="692" t="s">
        <v>43</v>
      </c>
      <c r="C2280" s="693" t="s">
        <v>44</v>
      </c>
      <c r="D2280" s="693" t="s">
        <v>45</v>
      </c>
      <c r="E2280" s="795" t="s">
        <v>2645</v>
      </c>
      <c r="F2280" s="818" t="s">
        <v>730</v>
      </c>
      <c r="G2280" s="694">
        <v>9822883872</v>
      </c>
      <c r="H2280" s="693"/>
      <c r="I2280" s="694">
        <v>72</v>
      </c>
      <c r="J2280" s="694" t="s">
        <v>90</v>
      </c>
      <c r="K2280" s="694" t="s">
        <v>53</v>
      </c>
      <c r="L2280" s="493"/>
      <c r="M2280" s="588" t="s">
        <v>2336</v>
      </c>
      <c r="N2280" s="819">
        <v>65039</v>
      </c>
      <c r="O2280" s="820">
        <v>65039</v>
      </c>
      <c r="P2280" s="496">
        <v>65054</v>
      </c>
      <c r="Q2280" s="491" t="s">
        <v>51</v>
      </c>
      <c r="T2280" s="362"/>
      <c r="U2280" s="362"/>
      <c r="V2280" s="362"/>
      <c r="W2280" s="362"/>
      <c r="X2280" s="362"/>
      <c r="Y2280" s="362"/>
      <c r="Z2280" s="362"/>
      <c r="AA2280" s="362"/>
      <c r="AB2280" s="362"/>
      <c r="AC2280" s="362"/>
      <c r="AD2280" s="362"/>
      <c r="AE2280" s="362"/>
    </row>
    <row r="2281" spans="1:31" ht="18">
      <c r="A2281" s="512">
        <f t="shared" si="28"/>
        <v>1434</v>
      </c>
      <c r="B2281" s="692" t="s">
        <v>43</v>
      </c>
      <c r="C2281" s="693" t="s">
        <v>44</v>
      </c>
      <c r="D2281" s="693" t="s">
        <v>45</v>
      </c>
      <c r="E2281" s="795" t="s">
        <v>2646</v>
      </c>
      <c r="F2281" s="818" t="s">
        <v>491</v>
      </c>
      <c r="G2281" s="694">
        <v>9840022669</v>
      </c>
      <c r="H2281" s="693"/>
      <c r="I2281" s="694">
        <v>14</v>
      </c>
      <c r="J2281" s="694" t="s">
        <v>90</v>
      </c>
      <c r="K2281" s="694" t="s">
        <v>53</v>
      </c>
      <c r="L2281" s="493"/>
      <c r="M2281" s="588" t="s">
        <v>2336</v>
      </c>
      <c r="N2281" s="819">
        <v>65039</v>
      </c>
      <c r="O2281" s="820">
        <v>65039</v>
      </c>
      <c r="P2281" s="496">
        <v>65054</v>
      </c>
      <c r="Q2281" s="491" t="s">
        <v>51</v>
      </c>
    </row>
    <row r="2282" spans="1:31" s="163" customFormat="1" ht="18">
      <c r="A2282" s="512">
        <f t="shared" si="28"/>
        <v>1435</v>
      </c>
      <c r="B2282" s="655" t="s">
        <v>43</v>
      </c>
      <c r="C2282" s="626" t="s">
        <v>44</v>
      </c>
      <c r="D2282" s="626" t="s">
        <v>45</v>
      </c>
      <c r="E2282" s="575" t="s">
        <v>2673</v>
      </c>
      <c r="F2282" s="575" t="s">
        <v>502</v>
      </c>
      <c r="G2282" s="575">
        <v>9840602702</v>
      </c>
      <c r="H2282" s="626"/>
      <c r="I2282" s="575">
        <v>24</v>
      </c>
      <c r="J2282" s="575" t="s">
        <v>90</v>
      </c>
      <c r="K2282" s="575" t="s">
        <v>1468</v>
      </c>
      <c r="L2282" s="575"/>
      <c r="M2282" s="560" t="s">
        <v>119</v>
      </c>
      <c r="N2282" s="752">
        <v>65040</v>
      </c>
      <c r="O2282" s="600">
        <v>65040</v>
      </c>
      <c r="P2282" s="541">
        <v>65055</v>
      </c>
      <c r="Q2282" s="533" t="s">
        <v>51</v>
      </c>
    </row>
    <row r="2283" spans="1:31" ht="18">
      <c r="A2283" s="512">
        <f t="shared" si="28"/>
        <v>1436</v>
      </c>
      <c r="B2283" s="669" t="s">
        <v>43</v>
      </c>
      <c r="C2283" s="640" t="s">
        <v>44</v>
      </c>
      <c r="D2283" s="640" t="s">
        <v>45</v>
      </c>
      <c r="E2283" s="635" t="s">
        <v>2744</v>
      </c>
      <c r="F2283" s="635" t="s">
        <v>502</v>
      </c>
      <c r="G2283" s="635"/>
      <c r="H2283" s="640"/>
      <c r="I2283" s="635">
        <v>37</v>
      </c>
      <c r="J2283" s="635" t="s">
        <v>48</v>
      </c>
      <c r="K2283" s="635"/>
      <c r="L2283" s="635"/>
      <c r="M2283" s="592" t="s">
        <v>54</v>
      </c>
      <c r="N2283" s="754">
        <v>65040</v>
      </c>
      <c r="O2283" s="610">
        <v>65040</v>
      </c>
      <c r="P2283" s="465">
        <v>65061</v>
      </c>
      <c r="Q2283" s="436" t="s">
        <v>51</v>
      </c>
    </row>
    <row r="2284" spans="1:31" ht="18">
      <c r="A2284" s="512">
        <f t="shared" si="28"/>
        <v>1437</v>
      </c>
      <c r="B2284" s="655" t="s">
        <v>43</v>
      </c>
      <c r="C2284" s="626" t="s">
        <v>44</v>
      </c>
      <c r="D2284" s="626" t="s">
        <v>45</v>
      </c>
      <c r="E2284" s="575" t="s">
        <v>2826</v>
      </c>
      <c r="F2284" s="575" t="s">
        <v>502</v>
      </c>
      <c r="G2284" s="575">
        <v>9848295352</v>
      </c>
      <c r="H2284" s="626"/>
      <c r="I2284" s="575">
        <v>56</v>
      </c>
      <c r="J2284" s="575" t="s">
        <v>90</v>
      </c>
      <c r="K2284" s="575" t="s">
        <v>1468</v>
      </c>
      <c r="L2284" s="575"/>
      <c r="M2284" s="560" t="s">
        <v>119</v>
      </c>
      <c r="N2284" s="752">
        <v>65040</v>
      </c>
      <c r="O2284" s="600">
        <v>65040</v>
      </c>
      <c r="P2284" s="541">
        <v>65055</v>
      </c>
      <c r="Q2284" s="533" t="s">
        <v>51</v>
      </c>
    </row>
    <row r="2285" spans="1:31" s="163" customFormat="1" ht="18">
      <c r="A2285" s="512">
        <f t="shared" si="28"/>
        <v>1438</v>
      </c>
      <c r="B2285" s="655" t="s">
        <v>43</v>
      </c>
      <c r="C2285" s="626" t="s">
        <v>44</v>
      </c>
      <c r="D2285" s="626" t="s">
        <v>45</v>
      </c>
      <c r="E2285" s="575" t="s">
        <v>2841</v>
      </c>
      <c r="F2285" s="575" t="s">
        <v>502</v>
      </c>
      <c r="G2285" s="575">
        <v>9800000000</v>
      </c>
      <c r="H2285" s="626"/>
      <c r="I2285" s="575">
        <v>60</v>
      </c>
      <c r="J2285" s="575" t="s">
        <v>48</v>
      </c>
      <c r="K2285" s="575" t="s">
        <v>345</v>
      </c>
      <c r="L2285" s="575"/>
      <c r="M2285" s="560" t="s">
        <v>119</v>
      </c>
      <c r="N2285" s="752">
        <v>65040</v>
      </c>
      <c r="O2285" s="600">
        <v>65040</v>
      </c>
      <c r="P2285" s="541">
        <v>65055</v>
      </c>
      <c r="Q2285" s="533" t="s">
        <v>51</v>
      </c>
    </row>
    <row r="2286" spans="1:31" ht="18">
      <c r="A2286" s="512">
        <f t="shared" si="28"/>
        <v>1439</v>
      </c>
      <c r="B2286" s="669" t="s">
        <v>43</v>
      </c>
      <c r="C2286" s="640" t="s">
        <v>44</v>
      </c>
      <c r="D2286" s="640" t="s">
        <v>45</v>
      </c>
      <c r="E2286" s="676" t="s">
        <v>2685</v>
      </c>
      <c r="F2286" s="635" t="s">
        <v>502</v>
      </c>
      <c r="G2286" s="635">
        <v>9801333986</v>
      </c>
      <c r="H2286" s="640"/>
      <c r="I2286" s="635">
        <v>26</v>
      </c>
      <c r="J2286" s="635" t="s">
        <v>90</v>
      </c>
      <c r="K2286" s="635" t="s">
        <v>53</v>
      </c>
      <c r="L2286" s="635"/>
      <c r="M2286" s="635" t="s">
        <v>2651</v>
      </c>
      <c r="N2286" s="754">
        <v>65040</v>
      </c>
      <c r="O2286" s="610">
        <v>65040</v>
      </c>
      <c r="P2286" s="465">
        <v>65086</v>
      </c>
      <c r="Q2286" s="533" t="s">
        <v>51</v>
      </c>
    </row>
    <row r="2287" spans="1:31" ht="18">
      <c r="A2287" s="512">
        <f t="shared" si="28"/>
        <v>1440</v>
      </c>
      <c r="B2287" s="655" t="s">
        <v>43</v>
      </c>
      <c r="C2287" s="626" t="s">
        <v>44</v>
      </c>
      <c r="D2287" s="626" t="s">
        <v>45</v>
      </c>
      <c r="E2287" s="575" t="s">
        <v>2789</v>
      </c>
      <c r="F2287" s="575" t="s">
        <v>502</v>
      </c>
      <c r="G2287" s="575">
        <v>9847855711</v>
      </c>
      <c r="H2287" s="626"/>
      <c r="I2287" s="575">
        <v>47</v>
      </c>
      <c r="J2287" s="575" t="s">
        <v>90</v>
      </c>
      <c r="K2287" s="575" t="s">
        <v>1468</v>
      </c>
      <c r="L2287" s="575"/>
      <c r="M2287" s="560" t="s">
        <v>119</v>
      </c>
      <c r="N2287" s="752">
        <v>65040</v>
      </c>
      <c r="O2287" s="600">
        <v>65040</v>
      </c>
      <c r="P2287" s="541">
        <v>65055</v>
      </c>
      <c r="Q2287" s="533" t="s">
        <v>51</v>
      </c>
    </row>
    <row r="2288" spans="1:31" ht="18">
      <c r="A2288" s="512">
        <f t="shared" si="28"/>
        <v>1441</v>
      </c>
      <c r="B2288" s="655" t="s">
        <v>43</v>
      </c>
      <c r="C2288" s="626" t="s">
        <v>44</v>
      </c>
      <c r="D2288" s="626" t="s">
        <v>45</v>
      </c>
      <c r="E2288" s="575" t="s">
        <v>2820</v>
      </c>
      <c r="F2288" s="575" t="s">
        <v>502</v>
      </c>
      <c r="G2288" s="575">
        <v>9822854534</v>
      </c>
      <c r="H2288" s="626"/>
      <c r="I2288" s="575">
        <v>55</v>
      </c>
      <c r="J2288" s="575" t="s">
        <v>48</v>
      </c>
      <c r="K2288" s="575" t="s">
        <v>1468</v>
      </c>
      <c r="L2288" s="575"/>
      <c r="M2288" s="560" t="s">
        <v>119</v>
      </c>
      <c r="N2288" s="752">
        <v>65040</v>
      </c>
      <c r="O2288" s="600">
        <v>65040</v>
      </c>
      <c r="P2288" s="541">
        <v>65055</v>
      </c>
      <c r="Q2288" s="533" t="s">
        <v>51</v>
      </c>
    </row>
    <row r="2289" spans="1:17" ht="18">
      <c r="A2289" s="512">
        <f t="shared" si="28"/>
        <v>1442</v>
      </c>
      <c r="B2289" s="655" t="s">
        <v>43</v>
      </c>
      <c r="C2289" s="626" t="s">
        <v>44</v>
      </c>
      <c r="D2289" s="626" t="s">
        <v>45</v>
      </c>
      <c r="E2289" s="865" t="s">
        <v>2691</v>
      </c>
      <c r="F2289" s="575" t="s">
        <v>502</v>
      </c>
      <c r="G2289" s="575">
        <v>9847822509</v>
      </c>
      <c r="H2289" s="626"/>
      <c r="I2289" s="575">
        <v>28</v>
      </c>
      <c r="J2289" s="575" t="s">
        <v>90</v>
      </c>
      <c r="K2289" s="575" t="s">
        <v>1468</v>
      </c>
      <c r="L2289" s="575"/>
      <c r="M2289" s="560" t="s">
        <v>119</v>
      </c>
      <c r="N2289" s="752">
        <v>65040</v>
      </c>
      <c r="O2289" s="600">
        <v>65040</v>
      </c>
      <c r="P2289" s="541">
        <v>65055</v>
      </c>
      <c r="Q2289" s="533" t="s">
        <v>51</v>
      </c>
    </row>
    <row r="2290" spans="1:17" ht="18">
      <c r="A2290" s="512">
        <f t="shared" si="28"/>
        <v>1443</v>
      </c>
      <c r="B2290" s="655" t="s">
        <v>43</v>
      </c>
      <c r="C2290" s="626" t="s">
        <v>44</v>
      </c>
      <c r="D2290" s="626" t="s">
        <v>45</v>
      </c>
      <c r="E2290" s="575" t="s">
        <v>2834</v>
      </c>
      <c r="F2290" s="575" t="s">
        <v>502</v>
      </c>
      <c r="G2290" s="575">
        <v>9847832007</v>
      </c>
      <c r="H2290" s="626"/>
      <c r="I2290" s="575">
        <v>58</v>
      </c>
      <c r="J2290" s="575" t="s">
        <v>48</v>
      </c>
      <c r="K2290" s="575" t="s">
        <v>1468</v>
      </c>
      <c r="L2290" s="575"/>
      <c r="M2290" s="560" t="s">
        <v>119</v>
      </c>
      <c r="N2290" s="752">
        <v>65040</v>
      </c>
      <c r="O2290" s="600">
        <v>65040</v>
      </c>
      <c r="P2290" s="541">
        <v>65055</v>
      </c>
      <c r="Q2290" s="533" t="s">
        <v>51</v>
      </c>
    </row>
    <row r="2291" spans="1:17" ht="18">
      <c r="A2291" s="512">
        <f t="shared" si="28"/>
        <v>1444</v>
      </c>
      <c r="B2291" s="655" t="s">
        <v>43</v>
      </c>
      <c r="C2291" s="626" t="s">
        <v>44</v>
      </c>
      <c r="D2291" s="626" t="s">
        <v>45</v>
      </c>
      <c r="E2291" s="575" t="s">
        <v>2807</v>
      </c>
      <c r="F2291" s="575" t="s">
        <v>502</v>
      </c>
      <c r="G2291" s="575">
        <v>9847914492</v>
      </c>
      <c r="H2291" s="626"/>
      <c r="I2291" s="575">
        <v>52</v>
      </c>
      <c r="J2291" s="575" t="s">
        <v>90</v>
      </c>
      <c r="K2291" s="575" t="s">
        <v>1468</v>
      </c>
      <c r="L2291" s="575"/>
      <c r="M2291" s="560" t="s">
        <v>119</v>
      </c>
      <c r="N2291" s="752">
        <v>65040</v>
      </c>
      <c r="O2291" s="600">
        <v>65040</v>
      </c>
      <c r="P2291" s="541">
        <v>65055</v>
      </c>
      <c r="Q2291" s="533" t="s">
        <v>51</v>
      </c>
    </row>
    <row r="2292" spans="1:17" ht="18">
      <c r="A2292" s="512">
        <f t="shared" si="28"/>
        <v>1445</v>
      </c>
      <c r="B2292" s="655" t="s">
        <v>43</v>
      </c>
      <c r="C2292" s="626" t="s">
        <v>44</v>
      </c>
      <c r="D2292" s="626" t="s">
        <v>45</v>
      </c>
      <c r="E2292" s="575" t="s">
        <v>2708</v>
      </c>
      <c r="F2292" s="575" t="s">
        <v>502</v>
      </c>
      <c r="G2292" s="575">
        <v>9822981191</v>
      </c>
      <c r="H2292" s="626"/>
      <c r="I2292" s="575">
        <v>30</v>
      </c>
      <c r="J2292" s="575" t="s">
        <v>90</v>
      </c>
      <c r="K2292" s="575" t="s">
        <v>1468</v>
      </c>
      <c r="L2292" s="575"/>
      <c r="M2292" s="560" t="s">
        <v>119</v>
      </c>
      <c r="N2292" s="752">
        <v>65040</v>
      </c>
      <c r="O2292" s="600">
        <v>65040</v>
      </c>
      <c r="P2292" s="541">
        <v>65055</v>
      </c>
      <c r="Q2292" s="533" t="s">
        <v>51</v>
      </c>
    </row>
    <row r="2293" spans="1:17" ht="18">
      <c r="A2293" s="512">
        <f t="shared" si="28"/>
        <v>1446</v>
      </c>
      <c r="B2293" s="655" t="s">
        <v>43</v>
      </c>
      <c r="C2293" s="626" t="s">
        <v>44</v>
      </c>
      <c r="D2293" s="626" t="s">
        <v>45</v>
      </c>
      <c r="E2293" s="575" t="s">
        <v>2831</v>
      </c>
      <c r="F2293" s="575" t="s">
        <v>502</v>
      </c>
      <c r="G2293" s="575">
        <v>9809760184</v>
      </c>
      <c r="H2293" s="626"/>
      <c r="I2293" s="575">
        <v>57</v>
      </c>
      <c r="J2293" s="575" t="s">
        <v>90</v>
      </c>
      <c r="K2293" s="575" t="s">
        <v>1468</v>
      </c>
      <c r="L2293" s="575"/>
      <c r="M2293" s="560" t="s">
        <v>119</v>
      </c>
      <c r="N2293" s="752">
        <v>65040</v>
      </c>
      <c r="O2293" s="600">
        <v>65040</v>
      </c>
      <c r="P2293" s="541">
        <v>65055</v>
      </c>
      <c r="Q2293" s="533" t="s">
        <v>51</v>
      </c>
    </row>
    <row r="2294" spans="1:17" ht="18">
      <c r="A2294" s="512">
        <f t="shared" si="28"/>
        <v>1447</v>
      </c>
      <c r="B2294" s="655" t="s">
        <v>43</v>
      </c>
      <c r="C2294" s="626" t="s">
        <v>44</v>
      </c>
      <c r="D2294" s="626" t="s">
        <v>45</v>
      </c>
      <c r="E2294" s="865" t="s">
        <v>2749</v>
      </c>
      <c r="F2294" s="575" t="s">
        <v>502</v>
      </c>
      <c r="G2294" s="575">
        <v>9810898602</v>
      </c>
      <c r="H2294" s="626"/>
      <c r="I2294" s="575">
        <v>38</v>
      </c>
      <c r="J2294" s="575" t="s">
        <v>90</v>
      </c>
      <c r="K2294" s="575" t="s">
        <v>1468</v>
      </c>
      <c r="L2294" s="575"/>
      <c r="M2294" s="560" t="s">
        <v>119</v>
      </c>
      <c r="N2294" s="752">
        <v>65040</v>
      </c>
      <c r="O2294" s="600">
        <v>65040</v>
      </c>
      <c r="P2294" s="541">
        <v>65055</v>
      </c>
      <c r="Q2294" s="533" t="s">
        <v>51</v>
      </c>
    </row>
    <row r="2295" spans="1:17" s="163" customFormat="1" ht="18">
      <c r="A2295" s="512">
        <f t="shared" si="28"/>
        <v>1448</v>
      </c>
      <c r="B2295" s="655" t="s">
        <v>43</v>
      </c>
      <c r="C2295" s="626" t="s">
        <v>44</v>
      </c>
      <c r="D2295" s="626" t="s">
        <v>45</v>
      </c>
      <c r="E2295" s="575" t="s">
        <v>2741</v>
      </c>
      <c r="F2295" s="575" t="s">
        <v>502</v>
      </c>
      <c r="G2295" s="575">
        <v>9857821960</v>
      </c>
      <c r="H2295" s="626"/>
      <c r="I2295" s="575">
        <v>36</v>
      </c>
      <c r="J2295" s="575" t="s">
        <v>48</v>
      </c>
      <c r="K2295" s="575" t="s">
        <v>1468</v>
      </c>
      <c r="L2295" s="575"/>
      <c r="M2295" s="560" t="s">
        <v>119</v>
      </c>
      <c r="N2295" s="752">
        <v>65040</v>
      </c>
      <c r="O2295" s="600">
        <v>65040</v>
      </c>
      <c r="P2295" s="541">
        <v>65055</v>
      </c>
      <c r="Q2295" s="533" t="s">
        <v>51</v>
      </c>
    </row>
    <row r="2296" spans="1:17" ht="18">
      <c r="A2296" s="512">
        <f t="shared" si="28"/>
        <v>1449</v>
      </c>
      <c r="B2296" s="669" t="s">
        <v>43</v>
      </c>
      <c r="C2296" s="640" t="s">
        <v>44</v>
      </c>
      <c r="D2296" s="640" t="s">
        <v>45</v>
      </c>
      <c r="E2296" s="635" t="s">
        <v>2719</v>
      </c>
      <c r="F2296" s="635" t="s">
        <v>502</v>
      </c>
      <c r="G2296" s="635"/>
      <c r="H2296" s="640"/>
      <c r="I2296" s="635">
        <v>32</v>
      </c>
      <c r="J2296" s="635" t="s">
        <v>90</v>
      </c>
      <c r="K2296" s="635"/>
      <c r="L2296" s="635"/>
      <c r="M2296" s="592" t="s">
        <v>54</v>
      </c>
      <c r="N2296" s="754">
        <v>65040</v>
      </c>
      <c r="O2296" s="610">
        <v>65040</v>
      </c>
      <c r="P2296" s="465">
        <v>65061</v>
      </c>
      <c r="Q2296" s="436" t="s">
        <v>51</v>
      </c>
    </row>
    <row r="2297" spans="1:17" ht="18">
      <c r="A2297" s="512">
        <f t="shared" si="28"/>
        <v>1450</v>
      </c>
      <c r="B2297" s="655" t="s">
        <v>43</v>
      </c>
      <c r="C2297" s="626" t="s">
        <v>44</v>
      </c>
      <c r="D2297" s="626" t="s">
        <v>45</v>
      </c>
      <c r="E2297" s="575" t="s">
        <v>2690</v>
      </c>
      <c r="F2297" s="575" t="s">
        <v>502</v>
      </c>
      <c r="G2297" s="575">
        <v>9847849981</v>
      </c>
      <c r="H2297" s="626"/>
      <c r="I2297" s="575">
        <v>28</v>
      </c>
      <c r="J2297" s="575" t="s">
        <v>48</v>
      </c>
      <c r="K2297" s="575" t="s">
        <v>1468</v>
      </c>
      <c r="L2297" s="575"/>
      <c r="M2297" s="560" t="s">
        <v>119</v>
      </c>
      <c r="N2297" s="752">
        <v>65040</v>
      </c>
      <c r="O2297" s="600">
        <v>65040</v>
      </c>
      <c r="P2297" s="541">
        <v>65055</v>
      </c>
      <c r="Q2297" s="533" t="s">
        <v>51</v>
      </c>
    </row>
    <row r="2298" spans="1:17" ht="18">
      <c r="A2298" s="512">
        <f t="shared" si="28"/>
        <v>1451</v>
      </c>
      <c r="B2298" s="655" t="s">
        <v>43</v>
      </c>
      <c r="C2298" s="626" t="s">
        <v>44</v>
      </c>
      <c r="D2298" s="626" t="s">
        <v>45</v>
      </c>
      <c r="E2298" s="575" t="s">
        <v>2676</v>
      </c>
      <c r="F2298" s="575" t="s">
        <v>502</v>
      </c>
      <c r="G2298" s="575">
        <v>9866932466</v>
      </c>
      <c r="H2298" s="626"/>
      <c r="I2298" s="575">
        <v>25</v>
      </c>
      <c r="J2298" s="575" t="s">
        <v>90</v>
      </c>
      <c r="K2298" s="575" t="s">
        <v>1468</v>
      </c>
      <c r="L2298" s="575"/>
      <c r="M2298" s="560" t="s">
        <v>119</v>
      </c>
      <c r="N2298" s="752">
        <v>65040</v>
      </c>
      <c r="O2298" s="600">
        <v>65040</v>
      </c>
      <c r="P2298" s="541">
        <v>65055</v>
      </c>
      <c r="Q2298" s="533" t="s">
        <v>51</v>
      </c>
    </row>
    <row r="2299" spans="1:17" ht="18">
      <c r="A2299" s="512">
        <f t="shared" si="28"/>
        <v>1452</v>
      </c>
      <c r="B2299" s="655" t="s">
        <v>43</v>
      </c>
      <c r="C2299" s="626" t="s">
        <v>44</v>
      </c>
      <c r="D2299" s="626" t="s">
        <v>45</v>
      </c>
      <c r="E2299" s="575" t="s">
        <v>2743</v>
      </c>
      <c r="F2299" s="575" t="s">
        <v>502</v>
      </c>
      <c r="G2299" s="575">
        <v>9868282628</v>
      </c>
      <c r="H2299" s="626"/>
      <c r="I2299" s="575">
        <v>36</v>
      </c>
      <c r="J2299" s="575" t="s">
        <v>90</v>
      </c>
      <c r="K2299" s="575" t="s">
        <v>1468</v>
      </c>
      <c r="L2299" s="575"/>
      <c r="M2299" s="560" t="s">
        <v>119</v>
      </c>
      <c r="N2299" s="752">
        <v>65040</v>
      </c>
      <c r="O2299" s="600">
        <v>65040</v>
      </c>
      <c r="P2299" s="541">
        <v>65055</v>
      </c>
      <c r="Q2299" s="533" t="s">
        <v>51</v>
      </c>
    </row>
    <row r="2300" spans="1:17" ht="18">
      <c r="A2300" s="512">
        <f t="shared" si="28"/>
        <v>1453</v>
      </c>
      <c r="B2300" s="658" t="s">
        <v>43</v>
      </c>
      <c r="C2300" s="630" t="s">
        <v>44</v>
      </c>
      <c r="D2300" s="630" t="s">
        <v>45</v>
      </c>
      <c r="E2300" s="597" t="s">
        <v>2788</v>
      </c>
      <c r="F2300" s="597" t="s">
        <v>502</v>
      </c>
      <c r="G2300" s="597">
        <v>9857820134</v>
      </c>
      <c r="H2300" s="630"/>
      <c r="I2300" s="597">
        <v>46</v>
      </c>
      <c r="J2300" s="597" t="s">
        <v>48</v>
      </c>
      <c r="K2300" s="597" t="s">
        <v>1468</v>
      </c>
      <c r="L2300" s="597"/>
      <c r="M2300" s="597" t="s">
        <v>119</v>
      </c>
      <c r="N2300" s="758">
        <v>65040</v>
      </c>
      <c r="O2300" s="632">
        <v>65040</v>
      </c>
      <c r="P2300" s="476">
        <v>65048</v>
      </c>
      <c r="Q2300" s="422" t="s">
        <v>940</v>
      </c>
    </row>
    <row r="2301" spans="1:17" ht="18">
      <c r="A2301" s="512">
        <f t="shared" si="28"/>
        <v>1454</v>
      </c>
      <c r="B2301" s="655" t="s">
        <v>43</v>
      </c>
      <c r="C2301" s="626" t="s">
        <v>44</v>
      </c>
      <c r="D2301" s="626" t="s">
        <v>45</v>
      </c>
      <c r="E2301" s="575" t="s">
        <v>2745</v>
      </c>
      <c r="F2301" s="575" t="s">
        <v>502</v>
      </c>
      <c r="G2301" s="575">
        <v>9806232104</v>
      </c>
      <c r="H2301" s="626"/>
      <c r="I2301" s="575">
        <v>37</v>
      </c>
      <c r="J2301" s="575" t="s">
        <v>48</v>
      </c>
      <c r="K2301" s="575" t="s">
        <v>1468</v>
      </c>
      <c r="L2301" s="575"/>
      <c r="M2301" s="560" t="s">
        <v>119</v>
      </c>
      <c r="N2301" s="752">
        <v>65040</v>
      </c>
      <c r="O2301" s="600">
        <v>65040</v>
      </c>
      <c r="P2301" s="541">
        <v>65055</v>
      </c>
      <c r="Q2301" s="533" t="s">
        <v>51</v>
      </c>
    </row>
    <row r="2302" spans="1:17" ht="18">
      <c r="A2302" s="512">
        <f t="shared" si="28"/>
        <v>1455</v>
      </c>
      <c r="B2302" s="655" t="s">
        <v>43</v>
      </c>
      <c r="C2302" s="626" t="s">
        <v>44</v>
      </c>
      <c r="D2302" s="626" t="s">
        <v>45</v>
      </c>
      <c r="E2302" s="575" t="s">
        <v>2844</v>
      </c>
      <c r="F2302" s="575" t="s">
        <v>502</v>
      </c>
      <c r="G2302" s="575">
        <v>9809760184</v>
      </c>
      <c r="H2302" s="626"/>
      <c r="I2302" s="575">
        <v>61</v>
      </c>
      <c r="J2302" s="575" t="s">
        <v>48</v>
      </c>
      <c r="K2302" s="575" t="s">
        <v>1468</v>
      </c>
      <c r="L2302" s="575"/>
      <c r="M2302" s="560" t="s">
        <v>119</v>
      </c>
      <c r="N2302" s="752">
        <v>65040</v>
      </c>
      <c r="O2302" s="600">
        <v>65040</v>
      </c>
      <c r="P2302" s="541">
        <v>65055</v>
      </c>
      <c r="Q2302" s="533" t="s">
        <v>51</v>
      </c>
    </row>
    <row r="2303" spans="1:17" ht="18">
      <c r="A2303" s="512">
        <f t="shared" si="28"/>
        <v>1456</v>
      </c>
      <c r="B2303" s="655" t="s">
        <v>43</v>
      </c>
      <c r="C2303" s="626" t="s">
        <v>44</v>
      </c>
      <c r="D2303" s="626" t="s">
        <v>45</v>
      </c>
      <c r="E2303" s="575" t="s">
        <v>2863</v>
      </c>
      <c r="F2303" s="575" t="s">
        <v>502</v>
      </c>
      <c r="G2303" s="575">
        <v>9841876546</v>
      </c>
      <c r="H2303" s="626"/>
      <c r="I2303" s="575">
        <v>68</v>
      </c>
      <c r="J2303" s="575" t="s">
        <v>48</v>
      </c>
      <c r="K2303" s="575" t="s">
        <v>1468</v>
      </c>
      <c r="L2303" s="575"/>
      <c r="M2303" s="560" t="s">
        <v>119</v>
      </c>
      <c r="N2303" s="752">
        <v>65040</v>
      </c>
      <c r="O2303" s="600">
        <v>65040</v>
      </c>
      <c r="P2303" s="541">
        <v>65055</v>
      </c>
      <c r="Q2303" s="533" t="s">
        <v>51</v>
      </c>
    </row>
    <row r="2304" spans="1:17" ht="18">
      <c r="A2304" s="512">
        <f t="shared" si="28"/>
        <v>1457</v>
      </c>
      <c r="B2304" s="655" t="s">
        <v>43</v>
      </c>
      <c r="C2304" s="626" t="s">
        <v>44</v>
      </c>
      <c r="D2304" s="626" t="s">
        <v>45</v>
      </c>
      <c r="E2304" s="575" t="s">
        <v>2746</v>
      </c>
      <c r="F2304" s="575" t="s">
        <v>502</v>
      </c>
      <c r="G2304" s="575">
        <v>9841691781</v>
      </c>
      <c r="H2304" s="626"/>
      <c r="I2304" s="575">
        <v>37</v>
      </c>
      <c r="J2304" s="575" t="s">
        <v>90</v>
      </c>
      <c r="K2304" s="575" t="s">
        <v>1468</v>
      </c>
      <c r="L2304" s="575"/>
      <c r="M2304" s="560" t="s">
        <v>119</v>
      </c>
      <c r="N2304" s="752">
        <v>65040</v>
      </c>
      <c r="O2304" s="600">
        <v>65040</v>
      </c>
      <c r="P2304" s="541">
        <v>65055</v>
      </c>
      <c r="Q2304" s="533" t="s">
        <v>51</v>
      </c>
    </row>
    <row r="2305" spans="1:17" ht="18">
      <c r="A2305" s="512">
        <f t="shared" si="28"/>
        <v>1458</v>
      </c>
      <c r="B2305" s="655" t="s">
        <v>43</v>
      </c>
      <c r="C2305" s="626" t="s">
        <v>44</v>
      </c>
      <c r="D2305" s="626" t="s">
        <v>45</v>
      </c>
      <c r="E2305" s="575" t="s">
        <v>2662</v>
      </c>
      <c r="F2305" s="575" t="s">
        <v>502</v>
      </c>
      <c r="G2305" s="575">
        <v>9809783023</v>
      </c>
      <c r="H2305" s="626"/>
      <c r="I2305" s="575">
        <v>21</v>
      </c>
      <c r="J2305" s="575" t="s">
        <v>48</v>
      </c>
      <c r="K2305" s="575" t="s">
        <v>1468</v>
      </c>
      <c r="L2305" s="575"/>
      <c r="M2305" s="560" t="s">
        <v>119</v>
      </c>
      <c r="N2305" s="752">
        <v>65040</v>
      </c>
      <c r="O2305" s="600">
        <v>65040</v>
      </c>
      <c r="P2305" s="541">
        <v>65055</v>
      </c>
      <c r="Q2305" s="533" t="s">
        <v>51</v>
      </c>
    </row>
    <row r="2306" spans="1:17" ht="18">
      <c r="A2306" s="512">
        <f t="shared" si="28"/>
        <v>1459</v>
      </c>
      <c r="B2306" s="655" t="s">
        <v>43</v>
      </c>
      <c r="C2306" s="626" t="s">
        <v>44</v>
      </c>
      <c r="D2306" s="626" t="s">
        <v>45</v>
      </c>
      <c r="E2306" s="865" t="s">
        <v>2700</v>
      </c>
      <c r="F2306" s="575" t="s">
        <v>502</v>
      </c>
      <c r="G2306" s="575">
        <v>9809571871</v>
      </c>
      <c r="H2306" s="626"/>
      <c r="I2306" s="575">
        <v>29</v>
      </c>
      <c r="J2306" s="575" t="s">
        <v>48</v>
      </c>
      <c r="K2306" s="575" t="s">
        <v>345</v>
      </c>
      <c r="L2306" s="575"/>
      <c r="M2306" s="560" t="s">
        <v>119</v>
      </c>
      <c r="N2306" s="752">
        <v>65040</v>
      </c>
      <c r="O2306" s="600">
        <v>65040</v>
      </c>
      <c r="P2306" s="541">
        <v>65055</v>
      </c>
      <c r="Q2306" s="533" t="s">
        <v>51</v>
      </c>
    </row>
    <row r="2307" spans="1:17" ht="18">
      <c r="A2307" s="512">
        <f t="shared" si="28"/>
        <v>1460</v>
      </c>
      <c r="B2307" s="655" t="s">
        <v>43</v>
      </c>
      <c r="C2307" s="626" t="s">
        <v>44</v>
      </c>
      <c r="D2307" s="626" t="s">
        <v>45</v>
      </c>
      <c r="E2307" s="575" t="s">
        <v>2733</v>
      </c>
      <c r="F2307" s="575" t="s">
        <v>502</v>
      </c>
      <c r="G2307" s="575">
        <v>9847823742</v>
      </c>
      <c r="H2307" s="626"/>
      <c r="I2307" s="575">
        <v>35</v>
      </c>
      <c r="J2307" s="575" t="s">
        <v>48</v>
      </c>
      <c r="K2307" s="575" t="s">
        <v>1468</v>
      </c>
      <c r="L2307" s="575"/>
      <c r="M2307" s="560" t="s">
        <v>119</v>
      </c>
      <c r="N2307" s="752">
        <v>65040</v>
      </c>
      <c r="O2307" s="600">
        <v>65040</v>
      </c>
      <c r="P2307" s="541">
        <v>65055</v>
      </c>
      <c r="Q2307" s="533" t="s">
        <v>51</v>
      </c>
    </row>
    <row r="2308" spans="1:17" ht="18">
      <c r="A2308" s="512">
        <f t="shared" si="28"/>
        <v>1461</v>
      </c>
      <c r="B2308" s="655" t="s">
        <v>43</v>
      </c>
      <c r="C2308" s="626" t="s">
        <v>44</v>
      </c>
      <c r="D2308" s="626" t="s">
        <v>45</v>
      </c>
      <c r="E2308" s="575" t="s">
        <v>2718</v>
      </c>
      <c r="F2308" s="575" t="s">
        <v>502</v>
      </c>
      <c r="G2308" s="575">
        <v>9823706872</v>
      </c>
      <c r="H2308" s="626"/>
      <c r="I2308" s="575">
        <v>32</v>
      </c>
      <c r="J2308" s="575" t="s">
        <v>48</v>
      </c>
      <c r="K2308" s="575" t="s">
        <v>1468</v>
      </c>
      <c r="L2308" s="575"/>
      <c r="M2308" s="560" t="s">
        <v>119</v>
      </c>
      <c r="N2308" s="752">
        <v>65040</v>
      </c>
      <c r="O2308" s="600">
        <v>65040</v>
      </c>
      <c r="P2308" s="541">
        <v>65055</v>
      </c>
      <c r="Q2308" s="533" t="s">
        <v>51</v>
      </c>
    </row>
    <row r="2309" spans="1:17" ht="18">
      <c r="A2309" s="512">
        <f t="shared" si="28"/>
        <v>1462</v>
      </c>
      <c r="B2309" s="655" t="s">
        <v>43</v>
      </c>
      <c r="C2309" s="626" t="s">
        <v>44</v>
      </c>
      <c r="D2309" s="626" t="s">
        <v>45</v>
      </c>
      <c r="E2309" s="865" t="s">
        <v>2772</v>
      </c>
      <c r="F2309" s="575" t="s">
        <v>502</v>
      </c>
      <c r="G2309" s="575">
        <v>9847952536</v>
      </c>
      <c r="H2309" s="626"/>
      <c r="I2309" s="575">
        <v>43</v>
      </c>
      <c r="J2309" s="575" t="s">
        <v>48</v>
      </c>
      <c r="K2309" s="575" t="s">
        <v>1468</v>
      </c>
      <c r="L2309" s="575"/>
      <c r="M2309" s="560" t="s">
        <v>119</v>
      </c>
      <c r="N2309" s="752">
        <v>65040</v>
      </c>
      <c r="O2309" s="600">
        <v>65040</v>
      </c>
      <c r="P2309" s="541">
        <v>65055</v>
      </c>
      <c r="Q2309" s="533" t="s">
        <v>51</v>
      </c>
    </row>
    <row r="2310" spans="1:17" ht="18">
      <c r="A2310" s="512">
        <f t="shared" si="28"/>
        <v>1463</v>
      </c>
      <c r="B2310" s="655" t="s">
        <v>43</v>
      </c>
      <c r="C2310" s="626" t="s">
        <v>44</v>
      </c>
      <c r="D2310" s="626" t="s">
        <v>45</v>
      </c>
      <c r="E2310" s="575" t="s">
        <v>2709</v>
      </c>
      <c r="F2310" s="575" t="s">
        <v>502</v>
      </c>
      <c r="G2310" s="575">
        <v>9847914492</v>
      </c>
      <c r="H2310" s="626"/>
      <c r="I2310" s="575">
        <v>30</v>
      </c>
      <c r="J2310" s="575" t="s">
        <v>90</v>
      </c>
      <c r="K2310" s="575" t="s">
        <v>1468</v>
      </c>
      <c r="L2310" s="575"/>
      <c r="M2310" s="560" t="s">
        <v>119</v>
      </c>
      <c r="N2310" s="752">
        <v>65040</v>
      </c>
      <c r="O2310" s="600">
        <v>65040</v>
      </c>
      <c r="P2310" s="541">
        <v>65055</v>
      </c>
      <c r="Q2310" s="533" t="s">
        <v>51</v>
      </c>
    </row>
    <row r="2311" spans="1:17" ht="18">
      <c r="A2311" s="512">
        <f t="shared" si="28"/>
        <v>1464</v>
      </c>
      <c r="B2311" s="655" t="s">
        <v>43</v>
      </c>
      <c r="C2311" s="626" t="s">
        <v>44</v>
      </c>
      <c r="D2311" s="626" t="s">
        <v>45</v>
      </c>
      <c r="E2311" s="575" t="s">
        <v>2725</v>
      </c>
      <c r="F2311" s="575" t="s">
        <v>502</v>
      </c>
      <c r="G2311" s="575">
        <v>9847940614</v>
      </c>
      <c r="H2311" s="626"/>
      <c r="I2311" s="575">
        <v>33</v>
      </c>
      <c r="J2311" s="575" t="s">
        <v>48</v>
      </c>
      <c r="K2311" s="575" t="s">
        <v>1468</v>
      </c>
      <c r="L2311" s="575"/>
      <c r="M2311" s="560" t="s">
        <v>119</v>
      </c>
      <c r="N2311" s="752">
        <v>65040</v>
      </c>
      <c r="O2311" s="600">
        <v>65040</v>
      </c>
      <c r="P2311" s="541">
        <v>65055</v>
      </c>
      <c r="Q2311" s="533" t="s">
        <v>51</v>
      </c>
    </row>
    <row r="2312" spans="1:17" ht="18">
      <c r="A2312" s="512">
        <f t="shared" si="28"/>
        <v>1465</v>
      </c>
      <c r="B2312" s="655" t="s">
        <v>43</v>
      </c>
      <c r="C2312" s="626" t="s">
        <v>44</v>
      </c>
      <c r="D2312" s="626" t="s">
        <v>45</v>
      </c>
      <c r="E2312" s="575" t="s">
        <v>2750</v>
      </c>
      <c r="F2312" s="575" t="s">
        <v>502</v>
      </c>
      <c r="G2312" s="575">
        <v>9847960763</v>
      </c>
      <c r="H2312" s="626"/>
      <c r="I2312" s="575">
        <v>38</v>
      </c>
      <c r="J2312" s="575" t="s">
        <v>90</v>
      </c>
      <c r="K2312" s="575" t="s">
        <v>1468</v>
      </c>
      <c r="L2312" s="575"/>
      <c r="M2312" s="560" t="s">
        <v>119</v>
      </c>
      <c r="N2312" s="752">
        <v>65040</v>
      </c>
      <c r="O2312" s="600">
        <v>65040</v>
      </c>
      <c r="P2312" s="541">
        <v>65055</v>
      </c>
      <c r="Q2312" s="533" t="s">
        <v>51</v>
      </c>
    </row>
    <row r="2313" spans="1:17" ht="18">
      <c r="A2313" s="512">
        <f t="shared" si="28"/>
        <v>1466</v>
      </c>
      <c r="B2313" s="655" t="s">
        <v>43</v>
      </c>
      <c r="C2313" s="626" t="s">
        <v>44</v>
      </c>
      <c r="D2313" s="626" t="s">
        <v>45</v>
      </c>
      <c r="E2313" s="575" t="s">
        <v>2677</v>
      </c>
      <c r="F2313" s="575" t="s">
        <v>502</v>
      </c>
      <c r="G2313" s="575">
        <v>9829599511</v>
      </c>
      <c r="H2313" s="626"/>
      <c r="I2313" s="575">
        <v>25</v>
      </c>
      <c r="J2313" s="575" t="s">
        <v>90</v>
      </c>
      <c r="K2313" s="575" t="s">
        <v>1468</v>
      </c>
      <c r="L2313" s="575"/>
      <c r="M2313" s="560" t="s">
        <v>119</v>
      </c>
      <c r="N2313" s="752">
        <v>65040</v>
      </c>
      <c r="O2313" s="600">
        <v>65040</v>
      </c>
      <c r="P2313" s="541">
        <v>65055</v>
      </c>
      <c r="Q2313" s="533" t="s">
        <v>51</v>
      </c>
    </row>
    <row r="2314" spans="1:17" ht="18">
      <c r="A2314" s="512">
        <f t="shared" si="28"/>
        <v>1467</v>
      </c>
      <c r="B2314" s="655" t="s">
        <v>43</v>
      </c>
      <c r="C2314" s="626" t="s">
        <v>44</v>
      </c>
      <c r="D2314" s="626" t="s">
        <v>45</v>
      </c>
      <c r="E2314" s="865" t="s">
        <v>2847</v>
      </c>
      <c r="F2314" s="575" t="s">
        <v>502</v>
      </c>
      <c r="G2314" s="575">
        <v>9857825544</v>
      </c>
      <c r="H2314" s="626"/>
      <c r="I2314" s="575">
        <v>62</v>
      </c>
      <c r="J2314" s="575" t="s">
        <v>48</v>
      </c>
      <c r="K2314" s="575" t="s">
        <v>1468</v>
      </c>
      <c r="L2314" s="575"/>
      <c r="M2314" s="560" t="s">
        <v>119</v>
      </c>
      <c r="N2314" s="752">
        <v>65040</v>
      </c>
      <c r="O2314" s="600">
        <v>65040</v>
      </c>
      <c r="P2314" s="541">
        <v>65055</v>
      </c>
      <c r="Q2314" s="533" t="s">
        <v>51</v>
      </c>
    </row>
    <row r="2315" spans="1:17" ht="18">
      <c r="A2315" s="512">
        <f t="shared" si="28"/>
        <v>1468</v>
      </c>
      <c r="B2315" s="655" t="s">
        <v>43</v>
      </c>
      <c r="C2315" s="626" t="s">
        <v>44</v>
      </c>
      <c r="D2315" s="626" t="s">
        <v>45</v>
      </c>
      <c r="E2315" s="575" t="s">
        <v>2702</v>
      </c>
      <c r="F2315" s="575" t="s">
        <v>502</v>
      </c>
      <c r="G2315" s="575">
        <v>986380920</v>
      </c>
      <c r="H2315" s="626"/>
      <c r="I2315" s="575">
        <v>29</v>
      </c>
      <c r="J2315" s="575" t="s">
        <v>90</v>
      </c>
      <c r="K2315" s="575" t="s">
        <v>1468</v>
      </c>
      <c r="L2315" s="575"/>
      <c r="M2315" s="560" t="s">
        <v>119</v>
      </c>
      <c r="N2315" s="752">
        <v>65040</v>
      </c>
      <c r="O2315" s="600">
        <v>65040</v>
      </c>
      <c r="P2315" s="541">
        <v>65055</v>
      </c>
      <c r="Q2315" s="533" t="s">
        <v>51</v>
      </c>
    </row>
    <row r="2316" spans="1:17" ht="18">
      <c r="A2316" s="512">
        <f t="shared" si="28"/>
        <v>1469</v>
      </c>
      <c r="B2316" s="655" t="s">
        <v>43</v>
      </c>
      <c r="C2316" s="626" t="s">
        <v>44</v>
      </c>
      <c r="D2316" s="626" t="s">
        <v>45</v>
      </c>
      <c r="E2316" s="575" t="s">
        <v>2782</v>
      </c>
      <c r="F2316" s="575" t="s">
        <v>502</v>
      </c>
      <c r="G2316" s="575">
        <v>9847842707</v>
      </c>
      <c r="H2316" s="626"/>
      <c r="I2316" s="575">
        <v>45</v>
      </c>
      <c r="J2316" s="575" t="s">
        <v>48</v>
      </c>
      <c r="K2316" s="575" t="s">
        <v>1468</v>
      </c>
      <c r="L2316" s="575"/>
      <c r="M2316" s="560" t="s">
        <v>119</v>
      </c>
      <c r="N2316" s="752">
        <v>65040</v>
      </c>
      <c r="O2316" s="600">
        <v>65040</v>
      </c>
      <c r="P2316" s="541">
        <v>65055</v>
      </c>
      <c r="Q2316" s="533" t="s">
        <v>51</v>
      </c>
    </row>
    <row r="2317" spans="1:17" ht="18">
      <c r="A2317" s="512">
        <f t="shared" si="28"/>
        <v>1470</v>
      </c>
      <c r="B2317" s="655" t="s">
        <v>43</v>
      </c>
      <c r="C2317" s="626" t="s">
        <v>44</v>
      </c>
      <c r="D2317" s="626" t="s">
        <v>45</v>
      </c>
      <c r="E2317" s="865" t="s">
        <v>2715</v>
      </c>
      <c r="F2317" s="575" t="s">
        <v>502</v>
      </c>
      <c r="G2317" s="575">
        <v>9805261798</v>
      </c>
      <c r="H2317" s="626"/>
      <c r="I2317" s="575">
        <v>31</v>
      </c>
      <c r="J2317" s="575" t="s">
        <v>48</v>
      </c>
      <c r="K2317" s="575" t="s">
        <v>1468</v>
      </c>
      <c r="L2317" s="575"/>
      <c r="M2317" s="560" t="s">
        <v>119</v>
      </c>
      <c r="N2317" s="752">
        <v>65040</v>
      </c>
      <c r="O2317" s="600">
        <v>65040</v>
      </c>
      <c r="P2317" s="541">
        <v>65055</v>
      </c>
      <c r="Q2317" s="533" t="s">
        <v>51</v>
      </c>
    </row>
    <row r="2318" spans="1:17" ht="18">
      <c r="A2318" s="512">
        <f t="shared" si="28"/>
        <v>1471</v>
      </c>
      <c r="B2318" s="692" t="s">
        <v>43</v>
      </c>
      <c r="C2318" s="693" t="s">
        <v>44</v>
      </c>
      <c r="D2318" s="693" t="s">
        <v>45</v>
      </c>
      <c r="E2318" s="590" t="s">
        <v>2682</v>
      </c>
      <c r="F2318" s="590" t="s">
        <v>791</v>
      </c>
      <c r="G2318" s="590">
        <v>9866858531</v>
      </c>
      <c r="H2318" s="693"/>
      <c r="I2318" s="590">
        <v>25</v>
      </c>
      <c r="J2318" s="590" t="s">
        <v>90</v>
      </c>
      <c r="K2318" s="590" t="s">
        <v>1480</v>
      </c>
      <c r="L2318" s="590"/>
      <c r="M2318" s="588" t="s">
        <v>119</v>
      </c>
      <c r="N2318" s="750">
        <v>65041</v>
      </c>
      <c r="O2318" s="596">
        <v>65041</v>
      </c>
      <c r="P2318" s="496">
        <v>65056</v>
      </c>
      <c r="Q2318" s="491" t="s">
        <v>51</v>
      </c>
    </row>
    <row r="2319" spans="1:17" ht="18">
      <c r="A2319" s="512">
        <f t="shared" si="28"/>
        <v>1472</v>
      </c>
      <c r="B2319" s="692" t="s">
        <v>43</v>
      </c>
      <c r="C2319" s="693" t="s">
        <v>44</v>
      </c>
      <c r="D2319" s="693" t="s">
        <v>45</v>
      </c>
      <c r="E2319" s="590" t="s">
        <v>2693</v>
      </c>
      <c r="F2319" s="590" t="s">
        <v>491</v>
      </c>
      <c r="G2319" s="590">
        <v>9843047492</v>
      </c>
      <c r="H2319" s="693"/>
      <c r="I2319" s="590">
        <v>28</v>
      </c>
      <c r="J2319" s="590" t="s">
        <v>48</v>
      </c>
      <c r="K2319" s="590" t="s">
        <v>1480</v>
      </c>
      <c r="L2319" s="590"/>
      <c r="M2319" s="588" t="s">
        <v>119</v>
      </c>
      <c r="N2319" s="750">
        <v>65041</v>
      </c>
      <c r="O2319" s="596">
        <v>65041</v>
      </c>
      <c r="P2319" s="496">
        <v>65056</v>
      </c>
      <c r="Q2319" s="491" t="s">
        <v>51</v>
      </c>
    </row>
    <row r="2320" spans="1:17" ht="18">
      <c r="A2320" s="512">
        <f t="shared" si="28"/>
        <v>1473</v>
      </c>
      <c r="B2320" s="692" t="s">
        <v>43</v>
      </c>
      <c r="C2320" s="693" t="s">
        <v>44</v>
      </c>
      <c r="D2320" s="693" t="s">
        <v>45</v>
      </c>
      <c r="E2320" s="590" t="s">
        <v>2665</v>
      </c>
      <c r="F2320" s="590" t="s">
        <v>491</v>
      </c>
      <c r="G2320" s="590">
        <v>9822939311</v>
      </c>
      <c r="H2320" s="693"/>
      <c r="I2320" s="590">
        <v>21</v>
      </c>
      <c r="J2320" s="590" t="s">
        <v>90</v>
      </c>
      <c r="K2320" s="590" t="s">
        <v>1480</v>
      </c>
      <c r="L2320" s="590"/>
      <c r="M2320" s="588" t="s">
        <v>119</v>
      </c>
      <c r="N2320" s="750">
        <v>65041</v>
      </c>
      <c r="O2320" s="596">
        <v>65041</v>
      </c>
      <c r="P2320" s="496">
        <v>65056</v>
      </c>
      <c r="Q2320" s="491" t="s">
        <v>51</v>
      </c>
    </row>
    <row r="2321" spans="1:17" ht="18">
      <c r="A2321" s="512">
        <f t="shared" si="28"/>
        <v>1474</v>
      </c>
      <c r="B2321" s="692" t="s">
        <v>43</v>
      </c>
      <c r="C2321" s="693" t="s">
        <v>44</v>
      </c>
      <c r="D2321" s="693" t="s">
        <v>45</v>
      </c>
      <c r="E2321" s="590" t="s">
        <v>2689</v>
      </c>
      <c r="F2321" s="590" t="s">
        <v>502</v>
      </c>
      <c r="G2321" s="590">
        <v>9866744361</v>
      </c>
      <c r="H2321" s="693"/>
      <c r="I2321" s="590">
        <v>27</v>
      </c>
      <c r="J2321" s="590" t="s">
        <v>48</v>
      </c>
      <c r="K2321" s="590" t="s">
        <v>1480</v>
      </c>
      <c r="L2321" s="590"/>
      <c r="M2321" s="588" t="s">
        <v>119</v>
      </c>
      <c r="N2321" s="750">
        <v>65041</v>
      </c>
      <c r="O2321" s="596">
        <v>65041</v>
      </c>
      <c r="P2321" s="496">
        <v>65056</v>
      </c>
      <c r="Q2321" s="491" t="s">
        <v>51</v>
      </c>
    </row>
    <row r="2322" spans="1:17" ht="18">
      <c r="A2322" s="512">
        <f t="shared" ref="A2322:A2385" si="29">A2321+1</f>
        <v>1475</v>
      </c>
      <c r="B2322" s="692" t="s">
        <v>43</v>
      </c>
      <c r="C2322" s="693" t="s">
        <v>44</v>
      </c>
      <c r="D2322" s="693" t="s">
        <v>45</v>
      </c>
      <c r="E2322" s="590" t="s">
        <v>2832</v>
      </c>
      <c r="F2322" s="590" t="s">
        <v>491</v>
      </c>
      <c r="G2322" s="590">
        <v>9857823006</v>
      </c>
      <c r="H2322" s="693"/>
      <c r="I2322" s="590">
        <v>57</v>
      </c>
      <c r="J2322" s="590" t="s">
        <v>48</v>
      </c>
      <c r="K2322" s="590" t="s">
        <v>1480</v>
      </c>
      <c r="L2322" s="590"/>
      <c r="M2322" s="588" t="s">
        <v>119</v>
      </c>
      <c r="N2322" s="750">
        <v>65041</v>
      </c>
      <c r="O2322" s="596">
        <v>65041</v>
      </c>
      <c r="P2322" s="496">
        <v>65056</v>
      </c>
      <c r="Q2322" s="491" t="s">
        <v>51</v>
      </c>
    </row>
    <row r="2323" spans="1:17" ht="18">
      <c r="A2323" s="512">
        <f t="shared" si="29"/>
        <v>1476</v>
      </c>
      <c r="B2323" s="692" t="s">
        <v>43</v>
      </c>
      <c r="C2323" s="693" t="s">
        <v>44</v>
      </c>
      <c r="D2323" s="693" t="s">
        <v>45</v>
      </c>
      <c r="E2323" s="590" t="s">
        <v>2875</v>
      </c>
      <c r="F2323" s="590" t="s">
        <v>529</v>
      </c>
      <c r="G2323" s="590">
        <v>9829565830</v>
      </c>
      <c r="H2323" s="693"/>
      <c r="I2323" s="590">
        <v>87</v>
      </c>
      <c r="J2323" s="590" t="s">
        <v>48</v>
      </c>
      <c r="K2323" s="590" t="s">
        <v>1468</v>
      </c>
      <c r="L2323" s="590"/>
      <c r="M2323" s="588" t="s">
        <v>119</v>
      </c>
      <c r="N2323" s="750">
        <v>65041</v>
      </c>
      <c r="O2323" s="596">
        <v>65041</v>
      </c>
      <c r="P2323" s="496">
        <v>65056</v>
      </c>
      <c r="Q2323" s="491" t="s">
        <v>51</v>
      </c>
    </row>
    <row r="2324" spans="1:17" ht="18">
      <c r="A2324" s="512">
        <f t="shared" si="29"/>
        <v>1477</v>
      </c>
      <c r="B2324" s="692" t="s">
        <v>43</v>
      </c>
      <c r="C2324" s="693" t="s">
        <v>44</v>
      </c>
      <c r="D2324" s="693" t="s">
        <v>45</v>
      </c>
      <c r="E2324" s="882" t="s">
        <v>2855</v>
      </c>
      <c r="F2324" s="590" t="s">
        <v>557</v>
      </c>
      <c r="G2324" s="590">
        <v>9857832858</v>
      </c>
      <c r="H2324" s="693"/>
      <c r="I2324" s="590">
        <v>64</v>
      </c>
      <c r="J2324" s="590" t="s">
        <v>90</v>
      </c>
      <c r="K2324" s="590" t="s">
        <v>1480</v>
      </c>
      <c r="L2324" s="590"/>
      <c r="M2324" s="588" t="s">
        <v>119</v>
      </c>
      <c r="N2324" s="750">
        <v>65041</v>
      </c>
      <c r="O2324" s="596">
        <v>65041</v>
      </c>
      <c r="P2324" s="496">
        <v>65056</v>
      </c>
      <c r="Q2324" s="491" t="s">
        <v>51</v>
      </c>
    </row>
    <row r="2325" spans="1:17" ht="18">
      <c r="A2325" s="512">
        <f t="shared" si="29"/>
        <v>1478</v>
      </c>
      <c r="B2325" s="692" t="s">
        <v>43</v>
      </c>
      <c r="C2325" s="693" t="s">
        <v>44</v>
      </c>
      <c r="D2325" s="693" t="s">
        <v>45</v>
      </c>
      <c r="E2325" s="590" t="s">
        <v>2858</v>
      </c>
      <c r="F2325" s="590" t="s">
        <v>441</v>
      </c>
      <c r="G2325" s="590">
        <v>9847943194</v>
      </c>
      <c r="H2325" s="693"/>
      <c r="I2325" s="590">
        <v>65</v>
      </c>
      <c r="J2325" s="590" t="s">
        <v>48</v>
      </c>
      <c r="K2325" s="590" t="s">
        <v>53</v>
      </c>
      <c r="L2325" s="590"/>
      <c r="M2325" s="588" t="s">
        <v>119</v>
      </c>
      <c r="N2325" s="750">
        <v>65041</v>
      </c>
      <c r="O2325" s="596">
        <v>65041</v>
      </c>
      <c r="P2325" s="496">
        <v>65056</v>
      </c>
      <c r="Q2325" s="491" t="s">
        <v>51</v>
      </c>
    </row>
    <row r="2326" spans="1:17" ht="18">
      <c r="A2326" s="512">
        <f t="shared" si="29"/>
        <v>1479</v>
      </c>
      <c r="B2326" s="692" t="s">
        <v>43</v>
      </c>
      <c r="C2326" s="693" t="s">
        <v>44</v>
      </c>
      <c r="D2326" s="693" t="s">
        <v>45</v>
      </c>
      <c r="E2326" s="590" t="s">
        <v>2760</v>
      </c>
      <c r="F2326" s="590" t="s">
        <v>1046</v>
      </c>
      <c r="G2326" s="590">
        <v>9847908953</v>
      </c>
      <c r="H2326" s="693"/>
      <c r="I2326" s="590">
        <v>40</v>
      </c>
      <c r="J2326" s="590" t="s">
        <v>90</v>
      </c>
      <c r="K2326" s="590" t="s">
        <v>1480</v>
      </c>
      <c r="L2326" s="590"/>
      <c r="M2326" s="588" t="s">
        <v>119</v>
      </c>
      <c r="N2326" s="750">
        <v>65041</v>
      </c>
      <c r="O2326" s="596">
        <v>65041</v>
      </c>
      <c r="P2326" s="496">
        <v>65056</v>
      </c>
      <c r="Q2326" s="491" t="s">
        <v>51</v>
      </c>
    </row>
    <row r="2327" spans="1:17" ht="18">
      <c r="A2327" s="512">
        <f t="shared" si="29"/>
        <v>1480</v>
      </c>
      <c r="B2327" s="692" t="s">
        <v>43</v>
      </c>
      <c r="C2327" s="693" t="s">
        <v>44</v>
      </c>
      <c r="D2327" s="693" t="s">
        <v>45</v>
      </c>
      <c r="E2327" s="590" t="s">
        <v>2728</v>
      </c>
      <c r="F2327" s="590" t="s">
        <v>730</v>
      </c>
      <c r="G2327" s="590">
        <v>9851279240</v>
      </c>
      <c r="H2327" s="693"/>
      <c r="I2327" s="590">
        <v>33</v>
      </c>
      <c r="J2327" s="590" t="s">
        <v>48</v>
      </c>
      <c r="K2327" s="590" t="s">
        <v>1480</v>
      </c>
      <c r="L2327" s="590"/>
      <c r="M2327" s="588" t="s">
        <v>119</v>
      </c>
      <c r="N2327" s="750">
        <v>65041</v>
      </c>
      <c r="O2327" s="596">
        <v>65041</v>
      </c>
      <c r="P2327" s="496">
        <v>65056</v>
      </c>
      <c r="Q2327" s="491" t="s">
        <v>51</v>
      </c>
    </row>
    <row r="2328" spans="1:17" ht="18">
      <c r="A2328" s="512">
        <f t="shared" si="29"/>
        <v>1481</v>
      </c>
      <c r="B2328" s="692" t="s">
        <v>43</v>
      </c>
      <c r="C2328" s="693" t="s">
        <v>44</v>
      </c>
      <c r="D2328" s="693" t="s">
        <v>45</v>
      </c>
      <c r="E2328" s="590" t="s">
        <v>2735</v>
      </c>
      <c r="F2328" s="590" t="s">
        <v>491</v>
      </c>
      <c r="G2328" s="590">
        <v>9847884396</v>
      </c>
      <c r="H2328" s="693"/>
      <c r="I2328" s="590">
        <v>35</v>
      </c>
      <c r="J2328" s="590" t="s">
        <v>90</v>
      </c>
      <c r="K2328" s="590" t="s">
        <v>1468</v>
      </c>
      <c r="L2328" s="590"/>
      <c r="M2328" s="588" t="s">
        <v>119</v>
      </c>
      <c r="N2328" s="750">
        <v>65041</v>
      </c>
      <c r="O2328" s="596">
        <v>65041</v>
      </c>
      <c r="P2328" s="496">
        <v>65056</v>
      </c>
      <c r="Q2328" s="491" t="s">
        <v>51</v>
      </c>
    </row>
    <row r="2329" spans="1:17" s="326" customFormat="1" ht="18">
      <c r="A2329" s="512">
        <f t="shared" si="29"/>
        <v>1482</v>
      </c>
      <c r="B2329" s="692" t="s">
        <v>43</v>
      </c>
      <c r="C2329" s="693" t="s">
        <v>44</v>
      </c>
      <c r="D2329" s="693" t="s">
        <v>45</v>
      </c>
      <c r="E2329" s="590" t="s">
        <v>2854</v>
      </c>
      <c r="F2329" s="590" t="s">
        <v>488</v>
      </c>
      <c r="G2329" s="590">
        <v>9847842184</v>
      </c>
      <c r="H2329" s="693"/>
      <c r="I2329" s="590">
        <v>63</v>
      </c>
      <c r="J2329" s="590" t="s">
        <v>48</v>
      </c>
      <c r="K2329" s="590" t="s">
        <v>1468</v>
      </c>
      <c r="L2329" s="590"/>
      <c r="M2329" s="588" t="s">
        <v>119</v>
      </c>
      <c r="N2329" s="750">
        <v>65041</v>
      </c>
      <c r="O2329" s="596">
        <v>65041</v>
      </c>
      <c r="P2329" s="496">
        <v>65056</v>
      </c>
      <c r="Q2329" s="491" t="s">
        <v>51</v>
      </c>
    </row>
    <row r="2330" spans="1:17" s="338" customFormat="1" ht="18">
      <c r="A2330" s="512">
        <f t="shared" si="29"/>
        <v>1483</v>
      </c>
      <c r="B2330" s="658" t="s">
        <v>43</v>
      </c>
      <c r="C2330" s="630" t="s">
        <v>44</v>
      </c>
      <c r="D2330" s="630" t="s">
        <v>45</v>
      </c>
      <c r="E2330" s="597" t="s">
        <v>2819</v>
      </c>
      <c r="F2330" s="597" t="s">
        <v>510</v>
      </c>
      <c r="G2330" s="597">
        <v>9844996177</v>
      </c>
      <c r="H2330" s="630"/>
      <c r="I2330" s="597">
        <v>55</v>
      </c>
      <c r="J2330" s="597" t="s">
        <v>48</v>
      </c>
      <c r="K2330" s="597" t="s">
        <v>53</v>
      </c>
      <c r="L2330" s="597"/>
      <c r="M2330" s="597" t="s">
        <v>119</v>
      </c>
      <c r="N2330" s="758">
        <v>65041</v>
      </c>
      <c r="O2330" s="632">
        <v>65041</v>
      </c>
      <c r="P2330" s="422" t="s">
        <v>2934</v>
      </c>
      <c r="Q2330" s="422"/>
    </row>
    <row r="2331" spans="1:17" s="338" customFormat="1" ht="18">
      <c r="A2331" s="512">
        <f t="shared" si="29"/>
        <v>1484</v>
      </c>
      <c r="B2331" s="692" t="s">
        <v>43</v>
      </c>
      <c r="C2331" s="693" t="s">
        <v>44</v>
      </c>
      <c r="D2331" s="693" t="s">
        <v>45</v>
      </c>
      <c r="E2331" s="590" t="s">
        <v>2865</v>
      </c>
      <c r="F2331" s="590" t="s">
        <v>502</v>
      </c>
      <c r="G2331" s="590">
        <v>9857820043</v>
      </c>
      <c r="H2331" s="693"/>
      <c r="I2331" s="590">
        <v>70</v>
      </c>
      <c r="J2331" s="590" t="s">
        <v>90</v>
      </c>
      <c r="K2331" s="590" t="s">
        <v>53</v>
      </c>
      <c r="L2331" s="590"/>
      <c r="M2331" s="588" t="s">
        <v>119</v>
      </c>
      <c r="N2331" s="750">
        <v>65041</v>
      </c>
      <c r="O2331" s="596">
        <v>65041</v>
      </c>
      <c r="P2331" s="496">
        <v>65056</v>
      </c>
      <c r="Q2331" s="491" t="s">
        <v>51</v>
      </c>
    </row>
    <row r="2332" spans="1:17" s="338" customFormat="1" ht="18">
      <c r="A2332" s="512">
        <f t="shared" si="29"/>
        <v>1485</v>
      </c>
      <c r="B2332" s="692" t="s">
        <v>43</v>
      </c>
      <c r="C2332" s="693" t="s">
        <v>44</v>
      </c>
      <c r="D2332" s="693" t="s">
        <v>45</v>
      </c>
      <c r="E2332" s="590" t="s">
        <v>2808</v>
      </c>
      <c r="F2332" s="590" t="s">
        <v>502</v>
      </c>
      <c r="G2332" s="590">
        <v>9847824179</v>
      </c>
      <c r="H2332" s="693"/>
      <c r="I2332" s="590">
        <v>52</v>
      </c>
      <c r="J2332" s="590" t="s">
        <v>90</v>
      </c>
      <c r="K2332" s="590" t="s">
        <v>1468</v>
      </c>
      <c r="L2332" s="590"/>
      <c r="M2332" s="588" t="s">
        <v>119</v>
      </c>
      <c r="N2332" s="750">
        <v>65041</v>
      </c>
      <c r="O2332" s="596">
        <v>65041</v>
      </c>
      <c r="P2332" s="496">
        <v>65056</v>
      </c>
      <c r="Q2332" s="491" t="s">
        <v>51</v>
      </c>
    </row>
    <row r="2333" spans="1:17" s="338" customFormat="1" ht="18">
      <c r="A2333" s="512">
        <f t="shared" si="29"/>
        <v>1486</v>
      </c>
      <c r="B2333" s="692" t="s">
        <v>43</v>
      </c>
      <c r="C2333" s="693" t="s">
        <v>44</v>
      </c>
      <c r="D2333" s="693" t="s">
        <v>45</v>
      </c>
      <c r="E2333" s="590" t="s">
        <v>2829</v>
      </c>
      <c r="F2333" s="590" t="s">
        <v>1009</v>
      </c>
      <c r="G2333" s="590">
        <v>9806251628</v>
      </c>
      <c r="H2333" s="693"/>
      <c r="I2333" s="590">
        <v>56</v>
      </c>
      <c r="J2333" s="590" t="s">
        <v>90</v>
      </c>
      <c r="K2333" s="590" t="s">
        <v>53</v>
      </c>
      <c r="L2333" s="590"/>
      <c r="M2333" s="588" t="s">
        <v>119</v>
      </c>
      <c r="N2333" s="750">
        <v>65041</v>
      </c>
      <c r="O2333" s="596">
        <v>65041</v>
      </c>
      <c r="P2333" s="496">
        <v>65056</v>
      </c>
      <c r="Q2333" s="491" t="s">
        <v>51</v>
      </c>
    </row>
    <row r="2334" spans="1:17" s="338" customFormat="1" ht="18">
      <c r="A2334" s="512">
        <f t="shared" si="29"/>
        <v>1487</v>
      </c>
      <c r="B2334" s="692" t="s">
        <v>43</v>
      </c>
      <c r="C2334" s="693" t="s">
        <v>44</v>
      </c>
      <c r="D2334" s="693" t="s">
        <v>45</v>
      </c>
      <c r="E2334" s="590" t="s">
        <v>2679</v>
      </c>
      <c r="F2334" s="590" t="s">
        <v>491</v>
      </c>
      <c r="G2334" s="590">
        <v>9818429899</v>
      </c>
      <c r="H2334" s="693"/>
      <c r="I2334" s="590">
        <v>25</v>
      </c>
      <c r="J2334" s="590" t="s">
        <v>48</v>
      </c>
      <c r="K2334" s="590" t="s">
        <v>1468</v>
      </c>
      <c r="L2334" s="590"/>
      <c r="M2334" s="588" t="s">
        <v>119</v>
      </c>
      <c r="N2334" s="750">
        <v>65041</v>
      </c>
      <c r="O2334" s="596">
        <v>65041</v>
      </c>
      <c r="P2334" s="496">
        <v>65056</v>
      </c>
      <c r="Q2334" s="491" t="s">
        <v>51</v>
      </c>
    </row>
    <row r="2335" spans="1:17" s="338" customFormat="1" ht="18">
      <c r="A2335" s="512">
        <f t="shared" si="29"/>
        <v>1488</v>
      </c>
      <c r="B2335" s="692" t="s">
        <v>43</v>
      </c>
      <c r="C2335" s="693" t="s">
        <v>44</v>
      </c>
      <c r="D2335" s="693" t="s">
        <v>45</v>
      </c>
      <c r="E2335" s="882" t="s">
        <v>2773</v>
      </c>
      <c r="F2335" s="590" t="s">
        <v>491</v>
      </c>
      <c r="G2335" s="590">
        <v>9809713488</v>
      </c>
      <c r="H2335" s="693"/>
      <c r="I2335" s="590">
        <v>43</v>
      </c>
      <c r="J2335" s="590" t="s">
        <v>90</v>
      </c>
      <c r="K2335" s="590" t="s">
        <v>1468</v>
      </c>
      <c r="L2335" s="590"/>
      <c r="M2335" s="588" t="s">
        <v>119</v>
      </c>
      <c r="N2335" s="750">
        <v>65041</v>
      </c>
      <c r="O2335" s="596">
        <v>65041</v>
      </c>
      <c r="P2335" s="496">
        <v>65056</v>
      </c>
      <c r="Q2335" s="491" t="s">
        <v>51</v>
      </c>
    </row>
    <row r="2336" spans="1:17" s="338" customFormat="1" ht="18">
      <c r="A2336" s="512">
        <f t="shared" si="29"/>
        <v>1489</v>
      </c>
      <c r="B2336" s="692" t="s">
        <v>43</v>
      </c>
      <c r="C2336" s="693" t="s">
        <v>44</v>
      </c>
      <c r="D2336" s="693" t="s">
        <v>45</v>
      </c>
      <c r="E2336" s="590" t="s">
        <v>2837</v>
      </c>
      <c r="F2336" s="590" t="s">
        <v>1204</v>
      </c>
      <c r="G2336" s="590">
        <v>9857823209</v>
      </c>
      <c r="H2336" s="693"/>
      <c r="I2336" s="590">
        <v>58</v>
      </c>
      <c r="J2336" s="590" t="s">
        <v>48</v>
      </c>
      <c r="K2336" s="590" t="s">
        <v>1480</v>
      </c>
      <c r="L2336" s="590"/>
      <c r="M2336" s="588" t="s">
        <v>119</v>
      </c>
      <c r="N2336" s="750">
        <v>65041</v>
      </c>
      <c r="O2336" s="596">
        <v>65041</v>
      </c>
      <c r="P2336" s="496">
        <v>65056</v>
      </c>
      <c r="Q2336" s="491" t="s">
        <v>51</v>
      </c>
    </row>
    <row r="2337" spans="1:17" s="338" customFormat="1" ht="18">
      <c r="A2337" s="512">
        <f t="shared" si="29"/>
        <v>1490</v>
      </c>
      <c r="B2337" s="692" t="s">
        <v>43</v>
      </c>
      <c r="C2337" s="693" t="s">
        <v>44</v>
      </c>
      <c r="D2337" s="693" t="s">
        <v>45</v>
      </c>
      <c r="E2337" s="882" t="s">
        <v>2747</v>
      </c>
      <c r="F2337" s="590" t="s">
        <v>124</v>
      </c>
      <c r="G2337" s="590">
        <v>9847823667</v>
      </c>
      <c r="H2337" s="693"/>
      <c r="I2337" s="590">
        <v>37</v>
      </c>
      <c r="J2337" s="590" t="s">
        <v>90</v>
      </c>
      <c r="K2337" s="590" t="s">
        <v>53</v>
      </c>
      <c r="L2337" s="590"/>
      <c r="M2337" s="588" t="s">
        <v>119</v>
      </c>
      <c r="N2337" s="750">
        <v>65041</v>
      </c>
      <c r="O2337" s="596">
        <v>65041</v>
      </c>
      <c r="P2337" s="496">
        <v>65056</v>
      </c>
      <c r="Q2337" s="491" t="s">
        <v>51</v>
      </c>
    </row>
    <row r="2338" spans="1:17" s="338" customFormat="1" ht="18">
      <c r="A2338" s="512">
        <f t="shared" si="29"/>
        <v>1491</v>
      </c>
      <c r="B2338" s="692" t="s">
        <v>43</v>
      </c>
      <c r="C2338" s="693" t="s">
        <v>44</v>
      </c>
      <c r="D2338" s="693" t="s">
        <v>45</v>
      </c>
      <c r="E2338" s="590" t="s">
        <v>2846</v>
      </c>
      <c r="F2338" s="590" t="s">
        <v>730</v>
      </c>
      <c r="G2338" s="590">
        <v>9857834098</v>
      </c>
      <c r="H2338" s="693"/>
      <c r="I2338" s="590">
        <v>61</v>
      </c>
      <c r="J2338" s="590" t="s">
        <v>48</v>
      </c>
      <c r="K2338" s="590" t="s">
        <v>1480</v>
      </c>
      <c r="L2338" s="590"/>
      <c r="M2338" s="588" t="s">
        <v>119</v>
      </c>
      <c r="N2338" s="750">
        <v>65041</v>
      </c>
      <c r="O2338" s="596">
        <v>65041</v>
      </c>
      <c r="P2338" s="496">
        <v>65056</v>
      </c>
      <c r="Q2338" s="491" t="s">
        <v>51</v>
      </c>
    </row>
    <row r="2339" spans="1:17" s="338" customFormat="1" ht="18">
      <c r="A2339" s="512">
        <f t="shared" si="29"/>
        <v>1492</v>
      </c>
      <c r="B2339" s="692" t="s">
        <v>43</v>
      </c>
      <c r="C2339" s="693" t="s">
        <v>44</v>
      </c>
      <c r="D2339" s="693" t="s">
        <v>45</v>
      </c>
      <c r="E2339" s="590" t="s">
        <v>2867</v>
      </c>
      <c r="F2339" s="590" t="s">
        <v>124</v>
      </c>
      <c r="G2339" s="590">
        <v>9868552503</v>
      </c>
      <c r="H2339" s="693"/>
      <c r="I2339" s="590">
        <v>72</v>
      </c>
      <c r="J2339" s="590" t="s">
        <v>90</v>
      </c>
      <c r="K2339" s="590" t="s">
        <v>1480</v>
      </c>
      <c r="L2339" s="590"/>
      <c r="M2339" s="588" t="s">
        <v>119</v>
      </c>
      <c r="N2339" s="750">
        <v>65041</v>
      </c>
      <c r="O2339" s="596">
        <v>65041</v>
      </c>
      <c r="P2339" s="496">
        <v>65056</v>
      </c>
      <c r="Q2339" s="491" t="s">
        <v>51</v>
      </c>
    </row>
    <row r="2340" spans="1:17" s="338" customFormat="1" ht="18">
      <c r="A2340" s="512">
        <f t="shared" si="29"/>
        <v>1493</v>
      </c>
      <c r="B2340" s="692" t="s">
        <v>43</v>
      </c>
      <c r="C2340" s="693" t="s">
        <v>44</v>
      </c>
      <c r="D2340" s="693" t="s">
        <v>45</v>
      </c>
      <c r="E2340" s="590" t="s">
        <v>2696</v>
      </c>
      <c r="F2340" s="590" t="s">
        <v>529</v>
      </c>
      <c r="G2340" s="590">
        <v>9847906464</v>
      </c>
      <c r="H2340" s="693"/>
      <c r="I2340" s="590">
        <v>28</v>
      </c>
      <c r="J2340" s="590" t="s">
        <v>48</v>
      </c>
      <c r="K2340" s="590" t="s">
        <v>53</v>
      </c>
      <c r="L2340" s="590"/>
      <c r="M2340" s="588" t="s">
        <v>119</v>
      </c>
      <c r="N2340" s="750">
        <v>65041</v>
      </c>
      <c r="O2340" s="596">
        <v>65041</v>
      </c>
      <c r="P2340" s="496">
        <v>65056</v>
      </c>
      <c r="Q2340" s="491" t="s">
        <v>51</v>
      </c>
    </row>
    <row r="2341" spans="1:17" s="338" customFormat="1" ht="18">
      <c r="A2341" s="512">
        <f t="shared" si="29"/>
        <v>1494</v>
      </c>
      <c r="B2341" s="692" t="s">
        <v>43</v>
      </c>
      <c r="C2341" s="693" t="s">
        <v>44</v>
      </c>
      <c r="D2341" s="693" t="s">
        <v>45</v>
      </c>
      <c r="E2341" s="590" t="s">
        <v>2840</v>
      </c>
      <c r="F2341" s="590" t="s">
        <v>1009</v>
      </c>
      <c r="G2341" s="590">
        <v>9869595629</v>
      </c>
      <c r="H2341" s="693"/>
      <c r="I2341" s="590">
        <v>59</v>
      </c>
      <c r="J2341" s="590" t="s">
        <v>48</v>
      </c>
      <c r="K2341" s="590" t="s">
        <v>53</v>
      </c>
      <c r="L2341" s="590"/>
      <c r="M2341" s="588" t="s">
        <v>119</v>
      </c>
      <c r="N2341" s="750">
        <v>65041</v>
      </c>
      <c r="O2341" s="596">
        <v>65041</v>
      </c>
      <c r="P2341" s="496">
        <v>65056</v>
      </c>
      <c r="Q2341" s="491" t="s">
        <v>51</v>
      </c>
    </row>
    <row r="2342" spans="1:17" s="338" customFormat="1" ht="18">
      <c r="A2342" s="512">
        <f t="shared" si="29"/>
        <v>1495</v>
      </c>
      <c r="B2342" s="692" t="s">
        <v>43</v>
      </c>
      <c r="C2342" s="693" t="s">
        <v>44</v>
      </c>
      <c r="D2342" s="693" t="s">
        <v>45</v>
      </c>
      <c r="E2342" s="590" t="s">
        <v>2818</v>
      </c>
      <c r="F2342" s="590" t="s">
        <v>497</v>
      </c>
      <c r="G2342" s="590">
        <v>9822848757</v>
      </c>
      <c r="H2342" s="693"/>
      <c r="I2342" s="590">
        <v>54</v>
      </c>
      <c r="J2342" s="590" t="s">
        <v>48</v>
      </c>
      <c r="K2342" s="590" t="s">
        <v>1468</v>
      </c>
      <c r="L2342" s="590"/>
      <c r="M2342" s="588" t="s">
        <v>119</v>
      </c>
      <c r="N2342" s="750">
        <v>65041</v>
      </c>
      <c r="O2342" s="596">
        <v>65041</v>
      </c>
      <c r="P2342" s="496">
        <v>65056</v>
      </c>
      <c r="Q2342" s="491" t="s">
        <v>51</v>
      </c>
    </row>
    <row r="2343" spans="1:17" s="338" customFormat="1" ht="18">
      <c r="A2343" s="512">
        <f t="shared" si="29"/>
        <v>1496</v>
      </c>
      <c r="B2343" s="692" t="s">
        <v>43</v>
      </c>
      <c r="C2343" s="693" t="s">
        <v>44</v>
      </c>
      <c r="D2343" s="693" t="s">
        <v>45</v>
      </c>
      <c r="E2343" s="590" t="s">
        <v>2853</v>
      </c>
      <c r="F2343" s="590" t="s">
        <v>124</v>
      </c>
      <c r="G2343" s="590">
        <v>9868552503</v>
      </c>
      <c r="H2343" s="693"/>
      <c r="I2343" s="590">
        <v>63</v>
      </c>
      <c r="J2343" s="590" t="s">
        <v>48</v>
      </c>
      <c r="K2343" s="590" t="s">
        <v>1480</v>
      </c>
      <c r="L2343" s="590"/>
      <c r="M2343" s="588" t="s">
        <v>119</v>
      </c>
      <c r="N2343" s="750">
        <v>65041</v>
      </c>
      <c r="O2343" s="596">
        <v>65041</v>
      </c>
      <c r="P2343" s="496">
        <v>65056</v>
      </c>
      <c r="Q2343" s="491" t="s">
        <v>51</v>
      </c>
    </row>
    <row r="2344" spans="1:17" s="338" customFormat="1" ht="18">
      <c r="A2344" s="512">
        <f t="shared" si="29"/>
        <v>1497</v>
      </c>
      <c r="B2344" s="692" t="s">
        <v>43</v>
      </c>
      <c r="C2344" s="693" t="s">
        <v>44</v>
      </c>
      <c r="D2344" s="693" t="s">
        <v>45</v>
      </c>
      <c r="E2344" s="590" t="s">
        <v>2787</v>
      </c>
      <c r="F2344" s="590" t="s">
        <v>510</v>
      </c>
      <c r="G2344" s="590">
        <v>9806271324</v>
      </c>
      <c r="H2344" s="693"/>
      <c r="I2344" s="590">
        <v>46</v>
      </c>
      <c r="J2344" s="590" t="s">
        <v>90</v>
      </c>
      <c r="K2344" s="590" t="s">
        <v>53</v>
      </c>
      <c r="L2344" s="590"/>
      <c r="M2344" s="588" t="s">
        <v>119</v>
      </c>
      <c r="N2344" s="750">
        <v>65041</v>
      </c>
      <c r="O2344" s="596">
        <v>65041</v>
      </c>
      <c r="P2344" s="496">
        <v>65056</v>
      </c>
      <c r="Q2344" s="491" t="s">
        <v>51</v>
      </c>
    </row>
    <row r="2345" spans="1:17" s="338" customFormat="1" ht="18">
      <c r="A2345" s="512">
        <f t="shared" si="29"/>
        <v>1498</v>
      </c>
      <c r="B2345" s="692" t="s">
        <v>43</v>
      </c>
      <c r="C2345" s="693" t="s">
        <v>44</v>
      </c>
      <c r="D2345" s="693" t="s">
        <v>45</v>
      </c>
      <c r="E2345" s="590" t="s">
        <v>2721</v>
      </c>
      <c r="F2345" s="590" t="s">
        <v>441</v>
      </c>
      <c r="G2345" s="590">
        <v>9809865640</v>
      </c>
      <c r="H2345" s="693"/>
      <c r="I2345" s="590">
        <v>32</v>
      </c>
      <c r="J2345" s="590" t="s">
        <v>48</v>
      </c>
      <c r="K2345" s="590" t="s">
        <v>1468</v>
      </c>
      <c r="L2345" s="590"/>
      <c r="M2345" s="588" t="s">
        <v>119</v>
      </c>
      <c r="N2345" s="750">
        <v>65041</v>
      </c>
      <c r="O2345" s="596">
        <v>65041</v>
      </c>
      <c r="P2345" s="496">
        <v>65056</v>
      </c>
      <c r="Q2345" s="491" t="s">
        <v>51</v>
      </c>
    </row>
    <row r="2346" spans="1:17" s="338" customFormat="1" ht="18">
      <c r="A2346" s="512">
        <f t="shared" si="29"/>
        <v>1499</v>
      </c>
      <c r="B2346" s="692" t="s">
        <v>43</v>
      </c>
      <c r="C2346" s="693" t="s">
        <v>44</v>
      </c>
      <c r="D2346" s="693" t="s">
        <v>45</v>
      </c>
      <c r="E2346" s="590" t="s">
        <v>2775</v>
      </c>
      <c r="F2346" s="590" t="s">
        <v>529</v>
      </c>
      <c r="G2346" s="590">
        <v>9842692514</v>
      </c>
      <c r="H2346" s="693"/>
      <c r="I2346" s="590">
        <v>43</v>
      </c>
      <c r="J2346" s="590" t="s">
        <v>90</v>
      </c>
      <c r="K2346" s="590" t="s">
        <v>1480</v>
      </c>
      <c r="L2346" s="590"/>
      <c r="M2346" s="588" t="s">
        <v>119</v>
      </c>
      <c r="N2346" s="750">
        <v>65041</v>
      </c>
      <c r="O2346" s="596">
        <v>65041</v>
      </c>
      <c r="P2346" s="496">
        <v>65056</v>
      </c>
      <c r="Q2346" s="491" t="s">
        <v>51</v>
      </c>
    </row>
    <row r="2347" spans="1:17" s="338" customFormat="1" ht="18">
      <c r="A2347" s="512">
        <f t="shared" si="29"/>
        <v>1500</v>
      </c>
      <c r="B2347" s="692" t="s">
        <v>43</v>
      </c>
      <c r="C2347" s="693" t="s">
        <v>44</v>
      </c>
      <c r="D2347" s="693" t="s">
        <v>45</v>
      </c>
      <c r="E2347" s="590" t="s">
        <v>2695</v>
      </c>
      <c r="F2347" s="590" t="s">
        <v>491</v>
      </c>
      <c r="G2347" s="590">
        <v>9847898029</v>
      </c>
      <c r="H2347" s="693"/>
      <c r="I2347" s="590">
        <v>28</v>
      </c>
      <c r="J2347" s="590" t="s">
        <v>90</v>
      </c>
      <c r="K2347" s="590" t="s">
        <v>1480</v>
      </c>
      <c r="L2347" s="590"/>
      <c r="M2347" s="588" t="s">
        <v>119</v>
      </c>
      <c r="N2347" s="750">
        <v>65041</v>
      </c>
      <c r="O2347" s="596">
        <v>65041</v>
      </c>
      <c r="P2347" s="496">
        <v>65056</v>
      </c>
      <c r="Q2347" s="491" t="s">
        <v>51</v>
      </c>
    </row>
    <row r="2348" spans="1:17" s="338" customFormat="1" ht="18">
      <c r="A2348" s="512">
        <f t="shared" si="29"/>
        <v>1501</v>
      </c>
      <c r="B2348" s="692" t="s">
        <v>43</v>
      </c>
      <c r="C2348" s="693" t="s">
        <v>44</v>
      </c>
      <c r="D2348" s="693" t="s">
        <v>45</v>
      </c>
      <c r="E2348" s="590" t="s">
        <v>2805</v>
      </c>
      <c r="F2348" s="590" t="s">
        <v>488</v>
      </c>
      <c r="G2348" s="590">
        <v>9841369641</v>
      </c>
      <c r="H2348" s="693"/>
      <c r="I2348" s="590">
        <v>50</v>
      </c>
      <c r="J2348" s="590" t="s">
        <v>48</v>
      </c>
      <c r="K2348" s="590" t="s">
        <v>53</v>
      </c>
      <c r="L2348" s="590"/>
      <c r="M2348" s="588" t="s">
        <v>119</v>
      </c>
      <c r="N2348" s="750">
        <v>65041</v>
      </c>
      <c r="O2348" s="596">
        <v>65041</v>
      </c>
      <c r="P2348" s="496">
        <v>65056</v>
      </c>
      <c r="Q2348" s="491" t="s">
        <v>51</v>
      </c>
    </row>
    <row r="2349" spans="1:17" s="338" customFormat="1" ht="18">
      <c r="A2349" s="512">
        <f t="shared" si="29"/>
        <v>1502</v>
      </c>
      <c r="B2349" s="692" t="s">
        <v>43</v>
      </c>
      <c r="C2349" s="693" t="s">
        <v>44</v>
      </c>
      <c r="D2349" s="693" t="s">
        <v>45</v>
      </c>
      <c r="E2349" s="882" t="s">
        <v>2666</v>
      </c>
      <c r="F2349" s="590" t="s">
        <v>124</v>
      </c>
      <c r="G2349" s="590">
        <v>9869791505</v>
      </c>
      <c r="H2349" s="693"/>
      <c r="I2349" s="590">
        <v>21</v>
      </c>
      <c r="J2349" s="590" t="s">
        <v>48</v>
      </c>
      <c r="K2349" s="590" t="s">
        <v>1468</v>
      </c>
      <c r="L2349" s="590"/>
      <c r="M2349" s="588" t="s">
        <v>119</v>
      </c>
      <c r="N2349" s="750">
        <v>65041</v>
      </c>
      <c r="O2349" s="596">
        <v>65041</v>
      </c>
      <c r="P2349" s="496">
        <v>65056</v>
      </c>
      <c r="Q2349" s="491" t="s">
        <v>51</v>
      </c>
    </row>
    <row r="2350" spans="1:17" s="338" customFormat="1" ht="18">
      <c r="A2350" s="512">
        <f t="shared" si="29"/>
        <v>1503</v>
      </c>
      <c r="B2350" s="692" t="s">
        <v>43</v>
      </c>
      <c r="C2350" s="693" t="s">
        <v>44</v>
      </c>
      <c r="D2350" s="693" t="s">
        <v>45</v>
      </c>
      <c r="E2350" s="590" t="s">
        <v>2816</v>
      </c>
      <c r="F2350" s="590" t="s">
        <v>1046</v>
      </c>
      <c r="G2350" s="590">
        <v>9857823674</v>
      </c>
      <c r="H2350" s="693"/>
      <c r="I2350" s="590">
        <v>54</v>
      </c>
      <c r="J2350" s="590" t="s">
        <v>48</v>
      </c>
      <c r="K2350" s="590" t="s">
        <v>1480</v>
      </c>
      <c r="L2350" s="590"/>
      <c r="M2350" s="588" t="s">
        <v>119</v>
      </c>
      <c r="N2350" s="750">
        <v>65041</v>
      </c>
      <c r="O2350" s="596">
        <v>65041</v>
      </c>
      <c r="P2350" s="496">
        <v>65056</v>
      </c>
      <c r="Q2350" s="491" t="s">
        <v>51</v>
      </c>
    </row>
    <row r="2351" spans="1:17" s="338" customFormat="1" ht="18">
      <c r="A2351" s="512">
        <f t="shared" si="29"/>
        <v>1504</v>
      </c>
      <c r="B2351" s="692" t="s">
        <v>43</v>
      </c>
      <c r="C2351" s="693" t="s">
        <v>44</v>
      </c>
      <c r="D2351" s="693" t="s">
        <v>45</v>
      </c>
      <c r="E2351" s="590" t="s">
        <v>2727</v>
      </c>
      <c r="F2351" s="590" t="s">
        <v>491</v>
      </c>
      <c r="G2351" s="590">
        <v>9846808168</v>
      </c>
      <c r="H2351" s="693"/>
      <c r="I2351" s="590">
        <v>33</v>
      </c>
      <c r="J2351" s="590" t="s">
        <v>90</v>
      </c>
      <c r="K2351" s="590" t="s">
        <v>53</v>
      </c>
      <c r="L2351" s="590"/>
      <c r="M2351" s="588" t="s">
        <v>119</v>
      </c>
      <c r="N2351" s="750">
        <v>65041</v>
      </c>
      <c r="O2351" s="596">
        <v>65041</v>
      </c>
      <c r="P2351" s="496">
        <v>65056</v>
      </c>
      <c r="Q2351" s="491" t="s">
        <v>51</v>
      </c>
    </row>
    <row r="2352" spans="1:17" s="338" customFormat="1" ht="18">
      <c r="A2352" s="512">
        <f t="shared" si="29"/>
        <v>1505</v>
      </c>
      <c r="B2352" s="692" t="s">
        <v>43</v>
      </c>
      <c r="C2352" s="693" t="s">
        <v>44</v>
      </c>
      <c r="D2352" s="693" t="s">
        <v>45</v>
      </c>
      <c r="E2352" s="882" t="s">
        <v>2857</v>
      </c>
      <c r="F2352" s="590" t="s">
        <v>491</v>
      </c>
      <c r="G2352" s="590">
        <v>9857824977</v>
      </c>
      <c r="H2352" s="693"/>
      <c r="I2352" s="590">
        <v>65</v>
      </c>
      <c r="J2352" s="590" t="s">
        <v>48</v>
      </c>
      <c r="K2352" s="590" t="s">
        <v>1468</v>
      </c>
      <c r="L2352" s="590"/>
      <c r="M2352" s="588" t="s">
        <v>119</v>
      </c>
      <c r="N2352" s="750">
        <v>65041</v>
      </c>
      <c r="O2352" s="596">
        <v>65041</v>
      </c>
      <c r="P2352" s="496">
        <v>65056</v>
      </c>
      <c r="Q2352" s="491" t="s">
        <v>51</v>
      </c>
    </row>
    <row r="2353" spans="1:17" s="338" customFormat="1" ht="18">
      <c r="A2353" s="512">
        <f t="shared" si="29"/>
        <v>1506</v>
      </c>
      <c r="B2353" s="692" t="s">
        <v>43</v>
      </c>
      <c r="C2353" s="693" t="s">
        <v>44</v>
      </c>
      <c r="D2353" s="693" t="s">
        <v>45</v>
      </c>
      <c r="E2353" s="590" t="s">
        <v>2801</v>
      </c>
      <c r="F2353" s="590" t="s">
        <v>636</v>
      </c>
      <c r="G2353" s="590">
        <v>9847948200</v>
      </c>
      <c r="H2353" s="693"/>
      <c r="I2353" s="590">
        <v>50</v>
      </c>
      <c r="J2353" s="590" t="s">
        <v>48</v>
      </c>
      <c r="K2353" s="590" t="s">
        <v>1468</v>
      </c>
      <c r="L2353" s="590"/>
      <c r="M2353" s="588" t="s">
        <v>119</v>
      </c>
      <c r="N2353" s="750">
        <v>65041</v>
      </c>
      <c r="O2353" s="596">
        <v>65041</v>
      </c>
      <c r="P2353" s="496">
        <v>65056</v>
      </c>
      <c r="Q2353" s="491" t="s">
        <v>51</v>
      </c>
    </row>
    <row r="2354" spans="1:17" s="338" customFormat="1" ht="18">
      <c r="A2354" s="512">
        <f t="shared" si="29"/>
        <v>1507</v>
      </c>
      <c r="B2354" s="692" t="s">
        <v>43</v>
      </c>
      <c r="C2354" s="693" t="s">
        <v>44</v>
      </c>
      <c r="D2354" s="693" t="s">
        <v>45</v>
      </c>
      <c r="E2354" s="590" t="s">
        <v>2714</v>
      </c>
      <c r="F2354" s="590" t="s">
        <v>1046</v>
      </c>
      <c r="G2354" s="590">
        <v>9847946863</v>
      </c>
      <c r="H2354" s="693"/>
      <c r="I2354" s="590">
        <v>30</v>
      </c>
      <c r="J2354" s="590" t="s">
        <v>48</v>
      </c>
      <c r="K2354" s="590" t="s">
        <v>1468</v>
      </c>
      <c r="L2354" s="590"/>
      <c r="M2354" s="588" t="s">
        <v>119</v>
      </c>
      <c r="N2354" s="750">
        <v>65041</v>
      </c>
      <c r="O2354" s="596">
        <v>65041</v>
      </c>
      <c r="P2354" s="496">
        <v>65056</v>
      </c>
      <c r="Q2354" s="491" t="s">
        <v>51</v>
      </c>
    </row>
    <row r="2355" spans="1:17" s="338" customFormat="1" ht="18">
      <c r="A2355" s="512">
        <f t="shared" si="29"/>
        <v>1508</v>
      </c>
      <c r="B2355" s="692" t="s">
        <v>43</v>
      </c>
      <c r="C2355" s="693" t="s">
        <v>44</v>
      </c>
      <c r="D2355" s="693" t="s">
        <v>45</v>
      </c>
      <c r="E2355" s="590" t="s">
        <v>2751</v>
      </c>
      <c r="F2355" s="590" t="s">
        <v>491</v>
      </c>
      <c r="G2355" s="590">
        <v>9857843573</v>
      </c>
      <c r="H2355" s="693"/>
      <c r="I2355" s="590">
        <v>38</v>
      </c>
      <c r="J2355" s="590" t="s">
        <v>48</v>
      </c>
      <c r="K2355" s="590" t="s">
        <v>1480</v>
      </c>
      <c r="L2355" s="590"/>
      <c r="M2355" s="588" t="s">
        <v>119</v>
      </c>
      <c r="N2355" s="750">
        <v>65041</v>
      </c>
      <c r="O2355" s="596">
        <v>65041</v>
      </c>
      <c r="P2355" s="496">
        <v>65056</v>
      </c>
      <c r="Q2355" s="491" t="s">
        <v>51</v>
      </c>
    </row>
    <row r="2356" spans="1:17" s="338" customFormat="1" ht="18">
      <c r="A2356" s="512">
        <f t="shared" si="29"/>
        <v>1509</v>
      </c>
      <c r="B2356" s="692" t="s">
        <v>43</v>
      </c>
      <c r="C2356" s="693" t="s">
        <v>44</v>
      </c>
      <c r="D2356" s="693" t="s">
        <v>45</v>
      </c>
      <c r="E2356" s="590" t="s">
        <v>2859</v>
      </c>
      <c r="F2356" s="590" t="s">
        <v>441</v>
      </c>
      <c r="G2356" s="590">
        <v>9844941148</v>
      </c>
      <c r="H2356" s="693"/>
      <c r="I2356" s="590">
        <v>65</v>
      </c>
      <c r="J2356" s="590" t="s">
        <v>90</v>
      </c>
      <c r="K2356" s="590" t="s">
        <v>1468</v>
      </c>
      <c r="L2356" s="590"/>
      <c r="M2356" s="588" t="s">
        <v>119</v>
      </c>
      <c r="N2356" s="750">
        <v>65041</v>
      </c>
      <c r="O2356" s="596">
        <v>65041</v>
      </c>
      <c r="P2356" s="496">
        <v>65056</v>
      </c>
      <c r="Q2356" s="491" t="s">
        <v>51</v>
      </c>
    </row>
    <row r="2357" spans="1:17" s="338" customFormat="1" ht="18">
      <c r="A2357" s="512">
        <f t="shared" si="29"/>
        <v>1510</v>
      </c>
      <c r="B2357" s="692" t="s">
        <v>43</v>
      </c>
      <c r="C2357" s="693" t="s">
        <v>44</v>
      </c>
      <c r="D2357" s="693" t="s">
        <v>45</v>
      </c>
      <c r="E2357" s="590" t="s">
        <v>2811</v>
      </c>
      <c r="F2357" s="590" t="s">
        <v>529</v>
      </c>
      <c r="G2357" s="590">
        <v>9847834339</v>
      </c>
      <c r="H2357" s="693"/>
      <c r="I2357" s="590">
        <v>52</v>
      </c>
      <c r="J2357" s="590" t="s">
        <v>90</v>
      </c>
      <c r="K2357" s="590" t="s">
        <v>1468</v>
      </c>
      <c r="L2357" s="590"/>
      <c r="M2357" s="588" t="s">
        <v>119</v>
      </c>
      <c r="N2357" s="750">
        <v>65041</v>
      </c>
      <c r="O2357" s="596">
        <v>65041</v>
      </c>
      <c r="P2357" s="496">
        <v>65056</v>
      </c>
      <c r="Q2357" s="491" t="s">
        <v>51</v>
      </c>
    </row>
    <row r="2358" spans="1:17" s="338" customFormat="1" ht="18">
      <c r="A2358" s="512">
        <f t="shared" si="29"/>
        <v>1511</v>
      </c>
      <c r="B2358" s="692" t="s">
        <v>43</v>
      </c>
      <c r="C2358" s="693" t="s">
        <v>44</v>
      </c>
      <c r="D2358" s="693" t="s">
        <v>45</v>
      </c>
      <c r="E2358" s="590" t="s">
        <v>2781</v>
      </c>
      <c r="F2358" s="590" t="s">
        <v>497</v>
      </c>
      <c r="G2358" s="590">
        <v>9847941587</v>
      </c>
      <c r="H2358" s="693"/>
      <c r="I2358" s="590">
        <v>44</v>
      </c>
      <c r="J2358" s="590" t="s">
        <v>48</v>
      </c>
      <c r="K2358" s="590" t="s">
        <v>1480</v>
      </c>
      <c r="L2358" s="590"/>
      <c r="M2358" s="588" t="s">
        <v>119</v>
      </c>
      <c r="N2358" s="750">
        <v>65041</v>
      </c>
      <c r="O2358" s="596">
        <v>65041</v>
      </c>
      <c r="P2358" s="496">
        <v>65056</v>
      </c>
      <c r="Q2358" s="491" t="s">
        <v>51</v>
      </c>
    </row>
    <row r="2359" spans="1:17" s="338" customFormat="1" ht="18">
      <c r="A2359" s="512">
        <f t="shared" si="29"/>
        <v>1512</v>
      </c>
      <c r="B2359" s="692" t="s">
        <v>43</v>
      </c>
      <c r="C2359" s="693" t="s">
        <v>44</v>
      </c>
      <c r="D2359" s="693" t="s">
        <v>45</v>
      </c>
      <c r="E2359" s="590" t="s">
        <v>2706</v>
      </c>
      <c r="F2359" s="590" t="s">
        <v>1009</v>
      </c>
      <c r="G2359" s="590">
        <v>9809889728</v>
      </c>
      <c r="H2359" s="693"/>
      <c r="I2359" s="590">
        <v>29</v>
      </c>
      <c r="J2359" s="590" t="s">
        <v>48</v>
      </c>
      <c r="K2359" s="590" t="s">
        <v>1468</v>
      </c>
      <c r="L2359" s="590"/>
      <c r="M2359" s="588" t="s">
        <v>119</v>
      </c>
      <c r="N2359" s="750">
        <v>65041</v>
      </c>
      <c r="O2359" s="596">
        <v>65041</v>
      </c>
      <c r="P2359" s="496">
        <v>65056</v>
      </c>
      <c r="Q2359" s="491" t="s">
        <v>51</v>
      </c>
    </row>
    <row r="2360" spans="1:17" s="338" customFormat="1" ht="18">
      <c r="A2360" s="512">
        <f t="shared" si="29"/>
        <v>1513</v>
      </c>
      <c r="B2360" s="692" t="s">
        <v>43</v>
      </c>
      <c r="C2360" s="693" t="s">
        <v>44</v>
      </c>
      <c r="D2360" s="693" t="s">
        <v>45</v>
      </c>
      <c r="E2360" s="590" t="s">
        <v>2821</v>
      </c>
      <c r="F2360" s="590" t="s">
        <v>1046</v>
      </c>
      <c r="G2360" s="590">
        <v>9847828716</v>
      </c>
      <c r="H2360" s="693"/>
      <c r="I2360" s="590">
        <v>55</v>
      </c>
      <c r="J2360" s="590" t="s">
        <v>48</v>
      </c>
      <c r="K2360" s="590" t="s">
        <v>53</v>
      </c>
      <c r="L2360" s="590"/>
      <c r="M2360" s="588" t="s">
        <v>119</v>
      </c>
      <c r="N2360" s="750">
        <v>65041</v>
      </c>
      <c r="O2360" s="596">
        <v>65041</v>
      </c>
      <c r="P2360" s="496">
        <v>65056</v>
      </c>
      <c r="Q2360" s="491" t="s">
        <v>51</v>
      </c>
    </row>
    <row r="2361" spans="1:17" s="338" customFormat="1" ht="18">
      <c r="A2361" s="512">
        <f t="shared" si="29"/>
        <v>1514</v>
      </c>
      <c r="B2361" s="692" t="s">
        <v>43</v>
      </c>
      <c r="C2361" s="693" t="s">
        <v>44</v>
      </c>
      <c r="D2361" s="693" t="s">
        <v>45</v>
      </c>
      <c r="E2361" s="590" t="s">
        <v>2697</v>
      </c>
      <c r="F2361" s="590" t="s">
        <v>730</v>
      </c>
      <c r="G2361" s="590">
        <v>9840768302</v>
      </c>
      <c r="H2361" s="693"/>
      <c r="I2361" s="590">
        <v>28</v>
      </c>
      <c r="J2361" s="590" t="s">
        <v>48</v>
      </c>
      <c r="K2361" s="590" t="s">
        <v>1480</v>
      </c>
      <c r="L2361" s="590"/>
      <c r="M2361" s="588" t="s">
        <v>119</v>
      </c>
      <c r="N2361" s="750">
        <v>65041</v>
      </c>
      <c r="O2361" s="596">
        <v>65041</v>
      </c>
      <c r="P2361" s="496">
        <v>65056</v>
      </c>
      <c r="Q2361" s="491" t="s">
        <v>51</v>
      </c>
    </row>
    <row r="2362" spans="1:17" s="338" customFormat="1" ht="18">
      <c r="A2362" s="512">
        <f t="shared" si="29"/>
        <v>1515</v>
      </c>
      <c r="B2362" s="692" t="s">
        <v>43</v>
      </c>
      <c r="C2362" s="693" t="s">
        <v>44</v>
      </c>
      <c r="D2362" s="693" t="s">
        <v>45</v>
      </c>
      <c r="E2362" s="882" t="s">
        <v>2437</v>
      </c>
      <c r="F2362" s="590" t="s">
        <v>497</v>
      </c>
      <c r="G2362" s="590">
        <v>9847941586</v>
      </c>
      <c r="H2362" s="693"/>
      <c r="I2362" s="590">
        <v>39</v>
      </c>
      <c r="J2362" s="590" t="s">
        <v>90</v>
      </c>
      <c r="K2362" s="590" t="s">
        <v>1480</v>
      </c>
      <c r="L2362" s="590"/>
      <c r="M2362" s="588" t="s">
        <v>119</v>
      </c>
      <c r="N2362" s="750">
        <v>65041</v>
      </c>
      <c r="O2362" s="596">
        <v>65041</v>
      </c>
      <c r="P2362" s="496">
        <v>65056</v>
      </c>
      <c r="Q2362" s="491" t="s">
        <v>51</v>
      </c>
    </row>
    <row r="2363" spans="1:17" s="338" customFormat="1" ht="18">
      <c r="A2363" s="512">
        <f t="shared" si="29"/>
        <v>1516</v>
      </c>
      <c r="B2363" s="692" t="s">
        <v>43</v>
      </c>
      <c r="C2363" s="693" t="s">
        <v>44</v>
      </c>
      <c r="D2363" s="693" t="s">
        <v>45</v>
      </c>
      <c r="E2363" s="590" t="s">
        <v>2661</v>
      </c>
      <c r="F2363" s="590" t="s">
        <v>1008</v>
      </c>
      <c r="G2363" s="590">
        <v>9868999819</v>
      </c>
      <c r="H2363" s="693"/>
      <c r="I2363" s="590">
        <v>20</v>
      </c>
      <c r="J2363" s="590" t="s">
        <v>90</v>
      </c>
      <c r="K2363" s="590" t="s">
        <v>1480</v>
      </c>
      <c r="L2363" s="590"/>
      <c r="M2363" s="588" t="s">
        <v>119</v>
      </c>
      <c r="N2363" s="750">
        <v>65041</v>
      </c>
      <c r="O2363" s="596">
        <v>65041</v>
      </c>
      <c r="P2363" s="496">
        <v>65056</v>
      </c>
      <c r="Q2363" s="491" t="s">
        <v>51</v>
      </c>
    </row>
    <row r="2364" spans="1:17" s="338" customFormat="1" ht="18">
      <c r="A2364" s="512">
        <f t="shared" si="29"/>
        <v>1517</v>
      </c>
      <c r="B2364" s="692" t="s">
        <v>43</v>
      </c>
      <c r="C2364" s="693" t="s">
        <v>44</v>
      </c>
      <c r="D2364" s="693" t="s">
        <v>45</v>
      </c>
      <c r="E2364" s="590" t="s">
        <v>2740</v>
      </c>
      <c r="F2364" s="590" t="s">
        <v>529</v>
      </c>
      <c r="G2364" s="590">
        <v>9810889365</v>
      </c>
      <c r="H2364" s="693"/>
      <c r="I2364" s="590">
        <v>35</v>
      </c>
      <c r="J2364" s="590" t="s">
        <v>90</v>
      </c>
      <c r="K2364" s="590" t="s">
        <v>53</v>
      </c>
      <c r="L2364" s="590"/>
      <c r="M2364" s="588" t="s">
        <v>119</v>
      </c>
      <c r="N2364" s="750">
        <v>65041</v>
      </c>
      <c r="O2364" s="596">
        <v>65041</v>
      </c>
      <c r="P2364" s="496">
        <v>65056</v>
      </c>
      <c r="Q2364" s="491" t="s">
        <v>51</v>
      </c>
    </row>
    <row r="2365" spans="1:17" s="338" customFormat="1" ht="18">
      <c r="A2365" s="512">
        <f t="shared" si="29"/>
        <v>1518</v>
      </c>
      <c r="B2365" s="692" t="s">
        <v>43</v>
      </c>
      <c r="C2365" s="693" t="s">
        <v>44</v>
      </c>
      <c r="D2365" s="693" t="s">
        <v>45</v>
      </c>
      <c r="E2365" s="590" t="s">
        <v>2753</v>
      </c>
      <c r="F2365" s="590" t="s">
        <v>124</v>
      </c>
      <c r="G2365" s="590">
        <v>9840602702</v>
      </c>
      <c r="H2365" s="693"/>
      <c r="I2365" s="590">
        <v>38</v>
      </c>
      <c r="J2365" s="590" t="s">
        <v>48</v>
      </c>
      <c r="K2365" s="590" t="s">
        <v>1480</v>
      </c>
      <c r="L2365" s="590"/>
      <c r="M2365" s="588" t="s">
        <v>119</v>
      </c>
      <c r="N2365" s="750">
        <v>65041</v>
      </c>
      <c r="O2365" s="596">
        <v>65041</v>
      </c>
      <c r="P2365" s="496">
        <v>65056</v>
      </c>
      <c r="Q2365" s="491" t="s">
        <v>51</v>
      </c>
    </row>
    <row r="2366" spans="1:17" s="338" customFormat="1" ht="18">
      <c r="A2366" s="512">
        <f t="shared" si="29"/>
        <v>1519</v>
      </c>
      <c r="B2366" s="692" t="s">
        <v>43</v>
      </c>
      <c r="C2366" s="693" t="s">
        <v>44</v>
      </c>
      <c r="D2366" s="693" t="s">
        <v>45</v>
      </c>
      <c r="E2366" s="590" t="s">
        <v>2752</v>
      </c>
      <c r="F2366" s="590" t="s">
        <v>491</v>
      </c>
      <c r="G2366" s="590">
        <v>9847853422</v>
      </c>
      <c r="H2366" s="693"/>
      <c r="I2366" s="590">
        <v>38</v>
      </c>
      <c r="J2366" s="590" t="s">
        <v>90</v>
      </c>
      <c r="K2366" s="590" t="s">
        <v>53</v>
      </c>
      <c r="L2366" s="590"/>
      <c r="M2366" s="588" t="s">
        <v>119</v>
      </c>
      <c r="N2366" s="750">
        <v>65041</v>
      </c>
      <c r="O2366" s="596">
        <v>65041</v>
      </c>
      <c r="P2366" s="496">
        <v>65056</v>
      </c>
      <c r="Q2366" s="491" t="s">
        <v>51</v>
      </c>
    </row>
    <row r="2367" spans="1:17" s="338" customFormat="1" ht="18">
      <c r="A2367" s="512">
        <f t="shared" si="29"/>
        <v>1520</v>
      </c>
      <c r="B2367" s="692" t="s">
        <v>43</v>
      </c>
      <c r="C2367" s="693" t="s">
        <v>44</v>
      </c>
      <c r="D2367" s="693" t="s">
        <v>45</v>
      </c>
      <c r="E2367" s="590" t="s">
        <v>2672</v>
      </c>
      <c r="F2367" s="590" t="s">
        <v>124</v>
      </c>
      <c r="G2367" s="590">
        <v>9864728520</v>
      </c>
      <c r="H2367" s="693"/>
      <c r="I2367" s="590">
        <v>23</v>
      </c>
      <c r="J2367" s="590" t="s">
        <v>48</v>
      </c>
      <c r="K2367" s="590" t="s">
        <v>1480</v>
      </c>
      <c r="L2367" s="590"/>
      <c r="M2367" s="588" t="s">
        <v>119</v>
      </c>
      <c r="N2367" s="750">
        <v>65041</v>
      </c>
      <c r="O2367" s="596">
        <v>65041</v>
      </c>
      <c r="P2367" s="496">
        <v>65056</v>
      </c>
      <c r="Q2367" s="491" t="s">
        <v>51</v>
      </c>
    </row>
    <row r="2368" spans="1:17" s="163" customFormat="1" ht="18">
      <c r="A2368" s="512">
        <f t="shared" si="29"/>
        <v>1521</v>
      </c>
      <c r="B2368" s="692" t="s">
        <v>43</v>
      </c>
      <c r="C2368" s="693" t="s">
        <v>44</v>
      </c>
      <c r="D2368" s="693" t="s">
        <v>45</v>
      </c>
      <c r="E2368" s="590" t="s">
        <v>2783</v>
      </c>
      <c r="F2368" s="590" t="s">
        <v>124</v>
      </c>
      <c r="G2368" s="590">
        <v>9847823667</v>
      </c>
      <c r="H2368" s="693"/>
      <c r="I2368" s="590">
        <v>45</v>
      </c>
      <c r="J2368" s="590" t="s">
        <v>48</v>
      </c>
      <c r="K2368" s="590" t="s">
        <v>53</v>
      </c>
      <c r="L2368" s="590"/>
      <c r="M2368" s="588" t="s">
        <v>119</v>
      </c>
      <c r="N2368" s="750">
        <v>65041</v>
      </c>
      <c r="O2368" s="596">
        <v>65041</v>
      </c>
      <c r="P2368" s="496">
        <v>65056</v>
      </c>
      <c r="Q2368" s="491" t="s">
        <v>51</v>
      </c>
    </row>
    <row r="2369" spans="1:17" s="1128" customFormat="1" ht="18">
      <c r="A2369" s="512">
        <f t="shared" si="29"/>
        <v>1522</v>
      </c>
      <c r="B2369" s="1125" t="s">
        <v>43</v>
      </c>
      <c r="C2369" s="1109" t="s">
        <v>44</v>
      </c>
      <c r="D2369" s="1109" t="s">
        <v>45</v>
      </c>
      <c r="E2369" s="641" t="s">
        <v>2864</v>
      </c>
      <c r="F2369" s="641" t="s">
        <v>730</v>
      </c>
      <c r="G2369" s="641">
        <v>9857845102</v>
      </c>
      <c r="H2369" s="1109"/>
      <c r="I2369" s="641">
        <v>69</v>
      </c>
      <c r="J2369" s="641" t="s">
        <v>48</v>
      </c>
      <c r="K2369" s="641" t="s">
        <v>1468</v>
      </c>
      <c r="L2369" s="641"/>
      <c r="M2369" s="641" t="s">
        <v>4449</v>
      </c>
      <c r="N2369" s="1121">
        <v>65041</v>
      </c>
      <c r="O2369" s="1122">
        <v>65041</v>
      </c>
      <c r="P2369" s="1126">
        <v>65070</v>
      </c>
      <c r="Q2369" s="1116" t="s">
        <v>51</v>
      </c>
    </row>
    <row r="2370" spans="1:17" s="338" customFormat="1" ht="18">
      <c r="A2370" s="512">
        <f t="shared" si="29"/>
        <v>1523</v>
      </c>
      <c r="B2370" s="692" t="s">
        <v>43</v>
      </c>
      <c r="C2370" s="693" t="s">
        <v>44</v>
      </c>
      <c r="D2370" s="693" t="s">
        <v>45</v>
      </c>
      <c r="E2370" s="590" t="s">
        <v>2835</v>
      </c>
      <c r="F2370" s="590" t="s">
        <v>1009</v>
      </c>
      <c r="G2370" s="590">
        <v>9806229360</v>
      </c>
      <c r="H2370" s="693"/>
      <c r="I2370" s="590">
        <v>58</v>
      </c>
      <c r="J2370" s="590" t="s">
        <v>48</v>
      </c>
      <c r="K2370" s="590" t="s">
        <v>53</v>
      </c>
      <c r="L2370" s="590"/>
      <c r="M2370" s="588" t="s">
        <v>119</v>
      </c>
      <c r="N2370" s="750">
        <v>65041</v>
      </c>
      <c r="O2370" s="596">
        <v>65041</v>
      </c>
      <c r="P2370" s="496">
        <v>65056</v>
      </c>
      <c r="Q2370" s="491" t="s">
        <v>51</v>
      </c>
    </row>
    <row r="2371" spans="1:17" s="338" customFormat="1" ht="18">
      <c r="A2371" s="512">
        <f t="shared" si="29"/>
        <v>1524</v>
      </c>
      <c r="B2371" s="692" t="s">
        <v>43</v>
      </c>
      <c r="C2371" s="693" t="s">
        <v>44</v>
      </c>
      <c r="D2371" s="693" t="s">
        <v>45</v>
      </c>
      <c r="E2371" s="590" t="s">
        <v>2656</v>
      </c>
      <c r="F2371" s="590" t="s">
        <v>491</v>
      </c>
      <c r="G2371" s="590">
        <v>9857824542</v>
      </c>
      <c r="H2371" s="693"/>
      <c r="I2371" s="590">
        <v>10</v>
      </c>
      <c r="J2371" s="590" t="s">
        <v>90</v>
      </c>
      <c r="K2371" s="590" t="s">
        <v>1480</v>
      </c>
      <c r="L2371" s="590"/>
      <c r="M2371" s="588" t="s">
        <v>119</v>
      </c>
      <c r="N2371" s="750">
        <v>65041</v>
      </c>
      <c r="O2371" s="596">
        <v>65041</v>
      </c>
      <c r="P2371" s="496">
        <v>65056</v>
      </c>
      <c r="Q2371" s="491" t="s">
        <v>51</v>
      </c>
    </row>
    <row r="2372" spans="1:17" s="338" customFormat="1" ht="18">
      <c r="A2372" s="512">
        <f t="shared" si="29"/>
        <v>1525</v>
      </c>
      <c r="B2372" s="692" t="s">
        <v>43</v>
      </c>
      <c r="C2372" s="693" t="s">
        <v>44</v>
      </c>
      <c r="D2372" s="693" t="s">
        <v>45</v>
      </c>
      <c r="E2372" s="590" t="s">
        <v>2755</v>
      </c>
      <c r="F2372" s="590" t="s">
        <v>1204</v>
      </c>
      <c r="G2372" s="590">
        <v>9810890309</v>
      </c>
      <c r="H2372" s="693"/>
      <c r="I2372" s="590">
        <v>38</v>
      </c>
      <c r="J2372" s="590" t="s">
        <v>48</v>
      </c>
      <c r="K2372" s="590" t="s">
        <v>53</v>
      </c>
      <c r="L2372" s="590"/>
      <c r="M2372" s="588" t="s">
        <v>119</v>
      </c>
      <c r="N2372" s="750">
        <v>65041</v>
      </c>
      <c r="O2372" s="596">
        <v>65041</v>
      </c>
      <c r="P2372" s="496">
        <v>65056</v>
      </c>
      <c r="Q2372" s="491" t="s">
        <v>51</v>
      </c>
    </row>
    <row r="2373" spans="1:17" s="338" customFormat="1" ht="18">
      <c r="A2373" s="512">
        <f t="shared" si="29"/>
        <v>1526</v>
      </c>
      <c r="B2373" s="692" t="s">
        <v>43</v>
      </c>
      <c r="C2373" s="693" t="s">
        <v>44</v>
      </c>
      <c r="D2373" s="693" t="s">
        <v>45</v>
      </c>
      <c r="E2373" s="590" t="s">
        <v>2716</v>
      </c>
      <c r="F2373" s="590" t="s">
        <v>636</v>
      </c>
      <c r="G2373" s="590">
        <v>9844984524</v>
      </c>
      <c r="H2373" s="693"/>
      <c r="I2373" s="590">
        <v>32</v>
      </c>
      <c r="J2373" s="590" t="s">
        <v>90</v>
      </c>
      <c r="K2373" s="590" t="s">
        <v>1480</v>
      </c>
      <c r="L2373" s="590"/>
      <c r="M2373" s="588" t="s">
        <v>119</v>
      </c>
      <c r="N2373" s="750">
        <v>65041</v>
      </c>
      <c r="O2373" s="596">
        <v>65041</v>
      </c>
      <c r="P2373" s="496">
        <v>65056</v>
      </c>
      <c r="Q2373" s="491" t="s">
        <v>51</v>
      </c>
    </row>
    <row r="2374" spans="1:17" s="338" customFormat="1" ht="18">
      <c r="A2374" s="512">
        <f t="shared" si="29"/>
        <v>1527</v>
      </c>
      <c r="B2374" s="692" t="s">
        <v>43</v>
      </c>
      <c r="C2374" s="693" t="s">
        <v>44</v>
      </c>
      <c r="D2374" s="693" t="s">
        <v>45</v>
      </c>
      <c r="E2374" s="590" t="s">
        <v>2737</v>
      </c>
      <c r="F2374" s="590" t="s">
        <v>441</v>
      </c>
      <c r="G2374" s="590">
        <v>9847836091</v>
      </c>
      <c r="H2374" s="693"/>
      <c r="I2374" s="590">
        <v>35</v>
      </c>
      <c r="J2374" s="590" t="s">
        <v>48</v>
      </c>
      <c r="K2374" s="590" t="s">
        <v>1468</v>
      </c>
      <c r="L2374" s="590"/>
      <c r="M2374" s="588" t="s">
        <v>119</v>
      </c>
      <c r="N2374" s="750">
        <v>65041</v>
      </c>
      <c r="O2374" s="596">
        <v>65041</v>
      </c>
      <c r="P2374" s="496">
        <v>65056</v>
      </c>
      <c r="Q2374" s="491" t="s">
        <v>51</v>
      </c>
    </row>
    <row r="2375" spans="1:17" s="338" customFormat="1" ht="18">
      <c r="A2375" s="512">
        <f t="shared" si="29"/>
        <v>1528</v>
      </c>
      <c r="B2375" s="692" t="s">
        <v>43</v>
      </c>
      <c r="C2375" s="693" t="s">
        <v>44</v>
      </c>
      <c r="D2375" s="693" t="s">
        <v>45</v>
      </c>
      <c r="E2375" s="590" t="s">
        <v>2680</v>
      </c>
      <c r="F2375" s="590" t="s">
        <v>491</v>
      </c>
      <c r="G2375" s="590">
        <v>9868570445</v>
      </c>
      <c r="H2375" s="693"/>
      <c r="I2375" s="590">
        <v>25</v>
      </c>
      <c r="J2375" s="590" t="s">
        <v>90</v>
      </c>
      <c r="K2375" s="590" t="s">
        <v>1480</v>
      </c>
      <c r="L2375" s="590"/>
      <c r="M2375" s="588" t="s">
        <v>119</v>
      </c>
      <c r="N2375" s="750">
        <v>65041</v>
      </c>
      <c r="O2375" s="596">
        <v>65041</v>
      </c>
      <c r="P2375" s="496">
        <v>65056</v>
      </c>
      <c r="Q2375" s="491" t="s">
        <v>51</v>
      </c>
    </row>
    <row r="2376" spans="1:17" s="338" customFormat="1" ht="18">
      <c r="A2376" s="512">
        <f t="shared" si="29"/>
        <v>1529</v>
      </c>
      <c r="B2376" s="692" t="s">
        <v>43</v>
      </c>
      <c r="C2376" s="693" t="s">
        <v>44</v>
      </c>
      <c r="D2376" s="693" t="s">
        <v>45</v>
      </c>
      <c r="E2376" s="590" t="s">
        <v>2674</v>
      </c>
      <c r="F2376" s="590" t="s">
        <v>491</v>
      </c>
      <c r="G2376" s="590">
        <v>9857825818</v>
      </c>
      <c r="H2376" s="693"/>
      <c r="I2376" s="590">
        <v>24</v>
      </c>
      <c r="J2376" s="590" t="s">
        <v>48</v>
      </c>
      <c r="K2376" s="590" t="s">
        <v>53</v>
      </c>
      <c r="L2376" s="590"/>
      <c r="M2376" s="588" t="s">
        <v>119</v>
      </c>
      <c r="N2376" s="750">
        <v>65041</v>
      </c>
      <c r="O2376" s="596">
        <v>65041</v>
      </c>
      <c r="P2376" s="496">
        <v>65056</v>
      </c>
      <c r="Q2376" s="491" t="s">
        <v>51</v>
      </c>
    </row>
    <row r="2377" spans="1:17" s="338" customFormat="1" ht="18">
      <c r="A2377" s="512">
        <f t="shared" si="29"/>
        <v>1530</v>
      </c>
      <c r="B2377" s="692" t="s">
        <v>43</v>
      </c>
      <c r="C2377" s="693" t="s">
        <v>44</v>
      </c>
      <c r="D2377" s="693" t="s">
        <v>45</v>
      </c>
      <c r="E2377" s="590" t="s">
        <v>2729</v>
      </c>
      <c r="F2377" s="590" t="s">
        <v>1008</v>
      </c>
      <c r="G2377" s="590">
        <v>9742207733</v>
      </c>
      <c r="H2377" s="693"/>
      <c r="I2377" s="590">
        <v>33</v>
      </c>
      <c r="J2377" s="590" t="s">
        <v>48</v>
      </c>
      <c r="K2377" s="590" t="s">
        <v>1480</v>
      </c>
      <c r="L2377" s="590"/>
      <c r="M2377" s="588" t="s">
        <v>119</v>
      </c>
      <c r="N2377" s="750">
        <v>65041</v>
      </c>
      <c r="O2377" s="596">
        <v>65041</v>
      </c>
      <c r="P2377" s="496">
        <v>65056</v>
      </c>
      <c r="Q2377" s="491" t="s">
        <v>51</v>
      </c>
    </row>
    <row r="2378" spans="1:17" s="338" customFormat="1" ht="18">
      <c r="A2378" s="512">
        <f t="shared" si="29"/>
        <v>1531</v>
      </c>
      <c r="B2378" s="692" t="s">
        <v>43</v>
      </c>
      <c r="C2378" s="693" t="s">
        <v>44</v>
      </c>
      <c r="D2378" s="693" t="s">
        <v>45</v>
      </c>
      <c r="E2378" s="590" t="s">
        <v>2686</v>
      </c>
      <c r="F2378" s="590" t="s">
        <v>502</v>
      </c>
      <c r="G2378" s="590">
        <v>9810947451</v>
      </c>
      <c r="H2378" s="693"/>
      <c r="I2378" s="590">
        <v>26</v>
      </c>
      <c r="J2378" s="590" t="s">
        <v>90</v>
      </c>
      <c r="K2378" s="590" t="s">
        <v>53</v>
      </c>
      <c r="L2378" s="590"/>
      <c r="M2378" s="588" t="s">
        <v>119</v>
      </c>
      <c r="N2378" s="750">
        <v>65041</v>
      </c>
      <c r="O2378" s="596">
        <v>65041</v>
      </c>
      <c r="P2378" s="496">
        <v>65056</v>
      </c>
      <c r="Q2378" s="491" t="s">
        <v>51</v>
      </c>
    </row>
    <row r="2379" spans="1:17" s="338" customFormat="1" ht="18">
      <c r="A2379" s="512">
        <f t="shared" si="29"/>
        <v>1532</v>
      </c>
      <c r="B2379" s="692" t="s">
        <v>43</v>
      </c>
      <c r="C2379" s="693" t="s">
        <v>44</v>
      </c>
      <c r="D2379" s="693" t="s">
        <v>45</v>
      </c>
      <c r="E2379" s="882" t="s">
        <v>2720</v>
      </c>
      <c r="F2379" s="590" t="s">
        <v>491</v>
      </c>
      <c r="G2379" s="590">
        <v>9841642338</v>
      </c>
      <c r="H2379" s="693"/>
      <c r="I2379" s="590">
        <v>32</v>
      </c>
      <c r="J2379" s="590" t="s">
        <v>90</v>
      </c>
      <c r="K2379" s="590" t="s">
        <v>1468</v>
      </c>
      <c r="L2379" s="590"/>
      <c r="M2379" s="588" t="s">
        <v>119</v>
      </c>
      <c r="N2379" s="750">
        <v>65041</v>
      </c>
      <c r="O2379" s="596">
        <v>65041</v>
      </c>
      <c r="P2379" s="496">
        <v>65056</v>
      </c>
      <c r="Q2379" s="491" t="s">
        <v>51</v>
      </c>
    </row>
    <row r="2380" spans="1:17" s="338" customFormat="1" ht="18">
      <c r="A2380" s="512">
        <f t="shared" si="29"/>
        <v>1533</v>
      </c>
      <c r="B2380" s="692" t="s">
        <v>43</v>
      </c>
      <c r="C2380" s="693" t="s">
        <v>44</v>
      </c>
      <c r="D2380" s="693" t="s">
        <v>45</v>
      </c>
      <c r="E2380" s="882" t="s">
        <v>2720</v>
      </c>
      <c r="F2380" s="590" t="s">
        <v>529</v>
      </c>
      <c r="G2380" s="590">
        <v>9822924065</v>
      </c>
      <c r="H2380" s="693"/>
      <c r="I2380" s="590">
        <v>35</v>
      </c>
      <c r="J2380" s="590" t="s">
        <v>90</v>
      </c>
      <c r="K2380" s="590" t="s">
        <v>1468</v>
      </c>
      <c r="L2380" s="590"/>
      <c r="M2380" s="588" t="s">
        <v>119</v>
      </c>
      <c r="N2380" s="750">
        <v>65041</v>
      </c>
      <c r="O2380" s="596">
        <v>65041</v>
      </c>
      <c r="P2380" s="496">
        <v>65056</v>
      </c>
      <c r="Q2380" s="491" t="s">
        <v>51</v>
      </c>
    </row>
    <row r="2381" spans="1:17" s="338" customFormat="1" ht="18">
      <c r="A2381" s="512">
        <f t="shared" si="29"/>
        <v>1534</v>
      </c>
      <c r="B2381" s="692" t="s">
        <v>43</v>
      </c>
      <c r="C2381" s="693" t="s">
        <v>44</v>
      </c>
      <c r="D2381" s="693" t="s">
        <v>45</v>
      </c>
      <c r="E2381" s="590" t="s">
        <v>2748</v>
      </c>
      <c r="F2381" s="590" t="s">
        <v>1204</v>
      </c>
      <c r="G2381" s="590">
        <v>9829539130</v>
      </c>
      <c r="H2381" s="693"/>
      <c r="I2381" s="590">
        <v>37</v>
      </c>
      <c r="J2381" s="590" t="s">
        <v>90</v>
      </c>
      <c r="K2381" s="590" t="s">
        <v>53</v>
      </c>
      <c r="L2381" s="590"/>
      <c r="M2381" s="588" t="s">
        <v>119</v>
      </c>
      <c r="N2381" s="750">
        <v>65041</v>
      </c>
      <c r="O2381" s="596">
        <v>65041</v>
      </c>
      <c r="P2381" s="496">
        <v>65056</v>
      </c>
      <c r="Q2381" s="491" t="s">
        <v>51</v>
      </c>
    </row>
    <row r="2382" spans="1:17" s="338" customFormat="1" ht="18">
      <c r="A2382" s="512">
        <f t="shared" si="29"/>
        <v>1535</v>
      </c>
      <c r="B2382" s="692" t="s">
        <v>43</v>
      </c>
      <c r="C2382" s="693" t="s">
        <v>44</v>
      </c>
      <c r="D2382" s="693" t="s">
        <v>45</v>
      </c>
      <c r="E2382" s="590" t="s">
        <v>2722</v>
      </c>
      <c r="F2382" s="590" t="s">
        <v>441</v>
      </c>
      <c r="G2382" s="590">
        <v>9847949363</v>
      </c>
      <c r="H2382" s="693"/>
      <c r="I2382" s="590">
        <v>32</v>
      </c>
      <c r="J2382" s="590" t="s">
        <v>90</v>
      </c>
      <c r="K2382" s="590" t="s">
        <v>1480</v>
      </c>
      <c r="L2382" s="590"/>
      <c r="M2382" s="588" t="s">
        <v>119</v>
      </c>
      <c r="N2382" s="750">
        <v>65041</v>
      </c>
      <c r="O2382" s="596">
        <v>65041</v>
      </c>
      <c r="P2382" s="496">
        <v>65056</v>
      </c>
      <c r="Q2382" s="491" t="s">
        <v>51</v>
      </c>
    </row>
    <row r="2383" spans="1:17" s="338" customFormat="1" ht="18">
      <c r="A2383" s="512">
        <f t="shared" si="29"/>
        <v>1536</v>
      </c>
      <c r="B2383" s="692" t="s">
        <v>43</v>
      </c>
      <c r="C2383" s="693" t="s">
        <v>44</v>
      </c>
      <c r="D2383" s="693" t="s">
        <v>45</v>
      </c>
      <c r="E2383" s="590" t="s">
        <v>2711</v>
      </c>
      <c r="F2383" s="590" t="s">
        <v>441</v>
      </c>
      <c r="G2383" s="590">
        <v>9844949449</v>
      </c>
      <c r="H2383" s="693"/>
      <c r="I2383" s="590">
        <v>30</v>
      </c>
      <c r="J2383" s="590" t="s">
        <v>90</v>
      </c>
      <c r="K2383" s="590" t="s">
        <v>1468</v>
      </c>
      <c r="L2383" s="590"/>
      <c r="M2383" s="588" t="s">
        <v>119</v>
      </c>
      <c r="N2383" s="750">
        <v>65041</v>
      </c>
      <c r="O2383" s="596">
        <v>65041</v>
      </c>
      <c r="P2383" s="496">
        <v>65056</v>
      </c>
      <c r="Q2383" s="491" t="s">
        <v>51</v>
      </c>
    </row>
    <row r="2384" spans="1:17" s="338" customFormat="1" ht="18">
      <c r="A2384" s="512">
        <f t="shared" si="29"/>
        <v>1537</v>
      </c>
      <c r="B2384" s="692" t="s">
        <v>43</v>
      </c>
      <c r="C2384" s="693" t="s">
        <v>44</v>
      </c>
      <c r="D2384" s="693" t="s">
        <v>45</v>
      </c>
      <c r="E2384" s="590" t="s">
        <v>2699</v>
      </c>
      <c r="F2384" s="590" t="s">
        <v>598</v>
      </c>
      <c r="G2384" s="590">
        <v>9847854315</v>
      </c>
      <c r="H2384" s="693"/>
      <c r="I2384" s="590">
        <v>29</v>
      </c>
      <c r="J2384" s="590" t="s">
        <v>48</v>
      </c>
      <c r="K2384" s="590" t="s">
        <v>1468</v>
      </c>
      <c r="L2384" s="590"/>
      <c r="M2384" s="588" t="s">
        <v>119</v>
      </c>
      <c r="N2384" s="750">
        <v>65041</v>
      </c>
      <c r="O2384" s="596">
        <v>65041</v>
      </c>
      <c r="P2384" s="496">
        <v>65056</v>
      </c>
      <c r="Q2384" s="491" t="s">
        <v>51</v>
      </c>
    </row>
    <row r="2385" spans="1:17" s="338" customFormat="1" ht="18">
      <c r="A2385" s="512">
        <f t="shared" si="29"/>
        <v>1538</v>
      </c>
      <c r="B2385" s="692" t="s">
        <v>43</v>
      </c>
      <c r="C2385" s="693" t="s">
        <v>44</v>
      </c>
      <c r="D2385" s="693" t="s">
        <v>45</v>
      </c>
      <c r="E2385" s="588" t="s">
        <v>2654</v>
      </c>
      <c r="F2385" s="588" t="s">
        <v>529</v>
      </c>
      <c r="G2385" s="588">
        <v>9810889365</v>
      </c>
      <c r="H2385" s="695"/>
      <c r="I2385" s="588">
        <v>4</v>
      </c>
      <c r="J2385" s="588" t="s">
        <v>90</v>
      </c>
      <c r="K2385" s="590" t="s">
        <v>53</v>
      </c>
      <c r="L2385" s="588"/>
      <c r="M2385" s="588" t="s">
        <v>119</v>
      </c>
      <c r="N2385" s="750">
        <v>65041</v>
      </c>
      <c r="O2385" s="596">
        <v>65041</v>
      </c>
      <c r="P2385" s="496">
        <v>65056</v>
      </c>
      <c r="Q2385" s="491" t="s">
        <v>51</v>
      </c>
    </row>
    <row r="2386" spans="1:17" s="338" customFormat="1" ht="18">
      <c r="A2386" s="512">
        <f t="shared" ref="A2386:A2449" si="30">A2385+1</f>
        <v>1539</v>
      </c>
      <c r="B2386" s="692" t="s">
        <v>43</v>
      </c>
      <c r="C2386" s="693" t="s">
        <v>44</v>
      </c>
      <c r="D2386" s="693" t="s">
        <v>45</v>
      </c>
      <c r="E2386" s="590" t="s">
        <v>2766</v>
      </c>
      <c r="F2386" s="590" t="s">
        <v>730</v>
      </c>
      <c r="G2386" s="590">
        <v>9844996177</v>
      </c>
      <c r="H2386" s="693"/>
      <c r="I2386" s="590">
        <v>41</v>
      </c>
      <c r="J2386" s="590" t="s">
        <v>90</v>
      </c>
      <c r="K2386" s="590" t="s">
        <v>53</v>
      </c>
      <c r="L2386" s="590"/>
      <c r="M2386" s="588" t="s">
        <v>119</v>
      </c>
      <c r="N2386" s="750">
        <v>65041</v>
      </c>
      <c r="O2386" s="596">
        <v>65041</v>
      </c>
      <c r="P2386" s="496">
        <v>65056</v>
      </c>
      <c r="Q2386" s="491" t="s">
        <v>51</v>
      </c>
    </row>
    <row r="2387" spans="1:17" s="338" customFormat="1" ht="18">
      <c r="A2387" s="512">
        <f t="shared" si="30"/>
        <v>1540</v>
      </c>
      <c r="B2387" s="692" t="s">
        <v>43</v>
      </c>
      <c r="C2387" s="693" t="s">
        <v>44</v>
      </c>
      <c r="D2387" s="693" t="s">
        <v>45</v>
      </c>
      <c r="E2387" s="590" t="s">
        <v>2738</v>
      </c>
      <c r="F2387" s="590" t="s">
        <v>441</v>
      </c>
      <c r="G2387" s="590">
        <v>9806282695</v>
      </c>
      <c r="H2387" s="693"/>
      <c r="I2387" s="590">
        <v>35</v>
      </c>
      <c r="J2387" s="590" t="s">
        <v>90</v>
      </c>
      <c r="K2387" s="590" t="s">
        <v>1468</v>
      </c>
      <c r="L2387" s="590"/>
      <c r="M2387" s="588" t="s">
        <v>119</v>
      </c>
      <c r="N2387" s="750">
        <v>65041</v>
      </c>
      <c r="O2387" s="596">
        <v>65041</v>
      </c>
      <c r="P2387" s="496">
        <v>65056</v>
      </c>
      <c r="Q2387" s="491" t="s">
        <v>51</v>
      </c>
    </row>
    <row r="2388" spans="1:17" s="338" customFormat="1" ht="18">
      <c r="A2388" s="512">
        <f t="shared" si="30"/>
        <v>1541</v>
      </c>
      <c r="B2388" s="692" t="s">
        <v>43</v>
      </c>
      <c r="C2388" s="693" t="s">
        <v>44</v>
      </c>
      <c r="D2388" s="693" t="s">
        <v>45</v>
      </c>
      <c r="E2388" s="590" t="s">
        <v>2828</v>
      </c>
      <c r="F2388" s="590" t="s">
        <v>529</v>
      </c>
      <c r="G2388" s="590">
        <v>9847834339</v>
      </c>
      <c r="H2388" s="693"/>
      <c r="I2388" s="590">
        <v>56</v>
      </c>
      <c r="J2388" s="590" t="s">
        <v>48</v>
      </c>
      <c r="K2388" s="590" t="s">
        <v>1468</v>
      </c>
      <c r="L2388" s="590"/>
      <c r="M2388" s="588" t="s">
        <v>119</v>
      </c>
      <c r="N2388" s="750">
        <v>65041</v>
      </c>
      <c r="O2388" s="596">
        <v>65041</v>
      </c>
      <c r="P2388" s="496">
        <v>65056</v>
      </c>
      <c r="Q2388" s="491" t="s">
        <v>51</v>
      </c>
    </row>
    <row r="2389" spans="1:17" s="338" customFormat="1" ht="18">
      <c r="A2389" s="512">
        <f t="shared" si="30"/>
        <v>1542</v>
      </c>
      <c r="B2389" s="692" t="s">
        <v>43</v>
      </c>
      <c r="C2389" s="693" t="s">
        <v>44</v>
      </c>
      <c r="D2389" s="693" t="s">
        <v>45</v>
      </c>
      <c r="E2389" s="590" t="s">
        <v>2868</v>
      </c>
      <c r="F2389" s="590" t="s">
        <v>1046</v>
      </c>
      <c r="G2389" s="590">
        <v>9844904936</v>
      </c>
      <c r="H2389" s="693"/>
      <c r="I2389" s="590">
        <v>72</v>
      </c>
      <c r="J2389" s="590" t="s">
        <v>48</v>
      </c>
      <c r="K2389" s="590" t="s">
        <v>1480</v>
      </c>
      <c r="L2389" s="590"/>
      <c r="M2389" s="588" t="s">
        <v>119</v>
      </c>
      <c r="N2389" s="750">
        <v>65041</v>
      </c>
      <c r="O2389" s="596">
        <v>65041</v>
      </c>
      <c r="P2389" s="496">
        <v>65056</v>
      </c>
      <c r="Q2389" s="491" t="s">
        <v>51</v>
      </c>
    </row>
    <row r="2390" spans="1:17" s="338" customFormat="1" ht="18">
      <c r="A2390" s="512">
        <f t="shared" si="30"/>
        <v>1543</v>
      </c>
      <c r="B2390" s="692" t="s">
        <v>43</v>
      </c>
      <c r="C2390" s="693" t="s">
        <v>44</v>
      </c>
      <c r="D2390" s="693" t="s">
        <v>45</v>
      </c>
      <c r="E2390" s="590" t="s">
        <v>2786</v>
      </c>
      <c r="F2390" s="590" t="s">
        <v>1204</v>
      </c>
      <c r="G2390" s="590">
        <v>9844905494</v>
      </c>
      <c r="H2390" s="693"/>
      <c r="I2390" s="590">
        <v>45</v>
      </c>
      <c r="J2390" s="590" t="s">
        <v>90</v>
      </c>
      <c r="K2390" s="590" t="s">
        <v>53</v>
      </c>
      <c r="L2390" s="590"/>
      <c r="M2390" s="588" t="s">
        <v>119</v>
      </c>
      <c r="N2390" s="750">
        <v>65041</v>
      </c>
      <c r="O2390" s="596">
        <v>65041</v>
      </c>
      <c r="P2390" s="496">
        <v>65056</v>
      </c>
      <c r="Q2390" s="491" t="s">
        <v>51</v>
      </c>
    </row>
    <row r="2391" spans="1:17" s="338" customFormat="1" ht="18">
      <c r="A2391" s="512">
        <f t="shared" si="30"/>
        <v>1544</v>
      </c>
      <c r="B2391" s="692" t="s">
        <v>43</v>
      </c>
      <c r="C2391" s="693" t="s">
        <v>44</v>
      </c>
      <c r="D2391" s="693" t="s">
        <v>45</v>
      </c>
      <c r="E2391" s="590" t="s">
        <v>2761</v>
      </c>
      <c r="F2391" s="590" t="s">
        <v>1008</v>
      </c>
      <c r="G2391" s="590">
        <v>9848965061</v>
      </c>
      <c r="H2391" s="693"/>
      <c r="I2391" s="590">
        <v>40</v>
      </c>
      <c r="J2391" s="590" t="s">
        <v>48</v>
      </c>
      <c r="K2391" s="590" t="s">
        <v>1468</v>
      </c>
      <c r="L2391" s="590"/>
      <c r="M2391" s="588" t="s">
        <v>119</v>
      </c>
      <c r="N2391" s="750">
        <v>65041</v>
      </c>
      <c r="O2391" s="596">
        <v>65041</v>
      </c>
      <c r="P2391" s="496">
        <v>65056</v>
      </c>
      <c r="Q2391" s="491" t="s">
        <v>51</v>
      </c>
    </row>
    <row r="2392" spans="1:17" s="338" customFormat="1" ht="18">
      <c r="A2392" s="512">
        <f t="shared" si="30"/>
        <v>1545</v>
      </c>
      <c r="B2392" s="692" t="s">
        <v>43</v>
      </c>
      <c r="C2392" s="693" t="s">
        <v>44</v>
      </c>
      <c r="D2392" s="693" t="s">
        <v>45</v>
      </c>
      <c r="E2392" s="590" t="s">
        <v>2774</v>
      </c>
      <c r="F2392" s="590" t="s">
        <v>441</v>
      </c>
      <c r="G2392" s="590">
        <v>9844922604</v>
      </c>
      <c r="H2392" s="693"/>
      <c r="I2392" s="590">
        <v>43</v>
      </c>
      <c r="J2392" s="590" t="s">
        <v>48</v>
      </c>
      <c r="K2392" s="590" t="s">
        <v>1480</v>
      </c>
      <c r="L2392" s="590"/>
      <c r="M2392" s="588" t="s">
        <v>119</v>
      </c>
      <c r="N2392" s="750">
        <v>65041</v>
      </c>
      <c r="O2392" s="596">
        <v>65041</v>
      </c>
      <c r="P2392" s="496">
        <v>65056</v>
      </c>
      <c r="Q2392" s="491" t="s">
        <v>51</v>
      </c>
    </row>
    <row r="2393" spans="1:17" s="338" customFormat="1" ht="18">
      <c r="A2393" s="512">
        <f t="shared" si="30"/>
        <v>1546</v>
      </c>
      <c r="B2393" s="692" t="s">
        <v>43</v>
      </c>
      <c r="C2393" s="693" t="s">
        <v>44</v>
      </c>
      <c r="D2393" s="693" t="s">
        <v>45</v>
      </c>
      <c r="E2393" s="882" t="s">
        <v>2833</v>
      </c>
      <c r="F2393" s="590" t="s">
        <v>529</v>
      </c>
      <c r="G2393" s="590">
        <v>9847907398</v>
      </c>
      <c r="H2393" s="693"/>
      <c r="I2393" s="590">
        <v>57</v>
      </c>
      <c r="J2393" s="590" t="s">
        <v>48</v>
      </c>
      <c r="K2393" s="590" t="s">
        <v>1468</v>
      </c>
      <c r="L2393" s="590"/>
      <c r="M2393" s="588" t="s">
        <v>119</v>
      </c>
      <c r="N2393" s="750">
        <v>65041</v>
      </c>
      <c r="O2393" s="596">
        <v>65041</v>
      </c>
      <c r="P2393" s="496">
        <v>65056</v>
      </c>
      <c r="Q2393" s="491" t="s">
        <v>51</v>
      </c>
    </row>
    <row r="2394" spans="1:17" s="338" customFormat="1" ht="18">
      <c r="A2394" s="512">
        <f t="shared" si="30"/>
        <v>1547</v>
      </c>
      <c r="B2394" s="692" t="s">
        <v>43</v>
      </c>
      <c r="C2394" s="693" t="s">
        <v>44</v>
      </c>
      <c r="D2394" s="693" t="s">
        <v>45</v>
      </c>
      <c r="E2394" s="590" t="s">
        <v>2809</v>
      </c>
      <c r="F2394" s="590" t="s">
        <v>491</v>
      </c>
      <c r="G2394" s="590">
        <v>9847823863</v>
      </c>
      <c r="H2394" s="693"/>
      <c r="I2394" s="590">
        <v>52</v>
      </c>
      <c r="J2394" s="590" t="s">
        <v>48</v>
      </c>
      <c r="K2394" s="590" t="s">
        <v>1480</v>
      </c>
      <c r="L2394" s="590"/>
      <c r="M2394" s="588" t="s">
        <v>119</v>
      </c>
      <c r="N2394" s="750">
        <v>65041</v>
      </c>
      <c r="O2394" s="596">
        <v>65041</v>
      </c>
      <c r="P2394" s="496">
        <v>65056</v>
      </c>
      <c r="Q2394" s="491" t="s">
        <v>51</v>
      </c>
    </row>
    <row r="2395" spans="1:17" s="338" customFormat="1" ht="18">
      <c r="A2395" s="512">
        <f t="shared" si="30"/>
        <v>1548</v>
      </c>
      <c r="B2395" s="692" t="s">
        <v>43</v>
      </c>
      <c r="C2395" s="693" t="s">
        <v>44</v>
      </c>
      <c r="D2395" s="693" t="s">
        <v>45</v>
      </c>
      <c r="E2395" s="590" t="s">
        <v>2692</v>
      </c>
      <c r="F2395" s="590" t="s">
        <v>502</v>
      </c>
      <c r="G2395" s="590">
        <v>9844996177</v>
      </c>
      <c r="H2395" s="693"/>
      <c r="I2395" s="590">
        <v>28</v>
      </c>
      <c r="J2395" s="590" t="s">
        <v>90</v>
      </c>
      <c r="K2395" s="590" t="s">
        <v>53</v>
      </c>
      <c r="L2395" s="590"/>
      <c r="M2395" s="588" t="s">
        <v>119</v>
      </c>
      <c r="N2395" s="750">
        <v>65041</v>
      </c>
      <c r="O2395" s="596">
        <v>65041</v>
      </c>
      <c r="P2395" s="496">
        <v>65056</v>
      </c>
      <c r="Q2395" s="491" t="s">
        <v>51</v>
      </c>
    </row>
    <row r="2396" spans="1:17" s="338" customFormat="1" ht="18">
      <c r="A2396" s="512">
        <f t="shared" si="30"/>
        <v>1549</v>
      </c>
      <c r="B2396" s="692" t="s">
        <v>43</v>
      </c>
      <c r="C2396" s="693" t="s">
        <v>44</v>
      </c>
      <c r="D2396" s="693" t="s">
        <v>45</v>
      </c>
      <c r="E2396" s="590" t="s">
        <v>2849</v>
      </c>
      <c r="F2396" s="590" t="s">
        <v>1008</v>
      </c>
      <c r="G2396" s="590">
        <v>9858751255</v>
      </c>
      <c r="H2396" s="693"/>
      <c r="I2396" s="590">
        <v>62</v>
      </c>
      <c r="J2396" s="590" t="s">
        <v>48</v>
      </c>
      <c r="K2396" s="590" t="s">
        <v>1468</v>
      </c>
      <c r="L2396" s="590"/>
      <c r="M2396" s="588" t="s">
        <v>119</v>
      </c>
      <c r="N2396" s="750">
        <v>65041</v>
      </c>
      <c r="O2396" s="596">
        <v>65041</v>
      </c>
      <c r="P2396" s="496">
        <v>65056</v>
      </c>
      <c r="Q2396" s="491" t="s">
        <v>51</v>
      </c>
    </row>
    <row r="2397" spans="1:17" s="338" customFormat="1" ht="18">
      <c r="A2397" s="512">
        <f t="shared" si="30"/>
        <v>1550</v>
      </c>
      <c r="B2397" s="692" t="s">
        <v>43</v>
      </c>
      <c r="C2397" s="693" t="s">
        <v>44</v>
      </c>
      <c r="D2397" s="693" t="s">
        <v>45</v>
      </c>
      <c r="E2397" s="590" t="s">
        <v>2869</v>
      </c>
      <c r="F2397" s="590" t="s">
        <v>1046</v>
      </c>
      <c r="G2397" s="590">
        <v>9841116104</v>
      </c>
      <c r="H2397" s="693"/>
      <c r="I2397" s="590">
        <v>75</v>
      </c>
      <c r="J2397" s="590" t="s">
        <v>48</v>
      </c>
      <c r="K2397" s="590" t="s">
        <v>1480</v>
      </c>
      <c r="L2397" s="590"/>
      <c r="M2397" s="588" t="s">
        <v>119</v>
      </c>
      <c r="N2397" s="750">
        <v>65041</v>
      </c>
      <c r="O2397" s="596">
        <v>65041</v>
      </c>
      <c r="P2397" s="496">
        <v>65056</v>
      </c>
      <c r="Q2397" s="491" t="s">
        <v>51</v>
      </c>
    </row>
    <row r="2398" spans="1:17" s="338" customFormat="1" ht="18">
      <c r="A2398" s="512">
        <f t="shared" si="30"/>
        <v>1551</v>
      </c>
      <c r="B2398" s="692" t="s">
        <v>43</v>
      </c>
      <c r="C2398" s="693" t="s">
        <v>44</v>
      </c>
      <c r="D2398" s="693" t="s">
        <v>45</v>
      </c>
      <c r="E2398" s="590" t="s">
        <v>2780</v>
      </c>
      <c r="F2398" s="590" t="s">
        <v>1009</v>
      </c>
      <c r="G2398" s="590">
        <v>9847855082</v>
      </c>
      <c r="H2398" s="693"/>
      <c r="I2398" s="590">
        <v>44</v>
      </c>
      <c r="J2398" s="590" t="s">
        <v>48</v>
      </c>
      <c r="K2398" s="590" t="s">
        <v>1480</v>
      </c>
      <c r="L2398" s="590"/>
      <c r="M2398" s="588" t="s">
        <v>119</v>
      </c>
      <c r="N2398" s="750">
        <v>65041</v>
      </c>
      <c r="O2398" s="596">
        <v>65041</v>
      </c>
      <c r="P2398" s="496">
        <v>65056</v>
      </c>
      <c r="Q2398" s="491" t="s">
        <v>51</v>
      </c>
    </row>
    <row r="2399" spans="1:17" s="338" customFormat="1" ht="18">
      <c r="A2399" s="512">
        <f t="shared" si="30"/>
        <v>1552</v>
      </c>
      <c r="B2399" s="692" t="s">
        <v>43</v>
      </c>
      <c r="C2399" s="693" t="s">
        <v>44</v>
      </c>
      <c r="D2399" s="693" t="s">
        <v>45</v>
      </c>
      <c r="E2399" s="882" t="s">
        <v>2796</v>
      </c>
      <c r="F2399" s="590" t="s">
        <v>491</v>
      </c>
      <c r="G2399" s="590">
        <v>9809506448</v>
      </c>
      <c r="H2399" s="693"/>
      <c r="I2399" s="590">
        <v>49</v>
      </c>
      <c r="J2399" s="590" t="s">
        <v>90</v>
      </c>
      <c r="K2399" s="590" t="s">
        <v>1468</v>
      </c>
      <c r="L2399" s="590"/>
      <c r="M2399" s="588" t="s">
        <v>119</v>
      </c>
      <c r="N2399" s="750">
        <v>65041</v>
      </c>
      <c r="O2399" s="596">
        <v>65041</v>
      </c>
      <c r="P2399" s="496">
        <v>65056</v>
      </c>
      <c r="Q2399" s="491" t="s">
        <v>51</v>
      </c>
    </row>
    <row r="2400" spans="1:17" s="338" customFormat="1" ht="18">
      <c r="A2400" s="512">
        <f t="shared" si="30"/>
        <v>1553</v>
      </c>
      <c r="B2400" s="692" t="s">
        <v>43</v>
      </c>
      <c r="C2400" s="693" t="s">
        <v>44</v>
      </c>
      <c r="D2400" s="693" t="s">
        <v>45</v>
      </c>
      <c r="E2400" s="882" t="s">
        <v>2810</v>
      </c>
      <c r="F2400" s="590" t="s">
        <v>491</v>
      </c>
      <c r="G2400" s="590">
        <v>9822871525</v>
      </c>
      <c r="H2400" s="693"/>
      <c r="I2400" s="590">
        <v>52</v>
      </c>
      <c r="J2400" s="590" t="s">
        <v>90</v>
      </c>
      <c r="K2400" s="590" t="s">
        <v>53</v>
      </c>
      <c r="L2400" s="590"/>
      <c r="M2400" s="588" t="s">
        <v>119</v>
      </c>
      <c r="N2400" s="750">
        <v>65041</v>
      </c>
      <c r="O2400" s="596">
        <v>65041</v>
      </c>
      <c r="P2400" s="496">
        <v>65056</v>
      </c>
      <c r="Q2400" s="491" t="s">
        <v>51</v>
      </c>
    </row>
    <row r="2401" spans="1:17" s="338" customFormat="1" ht="18">
      <c r="A2401" s="512">
        <f t="shared" si="30"/>
        <v>1554</v>
      </c>
      <c r="B2401" s="692" t="s">
        <v>43</v>
      </c>
      <c r="C2401" s="693" t="s">
        <v>44</v>
      </c>
      <c r="D2401" s="693" t="s">
        <v>45</v>
      </c>
      <c r="E2401" s="590" t="s">
        <v>2836</v>
      </c>
      <c r="F2401" s="590" t="s">
        <v>557</v>
      </c>
      <c r="G2401" s="590">
        <v>9857862441</v>
      </c>
      <c r="H2401" s="693"/>
      <c r="I2401" s="590">
        <v>58</v>
      </c>
      <c r="J2401" s="590" t="s">
        <v>90</v>
      </c>
      <c r="K2401" s="590" t="s">
        <v>1480</v>
      </c>
      <c r="L2401" s="590"/>
      <c r="M2401" s="588" t="s">
        <v>119</v>
      </c>
      <c r="N2401" s="750">
        <v>65041</v>
      </c>
      <c r="O2401" s="596">
        <v>65041</v>
      </c>
      <c r="P2401" s="496">
        <v>65056</v>
      </c>
      <c r="Q2401" s="491" t="s">
        <v>51</v>
      </c>
    </row>
    <row r="2402" spans="1:17" s="338" customFormat="1" ht="18">
      <c r="A2402" s="512">
        <f t="shared" si="30"/>
        <v>1555</v>
      </c>
      <c r="B2402" s="692" t="s">
        <v>43</v>
      </c>
      <c r="C2402" s="693" t="s">
        <v>44</v>
      </c>
      <c r="D2402" s="693" t="s">
        <v>45</v>
      </c>
      <c r="E2402" s="590" t="s">
        <v>2822</v>
      </c>
      <c r="F2402" s="590" t="s">
        <v>730</v>
      </c>
      <c r="G2402" s="590">
        <v>9857834098</v>
      </c>
      <c r="H2402" s="693"/>
      <c r="I2402" s="590">
        <v>55</v>
      </c>
      <c r="J2402" s="590" t="s">
        <v>90</v>
      </c>
      <c r="K2402" s="590" t="s">
        <v>1480</v>
      </c>
      <c r="L2402" s="590"/>
      <c r="M2402" s="588" t="s">
        <v>119</v>
      </c>
      <c r="N2402" s="750">
        <v>65041</v>
      </c>
      <c r="O2402" s="596">
        <v>65041</v>
      </c>
      <c r="P2402" s="496">
        <v>65056</v>
      </c>
      <c r="Q2402" s="491" t="s">
        <v>51</v>
      </c>
    </row>
    <row r="2403" spans="1:17" s="338" customFormat="1" ht="18">
      <c r="A2403" s="512">
        <f t="shared" si="30"/>
        <v>1556</v>
      </c>
      <c r="B2403" s="692" t="s">
        <v>43</v>
      </c>
      <c r="C2403" s="693" t="s">
        <v>44</v>
      </c>
      <c r="D2403" s="693" t="s">
        <v>45</v>
      </c>
      <c r="E2403" s="882" t="s">
        <v>1977</v>
      </c>
      <c r="F2403" s="590" t="s">
        <v>598</v>
      </c>
      <c r="G2403" s="590">
        <v>9848955455</v>
      </c>
      <c r="H2403" s="693"/>
      <c r="I2403" s="590">
        <v>26</v>
      </c>
      <c r="J2403" s="590" t="s">
        <v>90</v>
      </c>
      <c r="K2403" s="590" t="s">
        <v>1468</v>
      </c>
      <c r="L2403" s="590"/>
      <c r="M2403" s="588" t="s">
        <v>119</v>
      </c>
      <c r="N2403" s="750">
        <v>65041</v>
      </c>
      <c r="O2403" s="596">
        <v>65041</v>
      </c>
      <c r="P2403" s="496">
        <v>65056</v>
      </c>
      <c r="Q2403" s="491" t="s">
        <v>51</v>
      </c>
    </row>
    <row r="2404" spans="1:17" s="338" customFormat="1" ht="18">
      <c r="A2404" s="512">
        <f t="shared" si="30"/>
        <v>1557</v>
      </c>
      <c r="B2404" s="692" t="s">
        <v>43</v>
      </c>
      <c r="C2404" s="693" t="s">
        <v>44</v>
      </c>
      <c r="D2404" s="693" t="s">
        <v>45</v>
      </c>
      <c r="E2404" s="590" t="s">
        <v>2830</v>
      </c>
      <c r="F2404" s="590" t="s">
        <v>1046</v>
      </c>
      <c r="G2404" s="590">
        <v>9847841376</v>
      </c>
      <c r="H2404" s="693"/>
      <c r="I2404" s="590">
        <v>56</v>
      </c>
      <c r="J2404" s="590" t="s">
        <v>48</v>
      </c>
      <c r="K2404" s="590" t="s">
        <v>1480</v>
      </c>
      <c r="L2404" s="590"/>
      <c r="M2404" s="588" t="s">
        <v>119</v>
      </c>
      <c r="N2404" s="750">
        <v>65041</v>
      </c>
      <c r="O2404" s="596">
        <v>65041</v>
      </c>
      <c r="P2404" s="496">
        <v>65056</v>
      </c>
      <c r="Q2404" s="491" t="s">
        <v>51</v>
      </c>
    </row>
    <row r="2405" spans="1:17" s="338" customFormat="1" ht="18">
      <c r="A2405" s="512">
        <f t="shared" si="30"/>
        <v>1558</v>
      </c>
      <c r="B2405" s="692" t="s">
        <v>43</v>
      </c>
      <c r="C2405" s="693" t="s">
        <v>44</v>
      </c>
      <c r="D2405" s="693" t="s">
        <v>45</v>
      </c>
      <c r="E2405" s="590" t="s">
        <v>2710</v>
      </c>
      <c r="F2405" s="590" t="s">
        <v>491</v>
      </c>
      <c r="G2405" s="590">
        <v>9847906650</v>
      </c>
      <c r="H2405" s="693"/>
      <c r="I2405" s="590">
        <v>30</v>
      </c>
      <c r="J2405" s="590" t="s">
        <v>90</v>
      </c>
      <c r="K2405" s="590" t="s">
        <v>53</v>
      </c>
      <c r="L2405" s="590"/>
      <c r="M2405" s="588" t="s">
        <v>119</v>
      </c>
      <c r="N2405" s="750">
        <v>65041</v>
      </c>
      <c r="O2405" s="596">
        <v>65041</v>
      </c>
      <c r="P2405" s="496">
        <v>65056</v>
      </c>
      <c r="Q2405" s="491" t="s">
        <v>51</v>
      </c>
    </row>
    <row r="2406" spans="1:17" s="338" customFormat="1" ht="18">
      <c r="A2406" s="512">
        <f t="shared" si="30"/>
        <v>1559</v>
      </c>
      <c r="B2406" s="692" t="s">
        <v>43</v>
      </c>
      <c r="C2406" s="693" t="s">
        <v>44</v>
      </c>
      <c r="D2406" s="693" t="s">
        <v>45</v>
      </c>
      <c r="E2406" s="590" t="s">
        <v>2754</v>
      </c>
      <c r="F2406" s="590" t="s">
        <v>1009</v>
      </c>
      <c r="G2406" s="590">
        <v>9843364069</v>
      </c>
      <c r="H2406" s="693"/>
      <c r="I2406" s="590">
        <v>38</v>
      </c>
      <c r="J2406" s="590" t="s">
        <v>48</v>
      </c>
      <c r="K2406" s="590" t="s">
        <v>53</v>
      </c>
      <c r="L2406" s="590"/>
      <c r="M2406" s="588" t="s">
        <v>119</v>
      </c>
      <c r="N2406" s="750">
        <v>65041</v>
      </c>
      <c r="O2406" s="596">
        <v>65041</v>
      </c>
      <c r="P2406" s="496">
        <v>65056</v>
      </c>
      <c r="Q2406" s="491" t="s">
        <v>51</v>
      </c>
    </row>
    <row r="2407" spans="1:17" s="338" customFormat="1" ht="18">
      <c r="A2407" s="512">
        <f t="shared" si="30"/>
        <v>1560</v>
      </c>
      <c r="B2407" s="692" t="s">
        <v>43</v>
      </c>
      <c r="C2407" s="693" t="s">
        <v>44</v>
      </c>
      <c r="D2407" s="693" t="s">
        <v>45</v>
      </c>
      <c r="E2407" s="590" t="s">
        <v>2839</v>
      </c>
      <c r="F2407" s="590" t="s">
        <v>510</v>
      </c>
      <c r="G2407" s="590">
        <v>9847835435</v>
      </c>
      <c r="H2407" s="693"/>
      <c r="I2407" s="590">
        <v>59</v>
      </c>
      <c r="J2407" s="590" t="s">
        <v>48</v>
      </c>
      <c r="K2407" s="590" t="s">
        <v>1468</v>
      </c>
      <c r="L2407" s="590"/>
      <c r="M2407" s="588" t="s">
        <v>119</v>
      </c>
      <c r="N2407" s="750">
        <v>65041</v>
      </c>
      <c r="O2407" s="596">
        <v>65041</v>
      </c>
      <c r="P2407" s="496">
        <v>65056</v>
      </c>
      <c r="Q2407" s="491" t="s">
        <v>51</v>
      </c>
    </row>
    <row r="2408" spans="1:17" s="338" customFormat="1" ht="18">
      <c r="A2408" s="512">
        <f t="shared" si="30"/>
        <v>1561</v>
      </c>
      <c r="B2408" s="692" t="s">
        <v>43</v>
      </c>
      <c r="C2408" s="693" t="s">
        <v>44</v>
      </c>
      <c r="D2408" s="693" t="s">
        <v>45</v>
      </c>
      <c r="E2408" s="590" t="s">
        <v>2668</v>
      </c>
      <c r="F2408" s="590" t="s">
        <v>598</v>
      </c>
      <c r="G2408" s="590">
        <v>9864722536</v>
      </c>
      <c r="H2408" s="693"/>
      <c r="I2408" s="590">
        <v>22</v>
      </c>
      <c r="J2408" s="590" t="s">
        <v>48</v>
      </c>
      <c r="K2408" s="590" t="s">
        <v>1480</v>
      </c>
      <c r="L2408" s="590"/>
      <c r="M2408" s="588" t="s">
        <v>119</v>
      </c>
      <c r="N2408" s="750">
        <v>65041</v>
      </c>
      <c r="O2408" s="596">
        <v>65041</v>
      </c>
      <c r="P2408" s="496">
        <v>65056</v>
      </c>
      <c r="Q2408" s="491" t="s">
        <v>51</v>
      </c>
    </row>
    <row r="2409" spans="1:17" s="338" customFormat="1" ht="18">
      <c r="A2409" s="512">
        <f t="shared" si="30"/>
        <v>1562</v>
      </c>
      <c r="B2409" s="692" t="s">
        <v>43</v>
      </c>
      <c r="C2409" s="693" t="s">
        <v>44</v>
      </c>
      <c r="D2409" s="693" t="s">
        <v>45</v>
      </c>
      <c r="E2409" s="590" t="s">
        <v>2736</v>
      </c>
      <c r="F2409" s="590" t="s">
        <v>491</v>
      </c>
      <c r="G2409" s="590">
        <v>9868274894</v>
      </c>
      <c r="H2409" s="693"/>
      <c r="I2409" s="590">
        <v>35</v>
      </c>
      <c r="J2409" s="590" t="s">
        <v>90</v>
      </c>
      <c r="K2409" s="590" t="s">
        <v>1480</v>
      </c>
      <c r="L2409" s="590"/>
      <c r="M2409" s="588" t="s">
        <v>119</v>
      </c>
      <c r="N2409" s="750">
        <v>65041</v>
      </c>
      <c r="O2409" s="596">
        <v>65041</v>
      </c>
      <c r="P2409" s="496">
        <v>65056</v>
      </c>
      <c r="Q2409" s="491" t="s">
        <v>51</v>
      </c>
    </row>
    <row r="2410" spans="1:17" s="338" customFormat="1" ht="18">
      <c r="A2410" s="512">
        <f t="shared" si="30"/>
        <v>1563</v>
      </c>
      <c r="B2410" s="692" t="s">
        <v>43</v>
      </c>
      <c r="C2410" s="693" t="s">
        <v>44</v>
      </c>
      <c r="D2410" s="693" t="s">
        <v>45</v>
      </c>
      <c r="E2410" s="590" t="s">
        <v>2759</v>
      </c>
      <c r="F2410" s="590" t="s">
        <v>502</v>
      </c>
      <c r="G2410" s="590">
        <v>9857822443</v>
      </c>
      <c r="H2410" s="693"/>
      <c r="I2410" s="590">
        <v>40</v>
      </c>
      <c r="J2410" s="590" t="s">
        <v>90</v>
      </c>
      <c r="K2410" s="590" t="s">
        <v>1468</v>
      </c>
      <c r="L2410" s="590"/>
      <c r="M2410" s="588" t="s">
        <v>119</v>
      </c>
      <c r="N2410" s="750">
        <v>65041</v>
      </c>
      <c r="O2410" s="596">
        <v>65041</v>
      </c>
      <c r="P2410" s="496">
        <v>65056</v>
      </c>
      <c r="Q2410" s="491" t="s">
        <v>51</v>
      </c>
    </row>
    <row r="2411" spans="1:17" s="338" customFormat="1" ht="18">
      <c r="A2411" s="512">
        <f t="shared" si="30"/>
        <v>1564</v>
      </c>
      <c r="B2411" s="692" t="s">
        <v>43</v>
      </c>
      <c r="C2411" s="693" t="s">
        <v>44</v>
      </c>
      <c r="D2411" s="693" t="s">
        <v>45</v>
      </c>
      <c r="E2411" s="590" t="s">
        <v>2757</v>
      </c>
      <c r="F2411" s="590" t="s">
        <v>1008</v>
      </c>
      <c r="G2411" s="590">
        <v>9848030361</v>
      </c>
      <c r="H2411" s="693"/>
      <c r="I2411" s="590">
        <v>39</v>
      </c>
      <c r="J2411" s="590" t="s">
        <v>90</v>
      </c>
      <c r="K2411" s="590" t="s">
        <v>1468</v>
      </c>
      <c r="L2411" s="590"/>
      <c r="M2411" s="588" t="s">
        <v>119</v>
      </c>
      <c r="N2411" s="750">
        <v>65041</v>
      </c>
      <c r="O2411" s="596">
        <v>65041</v>
      </c>
      <c r="P2411" s="496">
        <v>65056</v>
      </c>
      <c r="Q2411" s="491" t="s">
        <v>51</v>
      </c>
    </row>
    <row r="2412" spans="1:17" s="338" customFormat="1" ht="18">
      <c r="A2412" s="512">
        <f t="shared" si="30"/>
        <v>1565</v>
      </c>
      <c r="B2412" s="692" t="s">
        <v>43</v>
      </c>
      <c r="C2412" s="693" t="s">
        <v>44</v>
      </c>
      <c r="D2412" s="693" t="s">
        <v>45</v>
      </c>
      <c r="E2412" s="882" t="s">
        <v>2403</v>
      </c>
      <c r="F2412" s="590" t="s">
        <v>1008</v>
      </c>
      <c r="G2412" s="590">
        <v>9841192153</v>
      </c>
      <c r="H2412" s="693"/>
      <c r="I2412" s="590">
        <v>34</v>
      </c>
      <c r="J2412" s="590" t="s">
        <v>48</v>
      </c>
      <c r="K2412" s="590" t="s">
        <v>1468</v>
      </c>
      <c r="L2412" s="590"/>
      <c r="M2412" s="588" t="s">
        <v>119</v>
      </c>
      <c r="N2412" s="750">
        <v>65041</v>
      </c>
      <c r="O2412" s="596">
        <v>65041</v>
      </c>
      <c r="P2412" s="496">
        <v>65056</v>
      </c>
      <c r="Q2412" s="491" t="s">
        <v>51</v>
      </c>
    </row>
    <row r="2413" spans="1:17" s="338" customFormat="1" ht="18">
      <c r="A2413" s="512">
        <f t="shared" si="30"/>
        <v>1566</v>
      </c>
      <c r="B2413" s="692" t="s">
        <v>43</v>
      </c>
      <c r="C2413" s="693" t="s">
        <v>44</v>
      </c>
      <c r="D2413" s="693" t="s">
        <v>45</v>
      </c>
      <c r="E2413" s="590" t="s">
        <v>2842</v>
      </c>
      <c r="F2413" s="590" t="s">
        <v>502</v>
      </c>
      <c r="G2413" s="590">
        <v>9868600563</v>
      </c>
      <c r="H2413" s="693"/>
      <c r="I2413" s="590">
        <v>60</v>
      </c>
      <c r="J2413" s="590" t="s">
        <v>48</v>
      </c>
      <c r="K2413" s="590" t="s">
        <v>1468</v>
      </c>
      <c r="L2413" s="590"/>
      <c r="M2413" s="588" t="s">
        <v>119</v>
      </c>
      <c r="N2413" s="750">
        <v>65041</v>
      </c>
      <c r="O2413" s="596">
        <v>65041</v>
      </c>
      <c r="P2413" s="496">
        <v>65056</v>
      </c>
      <c r="Q2413" s="491" t="s">
        <v>51</v>
      </c>
    </row>
    <row r="2414" spans="1:17" s="338" customFormat="1" ht="18">
      <c r="A2414" s="512">
        <f t="shared" si="30"/>
        <v>1567</v>
      </c>
      <c r="B2414" s="692" t="s">
        <v>43</v>
      </c>
      <c r="C2414" s="693" t="s">
        <v>44</v>
      </c>
      <c r="D2414" s="693" t="s">
        <v>45</v>
      </c>
      <c r="E2414" s="590" t="s">
        <v>2687</v>
      </c>
      <c r="F2414" s="590" t="s">
        <v>1008</v>
      </c>
      <c r="G2414" s="590">
        <v>9868999819</v>
      </c>
      <c r="H2414" s="693"/>
      <c r="I2414" s="590">
        <v>26</v>
      </c>
      <c r="J2414" s="590" t="s">
        <v>48</v>
      </c>
      <c r="K2414" s="590" t="s">
        <v>1480</v>
      </c>
      <c r="L2414" s="590"/>
      <c r="M2414" s="588" t="s">
        <v>119</v>
      </c>
      <c r="N2414" s="750">
        <v>65041</v>
      </c>
      <c r="O2414" s="596">
        <v>65041</v>
      </c>
      <c r="P2414" s="496">
        <v>65056</v>
      </c>
      <c r="Q2414" s="491" t="s">
        <v>51</v>
      </c>
    </row>
    <row r="2415" spans="1:17" s="338" customFormat="1" ht="18">
      <c r="A2415" s="512">
        <f t="shared" si="30"/>
        <v>1568</v>
      </c>
      <c r="B2415" s="692" t="s">
        <v>43</v>
      </c>
      <c r="C2415" s="693" t="s">
        <v>44</v>
      </c>
      <c r="D2415" s="693" t="s">
        <v>45</v>
      </c>
      <c r="E2415" s="882" t="s">
        <v>2862</v>
      </c>
      <c r="F2415" s="590" t="s">
        <v>441</v>
      </c>
      <c r="G2415" s="590">
        <v>9813784071</v>
      </c>
      <c r="H2415" s="693"/>
      <c r="I2415" s="590">
        <v>67</v>
      </c>
      <c r="J2415" s="590" t="s">
        <v>48</v>
      </c>
      <c r="K2415" s="590" t="s">
        <v>1468</v>
      </c>
      <c r="L2415" s="590"/>
      <c r="M2415" s="588" t="s">
        <v>119</v>
      </c>
      <c r="N2415" s="750">
        <v>65041</v>
      </c>
      <c r="O2415" s="596">
        <v>65041</v>
      </c>
      <c r="P2415" s="496">
        <v>65056</v>
      </c>
      <c r="Q2415" s="491" t="s">
        <v>51</v>
      </c>
    </row>
    <row r="2416" spans="1:17" s="338" customFormat="1" ht="18">
      <c r="A2416" s="512">
        <f t="shared" si="30"/>
        <v>1569</v>
      </c>
      <c r="B2416" s="692" t="s">
        <v>43</v>
      </c>
      <c r="C2416" s="693" t="s">
        <v>44</v>
      </c>
      <c r="D2416" s="693" t="s">
        <v>45</v>
      </c>
      <c r="E2416" s="590" t="s">
        <v>2732</v>
      </c>
      <c r="F2416" s="590" t="s">
        <v>491</v>
      </c>
      <c r="G2416" s="590">
        <v>9857823235</v>
      </c>
      <c r="H2416" s="693"/>
      <c r="I2416" s="590">
        <v>34</v>
      </c>
      <c r="J2416" s="590" t="s">
        <v>48</v>
      </c>
      <c r="K2416" s="590" t="s">
        <v>53</v>
      </c>
      <c r="L2416" s="590"/>
      <c r="M2416" s="588" t="s">
        <v>119</v>
      </c>
      <c r="N2416" s="750">
        <v>65041</v>
      </c>
      <c r="O2416" s="596">
        <v>65041</v>
      </c>
      <c r="P2416" s="496">
        <v>65056</v>
      </c>
      <c r="Q2416" s="491" t="s">
        <v>51</v>
      </c>
    </row>
    <row r="2417" spans="1:17" s="338" customFormat="1" ht="18">
      <c r="A2417" s="512">
        <f t="shared" si="30"/>
        <v>1570</v>
      </c>
      <c r="B2417" s="692" t="s">
        <v>43</v>
      </c>
      <c r="C2417" s="693" t="s">
        <v>44</v>
      </c>
      <c r="D2417" s="693" t="s">
        <v>45</v>
      </c>
      <c r="E2417" s="590" t="s">
        <v>2815</v>
      </c>
      <c r="F2417" s="590" t="s">
        <v>124</v>
      </c>
      <c r="G2417" s="590">
        <v>9810905205</v>
      </c>
      <c r="H2417" s="693"/>
      <c r="I2417" s="590">
        <v>54</v>
      </c>
      <c r="J2417" s="590" t="s">
        <v>90</v>
      </c>
      <c r="K2417" s="590" t="s">
        <v>1468</v>
      </c>
      <c r="L2417" s="590"/>
      <c r="M2417" s="588" t="s">
        <v>119</v>
      </c>
      <c r="N2417" s="750">
        <v>65041</v>
      </c>
      <c r="O2417" s="596">
        <v>65041</v>
      </c>
      <c r="P2417" s="496">
        <v>65056</v>
      </c>
      <c r="Q2417" s="491" t="s">
        <v>51</v>
      </c>
    </row>
    <row r="2418" spans="1:17" s="338" customFormat="1" ht="18">
      <c r="A2418" s="512">
        <f t="shared" si="30"/>
        <v>1571</v>
      </c>
      <c r="B2418" s="692" t="s">
        <v>43</v>
      </c>
      <c r="C2418" s="693" t="s">
        <v>44</v>
      </c>
      <c r="D2418" s="693" t="s">
        <v>45</v>
      </c>
      <c r="E2418" s="590" t="s">
        <v>2861</v>
      </c>
      <c r="F2418" s="590" t="s">
        <v>502</v>
      </c>
      <c r="G2418" s="590">
        <v>9841565396</v>
      </c>
      <c r="H2418" s="693"/>
      <c r="I2418" s="590">
        <v>67</v>
      </c>
      <c r="J2418" s="590" t="s">
        <v>48</v>
      </c>
      <c r="K2418" s="590" t="s">
        <v>1480</v>
      </c>
      <c r="L2418" s="590"/>
      <c r="M2418" s="588" t="s">
        <v>119</v>
      </c>
      <c r="N2418" s="750">
        <v>65041</v>
      </c>
      <c r="O2418" s="596">
        <v>65041</v>
      </c>
      <c r="P2418" s="496">
        <v>65056</v>
      </c>
      <c r="Q2418" s="491" t="s">
        <v>51</v>
      </c>
    </row>
    <row r="2419" spans="1:17" s="338" customFormat="1" ht="18">
      <c r="A2419" s="512">
        <f t="shared" si="30"/>
        <v>1572</v>
      </c>
      <c r="B2419" s="692" t="s">
        <v>43</v>
      </c>
      <c r="C2419" s="693" t="s">
        <v>44</v>
      </c>
      <c r="D2419" s="693" t="s">
        <v>45</v>
      </c>
      <c r="E2419" s="590" t="s">
        <v>2817</v>
      </c>
      <c r="F2419" s="590" t="s">
        <v>1046</v>
      </c>
      <c r="G2419" s="590">
        <v>9842336742</v>
      </c>
      <c r="H2419" s="693"/>
      <c r="I2419" s="590">
        <v>54</v>
      </c>
      <c r="J2419" s="590" t="s">
        <v>48</v>
      </c>
      <c r="K2419" s="590" t="s">
        <v>53</v>
      </c>
      <c r="L2419" s="590"/>
      <c r="M2419" s="588" t="s">
        <v>119</v>
      </c>
      <c r="N2419" s="750">
        <v>65041</v>
      </c>
      <c r="O2419" s="596">
        <v>65041</v>
      </c>
      <c r="P2419" s="496">
        <v>65056</v>
      </c>
      <c r="Q2419" s="491" t="s">
        <v>51</v>
      </c>
    </row>
    <row r="2420" spans="1:17" s="338" customFormat="1" ht="18">
      <c r="A2420" s="512">
        <f t="shared" si="30"/>
        <v>1573</v>
      </c>
      <c r="B2420" s="692" t="s">
        <v>43</v>
      </c>
      <c r="C2420" s="693" t="s">
        <v>44</v>
      </c>
      <c r="D2420" s="693" t="s">
        <v>45</v>
      </c>
      <c r="E2420" s="590" t="s">
        <v>2763</v>
      </c>
      <c r="F2420" s="590" t="s">
        <v>491</v>
      </c>
      <c r="G2420" s="590">
        <v>9844935764</v>
      </c>
      <c r="H2420" s="693"/>
      <c r="I2420" s="590">
        <v>41</v>
      </c>
      <c r="J2420" s="590" t="s">
        <v>48</v>
      </c>
      <c r="K2420" s="590" t="s">
        <v>1480</v>
      </c>
      <c r="L2420" s="590"/>
      <c r="M2420" s="588" t="s">
        <v>119</v>
      </c>
      <c r="N2420" s="750">
        <v>65041</v>
      </c>
      <c r="O2420" s="596">
        <v>65041</v>
      </c>
      <c r="P2420" s="496">
        <v>65056</v>
      </c>
      <c r="Q2420" s="491" t="s">
        <v>51</v>
      </c>
    </row>
    <row r="2421" spans="1:17" s="338" customFormat="1" ht="18">
      <c r="A2421" s="512">
        <f t="shared" si="30"/>
        <v>1574</v>
      </c>
      <c r="B2421" s="692" t="s">
        <v>43</v>
      </c>
      <c r="C2421" s="693" t="s">
        <v>44</v>
      </c>
      <c r="D2421" s="693" t="s">
        <v>45</v>
      </c>
      <c r="E2421" s="590" t="s">
        <v>2660</v>
      </c>
      <c r="F2421" s="590" t="s">
        <v>1046</v>
      </c>
      <c r="G2421" s="590">
        <v>9847946576</v>
      </c>
      <c r="H2421" s="693"/>
      <c r="I2421" s="590">
        <v>20</v>
      </c>
      <c r="J2421" s="590" t="s">
        <v>48</v>
      </c>
      <c r="K2421" s="590" t="s">
        <v>1480</v>
      </c>
      <c r="L2421" s="590"/>
      <c r="M2421" s="588" t="s">
        <v>119</v>
      </c>
      <c r="N2421" s="750">
        <v>65041</v>
      </c>
      <c r="O2421" s="596">
        <v>65041</v>
      </c>
      <c r="P2421" s="496">
        <v>65056</v>
      </c>
      <c r="Q2421" s="491" t="s">
        <v>51</v>
      </c>
    </row>
    <row r="2422" spans="1:17" s="338" customFormat="1" ht="18">
      <c r="A2422" s="512">
        <f t="shared" si="30"/>
        <v>1575</v>
      </c>
      <c r="B2422" s="692" t="s">
        <v>43</v>
      </c>
      <c r="C2422" s="693" t="s">
        <v>44</v>
      </c>
      <c r="D2422" s="693" t="s">
        <v>45</v>
      </c>
      <c r="E2422" s="590" t="s">
        <v>2785</v>
      </c>
      <c r="F2422" s="590" t="s">
        <v>730</v>
      </c>
      <c r="G2422" s="590">
        <v>9809820136</v>
      </c>
      <c r="H2422" s="693"/>
      <c r="I2422" s="590">
        <v>45</v>
      </c>
      <c r="J2422" s="590" t="s">
        <v>90</v>
      </c>
      <c r="K2422" s="590" t="s">
        <v>53</v>
      </c>
      <c r="L2422" s="590"/>
      <c r="M2422" s="588" t="s">
        <v>119</v>
      </c>
      <c r="N2422" s="750">
        <v>65041</v>
      </c>
      <c r="O2422" s="596">
        <v>65041</v>
      </c>
      <c r="P2422" s="496">
        <v>65056</v>
      </c>
      <c r="Q2422" s="491" t="s">
        <v>51</v>
      </c>
    </row>
    <row r="2423" spans="1:17" s="338" customFormat="1" ht="18">
      <c r="A2423" s="512">
        <f t="shared" si="30"/>
        <v>1576</v>
      </c>
      <c r="B2423" s="692" t="s">
        <v>43</v>
      </c>
      <c r="C2423" s="693" t="s">
        <v>44</v>
      </c>
      <c r="D2423" s="693" t="s">
        <v>45</v>
      </c>
      <c r="E2423" s="590" t="s">
        <v>2705</v>
      </c>
      <c r="F2423" s="590" t="s">
        <v>491</v>
      </c>
      <c r="G2423" s="590">
        <v>9847890198</v>
      </c>
      <c r="H2423" s="693"/>
      <c r="I2423" s="590">
        <v>29</v>
      </c>
      <c r="J2423" s="590" t="s">
        <v>48</v>
      </c>
      <c r="K2423" s="590" t="s">
        <v>53</v>
      </c>
      <c r="L2423" s="590"/>
      <c r="M2423" s="588" t="s">
        <v>119</v>
      </c>
      <c r="N2423" s="750">
        <v>65041</v>
      </c>
      <c r="O2423" s="596">
        <v>65041</v>
      </c>
      <c r="P2423" s="496">
        <v>65056</v>
      </c>
      <c r="Q2423" s="491" t="s">
        <v>51</v>
      </c>
    </row>
    <row r="2424" spans="1:17" s="338" customFormat="1" ht="18">
      <c r="A2424" s="512">
        <f t="shared" si="30"/>
        <v>1577</v>
      </c>
      <c r="B2424" s="692" t="s">
        <v>43</v>
      </c>
      <c r="C2424" s="693" t="s">
        <v>44</v>
      </c>
      <c r="D2424" s="693" t="s">
        <v>45</v>
      </c>
      <c r="E2424" s="590" t="s">
        <v>2792</v>
      </c>
      <c r="F2424" s="590" t="s">
        <v>497</v>
      </c>
      <c r="G2424" s="590">
        <v>9847941396</v>
      </c>
      <c r="H2424" s="693"/>
      <c r="I2424" s="590">
        <v>47</v>
      </c>
      <c r="J2424" s="590" t="s">
        <v>90</v>
      </c>
      <c r="K2424" s="590" t="s">
        <v>53</v>
      </c>
      <c r="L2424" s="590"/>
      <c r="M2424" s="588" t="s">
        <v>119</v>
      </c>
      <c r="N2424" s="750">
        <v>65041</v>
      </c>
      <c r="O2424" s="596">
        <v>65041</v>
      </c>
      <c r="P2424" s="496">
        <v>65056</v>
      </c>
      <c r="Q2424" s="491" t="s">
        <v>51</v>
      </c>
    </row>
    <row r="2425" spans="1:17" s="338" customFormat="1" ht="18">
      <c r="A2425" s="512">
        <f t="shared" si="30"/>
        <v>1578</v>
      </c>
      <c r="B2425" s="692" t="s">
        <v>43</v>
      </c>
      <c r="C2425" s="693" t="s">
        <v>44</v>
      </c>
      <c r="D2425" s="693" t="s">
        <v>45</v>
      </c>
      <c r="E2425" s="590" t="s">
        <v>2694</v>
      </c>
      <c r="F2425" s="590" t="s">
        <v>491</v>
      </c>
      <c r="G2425" s="590">
        <v>9848023931</v>
      </c>
      <c r="H2425" s="693"/>
      <c r="I2425" s="590">
        <v>28</v>
      </c>
      <c r="J2425" s="590" t="s">
        <v>48</v>
      </c>
      <c r="K2425" s="590" t="s">
        <v>1468</v>
      </c>
      <c r="L2425" s="590"/>
      <c r="M2425" s="588" t="s">
        <v>119</v>
      </c>
      <c r="N2425" s="750">
        <v>65041</v>
      </c>
      <c r="O2425" s="596">
        <v>65041</v>
      </c>
      <c r="P2425" s="496">
        <v>65056</v>
      </c>
      <c r="Q2425" s="491" t="s">
        <v>51</v>
      </c>
    </row>
    <row r="2426" spans="1:17" s="338" customFormat="1" ht="18">
      <c r="A2426" s="512">
        <f t="shared" si="30"/>
        <v>1579</v>
      </c>
      <c r="B2426" s="692" t="s">
        <v>43</v>
      </c>
      <c r="C2426" s="693" t="s">
        <v>44</v>
      </c>
      <c r="D2426" s="693" t="s">
        <v>45</v>
      </c>
      <c r="E2426" s="590" t="s">
        <v>2669</v>
      </c>
      <c r="F2426" s="590" t="s">
        <v>491</v>
      </c>
      <c r="G2426" s="590">
        <v>9869011014</v>
      </c>
      <c r="H2426" s="693"/>
      <c r="I2426" s="590">
        <v>22</v>
      </c>
      <c r="J2426" s="590" t="s">
        <v>48</v>
      </c>
      <c r="K2426" s="590" t="s">
        <v>53</v>
      </c>
      <c r="L2426" s="590"/>
      <c r="M2426" s="588" t="s">
        <v>119</v>
      </c>
      <c r="N2426" s="750">
        <v>65041</v>
      </c>
      <c r="O2426" s="596">
        <v>65041</v>
      </c>
      <c r="P2426" s="496">
        <v>65056</v>
      </c>
      <c r="Q2426" s="491" t="s">
        <v>51</v>
      </c>
    </row>
    <row r="2427" spans="1:17" s="338" customFormat="1" ht="18">
      <c r="A2427" s="512">
        <f t="shared" si="30"/>
        <v>1580</v>
      </c>
      <c r="B2427" s="692" t="s">
        <v>43</v>
      </c>
      <c r="C2427" s="693" t="s">
        <v>44</v>
      </c>
      <c r="D2427" s="693" t="s">
        <v>45</v>
      </c>
      <c r="E2427" s="590" t="s">
        <v>2860</v>
      </c>
      <c r="F2427" s="590" t="s">
        <v>124</v>
      </c>
      <c r="G2427" s="590">
        <v>9847822328</v>
      </c>
      <c r="H2427" s="693"/>
      <c r="I2427" s="590">
        <v>66</v>
      </c>
      <c r="J2427" s="590" t="s">
        <v>48</v>
      </c>
      <c r="K2427" s="590" t="s">
        <v>1480</v>
      </c>
      <c r="L2427" s="590"/>
      <c r="M2427" s="588" t="s">
        <v>119</v>
      </c>
      <c r="N2427" s="750">
        <v>65041</v>
      </c>
      <c r="O2427" s="596">
        <v>65041</v>
      </c>
      <c r="P2427" s="496">
        <v>65056</v>
      </c>
      <c r="Q2427" s="491" t="s">
        <v>51</v>
      </c>
    </row>
    <row r="2428" spans="1:17" s="338" customFormat="1" ht="18">
      <c r="A2428" s="512">
        <f t="shared" si="30"/>
        <v>1581</v>
      </c>
      <c r="B2428" s="692" t="s">
        <v>43</v>
      </c>
      <c r="C2428" s="693" t="s">
        <v>44</v>
      </c>
      <c r="D2428" s="693" t="s">
        <v>45</v>
      </c>
      <c r="E2428" s="590" t="s">
        <v>2784</v>
      </c>
      <c r="F2428" s="590" t="s">
        <v>124</v>
      </c>
      <c r="G2428" s="590">
        <v>9847871303</v>
      </c>
      <c r="H2428" s="693"/>
      <c r="I2428" s="590">
        <v>45</v>
      </c>
      <c r="J2428" s="590" t="s">
        <v>90</v>
      </c>
      <c r="K2428" s="590" t="s">
        <v>1480</v>
      </c>
      <c r="L2428" s="590"/>
      <c r="M2428" s="588" t="s">
        <v>119</v>
      </c>
      <c r="N2428" s="750">
        <v>65041</v>
      </c>
      <c r="O2428" s="596">
        <v>65041</v>
      </c>
      <c r="P2428" s="496">
        <v>65056</v>
      </c>
      <c r="Q2428" s="491" t="s">
        <v>51</v>
      </c>
    </row>
    <row r="2429" spans="1:17" s="338" customFormat="1" ht="18">
      <c r="A2429" s="512">
        <f t="shared" si="30"/>
        <v>1582</v>
      </c>
      <c r="B2429" s="692" t="s">
        <v>43</v>
      </c>
      <c r="C2429" s="693" t="s">
        <v>44</v>
      </c>
      <c r="D2429" s="693" t="s">
        <v>45</v>
      </c>
      <c r="E2429" s="590" t="s">
        <v>2870</v>
      </c>
      <c r="F2429" s="590" t="s">
        <v>497</v>
      </c>
      <c r="G2429" s="590">
        <v>9847993259</v>
      </c>
      <c r="H2429" s="693"/>
      <c r="I2429" s="590">
        <v>75</v>
      </c>
      <c r="J2429" s="590" t="s">
        <v>48</v>
      </c>
      <c r="K2429" s="590" t="s">
        <v>1480</v>
      </c>
      <c r="L2429" s="590"/>
      <c r="M2429" s="588" t="s">
        <v>119</v>
      </c>
      <c r="N2429" s="750">
        <v>65041</v>
      </c>
      <c r="O2429" s="596">
        <v>65041</v>
      </c>
      <c r="P2429" s="496">
        <v>65056</v>
      </c>
      <c r="Q2429" s="491" t="s">
        <v>51</v>
      </c>
    </row>
    <row r="2430" spans="1:17" s="338" customFormat="1" ht="18">
      <c r="A2430" s="512">
        <f t="shared" si="30"/>
        <v>1583</v>
      </c>
      <c r="B2430" s="692" t="s">
        <v>43</v>
      </c>
      <c r="C2430" s="693" t="s">
        <v>44</v>
      </c>
      <c r="D2430" s="693" t="s">
        <v>45</v>
      </c>
      <c r="E2430" s="590" t="s">
        <v>2675</v>
      </c>
      <c r="F2430" s="590" t="s">
        <v>441</v>
      </c>
      <c r="G2430" s="590">
        <v>9866957123</v>
      </c>
      <c r="H2430" s="693"/>
      <c r="I2430" s="590">
        <v>24</v>
      </c>
      <c r="J2430" s="590" t="s">
        <v>90</v>
      </c>
      <c r="K2430" s="590" t="s">
        <v>1480</v>
      </c>
      <c r="L2430" s="590"/>
      <c r="M2430" s="588" t="s">
        <v>119</v>
      </c>
      <c r="N2430" s="750">
        <v>65041</v>
      </c>
      <c r="O2430" s="596">
        <v>65041</v>
      </c>
      <c r="P2430" s="496">
        <v>65056</v>
      </c>
      <c r="Q2430" s="491" t="s">
        <v>51</v>
      </c>
    </row>
    <row r="2431" spans="1:17" s="338" customFormat="1" ht="18">
      <c r="A2431" s="512">
        <f t="shared" si="30"/>
        <v>1584</v>
      </c>
      <c r="B2431" s="692" t="s">
        <v>43</v>
      </c>
      <c r="C2431" s="693" t="s">
        <v>44</v>
      </c>
      <c r="D2431" s="693" t="s">
        <v>45</v>
      </c>
      <c r="E2431" s="590" t="s">
        <v>2778</v>
      </c>
      <c r="F2431" s="590" t="s">
        <v>441</v>
      </c>
      <c r="G2431" s="590">
        <v>9847884085</v>
      </c>
      <c r="H2431" s="693"/>
      <c r="I2431" s="590">
        <v>44</v>
      </c>
      <c r="J2431" s="590" t="s">
        <v>90</v>
      </c>
      <c r="K2431" s="590" t="s">
        <v>1480</v>
      </c>
      <c r="L2431" s="590"/>
      <c r="M2431" s="588" t="s">
        <v>119</v>
      </c>
      <c r="N2431" s="750">
        <v>65041</v>
      </c>
      <c r="O2431" s="596">
        <v>65041</v>
      </c>
      <c r="P2431" s="496">
        <v>65056</v>
      </c>
      <c r="Q2431" s="491" t="s">
        <v>51</v>
      </c>
    </row>
    <row r="2432" spans="1:17" s="338" customFormat="1" ht="18">
      <c r="A2432" s="512">
        <f t="shared" si="30"/>
        <v>1585</v>
      </c>
      <c r="B2432" s="692" t="s">
        <v>43</v>
      </c>
      <c r="C2432" s="693" t="s">
        <v>44</v>
      </c>
      <c r="D2432" s="693" t="s">
        <v>45</v>
      </c>
      <c r="E2432" s="590" t="s">
        <v>2765</v>
      </c>
      <c r="F2432" s="590" t="s">
        <v>124</v>
      </c>
      <c r="G2432" s="590">
        <v>9847893462</v>
      </c>
      <c r="H2432" s="693"/>
      <c r="I2432" s="590">
        <v>41</v>
      </c>
      <c r="J2432" s="590" t="s">
        <v>90</v>
      </c>
      <c r="K2432" s="590" t="s">
        <v>1480</v>
      </c>
      <c r="L2432" s="590"/>
      <c r="M2432" s="588" t="s">
        <v>119</v>
      </c>
      <c r="N2432" s="750">
        <v>65041</v>
      </c>
      <c r="O2432" s="596">
        <v>65041</v>
      </c>
      <c r="P2432" s="496">
        <v>65056</v>
      </c>
      <c r="Q2432" s="491" t="s">
        <v>51</v>
      </c>
    </row>
    <row r="2433" spans="1:17" s="338" customFormat="1" ht="18">
      <c r="A2433" s="512">
        <f t="shared" si="30"/>
        <v>1586</v>
      </c>
      <c r="B2433" s="692" t="s">
        <v>43</v>
      </c>
      <c r="C2433" s="693" t="s">
        <v>44</v>
      </c>
      <c r="D2433" s="693" t="s">
        <v>45</v>
      </c>
      <c r="E2433" s="590" t="s">
        <v>2742</v>
      </c>
      <c r="F2433" s="590" t="s">
        <v>502</v>
      </c>
      <c r="G2433" s="590">
        <v>9809863274</v>
      </c>
      <c r="H2433" s="693"/>
      <c r="I2433" s="590">
        <v>36</v>
      </c>
      <c r="J2433" s="590" t="s">
        <v>48</v>
      </c>
      <c r="K2433" s="590" t="s">
        <v>53</v>
      </c>
      <c r="L2433" s="590"/>
      <c r="M2433" s="588" t="s">
        <v>119</v>
      </c>
      <c r="N2433" s="750">
        <v>65041</v>
      </c>
      <c r="O2433" s="596">
        <v>65041</v>
      </c>
      <c r="P2433" s="496">
        <v>65056</v>
      </c>
      <c r="Q2433" s="491" t="s">
        <v>51</v>
      </c>
    </row>
    <row r="2434" spans="1:17" s="338" customFormat="1" ht="18">
      <c r="A2434" s="512">
        <f t="shared" si="30"/>
        <v>1587</v>
      </c>
      <c r="B2434" s="692" t="s">
        <v>43</v>
      </c>
      <c r="C2434" s="693" t="s">
        <v>44</v>
      </c>
      <c r="D2434" s="693" t="s">
        <v>45</v>
      </c>
      <c r="E2434" s="590" t="s">
        <v>2803</v>
      </c>
      <c r="F2434" s="590" t="s">
        <v>441</v>
      </c>
      <c r="G2434" s="590">
        <v>9844311598</v>
      </c>
      <c r="H2434" s="693"/>
      <c r="I2434" s="590">
        <v>50</v>
      </c>
      <c r="J2434" s="590" t="s">
        <v>90</v>
      </c>
      <c r="K2434" s="590" t="s">
        <v>1468</v>
      </c>
      <c r="L2434" s="590"/>
      <c r="M2434" s="588" t="s">
        <v>119</v>
      </c>
      <c r="N2434" s="750">
        <v>65041</v>
      </c>
      <c r="O2434" s="596">
        <v>65041</v>
      </c>
      <c r="P2434" s="496">
        <v>65056</v>
      </c>
      <c r="Q2434" s="491" t="s">
        <v>51</v>
      </c>
    </row>
    <row r="2435" spans="1:17" s="338" customFormat="1" ht="18">
      <c r="A2435" s="512">
        <f t="shared" si="30"/>
        <v>1588</v>
      </c>
      <c r="B2435" s="692" t="s">
        <v>43</v>
      </c>
      <c r="C2435" s="693" t="s">
        <v>44</v>
      </c>
      <c r="D2435" s="693" t="s">
        <v>45</v>
      </c>
      <c r="E2435" s="590" t="s">
        <v>2814</v>
      </c>
      <c r="F2435" s="590" t="s">
        <v>491</v>
      </c>
      <c r="G2435" s="590">
        <v>9847823081</v>
      </c>
      <c r="H2435" s="693"/>
      <c r="I2435" s="590">
        <v>54</v>
      </c>
      <c r="J2435" s="590" t="s">
        <v>48</v>
      </c>
      <c r="K2435" s="590" t="s">
        <v>1480</v>
      </c>
      <c r="L2435" s="590"/>
      <c r="M2435" s="588" t="s">
        <v>119</v>
      </c>
      <c r="N2435" s="750">
        <v>65041</v>
      </c>
      <c r="O2435" s="596">
        <v>65041</v>
      </c>
      <c r="P2435" s="496">
        <v>65056</v>
      </c>
      <c r="Q2435" s="491" t="s">
        <v>51</v>
      </c>
    </row>
    <row r="2436" spans="1:17" s="338" customFormat="1" ht="18">
      <c r="A2436" s="512">
        <f t="shared" si="30"/>
        <v>1589</v>
      </c>
      <c r="B2436" s="692" t="s">
        <v>43</v>
      </c>
      <c r="C2436" s="693" t="s">
        <v>44</v>
      </c>
      <c r="D2436" s="693" t="s">
        <v>45</v>
      </c>
      <c r="E2436" s="590" t="s">
        <v>2777</v>
      </c>
      <c r="F2436" s="590" t="s">
        <v>491</v>
      </c>
      <c r="G2436" s="590">
        <v>9847866394</v>
      </c>
      <c r="H2436" s="693"/>
      <c r="I2436" s="590">
        <v>44</v>
      </c>
      <c r="J2436" s="590" t="s">
        <v>48</v>
      </c>
      <c r="K2436" s="590" t="s">
        <v>1480</v>
      </c>
      <c r="L2436" s="590"/>
      <c r="M2436" s="588" t="s">
        <v>119</v>
      </c>
      <c r="N2436" s="750">
        <v>65041</v>
      </c>
      <c r="O2436" s="596">
        <v>65041</v>
      </c>
      <c r="P2436" s="496">
        <v>65056</v>
      </c>
      <c r="Q2436" s="491" t="s">
        <v>51</v>
      </c>
    </row>
    <row r="2437" spans="1:17" s="338" customFormat="1" ht="18">
      <c r="A2437" s="512">
        <f t="shared" si="30"/>
        <v>1590</v>
      </c>
      <c r="B2437" s="692" t="s">
        <v>43</v>
      </c>
      <c r="C2437" s="693" t="s">
        <v>44</v>
      </c>
      <c r="D2437" s="693" t="s">
        <v>45</v>
      </c>
      <c r="E2437" s="590" t="s">
        <v>2851</v>
      </c>
      <c r="F2437" s="590" t="s">
        <v>441</v>
      </c>
      <c r="G2437" s="590">
        <v>9847888841</v>
      </c>
      <c r="H2437" s="693"/>
      <c r="I2437" s="590">
        <v>63</v>
      </c>
      <c r="J2437" s="590" t="s">
        <v>48</v>
      </c>
      <c r="K2437" s="590" t="s">
        <v>1480</v>
      </c>
      <c r="L2437" s="590"/>
      <c r="M2437" s="588" t="s">
        <v>119</v>
      </c>
      <c r="N2437" s="750">
        <v>65041</v>
      </c>
      <c r="O2437" s="596">
        <v>65041</v>
      </c>
      <c r="P2437" s="496">
        <v>65056</v>
      </c>
      <c r="Q2437" s="491" t="s">
        <v>51</v>
      </c>
    </row>
    <row r="2438" spans="1:17" s="163" customFormat="1" ht="18">
      <c r="A2438" s="512">
        <f t="shared" si="30"/>
        <v>1591</v>
      </c>
      <c r="B2438" s="692" t="s">
        <v>43</v>
      </c>
      <c r="C2438" s="693" t="s">
        <v>44</v>
      </c>
      <c r="D2438" s="693" t="s">
        <v>45</v>
      </c>
      <c r="E2438" s="590" t="s">
        <v>2798</v>
      </c>
      <c r="F2438" s="590" t="s">
        <v>124</v>
      </c>
      <c r="G2438" s="590">
        <v>9857823197</v>
      </c>
      <c r="H2438" s="693"/>
      <c r="I2438" s="590">
        <v>49</v>
      </c>
      <c r="J2438" s="590" t="s">
        <v>48</v>
      </c>
      <c r="K2438" s="590" t="s">
        <v>1468</v>
      </c>
      <c r="L2438" s="590"/>
      <c r="M2438" s="588" t="s">
        <v>119</v>
      </c>
      <c r="N2438" s="750">
        <v>65041</v>
      </c>
      <c r="O2438" s="596">
        <v>65041</v>
      </c>
      <c r="P2438" s="496">
        <v>65056</v>
      </c>
      <c r="Q2438" s="491" t="s">
        <v>51</v>
      </c>
    </row>
    <row r="2439" spans="1:17" s="338" customFormat="1" ht="18">
      <c r="A2439" s="512">
        <f t="shared" si="30"/>
        <v>1592</v>
      </c>
      <c r="B2439" s="661" t="s">
        <v>43</v>
      </c>
      <c r="C2439" s="662" t="s">
        <v>44</v>
      </c>
      <c r="D2439" s="662" t="s">
        <v>45</v>
      </c>
      <c r="E2439" s="620" t="s">
        <v>2799</v>
      </c>
      <c r="F2439" s="620" t="s">
        <v>124</v>
      </c>
      <c r="G2439" s="620">
        <v>9857823197</v>
      </c>
      <c r="H2439" s="662"/>
      <c r="I2439" s="620">
        <v>49</v>
      </c>
      <c r="J2439" s="620" t="s">
        <v>90</v>
      </c>
      <c r="K2439" s="620" t="s">
        <v>1468</v>
      </c>
      <c r="L2439" s="620"/>
      <c r="M2439" s="620" t="s">
        <v>2651</v>
      </c>
      <c r="N2439" s="764">
        <v>65041</v>
      </c>
      <c r="O2439" s="678">
        <v>65041</v>
      </c>
      <c r="P2439" s="475">
        <v>65040</v>
      </c>
      <c r="Q2439" s="472" t="s">
        <v>940</v>
      </c>
    </row>
    <row r="2440" spans="1:17" s="338" customFormat="1" ht="18">
      <c r="A2440" s="512">
        <f t="shared" si="30"/>
        <v>1593</v>
      </c>
      <c r="B2440" s="692" t="s">
        <v>43</v>
      </c>
      <c r="C2440" s="693" t="s">
        <v>44</v>
      </c>
      <c r="D2440" s="693" t="s">
        <v>45</v>
      </c>
      <c r="E2440" s="590" t="s">
        <v>2678</v>
      </c>
      <c r="F2440" s="590" t="s">
        <v>502</v>
      </c>
      <c r="G2440" s="590">
        <v>9844989966</v>
      </c>
      <c r="H2440" s="693"/>
      <c r="I2440" s="590">
        <v>25</v>
      </c>
      <c r="J2440" s="590" t="s">
        <v>90</v>
      </c>
      <c r="K2440" s="590" t="s">
        <v>1480</v>
      </c>
      <c r="L2440" s="590"/>
      <c r="M2440" s="588" t="s">
        <v>119</v>
      </c>
      <c r="N2440" s="750">
        <v>65041</v>
      </c>
      <c r="O2440" s="596">
        <v>65041</v>
      </c>
      <c r="P2440" s="496">
        <v>65056</v>
      </c>
      <c r="Q2440" s="491" t="s">
        <v>51</v>
      </c>
    </row>
    <row r="2441" spans="1:17" s="338" customFormat="1" ht="18">
      <c r="A2441" s="512">
        <f t="shared" si="30"/>
        <v>1594</v>
      </c>
      <c r="B2441" s="692" t="s">
        <v>43</v>
      </c>
      <c r="C2441" s="693" t="s">
        <v>44</v>
      </c>
      <c r="D2441" s="693" t="s">
        <v>45</v>
      </c>
      <c r="E2441" s="590" t="s">
        <v>2703</v>
      </c>
      <c r="F2441" s="590" t="s">
        <v>502</v>
      </c>
      <c r="G2441" s="590">
        <v>9866233330</v>
      </c>
      <c r="H2441" s="693"/>
      <c r="I2441" s="590">
        <v>29</v>
      </c>
      <c r="J2441" s="590" t="s">
        <v>90</v>
      </c>
      <c r="K2441" s="590" t="s">
        <v>1480</v>
      </c>
      <c r="L2441" s="590"/>
      <c r="M2441" s="588" t="s">
        <v>119</v>
      </c>
      <c r="N2441" s="750">
        <v>65041</v>
      </c>
      <c r="O2441" s="596">
        <v>65041</v>
      </c>
      <c r="P2441" s="496">
        <v>65056</v>
      </c>
      <c r="Q2441" s="491" t="s">
        <v>51</v>
      </c>
    </row>
    <row r="2442" spans="1:17" s="338" customFormat="1" ht="18">
      <c r="A2442" s="512">
        <f t="shared" si="30"/>
        <v>1595</v>
      </c>
      <c r="B2442" s="692" t="s">
        <v>43</v>
      </c>
      <c r="C2442" s="693" t="s">
        <v>44</v>
      </c>
      <c r="D2442" s="693" t="s">
        <v>45</v>
      </c>
      <c r="E2442" s="882" t="s">
        <v>1574</v>
      </c>
      <c r="F2442" s="590" t="s">
        <v>491</v>
      </c>
      <c r="G2442" s="590">
        <v>9857820112</v>
      </c>
      <c r="H2442" s="693"/>
      <c r="I2442" s="590">
        <v>61</v>
      </c>
      <c r="J2442" s="590" t="s">
        <v>48</v>
      </c>
      <c r="K2442" s="590" t="s">
        <v>53</v>
      </c>
      <c r="L2442" s="590"/>
      <c r="M2442" s="588" t="s">
        <v>119</v>
      </c>
      <c r="N2442" s="750">
        <v>65041</v>
      </c>
      <c r="O2442" s="596">
        <v>65041</v>
      </c>
      <c r="P2442" s="496">
        <v>65056</v>
      </c>
      <c r="Q2442" s="491" t="s">
        <v>51</v>
      </c>
    </row>
    <row r="2443" spans="1:17" s="338" customFormat="1" ht="18">
      <c r="A2443" s="512">
        <f t="shared" si="30"/>
        <v>1596</v>
      </c>
      <c r="B2443" s="692" t="s">
        <v>43</v>
      </c>
      <c r="C2443" s="693" t="s">
        <v>44</v>
      </c>
      <c r="D2443" s="693" t="s">
        <v>45</v>
      </c>
      <c r="E2443" s="590" t="s">
        <v>2698</v>
      </c>
      <c r="F2443" s="590" t="s">
        <v>1204</v>
      </c>
      <c r="G2443" s="590">
        <v>9844905494</v>
      </c>
      <c r="H2443" s="693"/>
      <c r="I2443" s="590">
        <v>28</v>
      </c>
      <c r="J2443" s="590" t="s">
        <v>90</v>
      </c>
      <c r="K2443" s="590" t="s">
        <v>53</v>
      </c>
      <c r="L2443" s="590"/>
      <c r="M2443" s="588" t="s">
        <v>119</v>
      </c>
      <c r="N2443" s="750">
        <v>65041</v>
      </c>
      <c r="O2443" s="596">
        <v>65041</v>
      </c>
      <c r="P2443" s="496">
        <v>65056</v>
      </c>
      <c r="Q2443" s="491" t="s">
        <v>51</v>
      </c>
    </row>
    <row r="2444" spans="1:17" s="338" customFormat="1" ht="18">
      <c r="A2444" s="512">
        <f t="shared" si="30"/>
        <v>1597</v>
      </c>
      <c r="B2444" s="692" t="s">
        <v>43</v>
      </c>
      <c r="C2444" s="693" t="s">
        <v>44</v>
      </c>
      <c r="D2444" s="693" t="s">
        <v>45</v>
      </c>
      <c r="E2444" s="590" t="s">
        <v>2852</v>
      </c>
      <c r="F2444" s="590" t="s">
        <v>441</v>
      </c>
      <c r="G2444" s="590">
        <v>9866828506</v>
      </c>
      <c r="H2444" s="693"/>
      <c r="I2444" s="590">
        <v>63</v>
      </c>
      <c r="J2444" s="590" t="s">
        <v>90</v>
      </c>
      <c r="K2444" s="590" t="s">
        <v>1480</v>
      </c>
      <c r="L2444" s="590"/>
      <c r="M2444" s="588" t="s">
        <v>119</v>
      </c>
      <c r="N2444" s="750">
        <v>65041</v>
      </c>
      <c r="O2444" s="596">
        <v>65041</v>
      </c>
      <c r="P2444" s="496">
        <v>65056</v>
      </c>
      <c r="Q2444" s="491" t="s">
        <v>51</v>
      </c>
    </row>
    <row r="2445" spans="1:17" s="338" customFormat="1" ht="18">
      <c r="A2445" s="512">
        <f t="shared" si="30"/>
        <v>1598</v>
      </c>
      <c r="B2445" s="692" t="s">
        <v>43</v>
      </c>
      <c r="C2445" s="693" t="s">
        <v>44</v>
      </c>
      <c r="D2445" s="693" t="s">
        <v>45</v>
      </c>
      <c r="E2445" s="590" t="s">
        <v>2874</v>
      </c>
      <c r="F2445" s="590" t="s">
        <v>1008</v>
      </c>
      <c r="G2445" s="590">
        <v>9810223639</v>
      </c>
      <c r="H2445" s="693"/>
      <c r="I2445" s="590">
        <v>85</v>
      </c>
      <c r="J2445" s="590" t="s">
        <v>90</v>
      </c>
      <c r="K2445" s="590" t="s">
        <v>1480</v>
      </c>
      <c r="L2445" s="590"/>
      <c r="M2445" s="588" t="s">
        <v>119</v>
      </c>
      <c r="N2445" s="750">
        <v>65041</v>
      </c>
      <c r="O2445" s="596">
        <v>65041</v>
      </c>
      <c r="P2445" s="496">
        <v>65056</v>
      </c>
      <c r="Q2445" s="491" t="s">
        <v>51</v>
      </c>
    </row>
    <row r="2446" spans="1:17" s="1128" customFormat="1" ht="18">
      <c r="A2446" s="512">
        <f t="shared" si="30"/>
        <v>1599</v>
      </c>
      <c r="B2446" s="1125" t="s">
        <v>43</v>
      </c>
      <c r="C2446" s="1109" t="s">
        <v>44</v>
      </c>
      <c r="D2446" s="1109" t="s">
        <v>45</v>
      </c>
      <c r="E2446" s="641" t="s">
        <v>2793</v>
      </c>
      <c r="F2446" s="641" t="s">
        <v>491</v>
      </c>
      <c r="G2446" s="641">
        <v>9809745377</v>
      </c>
      <c r="H2446" s="1109"/>
      <c r="I2446" s="641">
        <v>48</v>
      </c>
      <c r="J2446" s="641" t="s">
        <v>48</v>
      </c>
      <c r="K2446" s="641" t="s">
        <v>1468</v>
      </c>
      <c r="L2446" s="641"/>
      <c r="M2446" s="641" t="s">
        <v>4449</v>
      </c>
      <c r="N2446" s="1121">
        <v>65041</v>
      </c>
      <c r="O2446" s="1122">
        <v>65041</v>
      </c>
      <c r="P2446" s="1126">
        <v>65070</v>
      </c>
      <c r="Q2446" s="1116" t="s">
        <v>51</v>
      </c>
    </row>
    <row r="2447" spans="1:17" s="338" customFormat="1" ht="18">
      <c r="A2447" s="512">
        <f t="shared" si="30"/>
        <v>1600</v>
      </c>
      <c r="B2447" s="692" t="s">
        <v>43</v>
      </c>
      <c r="C2447" s="693" t="s">
        <v>44</v>
      </c>
      <c r="D2447" s="693" t="s">
        <v>45</v>
      </c>
      <c r="E2447" s="590" t="s">
        <v>2764</v>
      </c>
      <c r="F2447" s="590" t="s">
        <v>491</v>
      </c>
      <c r="G2447" s="590">
        <v>9844935970</v>
      </c>
      <c r="H2447" s="693"/>
      <c r="I2447" s="590">
        <v>41</v>
      </c>
      <c r="J2447" s="590" t="s">
        <v>48</v>
      </c>
      <c r="K2447" s="590" t="s">
        <v>1480</v>
      </c>
      <c r="L2447" s="590"/>
      <c r="M2447" s="588" t="s">
        <v>119</v>
      </c>
      <c r="N2447" s="750">
        <v>65041</v>
      </c>
      <c r="O2447" s="596">
        <v>65041</v>
      </c>
      <c r="P2447" s="496">
        <v>65056</v>
      </c>
      <c r="Q2447" s="491" t="s">
        <v>51</v>
      </c>
    </row>
    <row r="2448" spans="1:17" s="338" customFormat="1" ht="18">
      <c r="A2448" s="512">
        <f t="shared" si="30"/>
        <v>1601</v>
      </c>
      <c r="B2448" s="692" t="s">
        <v>43</v>
      </c>
      <c r="C2448" s="693" t="s">
        <v>44</v>
      </c>
      <c r="D2448" s="693" t="s">
        <v>45</v>
      </c>
      <c r="E2448" s="590" t="s">
        <v>2663</v>
      </c>
      <c r="F2448" s="590" t="s">
        <v>491</v>
      </c>
      <c r="G2448" s="590">
        <v>9844935970</v>
      </c>
      <c r="H2448" s="693"/>
      <c r="I2448" s="590">
        <v>21</v>
      </c>
      <c r="J2448" s="590" t="s">
        <v>48</v>
      </c>
      <c r="K2448" s="590" t="s">
        <v>1480</v>
      </c>
      <c r="L2448" s="590"/>
      <c r="M2448" s="588" t="s">
        <v>119</v>
      </c>
      <c r="N2448" s="750">
        <v>65041</v>
      </c>
      <c r="O2448" s="596">
        <v>65041</v>
      </c>
      <c r="P2448" s="496">
        <v>65056</v>
      </c>
      <c r="Q2448" s="491" t="s">
        <v>51</v>
      </c>
    </row>
    <row r="2449" spans="1:17" s="338" customFormat="1" ht="18">
      <c r="A2449" s="512">
        <f t="shared" si="30"/>
        <v>1602</v>
      </c>
      <c r="B2449" s="692" t="s">
        <v>43</v>
      </c>
      <c r="C2449" s="693" t="s">
        <v>44</v>
      </c>
      <c r="D2449" s="693" t="s">
        <v>45</v>
      </c>
      <c r="E2449" s="590" t="s">
        <v>2779</v>
      </c>
      <c r="F2449" s="590" t="s">
        <v>124</v>
      </c>
      <c r="G2449" s="590">
        <v>9847865259</v>
      </c>
      <c r="H2449" s="693"/>
      <c r="I2449" s="590">
        <v>44</v>
      </c>
      <c r="J2449" s="590" t="s">
        <v>48</v>
      </c>
      <c r="K2449" s="590" t="s">
        <v>1480</v>
      </c>
      <c r="L2449" s="590"/>
      <c r="M2449" s="588" t="s">
        <v>119</v>
      </c>
      <c r="N2449" s="750">
        <v>65041</v>
      </c>
      <c r="O2449" s="596">
        <v>65041</v>
      </c>
      <c r="P2449" s="496">
        <v>65056</v>
      </c>
      <c r="Q2449" s="491" t="s">
        <v>51</v>
      </c>
    </row>
    <row r="2450" spans="1:17" s="338" customFormat="1" ht="18">
      <c r="A2450" s="512">
        <f t="shared" ref="A2450:A2513" si="31">A2449+1</f>
        <v>1603</v>
      </c>
      <c r="B2450" s="692" t="s">
        <v>43</v>
      </c>
      <c r="C2450" s="693" t="s">
        <v>44</v>
      </c>
      <c r="D2450" s="693" t="s">
        <v>45</v>
      </c>
      <c r="E2450" s="882" t="s">
        <v>1066</v>
      </c>
      <c r="F2450" s="590" t="s">
        <v>497</v>
      </c>
      <c r="G2450" s="590">
        <v>9822970803</v>
      </c>
      <c r="H2450" s="693"/>
      <c r="I2450" s="590">
        <v>50</v>
      </c>
      <c r="J2450" s="590" t="s">
        <v>48</v>
      </c>
      <c r="K2450" s="590" t="s">
        <v>53</v>
      </c>
      <c r="L2450" s="590"/>
      <c r="M2450" s="588" t="s">
        <v>119</v>
      </c>
      <c r="N2450" s="750">
        <v>65041</v>
      </c>
      <c r="O2450" s="596">
        <v>65041</v>
      </c>
      <c r="P2450" s="496">
        <v>65056</v>
      </c>
      <c r="Q2450" s="491" t="s">
        <v>51</v>
      </c>
    </row>
    <row r="2451" spans="1:17" s="338" customFormat="1" ht="18">
      <c r="A2451" s="512">
        <f t="shared" si="31"/>
        <v>1604</v>
      </c>
      <c r="B2451" s="692" t="s">
        <v>43</v>
      </c>
      <c r="C2451" s="693" t="s">
        <v>44</v>
      </c>
      <c r="D2451" s="693" t="s">
        <v>45</v>
      </c>
      <c r="E2451" s="590" t="s">
        <v>2739</v>
      </c>
      <c r="F2451" s="590" t="s">
        <v>441</v>
      </c>
      <c r="G2451" s="590">
        <v>9847827142</v>
      </c>
      <c r="H2451" s="693"/>
      <c r="I2451" s="590">
        <v>35</v>
      </c>
      <c r="J2451" s="590" t="s">
        <v>90</v>
      </c>
      <c r="K2451" s="590" t="s">
        <v>1480</v>
      </c>
      <c r="L2451" s="590"/>
      <c r="M2451" s="588" t="s">
        <v>119</v>
      </c>
      <c r="N2451" s="750">
        <v>65041</v>
      </c>
      <c r="O2451" s="596">
        <v>65041</v>
      </c>
      <c r="P2451" s="496">
        <v>65056</v>
      </c>
      <c r="Q2451" s="491" t="s">
        <v>51</v>
      </c>
    </row>
    <row r="2452" spans="1:17" s="338" customFormat="1" ht="18">
      <c r="A2452" s="512">
        <f t="shared" si="31"/>
        <v>1605</v>
      </c>
      <c r="B2452" s="692" t="s">
        <v>43</v>
      </c>
      <c r="C2452" s="693" t="s">
        <v>44</v>
      </c>
      <c r="D2452" s="693" t="s">
        <v>45</v>
      </c>
      <c r="E2452" s="590" t="s">
        <v>2712</v>
      </c>
      <c r="F2452" s="590" t="s">
        <v>441</v>
      </c>
      <c r="G2452" s="590">
        <v>9806205788</v>
      </c>
      <c r="H2452" s="693"/>
      <c r="I2452" s="590">
        <v>30</v>
      </c>
      <c r="J2452" s="590" t="s">
        <v>90</v>
      </c>
      <c r="K2452" s="590" t="s">
        <v>53</v>
      </c>
      <c r="L2452" s="590"/>
      <c r="M2452" s="588" t="s">
        <v>119</v>
      </c>
      <c r="N2452" s="750">
        <v>65041</v>
      </c>
      <c r="O2452" s="596">
        <v>65041</v>
      </c>
      <c r="P2452" s="496">
        <v>65056</v>
      </c>
      <c r="Q2452" s="491" t="s">
        <v>51</v>
      </c>
    </row>
    <row r="2453" spans="1:17" s="338" customFormat="1" ht="18">
      <c r="A2453" s="512">
        <f t="shared" si="31"/>
        <v>1606</v>
      </c>
      <c r="B2453" s="692" t="s">
        <v>43</v>
      </c>
      <c r="C2453" s="693" t="s">
        <v>44</v>
      </c>
      <c r="D2453" s="693" t="s">
        <v>45</v>
      </c>
      <c r="E2453" s="590" t="s">
        <v>2724</v>
      </c>
      <c r="F2453" s="590" t="s">
        <v>1009</v>
      </c>
      <c r="G2453" s="590">
        <v>9857822278</v>
      </c>
      <c r="H2453" s="693"/>
      <c r="I2453" s="590">
        <v>32</v>
      </c>
      <c r="J2453" s="590" t="s">
        <v>48</v>
      </c>
      <c r="K2453" s="590" t="s">
        <v>1468</v>
      </c>
      <c r="L2453" s="590"/>
      <c r="M2453" s="588" t="s">
        <v>119</v>
      </c>
      <c r="N2453" s="750">
        <v>65041</v>
      </c>
      <c r="O2453" s="596">
        <v>65041</v>
      </c>
      <c r="P2453" s="496">
        <v>65056</v>
      </c>
      <c r="Q2453" s="491" t="s">
        <v>51</v>
      </c>
    </row>
    <row r="2454" spans="1:17" s="338" customFormat="1" ht="18">
      <c r="A2454" s="512">
        <f t="shared" si="31"/>
        <v>1607</v>
      </c>
      <c r="B2454" s="692" t="s">
        <v>43</v>
      </c>
      <c r="C2454" s="693" t="s">
        <v>44</v>
      </c>
      <c r="D2454" s="693" t="s">
        <v>45</v>
      </c>
      <c r="E2454" s="590" t="s">
        <v>2655</v>
      </c>
      <c r="F2454" s="590" t="s">
        <v>491</v>
      </c>
      <c r="G2454" s="590">
        <v>9857824542</v>
      </c>
      <c r="H2454" s="693"/>
      <c r="I2454" s="590">
        <v>8</v>
      </c>
      <c r="J2454" s="590" t="s">
        <v>90</v>
      </c>
      <c r="K2454" s="590" t="s">
        <v>1480</v>
      </c>
      <c r="L2454" s="590"/>
      <c r="M2454" s="588" t="s">
        <v>119</v>
      </c>
      <c r="N2454" s="750">
        <v>65041</v>
      </c>
      <c r="O2454" s="596">
        <v>65041</v>
      </c>
      <c r="P2454" s="496">
        <v>65056</v>
      </c>
      <c r="Q2454" s="491" t="s">
        <v>51</v>
      </c>
    </row>
    <row r="2455" spans="1:17" s="338" customFormat="1" ht="18">
      <c r="A2455" s="512">
        <f t="shared" si="31"/>
        <v>1608</v>
      </c>
      <c r="B2455" s="692" t="s">
        <v>43</v>
      </c>
      <c r="C2455" s="693" t="s">
        <v>44</v>
      </c>
      <c r="D2455" s="693" t="s">
        <v>45</v>
      </c>
      <c r="E2455" s="590" t="s">
        <v>2824</v>
      </c>
      <c r="F2455" s="590" t="s">
        <v>510</v>
      </c>
      <c r="G2455" s="590">
        <v>9847949097</v>
      </c>
      <c r="H2455" s="693"/>
      <c r="I2455" s="590">
        <v>56</v>
      </c>
      <c r="J2455" s="590" t="s">
        <v>48</v>
      </c>
      <c r="K2455" s="590" t="s">
        <v>1480</v>
      </c>
      <c r="L2455" s="590"/>
      <c r="M2455" s="588" t="s">
        <v>119</v>
      </c>
      <c r="N2455" s="750">
        <v>65041</v>
      </c>
      <c r="O2455" s="596">
        <v>65041</v>
      </c>
      <c r="P2455" s="496">
        <v>65056</v>
      </c>
      <c r="Q2455" s="491" t="s">
        <v>51</v>
      </c>
    </row>
    <row r="2456" spans="1:17" s="338" customFormat="1" ht="18">
      <c r="A2456" s="512">
        <f t="shared" si="31"/>
        <v>1609</v>
      </c>
      <c r="B2456" s="692" t="s">
        <v>43</v>
      </c>
      <c r="C2456" s="693" t="s">
        <v>44</v>
      </c>
      <c r="D2456" s="693" t="s">
        <v>45</v>
      </c>
      <c r="E2456" s="590" t="s">
        <v>2707</v>
      </c>
      <c r="F2456" s="590" t="s">
        <v>557</v>
      </c>
      <c r="G2456" s="590">
        <v>9847869912</v>
      </c>
      <c r="H2456" s="693"/>
      <c r="I2456" s="590">
        <v>29</v>
      </c>
      <c r="J2456" s="590" t="s">
        <v>48</v>
      </c>
      <c r="K2456" s="590" t="s">
        <v>1480</v>
      </c>
      <c r="L2456" s="590"/>
      <c r="M2456" s="588" t="s">
        <v>119</v>
      </c>
      <c r="N2456" s="750">
        <v>65041</v>
      </c>
      <c r="O2456" s="596">
        <v>65041</v>
      </c>
      <c r="P2456" s="496">
        <v>65056</v>
      </c>
      <c r="Q2456" s="491" t="s">
        <v>51</v>
      </c>
    </row>
    <row r="2457" spans="1:17" s="338" customFormat="1" ht="18">
      <c r="A2457" s="512">
        <f t="shared" si="31"/>
        <v>1610</v>
      </c>
      <c r="B2457" s="692" t="s">
        <v>43</v>
      </c>
      <c r="C2457" s="693" t="s">
        <v>44</v>
      </c>
      <c r="D2457" s="693" t="s">
        <v>45</v>
      </c>
      <c r="E2457" s="590" t="s">
        <v>2734</v>
      </c>
      <c r="F2457" s="590" t="s">
        <v>502</v>
      </c>
      <c r="G2457" s="590">
        <v>9848487759</v>
      </c>
      <c r="H2457" s="693"/>
      <c r="I2457" s="590">
        <v>35</v>
      </c>
      <c r="J2457" s="590" t="s">
        <v>48</v>
      </c>
      <c r="K2457" s="590" t="s">
        <v>1468</v>
      </c>
      <c r="L2457" s="590"/>
      <c r="M2457" s="588" t="s">
        <v>119</v>
      </c>
      <c r="N2457" s="750">
        <v>65041</v>
      </c>
      <c r="O2457" s="596">
        <v>65041</v>
      </c>
      <c r="P2457" s="496">
        <v>65056</v>
      </c>
      <c r="Q2457" s="491" t="s">
        <v>51</v>
      </c>
    </row>
    <row r="2458" spans="1:17" s="338" customFormat="1" ht="18">
      <c r="A2458" s="512">
        <f t="shared" si="31"/>
        <v>1611</v>
      </c>
      <c r="B2458" s="692" t="s">
        <v>43</v>
      </c>
      <c r="C2458" s="693" t="s">
        <v>44</v>
      </c>
      <c r="D2458" s="693" t="s">
        <v>45</v>
      </c>
      <c r="E2458" s="590" t="s">
        <v>2704</v>
      </c>
      <c r="F2458" s="590" t="s">
        <v>502</v>
      </c>
      <c r="G2458" s="590">
        <v>9867955212</v>
      </c>
      <c r="H2458" s="693"/>
      <c r="I2458" s="590">
        <v>29</v>
      </c>
      <c r="J2458" s="590" t="s">
        <v>90</v>
      </c>
      <c r="K2458" s="590" t="s">
        <v>1468</v>
      </c>
      <c r="L2458" s="590"/>
      <c r="M2458" s="588" t="s">
        <v>119</v>
      </c>
      <c r="N2458" s="750">
        <v>65041</v>
      </c>
      <c r="O2458" s="596">
        <v>65041</v>
      </c>
      <c r="P2458" s="496">
        <v>65056</v>
      </c>
      <c r="Q2458" s="491" t="s">
        <v>51</v>
      </c>
    </row>
    <row r="2459" spans="1:17" s="338" customFormat="1" ht="18">
      <c r="A2459" s="512">
        <f t="shared" si="31"/>
        <v>1612</v>
      </c>
      <c r="B2459" s="692" t="s">
        <v>43</v>
      </c>
      <c r="C2459" s="693" t="s">
        <v>44</v>
      </c>
      <c r="D2459" s="693" t="s">
        <v>45</v>
      </c>
      <c r="E2459" s="590" t="s">
        <v>2790</v>
      </c>
      <c r="F2459" s="590" t="s">
        <v>124</v>
      </c>
      <c r="G2459" s="590">
        <v>9857822337</v>
      </c>
      <c r="H2459" s="693"/>
      <c r="I2459" s="590">
        <v>47</v>
      </c>
      <c r="J2459" s="590" t="s">
        <v>48</v>
      </c>
      <c r="K2459" s="590" t="s">
        <v>53</v>
      </c>
      <c r="L2459" s="590"/>
      <c r="M2459" s="588" t="s">
        <v>119</v>
      </c>
      <c r="N2459" s="750">
        <v>65041</v>
      </c>
      <c r="O2459" s="596">
        <v>65041</v>
      </c>
      <c r="P2459" s="496">
        <v>65056</v>
      </c>
      <c r="Q2459" s="491" t="s">
        <v>51</v>
      </c>
    </row>
    <row r="2460" spans="1:17" s="338" customFormat="1" ht="18">
      <c r="A2460" s="512">
        <f t="shared" si="31"/>
        <v>1613</v>
      </c>
      <c r="B2460" s="692" t="s">
        <v>43</v>
      </c>
      <c r="C2460" s="693" t="s">
        <v>44</v>
      </c>
      <c r="D2460" s="693" t="s">
        <v>45</v>
      </c>
      <c r="E2460" s="590" t="s">
        <v>2731</v>
      </c>
      <c r="F2460" s="590" t="s">
        <v>502</v>
      </c>
      <c r="G2460" s="590">
        <v>9847938231</v>
      </c>
      <c r="H2460" s="693"/>
      <c r="I2460" s="590">
        <v>34</v>
      </c>
      <c r="J2460" s="590" t="s">
        <v>48</v>
      </c>
      <c r="K2460" s="590" t="s">
        <v>53</v>
      </c>
      <c r="L2460" s="590"/>
      <c r="M2460" s="588" t="s">
        <v>119</v>
      </c>
      <c r="N2460" s="750">
        <v>65041</v>
      </c>
      <c r="O2460" s="596">
        <v>65041</v>
      </c>
      <c r="P2460" s="496">
        <v>65056</v>
      </c>
      <c r="Q2460" s="491" t="s">
        <v>51</v>
      </c>
    </row>
    <row r="2461" spans="1:17" s="338" customFormat="1" ht="18">
      <c r="A2461" s="512">
        <f t="shared" si="31"/>
        <v>1614</v>
      </c>
      <c r="B2461" s="692" t="s">
        <v>43</v>
      </c>
      <c r="C2461" s="693" t="s">
        <v>44</v>
      </c>
      <c r="D2461" s="693" t="s">
        <v>45</v>
      </c>
      <c r="E2461" s="590" t="s">
        <v>2825</v>
      </c>
      <c r="F2461" s="590" t="s">
        <v>502</v>
      </c>
      <c r="G2461" s="590">
        <v>9847824179</v>
      </c>
      <c r="H2461" s="693"/>
      <c r="I2461" s="590">
        <v>56</v>
      </c>
      <c r="J2461" s="590" t="s">
        <v>48</v>
      </c>
      <c r="K2461" s="590" t="s">
        <v>1468</v>
      </c>
      <c r="L2461" s="590"/>
      <c r="M2461" s="588" t="s">
        <v>119</v>
      </c>
      <c r="N2461" s="750">
        <v>65041</v>
      </c>
      <c r="O2461" s="596">
        <v>65041</v>
      </c>
      <c r="P2461" s="496">
        <v>65056</v>
      </c>
      <c r="Q2461" s="491" t="s">
        <v>51</v>
      </c>
    </row>
    <row r="2462" spans="1:17" s="338" customFormat="1" ht="18">
      <c r="A2462" s="512">
        <f t="shared" si="31"/>
        <v>1615</v>
      </c>
      <c r="B2462" s="692" t="s">
        <v>43</v>
      </c>
      <c r="C2462" s="693" t="s">
        <v>44</v>
      </c>
      <c r="D2462" s="693" t="s">
        <v>45</v>
      </c>
      <c r="E2462" s="590" t="s">
        <v>2767</v>
      </c>
      <c r="F2462" s="590" t="s">
        <v>502</v>
      </c>
      <c r="G2462" s="590">
        <v>9857823747</v>
      </c>
      <c r="H2462" s="693"/>
      <c r="I2462" s="590">
        <v>42</v>
      </c>
      <c r="J2462" s="590" t="s">
        <v>48</v>
      </c>
      <c r="K2462" s="590" t="s">
        <v>1468</v>
      </c>
      <c r="L2462" s="590"/>
      <c r="M2462" s="588" t="s">
        <v>119</v>
      </c>
      <c r="N2462" s="750">
        <v>65041</v>
      </c>
      <c r="O2462" s="596">
        <v>65041</v>
      </c>
      <c r="P2462" s="496">
        <v>65056</v>
      </c>
      <c r="Q2462" s="491" t="s">
        <v>51</v>
      </c>
    </row>
    <row r="2463" spans="1:17" s="338" customFormat="1" ht="18">
      <c r="A2463" s="512">
        <f t="shared" si="31"/>
        <v>1616</v>
      </c>
      <c r="B2463" s="692" t="s">
        <v>43</v>
      </c>
      <c r="C2463" s="693" t="s">
        <v>44</v>
      </c>
      <c r="D2463" s="693" t="s">
        <v>45</v>
      </c>
      <c r="E2463" s="882" t="s">
        <v>1292</v>
      </c>
      <c r="F2463" s="590" t="s">
        <v>497</v>
      </c>
      <c r="G2463" s="590">
        <v>9822970803</v>
      </c>
      <c r="H2463" s="693"/>
      <c r="I2463" s="590">
        <v>27</v>
      </c>
      <c r="J2463" s="590" t="s">
        <v>48</v>
      </c>
      <c r="K2463" s="590" t="s">
        <v>53</v>
      </c>
      <c r="L2463" s="590"/>
      <c r="M2463" s="588" t="s">
        <v>119</v>
      </c>
      <c r="N2463" s="750">
        <v>65041</v>
      </c>
      <c r="O2463" s="596">
        <v>65041</v>
      </c>
      <c r="P2463" s="496">
        <v>65056</v>
      </c>
      <c r="Q2463" s="491" t="s">
        <v>51</v>
      </c>
    </row>
    <row r="2464" spans="1:17" s="338" customFormat="1" ht="18">
      <c r="A2464" s="512">
        <f t="shared" si="31"/>
        <v>1617</v>
      </c>
      <c r="B2464" s="692" t="s">
        <v>43</v>
      </c>
      <c r="C2464" s="693" t="s">
        <v>44</v>
      </c>
      <c r="D2464" s="693" t="s">
        <v>45</v>
      </c>
      <c r="E2464" s="590" t="s">
        <v>2657</v>
      </c>
      <c r="F2464" s="590" t="s">
        <v>124</v>
      </c>
      <c r="G2464" s="590">
        <v>9868191111</v>
      </c>
      <c r="H2464" s="693"/>
      <c r="I2464" s="590">
        <v>17</v>
      </c>
      <c r="J2464" s="590" t="s">
        <v>48</v>
      </c>
      <c r="K2464" s="590" t="s">
        <v>1480</v>
      </c>
      <c r="L2464" s="590"/>
      <c r="M2464" s="588" t="s">
        <v>119</v>
      </c>
      <c r="N2464" s="750">
        <v>65041</v>
      </c>
      <c r="O2464" s="596">
        <v>65041</v>
      </c>
      <c r="P2464" s="496">
        <v>65056</v>
      </c>
      <c r="Q2464" s="491" t="s">
        <v>51</v>
      </c>
    </row>
    <row r="2465" spans="1:17" s="338" customFormat="1" ht="18">
      <c r="A2465" s="512">
        <f t="shared" si="31"/>
        <v>1618</v>
      </c>
      <c r="B2465" s="692" t="s">
        <v>43</v>
      </c>
      <c r="C2465" s="693" t="s">
        <v>44</v>
      </c>
      <c r="D2465" s="693" t="s">
        <v>45</v>
      </c>
      <c r="E2465" s="590" t="s">
        <v>2723</v>
      </c>
      <c r="F2465" s="590" t="s">
        <v>529</v>
      </c>
      <c r="G2465" s="590">
        <v>9857831572</v>
      </c>
      <c r="H2465" s="693"/>
      <c r="I2465" s="590">
        <v>32</v>
      </c>
      <c r="J2465" s="590" t="s">
        <v>90</v>
      </c>
      <c r="K2465" s="590" t="s">
        <v>1480</v>
      </c>
      <c r="L2465" s="590"/>
      <c r="M2465" s="588" t="s">
        <v>119</v>
      </c>
      <c r="N2465" s="750">
        <v>65041</v>
      </c>
      <c r="O2465" s="596">
        <v>65041</v>
      </c>
      <c r="P2465" s="496">
        <v>65056</v>
      </c>
      <c r="Q2465" s="491" t="s">
        <v>51</v>
      </c>
    </row>
    <row r="2466" spans="1:17" s="338" customFormat="1" ht="18">
      <c r="A2466" s="512">
        <f t="shared" si="31"/>
        <v>1619</v>
      </c>
      <c r="B2466" s="692" t="s">
        <v>43</v>
      </c>
      <c r="C2466" s="693" t="s">
        <v>44</v>
      </c>
      <c r="D2466" s="693" t="s">
        <v>45</v>
      </c>
      <c r="E2466" s="590" t="s">
        <v>2683</v>
      </c>
      <c r="F2466" s="590" t="s">
        <v>636</v>
      </c>
      <c r="G2466" s="590">
        <v>9844935761</v>
      </c>
      <c r="H2466" s="693"/>
      <c r="I2466" s="590">
        <v>26</v>
      </c>
      <c r="J2466" s="590" t="s">
        <v>48</v>
      </c>
      <c r="K2466" s="590" t="s">
        <v>1468</v>
      </c>
      <c r="L2466" s="590"/>
      <c r="M2466" s="588" t="s">
        <v>119</v>
      </c>
      <c r="N2466" s="750">
        <v>65041</v>
      </c>
      <c r="O2466" s="596">
        <v>65041</v>
      </c>
      <c r="P2466" s="496">
        <v>65056</v>
      </c>
      <c r="Q2466" s="491" t="s">
        <v>51</v>
      </c>
    </row>
    <row r="2467" spans="1:17" s="338" customFormat="1" ht="18">
      <c r="A2467" s="512">
        <f t="shared" si="31"/>
        <v>1620</v>
      </c>
      <c r="B2467" s="692" t="s">
        <v>43</v>
      </c>
      <c r="C2467" s="693" t="s">
        <v>44</v>
      </c>
      <c r="D2467" s="693" t="s">
        <v>45</v>
      </c>
      <c r="E2467" s="590" t="s">
        <v>2683</v>
      </c>
      <c r="F2467" s="590" t="s">
        <v>491</v>
      </c>
      <c r="G2467" s="590">
        <v>9857824542</v>
      </c>
      <c r="H2467" s="693"/>
      <c r="I2467" s="590">
        <v>35</v>
      </c>
      <c r="J2467" s="590" t="s">
        <v>48</v>
      </c>
      <c r="K2467" s="590" t="s">
        <v>1480</v>
      </c>
      <c r="L2467" s="590"/>
      <c r="M2467" s="588" t="s">
        <v>119</v>
      </c>
      <c r="N2467" s="750">
        <v>65041</v>
      </c>
      <c r="O2467" s="596">
        <v>65041</v>
      </c>
      <c r="P2467" s="496">
        <v>65056</v>
      </c>
      <c r="Q2467" s="491" t="s">
        <v>51</v>
      </c>
    </row>
    <row r="2468" spans="1:17" s="338" customFormat="1" ht="18">
      <c r="A2468" s="512">
        <f t="shared" si="31"/>
        <v>1621</v>
      </c>
      <c r="B2468" s="692" t="s">
        <v>43</v>
      </c>
      <c r="C2468" s="693" t="s">
        <v>44</v>
      </c>
      <c r="D2468" s="693" t="s">
        <v>45</v>
      </c>
      <c r="E2468" s="590" t="s">
        <v>2791</v>
      </c>
      <c r="F2468" s="590" t="s">
        <v>124</v>
      </c>
      <c r="G2468" s="590">
        <v>9822829919</v>
      </c>
      <c r="H2468" s="693"/>
      <c r="I2468" s="590">
        <v>47</v>
      </c>
      <c r="J2468" s="590" t="s">
        <v>90</v>
      </c>
      <c r="K2468" s="590" t="s">
        <v>1468</v>
      </c>
      <c r="L2468" s="590"/>
      <c r="M2468" s="588" t="s">
        <v>119</v>
      </c>
      <c r="N2468" s="750">
        <v>65041</v>
      </c>
      <c r="O2468" s="596">
        <v>65041</v>
      </c>
      <c r="P2468" s="496">
        <v>65056</v>
      </c>
      <c r="Q2468" s="491" t="s">
        <v>51</v>
      </c>
    </row>
    <row r="2469" spans="1:17" s="338" customFormat="1" ht="18">
      <c r="A2469" s="512">
        <f t="shared" si="31"/>
        <v>1622</v>
      </c>
      <c r="B2469" s="692" t="s">
        <v>43</v>
      </c>
      <c r="C2469" s="693" t="s">
        <v>44</v>
      </c>
      <c r="D2469" s="693" t="s">
        <v>45</v>
      </c>
      <c r="E2469" s="590" t="s">
        <v>2871</v>
      </c>
      <c r="F2469" s="590" t="s">
        <v>502</v>
      </c>
      <c r="G2469" s="590">
        <v>9847827079</v>
      </c>
      <c r="H2469" s="693"/>
      <c r="I2469" s="590">
        <v>76</v>
      </c>
      <c r="J2469" s="590" t="s">
        <v>90</v>
      </c>
      <c r="K2469" s="590" t="s">
        <v>1480</v>
      </c>
      <c r="L2469" s="590"/>
      <c r="M2469" s="588" t="s">
        <v>119</v>
      </c>
      <c r="N2469" s="750">
        <v>65041</v>
      </c>
      <c r="O2469" s="596">
        <v>65041</v>
      </c>
      <c r="P2469" s="496">
        <v>65056</v>
      </c>
      <c r="Q2469" s="491" t="s">
        <v>51</v>
      </c>
    </row>
    <row r="2470" spans="1:17" s="338" customFormat="1" ht="18">
      <c r="A2470" s="512">
        <f t="shared" si="31"/>
        <v>1623</v>
      </c>
      <c r="B2470" s="692" t="s">
        <v>43</v>
      </c>
      <c r="C2470" s="693" t="s">
        <v>44</v>
      </c>
      <c r="D2470" s="693" t="s">
        <v>45</v>
      </c>
      <c r="E2470" s="590" t="s">
        <v>2730</v>
      </c>
      <c r="F2470" s="590" t="s">
        <v>1008</v>
      </c>
      <c r="G2470" s="590">
        <v>9842677869</v>
      </c>
      <c r="H2470" s="693"/>
      <c r="I2470" s="590">
        <v>33</v>
      </c>
      <c r="J2470" s="590" t="s">
        <v>48</v>
      </c>
      <c r="K2470" s="590" t="s">
        <v>1480</v>
      </c>
      <c r="L2470" s="590"/>
      <c r="M2470" s="588" t="s">
        <v>119</v>
      </c>
      <c r="N2470" s="750">
        <v>65041</v>
      </c>
      <c r="O2470" s="596">
        <v>65041</v>
      </c>
      <c r="P2470" s="496">
        <v>65056</v>
      </c>
      <c r="Q2470" s="491" t="s">
        <v>51</v>
      </c>
    </row>
    <row r="2471" spans="1:17" s="338" customFormat="1" ht="18">
      <c r="A2471" s="512">
        <f t="shared" si="31"/>
        <v>1624</v>
      </c>
      <c r="B2471" s="692" t="s">
        <v>43</v>
      </c>
      <c r="C2471" s="693" t="s">
        <v>44</v>
      </c>
      <c r="D2471" s="693" t="s">
        <v>45</v>
      </c>
      <c r="E2471" s="590" t="s">
        <v>2800</v>
      </c>
      <c r="F2471" s="590" t="s">
        <v>1008</v>
      </c>
      <c r="G2471" s="590">
        <v>9857821523</v>
      </c>
      <c r="H2471" s="693"/>
      <c r="I2471" s="590">
        <v>49</v>
      </c>
      <c r="J2471" s="590" t="s">
        <v>90</v>
      </c>
      <c r="K2471" s="590" t="s">
        <v>1480</v>
      </c>
      <c r="L2471" s="590"/>
      <c r="M2471" s="588" t="s">
        <v>119</v>
      </c>
      <c r="N2471" s="750">
        <v>65041</v>
      </c>
      <c r="O2471" s="596">
        <v>65041</v>
      </c>
      <c r="P2471" s="496">
        <v>65056</v>
      </c>
      <c r="Q2471" s="491" t="s">
        <v>51</v>
      </c>
    </row>
    <row r="2472" spans="1:17" s="338" customFormat="1" ht="18">
      <c r="A2472" s="512">
        <f t="shared" si="31"/>
        <v>1625</v>
      </c>
      <c r="B2472" s="692" t="s">
        <v>43</v>
      </c>
      <c r="C2472" s="693" t="s">
        <v>44</v>
      </c>
      <c r="D2472" s="693" t="s">
        <v>45</v>
      </c>
      <c r="E2472" s="590" t="s">
        <v>2758</v>
      </c>
      <c r="F2472" s="590" t="s">
        <v>512</v>
      </c>
      <c r="G2472" s="590">
        <v>9810954990</v>
      </c>
      <c r="H2472" s="693"/>
      <c r="I2472" s="590">
        <v>40</v>
      </c>
      <c r="J2472" s="590" t="s">
        <v>90</v>
      </c>
      <c r="K2472" s="590" t="s">
        <v>53</v>
      </c>
      <c r="L2472" s="590"/>
      <c r="M2472" s="588" t="s">
        <v>119</v>
      </c>
      <c r="N2472" s="750">
        <v>65041</v>
      </c>
      <c r="O2472" s="596">
        <v>65041</v>
      </c>
      <c r="P2472" s="496">
        <v>65056</v>
      </c>
      <c r="Q2472" s="491" t="s">
        <v>51</v>
      </c>
    </row>
    <row r="2473" spans="1:17" s="338" customFormat="1" ht="18">
      <c r="A2473" s="512">
        <f t="shared" si="31"/>
        <v>1626</v>
      </c>
      <c r="B2473" s="692" t="s">
        <v>43</v>
      </c>
      <c r="C2473" s="693" t="s">
        <v>44</v>
      </c>
      <c r="D2473" s="693" t="s">
        <v>45</v>
      </c>
      <c r="E2473" s="590" t="s">
        <v>2794</v>
      </c>
      <c r="F2473" s="590" t="s">
        <v>502</v>
      </c>
      <c r="G2473" s="590">
        <v>9847907698</v>
      </c>
      <c r="H2473" s="693"/>
      <c r="I2473" s="590">
        <v>49</v>
      </c>
      <c r="J2473" s="590" t="s">
        <v>90</v>
      </c>
      <c r="K2473" s="590" t="s">
        <v>1480</v>
      </c>
      <c r="L2473" s="590"/>
      <c r="M2473" s="588" t="s">
        <v>119</v>
      </c>
      <c r="N2473" s="750">
        <v>65041</v>
      </c>
      <c r="O2473" s="596">
        <v>65041</v>
      </c>
      <c r="P2473" s="496">
        <v>65056</v>
      </c>
      <c r="Q2473" s="491" t="s">
        <v>51</v>
      </c>
    </row>
    <row r="2474" spans="1:17" s="338" customFormat="1" ht="18">
      <c r="A2474" s="512">
        <f t="shared" si="31"/>
        <v>1627</v>
      </c>
      <c r="B2474" s="692" t="s">
        <v>43</v>
      </c>
      <c r="C2474" s="693" t="s">
        <v>44</v>
      </c>
      <c r="D2474" s="693" t="s">
        <v>45</v>
      </c>
      <c r="E2474" s="590" t="s">
        <v>2804</v>
      </c>
      <c r="F2474" s="590" t="s">
        <v>124</v>
      </c>
      <c r="G2474" s="590">
        <v>9849062319</v>
      </c>
      <c r="H2474" s="693"/>
      <c r="I2474" s="590">
        <v>50</v>
      </c>
      <c r="J2474" s="590" t="s">
        <v>90</v>
      </c>
      <c r="K2474" s="590" t="s">
        <v>53</v>
      </c>
      <c r="L2474" s="590"/>
      <c r="M2474" s="588" t="s">
        <v>119</v>
      </c>
      <c r="N2474" s="750">
        <v>65041</v>
      </c>
      <c r="O2474" s="596">
        <v>65041</v>
      </c>
      <c r="P2474" s="496">
        <v>65056</v>
      </c>
      <c r="Q2474" s="491" t="s">
        <v>51</v>
      </c>
    </row>
    <row r="2475" spans="1:17" s="338" customFormat="1" ht="18">
      <c r="A2475" s="512">
        <f t="shared" si="31"/>
        <v>1628</v>
      </c>
      <c r="B2475" s="692" t="s">
        <v>43</v>
      </c>
      <c r="C2475" s="693" t="s">
        <v>44</v>
      </c>
      <c r="D2475" s="693" t="s">
        <v>45</v>
      </c>
      <c r="E2475" s="590" t="s">
        <v>2659</v>
      </c>
      <c r="F2475" s="590" t="s">
        <v>502</v>
      </c>
      <c r="G2475" s="590">
        <v>9868215149</v>
      </c>
      <c r="H2475" s="693"/>
      <c r="I2475" s="590">
        <v>20</v>
      </c>
      <c r="J2475" s="590" t="s">
        <v>90</v>
      </c>
      <c r="K2475" s="590" t="s">
        <v>1468</v>
      </c>
      <c r="L2475" s="590"/>
      <c r="M2475" s="588" t="s">
        <v>119</v>
      </c>
      <c r="N2475" s="750">
        <v>65041</v>
      </c>
      <c r="O2475" s="596">
        <v>65041</v>
      </c>
      <c r="P2475" s="496">
        <v>65056</v>
      </c>
      <c r="Q2475" s="491" t="s">
        <v>51</v>
      </c>
    </row>
    <row r="2476" spans="1:17" s="338" customFormat="1" ht="18">
      <c r="A2476" s="512">
        <f t="shared" si="31"/>
        <v>1629</v>
      </c>
      <c r="B2476" s="692" t="s">
        <v>43</v>
      </c>
      <c r="C2476" s="693" t="s">
        <v>44</v>
      </c>
      <c r="D2476" s="693" t="s">
        <v>45</v>
      </c>
      <c r="E2476" s="882" t="s">
        <v>2770</v>
      </c>
      <c r="F2476" s="590" t="s">
        <v>1009</v>
      </c>
      <c r="G2476" s="590">
        <v>9829526374</v>
      </c>
      <c r="H2476" s="693"/>
      <c r="I2476" s="590">
        <v>42</v>
      </c>
      <c r="J2476" s="590" t="s">
        <v>90</v>
      </c>
      <c r="K2476" s="590" t="s">
        <v>1468</v>
      </c>
      <c r="L2476" s="590"/>
      <c r="M2476" s="588" t="s">
        <v>119</v>
      </c>
      <c r="N2476" s="750">
        <v>65041</v>
      </c>
      <c r="O2476" s="596">
        <v>65041</v>
      </c>
      <c r="P2476" s="496">
        <v>65056</v>
      </c>
      <c r="Q2476" s="491" t="s">
        <v>51</v>
      </c>
    </row>
    <row r="2477" spans="1:17" s="338" customFormat="1" ht="18">
      <c r="A2477" s="512">
        <f t="shared" si="31"/>
        <v>1630</v>
      </c>
      <c r="B2477" s="692" t="s">
        <v>43</v>
      </c>
      <c r="C2477" s="693" t="s">
        <v>44</v>
      </c>
      <c r="D2477" s="693" t="s">
        <v>45</v>
      </c>
      <c r="E2477" s="590" t="s">
        <v>2658</v>
      </c>
      <c r="F2477" s="590" t="s">
        <v>502</v>
      </c>
      <c r="G2477" s="590">
        <v>9847822630</v>
      </c>
      <c r="H2477" s="693"/>
      <c r="I2477" s="590">
        <v>19</v>
      </c>
      <c r="J2477" s="590" t="s">
        <v>90</v>
      </c>
      <c r="K2477" s="590" t="s">
        <v>53</v>
      </c>
      <c r="L2477" s="590"/>
      <c r="M2477" s="588" t="s">
        <v>119</v>
      </c>
      <c r="N2477" s="750">
        <v>65041</v>
      </c>
      <c r="O2477" s="596">
        <v>65041</v>
      </c>
      <c r="P2477" s="496">
        <v>65056</v>
      </c>
      <c r="Q2477" s="491" t="s">
        <v>51</v>
      </c>
    </row>
    <row r="2478" spans="1:17" s="338" customFormat="1" ht="18">
      <c r="A2478" s="512">
        <f t="shared" si="31"/>
        <v>1631</v>
      </c>
      <c r="B2478" s="692" t="s">
        <v>43</v>
      </c>
      <c r="C2478" s="693" t="s">
        <v>44</v>
      </c>
      <c r="D2478" s="693" t="s">
        <v>45</v>
      </c>
      <c r="E2478" s="590" t="s">
        <v>2688</v>
      </c>
      <c r="F2478" s="590" t="s">
        <v>510</v>
      </c>
      <c r="G2478" s="590">
        <v>9847949097</v>
      </c>
      <c r="H2478" s="693"/>
      <c r="I2478" s="590">
        <v>27</v>
      </c>
      <c r="J2478" s="590" t="s">
        <v>48</v>
      </c>
      <c r="K2478" s="590" t="s">
        <v>1480</v>
      </c>
      <c r="L2478" s="590"/>
      <c r="M2478" s="588" t="s">
        <v>119</v>
      </c>
      <c r="N2478" s="750">
        <v>65041</v>
      </c>
      <c r="O2478" s="596">
        <v>65041</v>
      </c>
      <c r="P2478" s="496">
        <v>65056</v>
      </c>
      <c r="Q2478" s="491" t="s">
        <v>51</v>
      </c>
    </row>
    <row r="2479" spans="1:17" s="338" customFormat="1" ht="18">
      <c r="A2479" s="512">
        <f t="shared" si="31"/>
        <v>1632</v>
      </c>
      <c r="B2479" s="692" t="s">
        <v>43</v>
      </c>
      <c r="C2479" s="693" t="s">
        <v>44</v>
      </c>
      <c r="D2479" s="693" t="s">
        <v>45</v>
      </c>
      <c r="E2479" s="590" t="s">
        <v>2681</v>
      </c>
      <c r="F2479" s="590" t="s">
        <v>441</v>
      </c>
      <c r="G2479" s="590">
        <v>9809897531</v>
      </c>
      <c r="H2479" s="693"/>
      <c r="I2479" s="590">
        <v>25</v>
      </c>
      <c r="J2479" s="590" t="s">
        <v>48</v>
      </c>
      <c r="K2479" s="590" t="s">
        <v>1480</v>
      </c>
      <c r="L2479" s="590"/>
      <c r="M2479" s="588" t="s">
        <v>119</v>
      </c>
      <c r="N2479" s="750">
        <v>65041</v>
      </c>
      <c r="O2479" s="596">
        <v>65041</v>
      </c>
      <c r="P2479" s="496">
        <v>65056</v>
      </c>
      <c r="Q2479" s="491" t="s">
        <v>51</v>
      </c>
    </row>
    <row r="2480" spans="1:17" s="338" customFormat="1" ht="18">
      <c r="A2480" s="512">
        <f t="shared" si="31"/>
        <v>1633</v>
      </c>
      <c r="B2480" s="692" t="s">
        <v>43</v>
      </c>
      <c r="C2480" s="693" t="s">
        <v>44</v>
      </c>
      <c r="D2480" s="693" t="s">
        <v>45</v>
      </c>
      <c r="E2480" s="590" t="s">
        <v>2726</v>
      </c>
      <c r="F2480" s="590" t="s">
        <v>502</v>
      </c>
      <c r="G2480" s="590">
        <v>9847854315</v>
      </c>
      <c r="H2480" s="693"/>
      <c r="I2480" s="590">
        <v>33</v>
      </c>
      <c r="J2480" s="590" t="s">
        <v>48</v>
      </c>
      <c r="K2480" s="590" t="s">
        <v>1468</v>
      </c>
      <c r="L2480" s="590"/>
      <c r="M2480" s="588" t="s">
        <v>119</v>
      </c>
      <c r="N2480" s="750">
        <v>65041</v>
      </c>
      <c r="O2480" s="596">
        <v>65041</v>
      </c>
      <c r="P2480" s="496">
        <v>65056</v>
      </c>
      <c r="Q2480" s="491" t="s">
        <v>51</v>
      </c>
    </row>
    <row r="2481" spans="1:17" s="338" customFormat="1" ht="18">
      <c r="A2481" s="512">
        <f t="shared" si="31"/>
        <v>1634</v>
      </c>
      <c r="B2481" s="692" t="s">
        <v>43</v>
      </c>
      <c r="C2481" s="693" t="s">
        <v>44</v>
      </c>
      <c r="D2481" s="693" t="s">
        <v>45</v>
      </c>
      <c r="E2481" s="590" t="s">
        <v>2671</v>
      </c>
      <c r="F2481" s="590" t="s">
        <v>1009</v>
      </c>
      <c r="G2481" s="590">
        <v>9868605344</v>
      </c>
      <c r="H2481" s="693"/>
      <c r="I2481" s="590">
        <v>22</v>
      </c>
      <c r="J2481" s="590" t="s">
        <v>90</v>
      </c>
      <c r="K2481" s="590" t="s">
        <v>1468</v>
      </c>
      <c r="L2481" s="590"/>
      <c r="M2481" s="588" t="s">
        <v>119</v>
      </c>
      <c r="N2481" s="750">
        <v>65041</v>
      </c>
      <c r="O2481" s="596">
        <v>65041</v>
      </c>
      <c r="P2481" s="496">
        <v>65056</v>
      </c>
      <c r="Q2481" s="491" t="s">
        <v>51</v>
      </c>
    </row>
    <row r="2482" spans="1:17" s="338" customFormat="1" ht="18">
      <c r="A2482" s="512">
        <f t="shared" si="31"/>
        <v>1635</v>
      </c>
      <c r="B2482" s="692" t="s">
        <v>43</v>
      </c>
      <c r="C2482" s="693" t="s">
        <v>44</v>
      </c>
      <c r="D2482" s="693" t="s">
        <v>45</v>
      </c>
      <c r="E2482" s="590" t="s">
        <v>2701</v>
      </c>
      <c r="F2482" s="590" t="s">
        <v>502</v>
      </c>
      <c r="G2482" s="590">
        <v>9803700552</v>
      </c>
      <c r="H2482" s="693"/>
      <c r="I2482" s="590">
        <v>29</v>
      </c>
      <c r="J2482" s="590" t="s">
        <v>48</v>
      </c>
      <c r="K2482" s="590" t="s">
        <v>1468</v>
      </c>
      <c r="L2482" s="590"/>
      <c r="M2482" s="588" t="s">
        <v>119</v>
      </c>
      <c r="N2482" s="750">
        <v>65041</v>
      </c>
      <c r="O2482" s="596">
        <v>65041</v>
      </c>
      <c r="P2482" s="496">
        <v>65056</v>
      </c>
      <c r="Q2482" s="491" t="s">
        <v>51</v>
      </c>
    </row>
    <row r="2483" spans="1:17" s="338" customFormat="1" ht="18">
      <c r="A2483" s="512">
        <f t="shared" si="31"/>
        <v>1636</v>
      </c>
      <c r="B2483" s="692" t="s">
        <v>43</v>
      </c>
      <c r="C2483" s="693" t="s">
        <v>44</v>
      </c>
      <c r="D2483" s="693" t="s">
        <v>45</v>
      </c>
      <c r="E2483" s="882" t="s">
        <v>2670</v>
      </c>
      <c r="F2483" s="590" t="s">
        <v>491</v>
      </c>
      <c r="G2483" s="590">
        <v>9829578104</v>
      </c>
      <c r="H2483" s="693"/>
      <c r="I2483" s="590">
        <v>22</v>
      </c>
      <c r="J2483" s="590" t="s">
        <v>90</v>
      </c>
      <c r="K2483" s="590" t="s">
        <v>53</v>
      </c>
      <c r="L2483" s="590"/>
      <c r="M2483" s="588" t="s">
        <v>119</v>
      </c>
      <c r="N2483" s="750">
        <v>65041</v>
      </c>
      <c r="O2483" s="596">
        <v>65041</v>
      </c>
      <c r="P2483" s="496">
        <v>65056</v>
      </c>
      <c r="Q2483" s="491" t="s">
        <v>51</v>
      </c>
    </row>
    <row r="2484" spans="1:17" s="338" customFormat="1" ht="18">
      <c r="A2484" s="512">
        <f t="shared" si="31"/>
        <v>1637</v>
      </c>
      <c r="B2484" s="692" t="s">
        <v>43</v>
      </c>
      <c r="C2484" s="693" t="s">
        <v>44</v>
      </c>
      <c r="D2484" s="693" t="s">
        <v>45</v>
      </c>
      <c r="E2484" s="590" t="s">
        <v>2768</v>
      </c>
      <c r="F2484" s="590" t="s">
        <v>491</v>
      </c>
      <c r="G2484" s="590">
        <v>9847822771</v>
      </c>
      <c r="H2484" s="693"/>
      <c r="I2484" s="590">
        <v>42</v>
      </c>
      <c r="J2484" s="590" t="s">
        <v>48</v>
      </c>
      <c r="K2484" s="590" t="s">
        <v>1480</v>
      </c>
      <c r="L2484" s="590"/>
      <c r="M2484" s="588" t="s">
        <v>119</v>
      </c>
      <c r="N2484" s="750">
        <v>65041</v>
      </c>
      <c r="O2484" s="596">
        <v>65041</v>
      </c>
      <c r="P2484" s="496">
        <v>65056</v>
      </c>
      <c r="Q2484" s="491" t="s">
        <v>51</v>
      </c>
    </row>
    <row r="2485" spans="1:17" s="338" customFormat="1" ht="18">
      <c r="A2485" s="512">
        <f t="shared" si="31"/>
        <v>1638</v>
      </c>
      <c r="B2485" s="692" t="s">
        <v>43</v>
      </c>
      <c r="C2485" s="693" t="s">
        <v>44</v>
      </c>
      <c r="D2485" s="693" t="s">
        <v>45</v>
      </c>
      <c r="E2485" s="590" t="s">
        <v>2797</v>
      </c>
      <c r="F2485" s="590" t="s">
        <v>441</v>
      </c>
      <c r="G2485" s="590">
        <v>9844949449</v>
      </c>
      <c r="H2485" s="693"/>
      <c r="I2485" s="590">
        <v>49</v>
      </c>
      <c r="J2485" s="590" t="s">
        <v>48</v>
      </c>
      <c r="K2485" s="590" t="s">
        <v>1468</v>
      </c>
      <c r="L2485" s="590"/>
      <c r="M2485" s="588" t="s">
        <v>119</v>
      </c>
      <c r="N2485" s="750">
        <v>65041</v>
      </c>
      <c r="O2485" s="596">
        <v>65041</v>
      </c>
      <c r="P2485" s="496">
        <v>65056</v>
      </c>
      <c r="Q2485" s="491" t="s">
        <v>51</v>
      </c>
    </row>
    <row r="2486" spans="1:17" s="338" customFormat="1" ht="18">
      <c r="A2486" s="512">
        <f t="shared" si="31"/>
        <v>1639</v>
      </c>
      <c r="B2486" s="692" t="s">
        <v>43</v>
      </c>
      <c r="C2486" s="693" t="s">
        <v>44</v>
      </c>
      <c r="D2486" s="693" t="s">
        <v>45</v>
      </c>
      <c r="E2486" s="590" t="s">
        <v>2776</v>
      </c>
      <c r="F2486" s="590" t="s">
        <v>1008</v>
      </c>
      <c r="G2486" s="590">
        <v>9843000444</v>
      </c>
      <c r="H2486" s="693"/>
      <c r="I2486" s="590">
        <v>43</v>
      </c>
      <c r="J2486" s="590" t="s">
        <v>90</v>
      </c>
      <c r="K2486" s="590" t="s">
        <v>1468</v>
      </c>
      <c r="L2486" s="590"/>
      <c r="M2486" s="588" t="s">
        <v>119</v>
      </c>
      <c r="N2486" s="750">
        <v>65041</v>
      </c>
      <c r="O2486" s="596">
        <v>65041</v>
      </c>
      <c r="P2486" s="496">
        <v>65056</v>
      </c>
      <c r="Q2486" s="491" t="s">
        <v>51</v>
      </c>
    </row>
    <row r="2487" spans="1:17" s="338" customFormat="1" ht="18">
      <c r="A2487" s="512">
        <f t="shared" si="31"/>
        <v>1640</v>
      </c>
      <c r="B2487" s="692" t="s">
        <v>43</v>
      </c>
      <c r="C2487" s="693" t="s">
        <v>44</v>
      </c>
      <c r="D2487" s="693" t="s">
        <v>45</v>
      </c>
      <c r="E2487" s="882" t="s">
        <v>2450</v>
      </c>
      <c r="F2487" s="590" t="s">
        <v>1046</v>
      </c>
      <c r="G2487" s="590">
        <v>9857823674</v>
      </c>
      <c r="H2487" s="693"/>
      <c r="I2487" s="590">
        <v>41</v>
      </c>
      <c r="J2487" s="590" t="s">
        <v>90</v>
      </c>
      <c r="K2487" s="590" t="s">
        <v>1480</v>
      </c>
      <c r="L2487" s="590"/>
      <c r="M2487" s="588" t="s">
        <v>119</v>
      </c>
      <c r="N2487" s="750">
        <v>65041</v>
      </c>
      <c r="O2487" s="596">
        <v>65041</v>
      </c>
      <c r="P2487" s="496">
        <v>65056</v>
      </c>
      <c r="Q2487" s="491" t="s">
        <v>51</v>
      </c>
    </row>
    <row r="2488" spans="1:17" s="338" customFormat="1" ht="18">
      <c r="A2488" s="512">
        <f t="shared" si="31"/>
        <v>1641</v>
      </c>
      <c r="B2488" s="692" t="s">
        <v>43</v>
      </c>
      <c r="C2488" s="693" t="s">
        <v>44</v>
      </c>
      <c r="D2488" s="693" t="s">
        <v>45</v>
      </c>
      <c r="E2488" s="590" t="s">
        <v>2667</v>
      </c>
      <c r="F2488" s="590" t="s">
        <v>557</v>
      </c>
      <c r="G2488" s="590">
        <v>9847893428</v>
      </c>
      <c r="H2488" s="693"/>
      <c r="I2488" s="590">
        <v>21</v>
      </c>
      <c r="J2488" s="590" t="s">
        <v>90</v>
      </c>
      <c r="K2488" s="590" t="s">
        <v>53</v>
      </c>
      <c r="L2488" s="590"/>
      <c r="M2488" s="588" t="s">
        <v>119</v>
      </c>
      <c r="N2488" s="750">
        <v>65041</v>
      </c>
      <c r="O2488" s="596">
        <v>65041</v>
      </c>
      <c r="P2488" s="496">
        <v>65056</v>
      </c>
      <c r="Q2488" s="491" t="s">
        <v>51</v>
      </c>
    </row>
    <row r="2489" spans="1:17" s="338" customFormat="1" ht="18">
      <c r="A2489" s="512">
        <f t="shared" si="31"/>
        <v>1642</v>
      </c>
      <c r="B2489" s="692" t="s">
        <v>43</v>
      </c>
      <c r="C2489" s="693" t="s">
        <v>44</v>
      </c>
      <c r="D2489" s="693" t="s">
        <v>45</v>
      </c>
      <c r="E2489" s="590" t="s">
        <v>2806</v>
      </c>
      <c r="F2489" s="590" t="s">
        <v>1008</v>
      </c>
      <c r="G2489" s="590">
        <v>9813981997</v>
      </c>
      <c r="H2489" s="693"/>
      <c r="I2489" s="590">
        <v>51</v>
      </c>
      <c r="J2489" s="590" t="s">
        <v>48</v>
      </c>
      <c r="K2489" s="590" t="s">
        <v>53</v>
      </c>
      <c r="L2489" s="590"/>
      <c r="M2489" s="588" t="s">
        <v>119</v>
      </c>
      <c r="N2489" s="750">
        <v>65041</v>
      </c>
      <c r="O2489" s="596">
        <v>65041</v>
      </c>
      <c r="P2489" s="496">
        <v>65056</v>
      </c>
      <c r="Q2489" s="491" t="s">
        <v>51</v>
      </c>
    </row>
    <row r="2490" spans="1:17" s="338" customFormat="1" ht="18">
      <c r="A2490" s="512">
        <f t="shared" si="31"/>
        <v>1643</v>
      </c>
      <c r="B2490" s="692" t="s">
        <v>43</v>
      </c>
      <c r="C2490" s="693" t="s">
        <v>44</v>
      </c>
      <c r="D2490" s="693" t="s">
        <v>45</v>
      </c>
      <c r="E2490" s="590" t="s">
        <v>2848</v>
      </c>
      <c r="F2490" s="590" t="s">
        <v>491</v>
      </c>
      <c r="G2490" s="590">
        <v>9847814097</v>
      </c>
      <c r="H2490" s="693"/>
      <c r="I2490" s="590">
        <v>62</v>
      </c>
      <c r="J2490" s="590" t="s">
        <v>48</v>
      </c>
      <c r="K2490" s="590" t="s">
        <v>1480</v>
      </c>
      <c r="L2490" s="590"/>
      <c r="M2490" s="588" t="s">
        <v>119</v>
      </c>
      <c r="N2490" s="750">
        <v>65041</v>
      </c>
      <c r="O2490" s="596">
        <v>65041</v>
      </c>
      <c r="P2490" s="496">
        <v>65056</v>
      </c>
      <c r="Q2490" s="491" t="s">
        <v>51</v>
      </c>
    </row>
    <row r="2491" spans="1:17" s="338" customFormat="1" ht="18">
      <c r="A2491" s="512">
        <f t="shared" si="31"/>
        <v>1644</v>
      </c>
      <c r="B2491" s="692" t="s">
        <v>43</v>
      </c>
      <c r="C2491" s="693" t="s">
        <v>44</v>
      </c>
      <c r="D2491" s="693" t="s">
        <v>45</v>
      </c>
      <c r="E2491" s="590" t="s">
        <v>2802</v>
      </c>
      <c r="F2491" s="590" t="s">
        <v>491</v>
      </c>
      <c r="G2491" s="590">
        <v>9847832826</v>
      </c>
      <c r="H2491" s="693"/>
      <c r="I2491" s="590">
        <v>50</v>
      </c>
      <c r="J2491" s="590" t="s">
        <v>48</v>
      </c>
      <c r="K2491" s="590" t="s">
        <v>1468</v>
      </c>
      <c r="L2491" s="590"/>
      <c r="M2491" s="588" t="s">
        <v>119</v>
      </c>
      <c r="N2491" s="750">
        <v>65041</v>
      </c>
      <c r="O2491" s="596">
        <v>65041</v>
      </c>
      <c r="P2491" s="496">
        <v>65056</v>
      </c>
      <c r="Q2491" s="491" t="s">
        <v>51</v>
      </c>
    </row>
    <row r="2492" spans="1:17" s="338" customFormat="1" ht="18">
      <c r="A2492" s="512">
        <f t="shared" si="31"/>
        <v>1645</v>
      </c>
      <c r="B2492" s="692" t="s">
        <v>43</v>
      </c>
      <c r="C2492" s="693" t="s">
        <v>44</v>
      </c>
      <c r="D2492" s="693" t="s">
        <v>45</v>
      </c>
      <c r="E2492" s="882" t="s">
        <v>2717</v>
      </c>
      <c r="F2492" s="590" t="s">
        <v>598</v>
      </c>
      <c r="G2492" s="590">
        <v>9849133878</v>
      </c>
      <c r="H2492" s="693"/>
      <c r="I2492" s="590">
        <v>32</v>
      </c>
      <c r="J2492" s="590" t="s">
        <v>48</v>
      </c>
      <c r="K2492" s="590" t="s">
        <v>53</v>
      </c>
      <c r="L2492" s="590"/>
      <c r="M2492" s="588" t="s">
        <v>119</v>
      </c>
      <c r="N2492" s="750">
        <v>65041</v>
      </c>
      <c r="O2492" s="596">
        <v>65041</v>
      </c>
      <c r="P2492" s="496">
        <v>65056</v>
      </c>
      <c r="Q2492" s="491" t="s">
        <v>51</v>
      </c>
    </row>
    <row r="2493" spans="1:17" s="890" customFormat="1" ht="18">
      <c r="A2493" s="512">
        <f t="shared" si="31"/>
        <v>1646</v>
      </c>
      <c r="B2493" s="692" t="s">
        <v>43</v>
      </c>
      <c r="C2493" s="693" t="s">
        <v>44</v>
      </c>
      <c r="D2493" s="693" t="s">
        <v>45</v>
      </c>
      <c r="E2493" s="590" t="s">
        <v>2873</v>
      </c>
      <c r="F2493" s="590" t="s">
        <v>1046</v>
      </c>
      <c r="G2493" s="590">
        <v>9847823453</v>
      </c>
      <c r="H2493" s="693"/>
      <c r="I2493" s="590">
        <v>85</v>
      </c>
      <c r="J2493" s="590" t="s">
        <v>48</v>
      </c>
      <c r="K2493" s="590" t="s">
        <v>1468</v>
      </c>
      <c r="L2493" s="590"/>
      <c r="M2493" s="588" t="s">
        <v>119</v>
      </c>
      <c r="N2493" s="750">
        <v>65041</v>
      </c>
      <c r="O2493" s="596">
        <v>65041</v>
      </c>
      <c r="P2493" s="496">
        <v>65056</v>
      </c>
      <c r="Q2493" s="491" t="s">
        <v>51</v>
      </c>
    </row>
    <row r="2494" spans="1:17" s="338" customFormat="1" ht="18">
      <c r="A2494" s="512">
        <f t="shared" si="31"/>
        <v>1647</v>
      </c>
      <c r="B2494" s="860" t="s">
        <v>43</v>
      </c>
      <c r="C2494" s="698" t="s">
        <v>44</v>
      </c>
      <c r="D2494" s="698" t="s">
        <v>45</v>
      </c>
      <c r="E2494" s="699" t="s">
        <v>2823</v>
      </c>
      <c r="F2494" s="699" t="s">
        <v>1008</v>
      </c>
      <c r="G2494" s="699">
        <v>9806281867</v>
      </c>
      <c r="H2494" s="698"/>
      <c r="I2494" s="699">
        <v>55</v>
      </c>
      <c r="J2494" s="699" t="s">
        <v>48</v>
      </c>
      <c r="K2494" s="699" t="s">
        <v>1468</v>
      </c>
      <c r="L2494" s="699"/>
      <c r="M2494" s="699" t="s">
        <v>119</v>
      </c>
      <c r="N2494" s="861">
        <v>65041</v>
      </c>
      <c r="O2494" s="862">
        <v>65041</v>
      </c>
      <c r="P2494" s="559">
        <v>65057</v>
      </c>
      <c r="Q2494" s="527" t="s">
        <v>940</v>
      </c>
    </row>
    <row r="2495" spans="1:17" s="338" customFormat="1" ht="18">
      <c r="A2495" s="512">
        <f t="shared" si="31"/>
        <v>1648</v>
      </c>
      <c r="B2495" s="692" t="s">
        <v>43</v>
      </c>
      <c r="C2495" s="693" t="s">
        <v>44</v>
      </c>
      <c r="D2495" s="693" t="s">
        <v>45</v>
      </c>
      <c r="E2495" s="590" t="s">
        <v>2843</v>
      </c>
      <c r="F2495" s="590" t="s">
        <v>557</v>
      </c>
      <c r="G2495" s="590">
        <v>9857862441</v>
      </c>
      <c r="H2495" s="693"/>
      <c r="I2495" s="590">
        <v>60</v>
      </c>
      <c r="J2495" s="590" t="s">
        <v>48</v>
      </c>
      <c r="K2495" s="590" t="s">
        <v>1480</v>
      </c>
      <c r="L2495" s="590"/>
      <c r="M2495" s="588" t="s">
        <v>119</v>
      </c>
      <c r="N2495" s="750">
        <v>65041</v>
      </c>
      <c r="O2495" s="596">
        <v>65041</v>
      </c>
      <c r="P2495" s="496">
        <v>65056</v>
      </c>
      <c r="Q2495" s="491" t="s">
        <v>51</v>
      </c>
    </row>
    <row r="2496" spans="1:17" s="338" customFormat="1" ht="18">
      <c r="A2496" s="512">
        <f t="shared" si="31"/>
        <v>1649</v>
      </c>
      <c r="B2496" s="692" t="s">
        <v>43</v>
      </c>
      <c r="C2496" s="693" t="s">
        <v>44</v>
      </c>
      <c r="D2496" s="693" t="s">
        <v>45</v>
      </c>
      <c r="E2496" s="590" t="s">
        <v>2845</v>
      </c>
      <c r="F2496" s="590" t="s">
        <v>124</v>
      </c>
      <c r="G2496" s="590">
        <v>9847833264</v>
      </c>
      <c r="H2496" s="693"/>
      <c r="I2496" s="590">
        <v>61</v>
      </c>
      <c r="J2496" s="590" t="s">
        <v>90</v>
      </c>
      <c r="K2496" s="590" t="s">
        <v>1480</v>
      </c>
      <c r="L2496" s="590"/>
      <c r="M2496" s="588" t="s">
        <v>119</v>
      </c>
      <c r="N2496" s="750">
        <v>65041</v>
      </c>
      <c r="O2496" s="596">
        <v>65041</v>
      </c>
      <c r="P2496" s="496">
        <v>65056</v>
      </c>
      <c r="Q2496" s="491" t="s">
        <v>51</v>
      </c>
    </row>
    <row r="2497" spans="1:17" s="338" customFormat="1" ht="18">
      <c r="A2497" s="512">
        <f t="shared" si="31"/>
        <v>1650</v>
      </c>
      <c r="B2497" s="692" t="s">
        <v>43</v>
      </c>
      <c r="C2497" s="693" t="s">
        <v>44</v>
      </c>
      <c r="D2497" s="693" t="s">
        <v>45</v>
      </c>
      <c r="E2497" s="590" t="s">
        <v>2684</v>
      </c>
      <c r="F2497" s="590" t="s">
        <v>510</v>
      </c>
      <c r="G2497" s="590">
        <v>9847945830</v>
      </c>
      <c r="H2497" s="693"/>
      <c r="I2497" s="590">
        <v>26</v>
      </c>
      <c r="J2497" s="590" t="s">
        <v>48</v>
      </c>
      <c r="K2497" s="590" t="s">
        <v>1480</v>
      </c>
      <c r="L2497" s="590"/>
      <c r="M2497" s="588" t="s">
        <v>119</v>
      </c>
      <c r="N2497" s="750">
        <v>65041</v>
      </c>
      <c r="O2497" s="596">
        <v>65041</v>
      </c>
      <c r="P2497" s="496">
        <v>65056</v>
      </c>
      <c r="Q2497" s="491" t="s">
        <v>51</v>
      </c>
    </row>
    <row r="2498" spans="1:17" s="338" customFormat="1" ht="18">
      <c r="A2498" s="512">
        <f t="shared" si="31"/>
        <v>1651</v>
      </c>
      <c r="B2498" s="692" t="s">
        <v>43</v>
      </c>
      <c r="C2498" s="693" t="s">
        <v>44</v>
      </c>
      <c r="D2498" s="693" t="s">
        <v>45</v>
      </c>
      <c r="E2498" s="882" t="s">
        <v>2856</v>
      </c>
      <c r="F2498" s="590" t="s">
        <v>502</v>
      </c>
      <c r="G2498" s="590">
        <v>9841471036</v>
      </c>
      <c r="H2498" s="693"/>
      <c r="I2498" s="590">
        <v>65</v>
      </c>
      <c r="J2498" s="590" t="s">
        <v>48</v>
      </c>
      <c r="K2498" s="590" t="s">
        <v>1468</v>
      </c>
      <c r="L2498" s="590"/>
      <c r="M2498" s="588" t="s">
        <v>119</v>
      </c>
      <c r="N2498" s="750">
        <v>65041</v>
      </c>
      <c r="O2498" s="596">
        <v>65041</v>
      </c>
      <c r="P2498" s="496">
        <v>65056</v>
      </c>
      <c r="Q2498" s="491" t="s">
        <v>51</v>
      </c>
    </row>
    <row r="2499" spans="1:17" s="338" customFormat="1" ht="18">
      <c r="A2499" s="512">
        <f t="shared" si="31"/>
        <v>1652</v>
      </c>
      <c r="B2499" s="692" t="s">
        <v>43</v>
      </c>
      <c r="C2499" s="693" t="s">
        <v>44</v>
      </c>
      <c r="D2499" s="693" t="s">
        <v>45</v>
      </c>
      <c r="E2499" s="882" t="s">
        <v>2771</v>
      </c>
      <c r="F2499" s="590" t="s">
        <v>1046</v>
      </c>
      <c r="G2499" s="590">
        <v>9847823453</v>
      </c>
      <c r="H2499" s="693"/>
      <c r="I2499" s="590">
        <v>42</v>
      </c>
      <c r="J2499" s="590" t="s">
        <v>48</v>
      </c>
      <c r="K2499" s="590" t="s">
        <v>1468</v>
      </c>
      <c r="L2499" s="590"/>
      <c r="M2499" s="588" t="s">
        <v>119</v>
      </c>
      <c r="N2499" s="750">
        <v>65041</v>
      </c>
      <c r="O2499" s="596">
        <v>65041</v>
      </c>
      <c r="P2499" s="496">
        <v>65056</v>
      </c>
      <c r="Q2499" s="491" t="s">
        <v>51</v>
      </c>
    </row>
    <row r="2500" spans="1:17" s="338" customFormat="1" ht="18">
      <c r="A2500" s="512">
        <f t="shared" si="31"/>
        <v>1653</v>
      </c>
      <c r="B2500" s="692" t="s">
        <v>43</v>
      </c>
      <c r="C2500" s="693" t="s">
        <v>44</v>
      </c>
      <c r="D2500" s="693" t="s">
        <v>45</v>
      </c>
      <c r="E2500" s="590" t="s">
        <v>2762</v>
      </c>
      <c r="F2500" s="590" t="s">
        <v>502</v>
      </c>
      <c r="G2500" s="590">
        <v>9847853296</v>
      </c>
      <c r="H2500" s="693"/>
      <c r="I2500" s="590">
        <v>41</v>
      </c>
      <c r="J2500" s="590" t="s">
        <v>48</v>
      </c>
      <c r="K2500" s="590" t="s">
        <v>1468</v>
      </c>
      <c r="L2500" s="590"/>
      <c r="M2500" s="588" t="s">
        <v>119</v>
      </c>
      <c r="N2500" s="750">
        <v>65041</v>
      </c>
      <c r="O2500" s="596">
        <v>65041</v>
      </c>
      <c r="P2500" s="496">
        <v>65056</v>
      </c>
      <c r="Q2500" s="491" t="s">
        <v>51</v>
      </c>
    </row>
    <row r="2501" spans="1:17" s="338" customFormat="1" ht="18">
      <c r="A2501" s="512">
        <f t="shared" si="31"/>
        <v>1654</v>
      </c>
      <c r="B2501" s="692" t="s">
        <v>43</v>
      </c>
      <c r="C2501" s="693" t="s">
        <v>44</v>
      </c>
      <c r="D2501" s="693" t="s">
        <v>45</v>
      </c>
      <c r="E2501" s="590" t="s">
        <v>2795</v>
      </c>
      <c r="F2501" s="590" t="s">
        <v>491</v>
      </c>
      <c r="G2501" s="590">
        <v>9847952511</v>
      </c>
      <c r="H2501" s="693"/>
      <c r="I2501" s="590">
        <v>49</v>
      </c>
      <c r="J2501" s="590" t="s">
        <v>48</v>
      </c>
      <c r="K2501" s="590" t="s">
        <v>1480</v>
      </c>
      <c r="L2501" s="590"/>
      <c r="M2501" s="588" t="s">
        <v>119</v>
      </c>
      <c r="N2501" s="750">
        <v>65041</v>
      </c>
      <c r="O2501" s="596">
        <v>65041</v>
      </c>
      <c r="P2501" s="496">
        <v>65056</v>
      </c>
      <c r="Q2501" s="491" t="s">
        <v>51</v>
      </c>
    </row>
    <row r="2502" spans="1:17" s="338" customFormat="1" ht="18">
      <c r="A2502" s="512">
        <f t="shared" si="31"/>
        <v>1655</v>
      </c>
      <c r="B2502" s="692" t="s">
        <v>43</v>
      </c>
      <c r="C2502" s="693" t="s">
        <v>44</v>
      </c>
      <c r="D2502" s="693" t="s">
        <v>45</v>
      </c>
      <c r="E2502" s="590" t="s">
        <v>2756</v>
      </c>
      <c r="F2502" s="590" t="s">
        <v>502</v>
      </c>
      <c r="G2502" s="590">
        <v>9847814565</v>
      </c>
      <c r="H2502" s="693"/>
      <c r="I2502" s="590">
        <v>39</v>
      </c>
      <c r="J2502" s="590" t="s">
        <v>48</v>
      </c>
      <c r="K2502" s="590" t="s">
        <v>1468</v>
      </c>
      <c r="L2502" s="590"/>
      <c r="M2502" s="588" t="s">
        <v>119</v>
      </c>
      <c r="N2502" s="750">
        <v>65041</v>
      </c>
      <c r="O2502" s="596">
        <v>65041</v>
      </c>
      <c r="P2502" s="496">
        <v>65056</v>
      </c>
      <c r="Q2502" s="491" t="s">
        <v>51</v>
      </c>
    </row>
    <row r="2503" spans="1:17" s="338" customFormat="1" ht="18">
      <c r="A2503" s="512">
        <f t="shared" si="31"/>
        <v>1656</v>
      </c>
      <c r="B2503" s="692" t="s">
        <v>43</v>
      </c>
      <c r="C2503" s="693" t="s">
        <v>44</v>
      </c>
      <c r="D2503" s="693" t="s">
        <v>45</v>
      </c>
      <c r="E2503" s="590" t="s">
        <v>2872</v>
      </c>
      <c r="F2503" s="590" t="s">
        <v>491</v>
      </c>
      <c r="G2503" s="590">
        <v>9843604566</v>
      </c>
      <c r="H2503" s="693"/>
      <c r="I2503" s="590">
        <v>78</v>
      </c>
      <c r="J2503" s="590" t="s">
        <v>48</v>
      </c>
      <c r="K2503" s="590" t="s">
        <v>1480</v>
      </c>
      <c r="L2503" s="590"/>
      <c r="M2503" s="588" t="s">
        <v>119</v>
      </c>
      <c r="N2503" s="750">
        <v>65041</v>
      </c>
      <c r="O2503" s="596">
        <v>65041</v>
      </c>
      <c r="P2503" s="496">
        <v>65056</v>
      </c>
      <c r="Q2503" s="491" t="s">
        <v>51</v>
      </c>
    </row>
    <row r="2504" spans="1:17" s="338" customFormat="1" ht="18">
      <c r="A2504" s="512">
        <f t="shared" si="31"/>
        <v>1657</v>
      </c>
      <c r="B2504" s="692" t="s">
        <v>43</v>
      </c>
      <c r="C2504" s="693" t="s">
        <v>44</v>
      </c>
      <c r="D2504" s="693" t="s">
        <v>45</v>
      </c>
      <c r="E2504" s="590" t="s">
        <v>2827</v>
      </c>
      <c r="F2504" s="590" t="s">
        <v>491</v>
      </c>
      <c r="G2504" s="590">
        <v>9847842149</v>
      </c>
      <c r="H2504" s="693"/>
      <c r="I2504" s="590">
        <v>56</v>
      </c>
      <c r="J2504" s="590" t="s">
        <v>90</v>
      </c>
      <c r="K2504" s="590" t="s">
        <v>1480</v>
      </c>
      <c r="L2504" s="590"/>
      <c r="M2504" s="588" t="s">
        <v>119</v>
      </c>
      <c r="N2504" s="750">
        <v>65041</v>
      </c>
      <c r="O2504" s="596">
        <v>65041</v>
      </c>
      <c r="P2504" s="496">
        <v>65056</v>
      </c>
      <c r="Q2504" s="491" t="s">
        <v>51</v>
      </c>
    </row>
    <row r="2505" spans="1:17" s="338" customFormat="1" ht="18">
      <c r="A2505" s="512">
        <f t="shared" si="31"/>
        <v>1658</v>
      </c>
      <c r="B2505" s="692" t="s">
        <v>43</v>
      </c>
      <c r="C2505" s="693" t="s">
        <v>44</v>
      </c>
      <c r="D2505" s="693" t="s">
        <v>45</v>
      </c>
      <c r="E2505" s="590" t="s">
        <v>2713</v>
      </c>
      <c r="F2505" s="590" t="s">
        <v>529</v>
      </c>
      <c r="G2505" s="590">
        <v>9847898029</v>
      </c>
      <c r="H2505" s="693"/>
      <c r="I2505" s="590">
        <v>30</v>
      </c>
      <c r="J2505" s="590" t="s">
        <v>48</v>
      </c>
      <c r="K2505" s="590" t="s">
        <v>1480</v>
      </c>
      <c r="L2505" s="590"/>
      <c r="M2505" s="588" t="s">
        <v>119</v>
      </c>
      <c r="N2505" s="750">
        <v>65041</v>
      </c>
      <c r="O2505" s="596">
        <v>65041</v>
      </c>
      <c r="P2505" s="496">
        <v>65056</v>
      </c>
      <c r="Q2505" s="491" t="s">
        <v>51</v>
      </c>
    </row>
    <row r="2506" spans="1:17" s="338" customFormat="1" ht="18">
      <c r="A2506" s="512">
        <f t="shared" si="31"/>
        <v>1659</v>
      </c>
      <c r="B2506" s="692" t="s">
        <v>43</v>
      </c>
      <c r="C2506" s="693" t="s">
        <v>44</v>
      </c>
      <c r="D2506" s="693" t="s">
        <v>45</v>
      </c>
      <c r="E2506" s="590" t="s">
        <v>2813</v>
      </c>
      <c r="F2506" s="590" t="s">
        <v>557</v>
      </c>
      <c r="G2506" s="590">
        <v>9863451322</v>
      </c>
      <c r="H2506" s="693"/>
      <c r="I2506" s="590">
        <v>53</v>
      </c>
      <c r="J2506" s="590" t="s">
        <v>90</v>
      </c>
      <c r="K2506" s="590" t="s">
        <v>1480</v>
      </c>
      <c r="L2506" s="590"/>
      <c r="M2506" s="588" t="s">
        <v>119</v>
      </c>
      <c r="N2506" s="750">
        <v>65041</v>
      </c>
      <c r="O2506" s="596">
        <v>65041</v>
      </c>
      <c r="P2506" s="496">
        <v>65056</v>
      </c>
      <c r="Q2506" s="491" t="s">
        <v>51</v>
      </c>
    </row>
    <row r="2507" spans="1:17" s="338" customFormat="1" ht="18">
      <c r="A2507" s="512">
        <f t="shared" si="31"/>
        <v>1660</v>
      </c>
      <c r="B2507" s="692" t="s">
        <v>43</v>
      </c>
      <c r="C2507" s="693" t="s">
        <v>44</v>
      </c>
      <c r="D2507" s="693" t="s">
        <v>45</v>
      </c>
      <c r="E2507" s="590" t="s">
        <v>2866</v>
      </c>
      <c r="F2507" s="590" t="s">
        <v>441</v>
      </c>
      <c r="G2507" s="590">
        <v>9866828506</v>
      </c>
      <c r="H2507" s="693"/>
      <c r="I2507" s="590">
        <v>70</v>
      </c>
      <c r="J2507" s="590" t="s">
        <v>48</v>
      </c>
      <c r="K2507" s="590" t="s">
        <v>1480</v>
      </c>
      <c r="L2507" s="590"/>
      <c r="M2507" s="588" t="s">
        <v>119</v>
      </c>
      <c r="N2507" s="750">
        <v>65041</v>
      </c>
      <c r="O2507" s="596">
        <v>65041</v>
      </c>
      <c r="P2507" s="496">
        <v>65056</v>
      </c>
      <c r="Q2507" s="491" t="s">
        <v>51</v>
      </c>
    </row>
    <row r="2508" spans="1:17" s="338" customFormat="1" ht="18">
      <c r="A2508" s="512">
        <f t="shared" si="31"/>
        <v>1661</v>
      </c>
      <c r="B2508" s="692" t="s">
        <v>43</v>
      </c>
      <c r="C2508" s="693" t="s">
        <v>44</v>
      </c>
      <c r="D2508" s="693" t="s">
        <v>45</v>
      </c>
      <c r="E2508" s="590" t="s">
        <v>2812</v>
      </c>
      <c r="F2508" s="590" t="s">
        <v>557</v>
      </c>
      <c r="G2508" s="590">
        <v>9801332807</v>
      </c>
      <c r="H2508" s="693"/>
      <c r="I2508" s="590">
        <v>53</v>
      </c>
      <c r="J2508" s="590" t="s">
        <v>48</v>
      </c>
      <c r="K2508" s="590" t="s">
        <v>1480</v>
      </c>
      <c r="L2508" s="590"/>
      <c r="M2508" s="588" t="s">
        <v>119</v>
      </c>
      <c r="N2508" s="750">
        <v>65041</v>
      </c>
      <c r="O2508" s="596">
        <v>65041</v>
      </c>
      <c r="P2508" s="496">
        <v>65056</v>
      </c>
      <c r="Q2508" s="491" t="s">
        <v>51</v>
      </c>
    </row>
    <row r="2509" spans="1:17" s="338" customFormat="1" ht="18">
      <c r="A2509" s="512">
        <f t="shared" si="31"/>
        <v>1662</v>
      </c>
      <c r="B2509" s="692" t="s">
        <v>43</v>
      </c>
      <c r="C2509" s="693" t="s">
        <v>44</v>
      </c>
      <c r="D2509" s="693" t="s">
        <v>45</v>
      </c>
      <c r="E2509" s="590" t="s">
        <v>2664</v>
      </c>
      <c r="F2509" s="590" t="s">
        <v>491</v>
      </c>
      <c r="G2509" s="590">
        <v>9809555488</v>
      </c>
      <c r="H2509" s="693"/>
      <c r="I2509" s="590">
        <v>21</v>
      </c>
      <c r="J2509" s="590" t="s">
        <v>48</v>
      </c>
      <c r="K2509" s="590" t="s">
        <v>53</v>
      </c>
      <c r="L2509" s="590"/>
      <c r="M2509" s="588" t="s">
        <v>119</v>
      </c>
      <c r="N2509" s="750">
        <v>65041</v>
      </c>
      <c r="O2509" s="596">
        <v>65041</v>
      </c>
      <c r="P2509" s="496">
        <v>65056</v>
      </c>
      <c r="Q2509" s="491" t="s">
        <v>51</v>
      </c>
    </row>
    <row r="2510" spans="1:17" s="338" customFormat="1" ht="18">
      <c r="A2510" s="512">
        <f t="shared" si="31"/>
        <v>1663</v>
      </c>
      <c r="B2510" s="692" t="s">
        <v>43</v>
      </c>
      <c r="C2510" s="693" t="s">
        <v>44</v>
      </c>
      <c r="D2510" s="693" t="s">
        <v>45</v>
      </c>
      <c r="E2510" s="590" t="s">
        <v>2838</v>
      </c>
      <c r="F2510" s="590" t="s">
        <v>1204</v>
      </c>
      <c r="G2510" s="590">
        <v>9857823209</v>
      </c>
      <c r="H2510" s="693"/>
      <c r="I2510" s="590">
        <v>58</v>
      </c>
      <c r="J2510" s="590" t="s">
        <v>90</v>
      </c>
      <c r="K2510" s="590" t="s">
        <v>1480</v>
      </c>
      <c r="L2510" s="590"/>
      <c r="M2510" s="588" t="s">
        <v>119</v>
      </c>
      <c r="N2510" s="750">
        <v>65041</v>
      </c>
      <c r="O2510" s="596">
        <v>65041</v>
      </c>
      <c r="P2510" s="496">
        <v>65056</v>
      </c>
      <c r="Q2510" s="491" t="s">
        <v>51</v>
      </c>
    </row>
    <row r="2511" spans="1:17" s="338" customFormat="1" ht="18">
      <c r="A2511" s="512">
        <f t="shared" si="31"/>
        <v>1664</v>
      </c>
      <c r="B2511" s="692" t="s">
        <v>43</v>
      </c>
      <c r="C2511" s="693" t="s">
        <v>44</v>
      </c>
      <c r="D2511" s="693" t="s">
        <v>45</v>
      </c>
      <c r="E2511" s="590" t="s">
        <v>2769</v>
      </c>
      <c r="F2511" s="590" t="s">
        <v>529</v>
      </c>
      <c r="G2511" s="590">
        <v>9809542886</v>
      </c>
      <c r="H2511" s="693"/>
      <c r="I2511" s="590">
        <v>42</v>
      </c>
      <c r="J2511" s="590" t="s">
        <v>48</v>
      </c>
      <c r="K2511" s="590" t="s">
        <v>1480</v>
      </c>
      <c r="L2511" s="590"/>
      <c r="M2511" s="588" t="s">
        <v>119</v>
      </c>
      <c r="N2511" s="750">
        <v>65041</v>
      </c>
      <c r="O2511" s="596">
        <v>65041</v>
      </c>
      <c r="P2511" s="496">
        <v>65056</v>
      </c>
      <c r="Q2511" s="491" t="s">
        <v>51</v>
      </c>
    </row>
    <row r="2512" spans="1:17" ht="18">
      <c r="A2512" s="512">
        <f t="shared" si="31"/>
        <v>1665</v>
      </c>
      <c r="B2512" s="692" t="s">
        <v>43</v>
      </c>
      <c r="C2512" s="693" t="s">
        <v>44</v>
      </c>
      <c r="D2512" s="693" t="s">
        <v>45</v>
      </c>
      <c r="E2512" s="590" t="s">
        <v>2850</v>
      </c>
      <c r="F2512" s="590" t="s">
        <v>491</v>
      </c>
      <c r="G2512" s="590">
        <v>9851219657</v>
      </c>
      <c r="H2512" s="693"/>
      <c r="I2512" s="590">
        <v>63</v>
      </c>
      <c r="J2512" s="590" t="s">
        <v>48</v>
      </c>
      <c r="K2512" s="590" t="s">
        <v>53</v>
      </c>
      <c r="L2512" s="590"/>
      <c r="M2512" s="588" t="s">
        <v>119</v>
      </c>
      <c r="N2512" s="750">
        <v>65041</v>
      </c>
      <c r="O2512" s="596">
        <v>65041</v>
      </c>
      <c r="P2512" s="496">
        <v>65056</v>
      </c>
      <c r="Q2512" s="491" t="s">
        <v>51</v>
      </c>
    </row>
    <row r="2513" spans="1:17" ht="18">
      <c r="A2513" s="512">
        <f t="shared" si="31"/>
        <v>1666</v>
      </c>
      <c r="B2513" s="660" t="s">
        <v>43</v>
      </c>
      <c r="C2513" s="644" t="s">
        <v>44</v>
      </c>
      <c r="D2513" s="644" t="s">
        <v>45</v>
      </c>
      <c r="E2513" s="670" t="s">
        <v>2878</v>
      </c>
      <c r="F2513" s="646" t="s">
        <v>124</v>
      </c>
      <c r="G2513" s="646">
        <v>9829599933</v>
      </c>
      <c r="H2513" s="670"/>
      <c r="I2513" s="646">
        <v>20</v>
      </c>
      <c r="J2513" s="646" t="s">
        <v>90</v>
      </c>
      <c r="K2513" s="646" t="s">
        <v>1468</v>
      </c>
      <c r="M2513" s="646" t="s">
        <v>119</v>
      </c>
      <c r="N2513" s="765">
        <v>65042</v>
      </c>
      <c r="O2513" s="672">
        <v>65042</v>
      </c>
      <c r="P2513" s="897">
        <v>65057</v>
      </c>
      <c r="Q2513" s="898" t="s">
        <v>51</v>
      </c>
    </row>
    <row r="2514" spans="1:17" ht="18">
      <c r="A2514" s="512">
        <f t="shared" ref="A2514:A2577" si="32">A2513+1</f>
        <v>1667</v>
      </c>
      <c r="B2514" s="660" t="s">
        <v>43</v>
      </c>
      <c r="C2514" s="644" t="s">
        <v>44</v>
      </c>
      <c r="D2514" s="644" t="s">
        <v>45</v>
      </c>
      <c r="E2514" s="670" t="s">
        <v>2879</v>
      </c>
      <c r="F2514" s="646" t="s">
        <v>491</v>
      </c>
      <c r="G2514" s="646">
        <v>9843157713</v>
      </c>
      <c r="H2514" s="670"/>
      <c r="I2514" s="646">
        <v>19</v>
      </c>
      <c r="J2514" s="646" t="s">
        <v>90</v>
      </c>
      <c r="K2514" s="646" t="s">
        <v>1468</v>
      </c>
      <c r="M2514" s="646" t="s">
        <v>119</v>
      </c>
      <c r="N2514" s="765">
        <v>65042</v>
      </c>
      <c r="O2514" s="672">
        <v>65042</v>
      </c>
      <c r="P2514" s="897">
        <v>65057</v>
      </c>
      <c r="Q2514" s="898" t="s">
        <v>51</v>
      </c>
    </row>
    <row r="2515" spans="1:17" ht="18">
      <c r="A2515" s="512">
        <f t="shared" si="32"/>
        <v>1668</v>
      </c>
      <c r="B2515" s="660" t="s">
        <v>43</v>
      </c>
      <c r="C2515" s="644" t="s">
        <v>44</v>
      </c>
      <c r="D2515" s="644" t="s">
        <v>45</v>
      </c>
      <c r="E2515" s="670" t="s">
        <v>2880</v>
      </c>
      <c r="F2515" s="646" t="s">
        <v>512</v>
      </c>
      <c r="G2515" s="646">
        <v>9812875979</v>
      </c>
      <c r="H2515" s="670"/>
      <c r="I2515" s="646">
        <v>30</v>
      </c>
      <c r="J2515" s="646" t="s">
        <v>48</v>
      </c>
      <c r="K2515" s="646" t="s">
        <v>1468</v>
      </c>
      <c r="M2515" s="646" t="s">
        <v>119</v>
      </c>
      <c r="N2515" s="765">
        <v>65042</v>
      </c>
      <c r="O2515" s="672">
        <v>65042</v>
      </c>
      <c r="P2515" s="897">
        <v>65057</v>
      </c>
      <c r="Q2515" s="898" t="s">
        <v>51</v>
      </c>
    </row>
    <row r="2516" spans="1:17" s="335" customFormat="1" ht="18">
      <c r="A2516" s="512">
        <f t="shared" si="32"/>
        <v>1669</v>
      </c>
      <c r="B2516" s="660" t="s">
        <v>43</v>
      </c>
      <c r="C2516" s="644" t="s">
        <v>44</v>
      </c>
      <c r="D2516" s="644" t="s">
        <v>45</v>
      </c>
      <c r="E2516" s="670" t="s">
        <v>2881</v>
      </c>
      <c r="F2516" s="646" t="s">
        <v>491</v>
      </c>
      <c r="G2516" s="646">
        <v>9824299994</v>
      </c>
      <c r="H2516" s="670"/>
      <c r="I2516" s="646">
        <v>34</v>
      </c>
      <c r="J2516" s="646" t="s">
        <v>90</v>
      </c>
      <c r="K2516" s="646" t="s">
        <v>1468</v>
      </c>
      <c r="L2516" s="434"/>
      <c r="M2516" s="646" t="s">
        <v>119</v>
      </c>
      <c r="N2516" s="765">
        <v>65042</v>
      </c>
      <c r="O2516" s="672">
        <v>65042</v>
      </c>
      <c r="P2516" s="897">
        <v>65057</v>
      </c>
      <c r="Q2516" s="898" t="s">
        <v>51</v>
      </c>
    </row>
    <row r="2517" spans="1:17" ht="18">
      <c r="A2517" s="512">
        <f t="shared" si="32"/>
        <v>1670</v>
      </c>
      <c r="B2517" s="658" t="s">
        <v>43</v>
      </c>
      <c r="C2517" s="630" t="s">
        <v>44</v>
      </c>
      <c r="D2517" s="630" t="s">
        <v>45</v>
      </c>
      <c r="E2517" s="662" t="s">
        <v>2882</v>
      </c>
      <c r="F2517" s="620" t="s">
        <v>491</v>
      </c>
      <c r="G2517" s="620">
        <v>9800547678</v>
      </c>
      <c r="H2517" s="662"/>
      <c r="I2517" s="620">
        <v>76</v>
      </c>
      <c r="J2517" s="620" t="s">
        <v>48</v>
      </c>
      <c r="K2517" s="620" t="s">
        <v>53</v>
      </c>
      <c r="L2517" s="474"/>
      <c r="M2517" s="620" t="s">
        <v>54</v>
      </c>
      <c r="N2517" s="764">
        <v>65042</v>
      </c>
      <c r="O2517" s="678">
        <v>65042</v>
      </c>
      <c r="P2517" s="899">
        <v>65042</v>
      </c>
      <c r="Q2517" s="900" t="s">
        <v>940</v>
      </c>
    </row>
    <row r="2518" spans="1:17" ht="18">
      <c r="A2518" s="512">
        <f t="shared" si="32"/>
        <v>1671</v>
      </c>
      <c r="B2518" s="660" t="s">
        <v>43</v>
      </c>
      <c r="C2518" s="644" t="s">
        <v>44</v>
      </c>
      <c r="D2518" s="644" t="s">
        <v>45</v>
      </c>
      <c r="E2518" s="670" t="s">
        <v>2883</v>
      </c>
      <c r="F2518" s="646" t="s">
        <v>491</v>
      </c>
      <c r="G2518" s="646">
        <v>9847888706</v>
      </c>
      <c r="H2518" s="670"/>
      <c r="I2518" s="646">
        <v>23</v>
      </c>
      <c r="J2518" s="646" t="s">
        <v>48</v>
      </c>
      <c r="K2518" s="646" t="s">
        <v>1459</v>
      </c>
      <c r="M2518" s="646" t="s">
        <v>119</v>
      </c>
      <c r="N2518" s="765">
        <v>65042</v>
      </c>
      <c r="O2518" s="672">
        <v>65042</v>
      </c>
      <c r="P2518" s="897">
        <v>65057</v>
      </c>
      <c r="Q2518" s="898" t="s">
        <v>51</v>
      </c>
    </row>
    <row r="2519" spans="1:17" ht="18">
      <c r="A2519" s="512">
        <f t="shared" si="32"/>
        <v>1672</v>
      </c>
      <c r="B2519" s="660" t="s">
        <v>43</v>
      </c>
      <c r="C2519" s="644" t="s">
        <v>44</v>
      </c>
      <c r="D2519" s="644" t="s">
        <v>45</v>
      </c>
      <c r="E2519" s="670" t="s">
        <v>2884</v>
      </c>
      <c r="F2519" s="646" t="s">
        <v>502</v>
      </c>
      <c r="G2519" s="646">
        <v>9857825133</v>
      </c>
      <c r="H2519" s="670"/>
      <c r="I2519" s="646">
        <v>51</v>
      </c>
      <c r="J2519" s="646" t="s">
        <v>90</v>
      </c>
      <c r="K2519" s="646" t="s">
        <v>1468</v>
      </c>
      <c r="M2519" s="646" t="s">
        <v>119</v>
      </c>
      <c r="N2519" s="765">
        <v>65042</v>
      </c>
      <c r="O2519" s="672">
        <v>65042</v>
      </c>
      <c r="P2519" s="897">
        <v>65057</v>
      </c>
      <c r="Q2519" s="898" t="s">
        <v>51</v>
      </c>
    </row>
    <row r="2520" spans="1:17" ht="18">
      <c r="A2520" s="512">
        <f t="shared" si="32"/>
        <v>1673</v>
      </c>
      <c r="B2520" s="660" t="s">
        <v>43</v>
      </c>
      <c r="C2520" s="644" t="s">
        <v>44</v>
      </c>
      <c r="D2520" s="644" t="s">
        <v>45</v>
      </c>
      <c r="E2520" s="670" t="s">
        <v>2885</v>
      </c>
      <c r="F2520" s="646" t="s">
        <v>488</v>
      </c>
      <c r="G2520" s="646">
        <v>9857821742</v>
      </c>
      <c r="H2520" s="670"/>
      <c r="I2520" s="646">
        <v>43</v>
      </c>
      <c r="J2520" s="646" t="s">
        <v>48</v>
      </c>
      <c r="K2520" s="646" t="s">
        <v>1468</v>
      </c>
      <c r="M2520" s="646" t="s">
        <v>119</v>
      </c>
      <c r="N2520" s="765">
        <v>65042</v>
      </c>
      <c r="O2520" s="672">
        <v>65042</v>
      </c>
      <c r="P2520" s="897">
        <v>65057</v>
      </c>
      <c r="Q2520" s="898" t="s">
        <v>51</v>
      </c>
    </row>
    <row r="2521" spans="1:17" ht="18">
      <c r="A2521" s="512">
        <f t="shared" si="32"/>
        <v>1674</v>
      </c>
      <c r="B2521" s="660" t="s">
        <v>43</v>
      </c>
      <c r="C2521" s="644" t="s">
        <v>44</v>
      </c>
      <c r="D2521" s="644" t="s">
        <v>45</v>
      </c>
      <c r="E2521" s="670" t="s">
        <v>2886</v>
      </c>
      <c r="F2521" s="646" t="s">
        <v>1046</v>
      </c>
      <c r="G2521" s="646">
        <v>9857821742</v>
      </c>
      <c r="H2521" s="670"/>
      <c r="I2521" s="646">
        <v>39</v>
      </c>
      <c r="J2521" s="646" t="s">
        <v>48</v>
      </c>
      <c r="K2521" s="646" t="s">
        <v>1468</v>
      </c>
      <c r="M2521" s="646" t="s">
        <v>119</v>
      </c>
      <c r="N2521" s="765">
        <v>65042</v>
      </c>
      <c r="O2521" s="672">
        <v>65042</v>
      </c>
      <c r="P2521" s="897">
        <v>65057</v>
      </c>
      <c r="Q2521" s="898" t="s">
        <v>51</v>
      </c>
    </row>
    <row r="2522" spans="1:17" ht="18">
      <c r="A2522" s="512">
        <f t="shared" si="32"/>
        <v>1675</v>
      </c>
      <c r="B2522" s="660" t="s">
        <v>43</v>
      </c>
      <c r="C2522" s="644" t="s">
        <v>44</v>
      </c>
      <c r="D2522" s="644" t="s">
        <v>45</v>
      </c>
      <c r="E2522" s="670" t="s">
        <v>2887</v>
      </c>
      <c r="F2522" s="646" t="s">
        <v>441</v>
      </c>
      <c r="G2522" s="646">
        <v>9844990367</v>
      </c>
      <c r="H2522" s="670"/>
      <c r="I2522" s="646">
        <v>44</v>
      </c>
      <c r="J2522" s="646" t="s">
        <v>48</v>
      </c>
      <c r="K2522" s="646" t="s">
        <v>1468</v>
      </c>
      <c r="M2522" s="646" t="s">
        <v>119</v>
      </c>
      <c r="N2522" s="765">
        <v>65042</v>
      </c>
      <c r="O2522" s="672">
        <v>65042</v>
      </c>
      <c r="P2522" s="897">
        <v>65057</v>
      </c>
      <c r="Q2522" s="898" t="s">
        <v>51</v>
      </c>
    </row>
    <row r="2523" spans="1:17" ht="18">
      <c r="A2523" s="512">
        <f t="shared" si="32"/>
        <v>1676</v>
      </c>
      <c r="B2523" s="660" t="s">
        <v>43</v>
      </c>
      <c r="C2523" s="644" t="s">
        <v>44</v>
      </c>
      <c r="D2523" s="644" t="s">
        <v>45</v>
      </c>
      <c r="E2523" s="670" t="s">
        <v>2888</v>
      </c>
      <c r="F2523" s="646" t="s">
        <v>512</v>
      </c>
      <c r="G2523" s="577">
        <v>9851094627</v>
      </c>
      <c r="H2523" s="670"/>
      <c r="I2523" s="646">
        <v>45</v>
      </c>
      <c r="J2523" s="646" t="s">
        <v>48</v>
      </c>
      <c r="K2523" s="646" t="s">
        <v>345</v>
      </c>
      <c r="M2523" s="646" t="s">
        <v>119</v>
      </c>
      <c r="N2523" s="765">
        <v>65042</v>
      </c>
      <c r="O2523" s="672">
        <v>65042</v>
      </c>
      <c r="P2523" s="897">
        <v>65057</v>
      </c>
      <c r="Q2523" s="898" t="s">
        <v>51</v>
      </c>
    </row>
    <row r="2524" spans="1:17" ht="18">
      <c r="A2524" s="512">
        <f t="shared" si="32"/>
        <v>1677</v>
      </c>
      <c r="B2524" s="660" t="s">
        <v>43</v>
      </c>
      <c r="C2524" s="644" t="s">
        <v>44</v>
      </c>
      <c r="D2524" s="644" t="s">
        <v>45</v>
      </c>
      <c r="E2524" s="670" t="s">
        <v>2889</v>
      </c>
      <c r="F2524" s="646" t="s">
        <v>497</v>
      </c>
      <c r="G2524" s="646">
        <v>9847837273</v>
      </c>
      <c r="H2524" s="670"/>
      <c r="I2524" s="646">
        <v>64</v>
      </c>
      <c r="J2524" s="646" t="s">
        <v>48</v>
      </c>
      <c r="K2524" s="646" t="s">
        <v>1468</v>
      </c>
      <c r="M2524" s="646" t="s">
        <v>119</v>
      </c>
      <c r="N2524" s="765">
        <v>65042</v>
      </c>
      <c r="O2524" s="672">
        <v>65042</v>
      </c>
      <c r="P2524" s="897">
        <v>65057</v>
      </c>
      <c r="Q2524" s="898" t="s">
        <v>51</v>
      </c>
    </row>
    <row r="2525" spans="1:17" ht="18">
      <c r="A2525" s="512">
        <f t="shared" si="32"/>
        <v>1678</v>
      </c>
      <c r="B2525" s="660" t="s">
        <v>43</v>
      </c>
      <c r="C2525" s="644" t="s">
        <v>44</v>
      </c>
      <c r="D2525" s="644" t="s">
        <v>45</v>
      </c>
      <c r="E2525" s="670" t="s">
        <v>2890</v>
      </c>
      <c r="F2525" s="646" t="s">
        <v>491</v>
      </c>
      <c r="G2525" s="646">
        <v>9843157713</v>
      </c>
      <c r="H2525" s="670"/>
      <c r="I2525" s="646">
        <v>40</v>
      </c>
      <c r="J2525" s="646" t="s">
        <v>48</v>
      </c>
      <c r="K2525" s="646" t="s">
        <v>1468</v>
      </c>
      <c r="M2525" s="646" t="s">
        <v>119</v>
      </c>
      <c r="N2525" s="765">
        <v>65042</v>
      </c>
      <c r="O2525" s="672">
        <v>65042</v>
      </c>
      <c r="P2525" s="897">
        <v>65057</v>
      </c>
      <c r="Q2525" s="898" t="s">
        <v>51</v>
      </c>
    </row>
    <row r="2526" spans="1:17" ht="18">
      <c r="A2526" s="512">
        <f t="shared" si="32"/>
        <v>1679</v>
      </c>
      <c r="B2526" s="660" t="s">
        <v>43</v>
      </c>
      <c r="C2526" s="644" t="s">
        <v>44</v>
      </c>
      <c r="D2526" s="644" t="s">
        <v>45</v>
      </c>
      <c r="E2526" s="670" t="s">
        <v>2891</v>
      </c>
      <c r="F2526" s="646" t="s">
        <v>529</v>
      </c>
      <c r="G2526" s="646">
        <v>9803343788</v>
      </c>
      <c r="H2526" s="670"/>
      <c r="I2526" s="646">
        <v>50</v>
      </c>
      <c r="J2526" s="646" t="s">
        <v>90</v>
      </c>
      <c r="K2526" s="646" t="s">
        <v>1468</v>
      </c>
      <c r="M2526" s="646" t="s">
        <v>119</v>
      </c>
      <c r="N2526" s="765">
        <v>65042</v>
      </c>
      <c r="O2526" s="672">
        <v>65042</v>
      </c>
      <c r="P2526" s="897">
        <v>65057</v>
      </c>
      <c r="Q2526" s="898" t="s">
        <v>51</v>
      </c>
    </row>
    <row r="2527" spans="1:17" ht="18">
      <c r="A2527" s="512">
        <f t="shared" si="32"/>
        <v>1680</v>
      </c>
      <c r="B2527" s="660" t="s">
        <v>43</v>
      </c>
      <c r="C2527" s="644" t="s">
        <v>44</v>
      </c>
      <c r="D2527" s="644" t="s">
        <v>45</v>
      </c>
      <c r="E2527" s="670" t="s">
        <v>2892</v>
      </c>
      <c r="F2527" s="646" t="s">
        <v>529</v>
      </c>
      <c r="G2527" s="646">
        <v>9847910274</v>
      </c>
      <c r="H2527" s="670"/>
      <c r="I2527" s="646">
        <v>45</v>
      </c>
      <c r="J2527" s="646" t="s">
        <v>90</v>
      </c>
      <c r="K2527" s="646" t="s">
        <v>1468</v>
      </c>
      <c r="M2527" s="646" t="s">
        <v>119</v>
      </c>
      <c r="N2527" s="765">
        <v>65042</v>
      </c>
      <c r="O2527" s="672">
        <v>65042</v>
      </c>
      <c r="P2527" s="897">
        <v>65057</v>
      </c>
      <c r="Q2527" s="898" t="s">
        <v>51</v>
      </c>
    </row>
    <row r="2528" spans="1:17" ht="18">
      <c r="A2528" s="512">
        <f t="shared" si="32"/>
        <v>1681</v>
      </c>
      <c r="B2528" s="660" t="s">
        <v>43</v>
      </c>
      <c r="C2528" s="644" t="s">
        <v>44</v>
      </c>
      <c r="D2528" s="644" t="s">
        <v>45</v>
      </c>
      <c r="E2528" s="670" t="s">
        <v>2908</v>
      </c>
      <c r="F2528" s="646" t="s">
        <v>1008</v>
      </c>
      <c r="G2528" s="646">
        <v>9857820516</v>
      </c>
      <c r="H2528" s="670"/>
      <c r="I2528" s="646">
        <v>64</v>
      </c>
      <c r="J2528" s="646" t="s">
        <v>48</v>
      </c>
      <c r="K2528" s="646" t="s">
        <v>1480</v>
      </c>
      <c r="M2528" s="646" t="s">
        <v>119</v>
      </c>
      <c r="N2528" s="765">
        <v>65042</v>
      </c>
      <c r="O2528" s="672">
        <v>65042</v>
      </c>
      <c r="P2528" s="897">
        <v>65057</v>
      </c>
      <c r="Q2528" s="898" t="s">
        <v>51</v>
      </c>
    </row>
    <row r="2529" spans="1:17" ht="18">
      <c r="A2529" s="512">
        <f t="shared" si="32"/>
        <v>1682</v>
      </c>
      <c r="B2529" s="660" t="s">
        <v>43</v>
      </c>
      <c r="C2529" s="644" t="s">
        <v>44</v>
      </c>
      <c r="D2529" s="644" t="s">
        <v>45</v>
      </c>
      <c r="E2529" s="670" t="s">
        <v>2893</v>
      </c>
      <c r="F2529" s="646" t="s">
        <v>529</v>
      </c>
      <c r="G2529" s="646">
        <v>9857890107</v>
      </c>
      <c r="H2529" s="670"/>
      <c r="I2529" s="646">
        <v>70</v>
      </c>
      <c r="J2529" s="646" t="s">
        <v>48</v>
      </c>
      <c r="K2529" s="646" t="s">
        <v>1468</v>
      </c>
      <c r="M2529" s="646" t="s">
        <v>119</v>
      </c>
      <c r="N2529" s="765">
        <v>65042</v>
      </c>
      <c r="O2529" s="672">
        <v>65042</v>
      </c>
      <c r="P2529" s="897">
        <v>65057</v>
      </c>
      <c r="Q2529" s="898" t="s">
        <v>51</v>
      </c>
    </row>
    <row r="2530" spans="1:17" ht="18">
      <c r="A2530" s="512">
        <f t="shared" si="32"/>
        <v>1683</v>
      </c>
      <c r="B2530" s="660" t="s">
        <v>43</v>
      </c>
      <c r="C2530" s="644" t="s">
        <v>44</v>
      </c>
      <c r="D2530" s="644" t="s">
        <v>45</v>
      </c>
      <c r="E2530" s="670" t="s">
        <v>2894</v>
      </c>
      <c r="F2530" s="646" t="s">
        <v>617</v>
      </c>
      <c r="G2530" s="646">
        <v>9806279993</v>
      </c>
      <c r="H2530" s="670"/>
      <c r="I2530" s="646">
        <v>27</v>
      </c>
      <c r="J2530" s="646" t="s">
        <v>48</v>
      </c>
      <c r="K2530" s="646" t="s">
        <v>1468</v>
      </c>
      <c r="M2530" s="646" t="s">
        <v>119</v>
      </c>
      <c r="N2530" s="765">
        <v>65042</v>
      </c>
      <c r="O2530" s="672">
        <v>65042</v>
      </c>
      <c r="P2530" s="897">
        <v>65057</v>
      </c>
      <c r="Q2530" s="898" t="s">
        <v>51</v>
      </c>
    </row>
    <row r="2531" spans="1:17" ht="18">
      <c r="A2531" s="512">
        <f t="shared" si="32"/>
        <v>1684</v>
      </c>
      <c r="B2531" s="660" t="s">
        <v>43</v>
      </c>
      <c r="C2531" s="644" t="s">
        <v>44</v>
      </c>
      <c r="D2531" s="644" t="s">
        <v>45</v>
      </c>
      <c r="E2531" s="670" t="s">
        <v>2912</v>
      </c>
      <c r="F2531" s="646" t="s">
        <v>502</v>
      </c>
      <c r="G2531" s="646">
        <v>9742498258</v>
      </c>
      <c r="H2531" s="670"/>
      <c r="I2531" s="646">
        <v>74</v>
      </c>
      <c r="J2531" s="646" t="s">
        <v>90</v>
      </c>
      <c r="K2531" s="646" t="s">
        <v>1480</v>
      </c>
      <c r="M2531" s="646" t="s">
        <v>119</v>
      </c>
      <c r="N2531" s="765">
        <v>65042</v>
      </c>
      <c r="O2531" s="672">
        <v>65042</v>
      </c>
      <c r="P2531" s="897">
        <v>65057</v>
      </c>
      <c r="Q2531" s="898" t="s">
        <v>51</v>
      </c>
    </row>
    <row r="2532" spans="1:17" ht="18">
      <c r="A2532" s="512">
        <f t="shared" si="32"/>
        <v>1685</v>
      </c>
      <c r="B2532" s="660" t="s">
        <v>43</v>
      </c>
      <c r="C2532" s="644" t="s">
        <v>44</v>
      </c>
      <c r="D2532" s="644" t="s">
        <v>45</v>
      </c>
      <c r="E2532" s="670" t="s">
        <v>2895</v>
      </c>
      <c r="F2532" s="646" t="s">
        <v>1046</v>
      </c>
      <c r="G2532" s="646">
        <v>9841876546</v>
      </c>
      <c r="H2532" s="670"/>
      <c r="I2532" s="646">
        <v>3</v>
      </c>
      <c r="J2532" s="646" t="s">
        <v>48</v>
      </c>
      <c r="K2532" s="646" t="s">
        <v>1468</v>
      </c>
      <c r="M2532" s="646" t="s">
        <v>119</v>
      </c>
      <c r="N2532" s="765">
        <v>65042</v>
      </c>
      <c r="O2532" s="672">
        <v>65042</v>
      </c>
      <c r="P2532" s="897">
        <v>65057</v>
      </c>
      <c r="Q2532" s="898" t="s">
        <v>51</v>
      </c>
    </row>
    <row r="2533" spans="1:17" ht="18">
      <c r="A2533" s="512">
        <f t="shared" si="32"/>
        <v>1686</v>
      </c>
      <c r="B2533" s="660" t="s">
        <v>43</v>
      </c>
      <c r="C2533" s="644" t="s">
        <v>44</v>
      </c>
      <c r="D2533" s="644" t="s">
        <v>45</v>
      </c>
      <c r="E2533" s="670" t="s">
        <v>2896</v>
      </c>
      <c r="F2533" s="646" t="s">
        <v>491</v>
      </c>
      <c r="G2533" s="646">
        <v>9866529339</v>
      </c>
      <c r="H2533" s="670"/>
      <c r="I2533" s="646">
        <v>38</v>
      </c>
      <c r="J2533" s="646" t="s">
        <v>90</v>
      </c>
      <c r="K2533" s="646" t="s">
        <v>1468</v>
      </c>
      <c r="M2533" s="646" t="s">
        <v>119</v>
      </c>
      <c r="N2533" s="765">
        <v>65042</v>
      </c>
      <c r="O2533" s="672">
        <v>65042</v>
      </c>
      <c r="P2533" s="897">
        <v>65057</v>
      </c>
      <c r="Q2533" s="898" t="s">
        <v>51</v>
      </c>
    </row>
    <row r="2534" spans="1:17" s="163" customFormat="1" ht="18">
      <c r="A2534" s="512">
        <f t="shared" si="32"/>
        <v>1687</v>
      </c>
      <c r="B2534" s="660" t="s">
        <v>43</v>
      </c>
      <c r="C2534" s="644" t="s">
        <v>44</v>
      </c>
      <c r="D2534" s="644" t="s">
        <v>45</v>
      </c>
      <c r="E2534" s="670" t="s">
        <v>2913</v>
      </c>
      <c r="F2534" s="646" t="s">
        <v>502</v>
      </c>
      <c r="G2534" s="646">
        <v>9857820902</v>
      </c>
      <c r="H2534" s="670"/>
      <c r="I2534" s="646">
        <v>46</v>
      </c>
      <c r="J2534" s="646" t="s">
        <v>90</v>
      </c>
      <c r="K2534" s="646" t="s">
        <v>1480</v>
      </c>
      <c r="L2534" s="434"/>
      <c r="M2534" s="646" t="s">
        <v>119</v>
      </c>
      <c r="N2534" s="765">
        <v>65042</v>
      </c>
      <c r="O2534" s="672">
        <v>65042</v>
      </c>
      <c r="P2534" s="897">
        <v>65057</v>
      </c>
      <c r="Q2534" s="898" t="s">
        <v>51</v>
      </c>
    </row>
    <row r="2535" spans="1:17" ht="18">
      <c r="A2535" s="512">
        <f t="shared" si="32"/>
        <v>1688</v>
      </c>
      <c r="B2535" s="660" t="s">
        <v>43</v>
      </c>
      <c r="C2535" s="644" t="s">
        <v>44</v>
      </c>
      <c r="D2535" s="644" t="s">
        <v>45</v>
      </c>
      <c r="E2535" s="670" t="s">
        <v>2897</v>
      </c>
      <c r="F2535" s="646" t="s">
        <v>502</v>
      </c>
      <c r="G2535" s="646">
        <v>9847832653</v>
      </c>
      <c r="H2535" s="670"/>
      <c r="I2535" s="646">
        <v>76</v>
      </c>
      <c r="J2535" s="646" t="s">
        <v>48</v>
      </c>
      <c r="K2535" s="646" t="s">
        <v>1468</v>
      </c>
      <c r="M2535" s="646" t="s">
        <v>119</v>
      </c>
      <c r="N2535" s="765">
        <v>65042</v>
      </c>
      <c r="O2535" s="672">
        <v>65042</v>
      </c>
      <c r="P2535" s="897">
        <v>65057</v>
      </c>
      <c r="Q2535" s="898" t="s">
        <v>51</v>
      </c>
    </row>
    <row r="2536" spans="1:17" ht="18">
      <c r="A2536" s="512">
        <f t="shared" si="32"/>
        <v>1689</v>
      </c>
      <c r="B2536" s="660" t="s">
        <v>43</v>
      </c>
      <c r="C2536" s="644" t="s">
        <v>44</v>
      </c>
      <c r="D2536" s="644" t="s">
        <v>45</v>
      </c>
      <c r="E2536" s="670" t="s">
        <v>2898</v>
      </c>
      <c r="F2536" s="646" t="s">
        <v>598</v>
      </c>
      <c r="G2536" s="646">
        <v>9847853014</v>
      </c>
      <c r="H2536" s="670"/>
      <c r="I2536" s="646">
        <v>65</v>
      </c>
      <c r="J2536" s="646" t="s">
        <v>48</v>
      </c>
      <c r="K2536" s="646" t="s">
        <v>1468</v>
      </c>
      <c r="M2536" s="646" t="s">
        <v>119</v>
      </c>
      <c r="N2536" s="765">
        <v>65042</v>
      </c>
      <c r="O2536" s="672">
        <v>65042</v>
      </c>
      <c r="P2536" s="897">
        <v>65057</v>
      </c>
      <c r="Q2536" s="898" t="s">
        <v>51</v>
      </c>
    </row>
    <row r="2537" spans="1:17" ht="18">
      <c r="A2537" s="512">
        <f t="shared" si="32"/>
        <v>1690</v>
      </c>
      <c r="B2537" s="660" t="s">
        <v>43</v>
      </c>
      <c r="C2537" s="644" t="s">
        <v>44</v>
      </c>
      <c r="D2537" s="644" t="s">
        <v>45</v>
      </c>
      <c r="E2537" s="670" t="s">
        <v>1943</v>
      </c>
      <c r="F2537" s="646" t="s">
        <v>598</v>
      </c>
      <c r="G2537" s="646">
        <v>9847989118</v>
      </c>
      <c r="H2537" s="670"/>
      <c r="I2537" s="646">
        <v>22</v>
      </c>
      <c r="J2537" s="646" t="s">
        <v>90</v>
      </c>
      <c r="K2537" s="646" t="s">
        <v>1468</v>
      </c>
      <c r="M2537" s="646" t="s">
        <v>119</v>
      </c>
      <c r="N2537" s="765">
        <v>65042</v>
      </c>
      <c r="O2537" s="672">
        <v>65042</v>
      </c>
      <c r="P2537" s="897">
        <v>65057</v>
      </c>
      <c r="Q2537" s="898" t="s">
        <v>51</v>
      </c>
    </row>
    <row r="2538" spans="1:17" s="326" customFormat="1" ht="18">
      <c r="A2538" s="512">
        <f t="shared" si="32"/>
        <v>1691</v>
      </c>
      <c r="B2538" s="658" t="s">
        <v>43</v>
      </c>
      <c r="C2538" s="630" t="s">
        <v>44</v>
      </c>
      <c r="D2538" s="630" t="s">
        <v>45</v>
      </c>
      <c r="E2538" s="662" t="s">
        <v>2899</v>
      </c>
      <c r="F2538" s="620" t="s">
        <v>529</v>
      </c>
      <c r="G2538" s="620">
        <v>9844773354</v>
      </c>
      <c r="H2538" s="662"/>
      <c r="I2538" s="620">
        <v>70</v>
      </c>
      <c r="J2538" s="620" t="s">
        <v>90</v>
      </c>
      <c r="K2538" s="620" t="s">
        <v>53</v>
      </c>
      <c r="L2538" s="474"/>
      <c r="M2538" s="620" t="s">
        <v>54</v>
      </c>
      <c r="N2538" s="764">
        <v>65042</v>
      </c>
      <c r="O2538" s="678">
        <v>65042</v>
      </c>
      <c r="P2538" s="900" t="s">
        <v>940</v>
      </c>
      <c r="Q2538" s="899">
        <v>65043</v>
      </c>
    </row>
    <row r="2539" spans="1:17" s="163" customFormat="1" ht="18">
      <c r="A2539" s="512">
        <f t="shared" si="32"/>
        <v>1692</v>
      </c>
      <c r="B2539" s="660" t="s">
        <v>43</v>
      </c>
      <c r="C2539" s="644" t="s">
        <v>44</v>
      </c>
      <c r="D2539" s="644" t="s">
        <v>45</v>
      </c>
      <c r="E2539" s="670" t="s">
        <v>2900</v>
      </c>
      <c r="F2539" s="646" t="s">
        <v>1046</v>
      </c>
      <c r="G2539" s="646">
        <v>9868632791</v>
      </c>
      <c r="H2539" s="670"/>
      <c r="I2539" s="646">
        <v>50</v>
      </c>
      <c r="J2539" s="646" t="s">
        <v>90</v>
      </c>
      <c r="K2539" s="646" t="s">
        <v>1468</v>
      </c>
      <c r="L2539" s="434"/>
      <c r="M2539" s="646" t="s">
        <v>119</v>
      </c>
      <c r="N2539" s="765">
        <v>65042</v>
      </c>
      <c r="O2539" s="672">
        <v>65042</v>
      </c>
      <c r="P2539" s="897">
        <v>65057</v>
      </c>
      <c r="Q2539" s="898" t="s">
        <v>51</v>
      </c>
    </row>
    <row r="2540" spans="1:17" ht="18">
      <c r="A2540" s="512">
        <f t="shared" si="32"/>
        <v>1693</v>
      </c>
      <c r="B2540" s="660" t="s">
        <v>43</v>
      </c>
      <c r="C2540" s="644" t="s">
        <v>44</v>
      </c>
      <c r="D2540" s="644" t="s">
        <v>45</v>
      </c>
      <c r="E2540" s="670" t="s">
        <v>2909</v>
      </c>
      <c r="F2540" s="646" t="s">
        <v>502</v>
      </c>
      <c r="G2540" s="646">
        <v>9857820902</v>
      </c>
      <c r="H2540" s="670"/>
      <c r="I2540" s="646">
        <v>51</v>
      </c>
      <c r="J2540" s="646" t="s">
        <v>48</v>
      </c>
      <c r="K2540" s="646" t="s">
        <v>1480</v>
      </c>
      <c r="M2540" s="646" t="s">
        <v>119</v>
      </c>
      <c r="N2540" s="765">
        <v>65042</v>
      </c>
      <c r="O2540" s="672">
        <v>65042</v>
      </c>
      <c r="P2540" s="897">
        <v>65057</v>
      </c>
      <c r="Q2540" s="898" t="s">
        <v>51</v>
      </c>
    </row>
    <row r="2541" spans="1:17" s="981" customFormat="1" ht="18">
      <c r="A2541" s="512">
        <f t="shared" si="32"/>
        <v>1694</v>
      </c>
      <c r="B2541" s="660" t="s">
        <v>43</v>
      </c>
      <c r="C2541" s="644" t="s">
        <v>44</v>
      </c>
      <c r="D2541" s="644" t="s">
        <v>45</v>
      </c>
      <c r="E2541" s="670" t="s">
        <v>2901</v>
      </c>
      <c r="F2541" s="646" t="s">
        <v>1046</v>
      </c>
      <c r="G2541" s="646">
        <v>9841876546</v>
      </c>
      <c r="H2541" s="670"/>
      <c r="I2541" s="646">
        <v>57</v>
      </c>
      <c r="J2541" s="646" t="s">
        <v>90</v>
      </c>
      <c r="K2541" s="646" t="s">
        <v>1468</v>
      </c>
      <c r="L2541" s="434"/>
      <c r="M2541" s="646" t="s">
        <v>119</v>
      </c>
      <c r="N2541" s="765">
        <v>65042</v>
      </c>
      <c r="O2541" s="672">
        <v>65042</v>
      </c>
      <c r="P2541" s="897">
        <v>65057</v>
      </c>
      <c r="Q2541" s="898" t="s">
        <v>51</v>
      </c>
    </row>
    <row r="2542" spans="1:17" ht="18">
      <c r="A2542" s="512">
        <f t="shared" si="32"/>
        <v>1695</v>
      </c>
      <c r="B2542" s="658" t="s">
        <v>43</v>
      </c>
      <c r="C2542" s="630" t="s">
        <v>44</v>
      </c>
      <c r="D2542" s="630" t="s">
        <v>45</v>
      </c>
      <c r="E2542" s="630" t="s">
        <v>2937</v>
      </c>
      <c r="F2542" s="597" t="s">
        <v>497</v>
      </c>
      <c r="G2542" s="597"/>
      <c r="H2542" s="630"/>
      <c r="I2542" s="597">
        <v>36</v>
      </c>
      <c r="J2542" s="597" t="s">
        <v>48</v>
      </c>
      <c r="K2542" s="597"/>
      <c r="L2542" s="423"/>
      <c r="M2542" s="597" t="s">
        <v>119</v>
      </c>
      <c r="N2542" s="758">
        <v>65042</v>
      </c>
      <c r="O2542" s="632">
        <v>65042</v>
      </c>
      <c r="P2542" s="901" t="s">
        <v>940</v>
      </c>
      <c r="Q2542" s="902">
        <v>65042</v>
      </c>
    </row>
    <row r="2543" spans="1:17" ht="18">
      <c r="A2543" s="512">
        <f t="shared" si="32"/>
        <v>1696</v>
      </c>
      <c r="B2543" s="660" t="s">
        <v>43</v>
      </c>
      <c r="C2543" s="644" t="s">
        <v>44</v>
      </c>
      <c r="D2543" s="644" t="s">
        <v>45</v>
      </c>
      <c r="E2543" s="670" t="s">
        <v>2902</v>
      </c>
      <c r="F2543" s="646" t="s">
        <v>491</v>
      </c>
      <c r="G2543" s="646">
        <v>9843157713</v>
      </c>
      <c r="H2543" s="670"/>
      <c r="I2543" s="646">
        <v>60</v>
      </c>
      <c r="J2543" s="646" t="s">
        <v>90</v>
      </c>
      <c r="K2543" s="646" t="s">
        <v>1468</v>
      </c>
      <c r="M2543" s="646" t="s">
        <v>119</v>
      </c>
      <c r="N2543" s="765">
        <v>65042</v>
      </c>
      <c r="O2543" s="672">
        <v>65042</v>
      </c>
      <c r="P2543" s="897">
        <v>65057</v>
      </c>
      <c r="Q2543" s="898" t="s">
        <v>51</v>
      </c>
    </row>
    <row r="2544" spans="1:17" ht="18">
      <c r="A2544" s="512">
        <f t="shared" si="32"/>
        <v>1697</v>
      </c>
      <c r="B2544" s="660" t="s">
        <v>43</v>
      </c>
      <c r="C2544" s="644" t="s">
        <v>44</v>
      </c>
      <c r="D2544" s="644" t="s">
        <v>45</v>
      </c>
      <c r="E2544" s="673" t="s">
        <v>2397</v>
      </c>
      <c r="F2544" s="642" t="s">
        <v>730</v>
      </c>
      <c r="G2544" s="642"/>
      <c r="H2544" s="673"/>
      <c r="I2544" s="642">
        <v>47</v>
      </c>
      <c r="J2544" s="642" t="s">
        <v>48</v>
      </c>
      <c r="K2544" s="642" t="s">
        <v>53</v>
      </c>
      <c r="L2544" s="438"/>
      <c r="M2544" s="642" t="s">
        <v>54</v>
      </c>
      <c r="N2544" s="766">
        <v>65042</v>
      </c>
      <c r="O2544" s="674">
        <v>65042</v>
      </c>
      <c r="P2544" s="465">
        <v>65061</v>
      </c>
      <c r="Q2544" s="436" t="s">
        <v>51</v>
      </c>
    </row>
    <row r="2545" spans="1:17" s="1128" customFormat="1" ht="18">
      <c r="A2545" s="512">
        <f t="shared" si="32"/>
        <v>1698</v>
      </c>
      <c r="B2545" s="1125" t="s">
        <v>43</v>
      </c>
      <c r="C2545" s="1109" t="s">
        <v>44</v>
      </c>
      <c r="D2545" s="1109" t="s">
        <v>45</v>
      </c>
      <c r="E2545" s="1109" t="s">
        <v>2904</v>
      </c>
      <c r="F2545" s="641" t="s">
        <v>502</v>
      </c>
      <c r="G2545" s="641">
        <v>9822808297</v>
      </c>
      <c r="H2545" s="1109"/>
      <c r="I2545" s="641">
        <v>65</v>
      </c>
      <c r="J2545" s="641" t="s">
        <v>90</v>
      </c>
      <c r="K2545" s="641" t="s">
        <v>53</v>
      </c>
      <c r="L2545" s="1117"/>
      <c r="M2545" s="641" t="s">
        <v>54</v>
      </c>
      <c r="N2545" s="1121">
        <v>65042</v>
      </c>
      <c r="O2545" s="1122">
        <v>65042</v>
      </c>
      <c r="P2545" s="1133">
        <v>65070</v>
      </c>
      <c r="Q2545" s="1132" t="s">
        <v>51</v>
      </c>
    </row>
    <row r="2546" spans="1:17" ht="18">
      <c r="A2546" s="512">
        <f t="shared" si="32"/>
        <v>1699</v>
      </c>
      <c r="B2546" s="660" t="s">
        <v>43</v>
      </c>
      <c r="C2546" s="644" t="s">
        <v>44</v>
      </c>
      <c r="D2546" s="644" t="s">
        <v>45</v>
      </c>
      <c r="E2546" s="670" t="s">
        <v>2903</v>
      </c>
      <c r="F2546" s="646" t="s">
        <v>502</v>
      </c>
      <c r="G2546" s="646">
        <v>9840706574</v>
      </c>
      <c r="H2546" s="670"/>
      <c r="I2546" s="646">
        <v>68</v>
      </c>
      <c r="J2546" s="646" t="s">
        <v>90</v>
      </c>
      <c r="K2546" s="646" t="s">
        <v>1468</v>
      </c>
      <c r="M2546" s="646" t="s">
        <v>119</v>
      </c>
      <c r="N2546" s="765">
        <v>65042</v>
      </c>
      <c r="O2546" s="672">
        <v>65042</v>
      </c>
      <c r="P2546" s="897">
        <v>65057</v>
      </c>
      <c r="Q2546" s="898" t="s">
        <v>51</v>
      </c>
    </row>
    <row r="2547" spans="1:17" ht="18">
      <c r="A2547" s="512">
        <f t="shared" si="32"/>
        <v>1700</v>
      </c>
      <c r="B2547" s="660" t="s">
        <v>43</v>
      </c>
      <c r="C2547" s="644" t="s">
        <v>44</v>
      </c>
      <c r="D2547" s="644" t="s">
        <v>45</v>
      </c>
      <c r="E2547" s="670" t="s">
        <v>2905</v>
      </c>
      <c r="F2547" s="646" t="s">
        <v>441</v>
      </c>
      <c r="G2547" s="646">
        <v>9844988292</v>
      </c>
      <c r="H2547" s="670"/>
      <c r="I2547" s="646">
        <v>31</v>
      </c>
      <c r="J2547" s="646" t="s">
        <v>90</v>
      </c>
      <c r="K2547" s="646" t="s">
        <v>1468</v>
      </c>
      <c r="M2547" s="646" t="s">
        <v>119</v>
      </c>
      <c r="N2547" s="765">
        <v>65042</v>
      </c>
      <c r="O2547" s="672">
        <v>65042</v>
      </c>
      <c r="P2547" s="897">
        <v>65057</v>
      </c>
      <c r="Q2547" s="898" t="s">
        <v>51</v>
      </c>
    </row>
    <row r="2548" spans="1:17" ht="18">
      <c r="A2548" s="512">
        <f t="shared" si="32"/>
        <v>1701</v>
      </c>
      <c r="B2548" s="660" t="s">
        <v>43</v>
      </c>
      <c r="C2548" s="644" t="s">
        <v>44</v>
      </c>
      <c r="D2548" s="644" t="s">
        <v>45</v>
      </c>
      <c r="E2548" s="670" t="s">
        <v>2906</v>
      </c>
      <c r="F2548" s="646" t="s">
        <v>441</v>
      </c>
      <c r="G2548" s="646">
        <v>9866963013</v>
      </c>
      <c r="H2548" s="670"/>
      <c r="I2548" s="646">
        <v>84</v>
      </c>
      <c r="J2548" s="646" t="s">
        <v>90</v>
      </c>
      <c r="K2548" s="646" t="s">
        <v>1468</v>
      </c>
      <c r="M2548" s="646" t="s">
        <v>119</v>
      </c>
      <c r="N2548" s="765">
        <v>65042</v>
      </c>
      <c r="O2548" s="672">
        <v>65042</v>
      </c>
      <c r="P2548" s="897">
        <v>65057</v>
      </c>
      <c r="Q2548" s="898" t="s">
        <v>51</v>
      </c>
    </row>
    <row r="2549" spans="1:17" ht="18">
      <c r="A2549" s="512">
        <f t="shared" si="32"/>
        <v>1702</v>
      </c>
      <c r="B2549" s="660" t="s">
        <v>43</v>
      </c>
      <c r="C2549" s="644" t="s">
        <v>44</v>
      </c>
      <c r="D2549" s="644" t="s">
        <v>45</v>
      </c>
      <c r="E2549" s="670" t="s">
        <v>2907</v>
      </c>
      <c r="F2549" s="646" t="s">
        <v>124</v>
      </c>
      <c r="G2549" s="646">
        <v>9809508323</v>
      </c>
      <c r="H2549" s="670"/>
      <c r="I2549" s="646">
        <v>53</v>
      </c>
      <c r="J2549" s="646" t="s">
        <v>90</v>
      </c>
      <c r="K2549" s="646" t="s">
        <v>1468</v>
      </c>
      <c r="M2549" s="646" t="s">
        <v>119</v>
      </c>
      <c r="N2549" s="765">
        <v>65042</v>
      </c>
      <c r="O2549" s="672">
        <v>65042</v>
      </c>
      <c r="P2549" s="897">
        <v>65057</v>
      </c>
      <c r="Q2549" s="898" t="s">
        <v>51</v>
      </c>
    </row>
    <row r="2550" spans="1:17" ht="18">
      <c r="A2550" s="512">
        <f t="shared" si="32"/>
        <v>1703</v>
      </c>
      <c r="B2550" s="660" t="s">
        <v>43</v>
      </c>
      <c r="C2550" s="644" t="s">
        <v>44</v>
      </c>
      <c r="D2550" s="644" t="s">
        <v>45</v>
      </c>
      <c r="E2550" s="670" t="s">
        <v>2914</v>
      </c>
      <c r="F2550" s="646" t="s">
        <v>491</v>
      </c>
      <c r="G2550" s="646">
        <v>9857823871</v>
      </c>
      <c r="H2550" s="670"/>
      <c r="I2550" s="646">
        <v>32</v>
      </c>
      <c r="J2550" s="646" t="s">
        <v>48</v>
      </c>
      <c r="K2550" s="646" t="s">
        <v>1468</v>
      </c>
      <c r="M2550" s="646" t="s">
        <v>119</v>
      </c>
      <c r="N2550" s="765">
        <v>65042</v>
      </c>
      <c r="O2550" s="672">
        <v>65042</v>
      </c>
      <c r="P2550" s="897">
        <v>65057</v>
      </c>
      <c r="Q2550" s="898" t="s">
        <v>51</v>
      </c>
    </row>
    <row r="2551" spans="1:17" ht="18">
      <c r="A2551" s="512">
        <f t="shared" si="32"/>
        <v>1704</v>
      </c>
      <c r="B2551" s="660" t="s">
        <v>43</v>
      </c>
      <c r="C2551" s="644" t="s">
        <v>44</v>
      </c>
      <c r="D2551" s="644" t="s">
        <v>45</v>
      </c>
      <c r="E2551" s="670" t="s">
        <v>2915</v>
      </c>
      <c r="F2551" s="646" t="s">
        <v>529</v>
      </c>
      <c r="G2551" s="577">
        <v>9848736067</v>
      </c>
      <c r="H2551" s="670"/>
      <c r="I2551" s="646">
        <v>40</v>
      </c>
      <c r="J2551" s="646" t="s">
        <v>48</v>
      </c>
      <c r="K2551" s="646" t="s">
        <v>345</v>
      </c>
      <c r="M2551" s="646" t="s">
        <v>119</v>
      </c>
      <c r="N2551" s="765">
        <v>65042</v>
      </c>
      <c r="O2551" s="672">
        <v>65042</v>
      </c>
      <c r="P2551" s="897">
        <v>65057</v>
      </c>
      <c r="Q2551" s="898" t="s">
        <v>51</v>
      </c>
    </row>
    <row r="2552" spans="1:17" ht="18">
      <c r="A2552" s="512">
        <f t="shared" si="32"/>
        <v>1705</v>
      </c>
      <c r="B2552" s="660" t="s">
        <v>43</v>
      </c>
      <c r="C2552" s="644" t="s">
        <v>44</v>
      </c>
      <c r="D2552" s="644" t="s">
        <v>45</v>
      </c>
      <c r="E2552" s="670" t="s">
        <v>2916</v>
      </c>
      <c r="F2552" s="646" t="s">
        <v>441</v>
      </c>
      <c r="G2552" s="646">
        <v>9857823987</v>
      </c>
      <c r="H2552" s="670"/>
      <c r="I2552" s="646">
        <v>31</v>
      </c>
      <c r="J2552" s="646" t="s">
        <v>90</v>
      </c>
      <c r="K2552" s="646" t="s">
        <v>1468</v>
      </c>
      <c r="M2552" s="646" t="s">
        <v>119</v>
      </c>
      <c r="N2552" s="765">
        <v>65042</v>
      </c>
      <c r="O2552" s="672">
        <v>65042</v>
      </c>
      <c r="P2552" s="897">
        <v>65057</v>
      </c>
      <c r="Q2552" s="898" t="s">
        <v>51</v>
      </c>
    </row>
    <row r="2553" spans="1:17" ht="18">
      <c r="A2553" s="512">
        <f t="shared" si="32"/>
        <v>1706</v>
      </c>
      <c r="B2553" s="660" t="s">
        <v>43</v>
      </c>
      <c r="C2553" s="644" t="s">
        <v>44</v>
      </c>
      <c r="D2553" s="644" t="s">
        <v>45</v>
      </c>
      <c r="E2553" s="670" t="s">
        <v>2917</v>
      </c>
      <c r="F2553" s="646" t="s">
        <v>491</v>
      </c>
      <c r="G2553" s="646">
        <v>9843157713</v>
      </c>
      <c r="H2553" s="670"/>
      <c r="I2553" s="646">
        <v>24</v>
      </c>
      <c r="J2553" s="646" t="s">
        <v>90</v>
      </c>
      <c r="K2553" s="646" t="s">
        <v>1468</v>
      </c>
      <c r="M2553" s="646" t="s">
        <v>119</v>
      </c>
      <c r="N2553" s="765">
        <v>65042</v>
      </c>
      <c r="O2553" s="672">
        <v>65042</v>
      </c>
      <c r="P2553" s="897">
        <v>65057</v>
      </c>
      <c r="Q2553" s="898" t="s">
        <v>51</v>
      </c>
    </row>
    <row r="2554" spans="1:17" ht="18">
      <c r="A2554" s="512">
        <f t="shared" si="32"/>
        <v>1707</v>
      </c>
      <c r="B2554" s="660" t="s">
        <v>43</v>
      </c>
      <c r="C2554" s="644" t="s">
        <v>44</v>
      </c>
      <c r="D2554" s="644" t="s">
        <v>45</v>
      </c>
      <c r="E2554" s="670" t="s">
        <v>2918</v>
      </c>
      <c r="F2554" s="646" t="s">
        <v>124</v>
      </c>
      <c r="G2554" s="646">
        <v>9868125368</v>
      </c>
      <c r="H2554" s="670"/>
      <c r="I2554" s="646">
        <v>31</v>
      </c>
      <c r="J2554" s="646" t="s">
        <v>48</v>
      </c>
      <c r="K2554" s="646" t="s">
        <v>1468</v>
      </c>
      <c r="M2554" s="646" t="s">
        <v>119</v>
      </c>
      <c r="N2554" s="765">
        <v>65042</v>
      </c>
      <c r="O2554" s="672">
        <v>65042</v>
      </c>
      <c r="P2554" s="897">
        <v>65057</v>
      </c>
      <c r="Q2554" s="898" t="s">
        <v>51</v>
      </c>
    </row>
    <row r="2555" spans="1:17" ht="18">
      <c r="A2555" s="512">
        <f t="shared" si="32"/>
        <v>1708</v>
      </c>
      <c r="B2555" s="660" t="s">
        <v>43</v>
      </c>
      <c r="C2555" s="644" t="s">
        <v>44</v>
      </c>
      <c r="D2555" s="644" t="s">
        <v>45</v>
      </c>
      <c r="E2555" s="670" t="s">
        <v>2919</v>
      </c>
      <c r="F2555" s="646" t="s">
        <v>529</v>
      </c>
      <c r="G2555" s="646">
        <v>9865990438</v>
      </c>
      <c r="H2555" s="670"/>
      <c r="I2555" s="646">
        <v>70</v>
      </c>
      <c r="J2555" s="646" t="s">
        <v>48</v>
      </c>
      <c r="K2555" s="646" t="s">
        <v>1468</v>
      </c>
      <c r="M2555" s="646" t="s">
        <v>119</v>
      </c>
      <c r="N2555" s="765">
        <v>65042</v>
      </c>
      <c r="O2555" s="672">
        <v>65042</v>
      </c>
      <c r="P2555" s="897">
        <v>65057</v>
      </c>
      <c r="Q2555" s="898" t="s">
        <v>51</v>
      </c>
    </row>
    <row r="2556" spans="1:17" ht="18">
      <c r="A2556" s="512">
        <f t="shared" si="32"/>
        <v>1709</v>
      </c>
      <c r="B2556" s="660" t="s">
        <v>43</v>
      </c>
      <c r="C2556" s="644" t="s">
        <v>44</v>
      </c>
      <c r="D2556" s="644" t="s">
        <v>45</v>
      </c>
      <c r="E2556" s="670" t="s">
        <v>2920</v>
      </c>
      <c r="F2556" s="646" t="s">
        <v>124</v>
      </c>
      <c r="G2556" s="646">
        <v>9857825909</v>
      </c>
      <c r="H2556" s="670"/>
      <c r="I2556" s="646">
        <v>23</v>
      </c>
      <c r="J2556" s="646" t="s">
        <v>90</v>
      </c>
      <c r="K2556" s="646" t="s">
        <v>1468</v>
      </c>
      <c r="M2556" s="646" t="s">
        <v>119</v>
      </c>
      <c r="N2556" s="765">
        <v>65042</v>
      </c>
      <c r="O2556" s="672">
        <v>65042</v>
      </c>
      <c r="P2556" s="897">
        <v>65057</v>
      </c>
      <c r="Q2556" s="898" t="s">
        <v>51</v>
      </c>
    </row>
    <row r="2557" spans="1:17" ht="18">
      <c r="A2557" s="512">
        <f t="shared" si="32"/>
        <v>1710</v>
      </c>
      <c r="B2557" s="660" t="s">
        <v>43</v>
      </c>
      <c r="C2557" s="644" t="s">
        <v>44</v>
      </c>
      <c r="D2557" s="644" t="s">
        <v>45</v>
      </c>
      <c r="E2557" s="673" t="s">
        <v>2921</v>
      </c>
      <c r="F2557" s="642" t="s">
        <v>497</v>
      </c>
      <c r="G2557" s="642">
        <v>9809572637</v>
      </c>
      <c r="H2557" s="673"/>
      <c r="I2557" s="642">
        <v>42</v>
      </c>
      <c r="J2557" s="642" t="s">
        <v>48</v>
      </c>
      <c r="K2557" s="642" t="s">
        <v>53</v>
      </c>
      <c r="L2557" s="438"/>
      <c r="M2557" s="642" t="s">
        <v>54</v>
      </c>
      <c r="N2557" s="766">
        <v>65042</v>
      </c>
      <c r="O2557" s="674">
        <v>65042</v>
      </c>
      <c r="P2557" s="465">
        <v>65061</v>
      </c>
      <c r="Q2557" s="436" t="s">
        <v>51</v>
      </c>
    </row>
    <row r="2558" spans="1:17" s="163" customFormat="1" ht="18">
      <c r="A2558" s="512">
        <f t="shared" si="32"/>
        <v>1711</v>
      </c>
      <c r="B2558" s="660" t="s">
        <v>43</v>
      </c>
      <c r="C2558" s="644" t="s">
        <v>44</v>
      </c>
      <c r="D2558" s="644" t="s">
        <v>45</v>
      </c>
      <c r="E2558" s="670" t="s">
        <v>2910</v>
      </c>
      <c r="F2558" s="646" t="s">
        <v>1009</v>
      </c>
      <c r="G2558" s="646">
        <v>9809579581</v>
      </c>
      <c r="H2558" s="670"/>
      <c r="I2558" s="646">
        <v>42</v>
      </c>
      <c r="J2558" s="646" t="s">
        <v>48</v>
      </c>
      <c r="K2558" s="646" t="s">
        <v>1480</v>
      </c>
      <c r="L2558" s="434"/>
      <c r="M2558" s="646" t="s">
        <v>119</v>
      </c>
      <c r="N2558" s="765">
        <v>65042</v>
      </c>
      <c r="O2558" s="672">
        <v>65042</v>
      </c>
      <c r="P2558" s="897">
        <v>65057</v>
      </c>
      <c r="Q2558" s="898" t="s">
        <v>51</v>
      </c>
    </row>
    <row r="2559" spans="1:17" ht="18">
      <c r="A2559" s="512">
        <f t="shared" si="32"/>
        <v>1712</v>
      </c>
      <c r="B2559" s="660" t="s">
        <v>43</v>
      </c>
      <c r="C2559" s="644" t="s">
        <v>44</v>
      </c>
      <c r="D2559" s="644" t="s">
        <v>45</v>
      </c>
      <c r="E2559" s="670" t="s">
        <v>2922</v>
      </c>
      <c r="F2559" s="646" t="s">
        <v>441</v>
      </c>
      <c r="G2559" s="646">
        <v>9844990367</v>
      </c>
      <c r="H2559" s="670"/>
      <c r="I2559" s="646">
        <v>56</v>
      </c>
      <c r="J2559" s="646" t="s">
        <v>90</v>
      </c>
      <c r="K2559" s="646" t="s">
        <v>1468</v>
      </c>
      <c r="M2559" s="646" t="s">
        <v>119</v>
      </c>
      <c r="N2559" s="765">
        <v>65042</v>
      </c>
      <c r="O2559" s="672">
        <v>65042</v>
      </c>
      <c r="P2559" s="897">
        <v>65057</v>
      </c>
      <c r="Q2559" s="898" t="s">
        <v>51</v>
      </c>
    </row>
    <row r="2560" spans="1:17" ht="18">
      <c r="A2560" s="512">
        <f t="shared" si="32"/>
        <v>1713</v>
      </c>
      <c r="B2560" s="660" t="s">
        <v>43</v>
      </c>
      <c r="C2560" s="644" t="s">
        <v>44</v>
      </c>
      <c r="D2560" s="644" t="s">
        <v>45</v>
      </c>
      <c r="E2560" s="670" t="s">
        <v>2923</v>
      </c>
      <c r="F2560" s="646" t="s">
        <v>491</v>
      </c>
      <c r="G2560" s="646"/>
      <c r="H2560" s="670"/>
      <c r="I2560" s="646">
        <v>52</v>
      </c>
      <c r="J2560" s="646" t="s">
        <v>48</v>
      </c>
      <c r="K2560" s="646" t="s">
        <v>345</v>
      </c>
      <c r="M2560" s="646" t="s">
        <v>119</v>
      </c>
      <c r="N2560" s="765">
        <v>65042</v>
      </c>
      <c r="O2560" s="672">
        <v>65042</v>
      </c>
      <c r="P2560" s="897">
        <v>65057</v>
      </c>
      <c r="Q2560" s="898" t="s">
        <v>51</v>
      </c>
    </row>
    <row r="2561" spans="1:17" ht="18">
      <c r="A2561" s="512">
        <f t="shared" si="32"/>
        <v>1714</v>
      </c>
      <c r="B2561" s="660" t="s">
        <v>43</v>
      </c>
      <c r="C2561" s="644" t="s">
        <v>44</v>
      </c>
      <c r="D2561" s="644" t="s">
        <v>45</v>
      </c>
      <c r="E2561" s="670" t="s">
        <v>2924</v>
      </c>
      <c r="F2561" s="646" t="s">
        <v>502</v>
      </c>
      <c r="G2561" s="646">
        <v>9803799035</v>
      </c>
      <c r="H2561" s="670"/>
      <c r="I2561" s="646">
        <v>18</v>
      </c>
      <c r="J2561" s="646" t="s">
        <v>90</v>
      </c>
      <c r="K2561" s="646" t="s">
        <v>1459</v>
      </c>
      <c r="M2561" s="646" t="s">
        <v>119</v>
      </c>
      <c r="N2561" s="765">
        <v>65042</v>
      </c>
      <c r="O2561" s="672">
        <v>65042</v>
      </c>
      <c r="P2561" s="897">
        <v>65057</v>
      </c>
      <c r="Q2561" s="898" t="s">
        <v>51</v>
      </c>
    </row>
    <row r="2562" spans="1:17" ht="18">
      <c r="A2562" s="512">
        <f t="shared" si="32"/>
        <v>1715</v>
      </c>
      <c r="B2562" s="660" t="s">
        <v>43</v>
      </c>
      <c r="C2562" s="644" t="s">
        <v>44</v>
      </c>
      <c r="D2562" s="644" t="s">
        <v>45</v>
      </c>
      <c r="E2562" s="670" t="s">
        <v>2925</v>
      </c>
      <c r="F2562" s="646" t="s">
        <v>529</v>
      </c>
      <c r="G2562" s="646">
        <v>9808472088</v>
      </c>
      <c r="H2562" s="670"/>
      <c r="I2562" s="646">
        <v>52</v>
      </c>
      <c r="J2562" s="646" t="s">
        <v>90</v>
      </c>
      <c r="K2562" s="646" t="s">
        <v>1468</v>
      </c>
      <c r="M2562" s="646" t="s">
        <v>119</v>
      </c>
      <c r="N2562" s="765">
        <v>65042</v>
      </c>
      <c r="O2562" s="672">
        <v>65042</v>
      </c>
      <c r="P2562" s="897">
        <v>65057</v>
      </c>
      <c r="Q2562" s="898" t="s">
        <v>51</v>
      </c>
    </row>
    <row r="2563" spans="1:17" ht="18">
      <c r="A2563" s="512">
        <f t="shared" si="32"/>
        <v>1716</v>
      </c>
      <c r="B2563" s="660" t="s">
        <v>43</v>
      </c>
      <c r="C2563" s="644" t="s">
        <v>44</v>
      </c>
      <c r="D2563" s="644" t="s">
        <v>45</v>
      </c>
      <c r="E2563" s="670" t="s">
        <v>2926</v>
      </c>
      <c r="F2563" s="646" t="s">
        <v>1046</v>
      </c>
      <c r="G2563" s="646">
        <v>9841876546</v>
      </c>
      <c r="H2563" s="670"/>
      <c r="I2563" s="646">
        <v>12</v>
      </c>
      <c r="J2563" s="646" t="s">
        <v>48</v>
      </c>
      <c r="K2563" s="646" t="s">
        <v>1468</v>
      </c>
      <c r="M2563" s="646" t="s">
        <v>119</v>
      </c>
      <c r="N2563" s="765">
        <v>65042</v>
      </c>
      <c r="O2563" s="672">
        <v>65042</v>
      </c>
      <c r="P2563" s="897">
        <v>65057</v>
      </c>
      <c r="Q2563" s="898" t="s">
        <v>51</v>
      </c>
    </row>
    <row r="2564" spans="1:17" ht="18">
      <c r="A2564" s="512">
        <f t="shared" si="32"/>
        <v>1717</v>
      </c>
      <c r="B2564" s="660" t="s">
        <v>43</v>
      </c>
      <c r="C2564" s="644" t="s">
        <v>44</v>
      </c>
      <c r="D2564" s="644" t="s">
        <v>45</v>
      </c>
      <c r="E2564" s="670" t="s">
        <v>2927</v>
      </c>
      <c r="F2564" s="646" t="s">
        <v>502</v>
      </c>
      <c r="G2564" s="646">
        <v>9848034952</v>
      </c>
      <c r="H2564" s="670"/>
      <c r="I2564" s="646">
        <v>75</v>
      </c>
      <c r="J2564" s="646" t="s">
        <v>48</v>
      </c>
      <c r="K2564" s="646" t="s">
        <v>1459</v>
      </c>
      <c r="M2564" s="646" t="s">
        <v>119</v>
      </c>
      <c r="N2564" s="765">
        <v>65042</v>
      </c>
      <c r="O2564" s="672">
        <v>65042</v>
      </c>
      <c r="P2564" s="897">
        <v>65057</v>
      </c>
      <c r="Q2564" s="898" t="s">
        <v>51</v>
      </c>
    </row>
    <row r="2565" spans="1:17" ht="18">
      <c r="A2565" s="512">
        <f t="shared" si="32"/>
        <v>1718</v>
      </c>
      <c r="B2565" s="660" t="s">
        <v>43</v>
      </c>
      <c r="C2565" s="644" t="s">
        <v>44</v>
      </c>
      <c r="D2565" s="644" t="s">
        <v>45</v>
      </c>
      <c r="E2565" s="670" t="s">
        <v>2928</v>
      </c>
      <c r="F2565" s="646" t="s">
        <v>491</v>
      </c>
      <c r="G2565" s="646">
        <v>9860986793</v>
      </c>
      <c r="H2565" s="670"/>
      <c r="I2565" s="646">
        <v>45</v>
      </c>
      <c r="J2565" s="646" t="s">
        <v>48</v>
      </c>
      <c r="K2565" s="646" t="s">
        <v>1468</v>
      </c>
      <c r="M2565" s="646" t="s">
        <v>119</v>
      </c>
      <c r="N2565" s="765">
        <v>65042</v>
      </c>
      <c r="O2565" s="672">
        <v>65042</v>
      </c>
      <c r="P2565" s="897">
        <v>65057</v>
      </c>
      <c r="Q2565" s="898" t="s">
        <v>51</v>
      </c>
    </row>
    <row r="2566" spans="1:17" s="163" customFormat="1" ht="18">
      <c r="A2566" s="512">
        <f t="shared" si="32"/>
        <v>1719</v>
      </c>
      <c r="B2566" s="660" t="s">
        <v>43</v>
      </c>
      <c r="C2566" s="644" t="s">
        <v>44</v>
      </c>
      <c r="D2566" s="644" t="s">
        <v>45</v>
      </c>
      <c r="E2566" s="670" t="s">
        <v>2911</v>
      </c>
      <c r="F2566" s="646" t="s">
        <v>441</v>
      </c>
      <c r="G2566" s="646">
        <v>9810976887</v>
      </c>
      <c r="H2566" s="670"/>
      <c r="I2566" s="646">
        <v>60</v>
      </c>
      <c r="J2566" s="646" t="s">
        <v>48</v>
      </c>
      <c r="K2566" s="646" t="s">
        <v>1480</v>
      </c>
      <c r="L2566" s="434"/>
      <c r="M2566" s="646" t="s">
        <v>119</v>
      </c>
      <c r="N2566" s="765">
        <v>65042</v>
      </c>
      <c r="O2566" s="672">
        <v>65042</v>
      </c>
      <c r="P2566" s="897">
        <v>65057</v>
      </c>
      <c r="Q2566" s="898" t="s">
        <v>51</v>
      </c>
    </row>
    <row r="2567" spans="1:17" ht="18">
      <c r="A2567" s="512">
        <f t="shared" si="32"/>
        <v>1720</v>
      </c>
      <c r="B2567" s="660" t="s">
        <v>43</v>
      </c>
      <c r="C2567" s="644" t="s">
        <v>44</v>
      </c>
      <c r="D2567" s="644" t="s">
        <v>45</v>
      </c>
      <c r="E2567" s="673" t="s">
        <v>2929</v>
      </c>
      <c r="F2567" s="642" t="s">
        <v>1204</v>
      </c>
      <c r="G2567" s="642"/>
      <c r="H2567" s="673"/>
      <c r="I2567" s="642">
        <v>58</v>
      </c>
      <c r="J2567" s="642" t="s">
        <v>48</v>
      </c>
      <c r="K2567" s="642" t="s">
        <v>53</v>
      </c>
      <c r="L2567" s="438"/>
      <c r="M2567" s="642" t="s">
        <v>54</v>
      </c>
      <c r="N2567" s="766">
        <v>65042</v>
      </c>
      <c r="O2567" s="674">
        <v>65042</v>
      </c>
      <c r="P2567" s="465">
        <v>65061</v>
      </c>
      <c r="Q2567" s="436" t="s">
        <v>51</v>
      </c>
    </row>
    <row r="2568" spans="1:17" ht="18">
      <c r="A2568" s="512">
        <f t="shared" si="32"/>
        <v>1721</v>
      </c>
      <c r="B2568" s="660" t="s">
        <v>43</v>
      </c>
      <c r="C2568" s="644" t="s">
        <v>44</v>
      </c>
      <c r="D2568" s="644" t="s">
        <v>45</v>
      </c>
      <c r="E2568" s="670" t="s">
        <v>2930</v>
      </c>
      <c r="F2568" s="646" t="s">
        <v>502</v>
      </c>
      <c r="G2568" s="646">
        <v>9842721699</v>
      </c>
      <c r="H2568" s="670"/>
      <c r="I2568" s="646">
        <v>22</v>
      </c>
      <c r="J2568" s="646" t="s">
        <v>48</v>
      </c>
      <c r="K2568" s="646" t="s">
        <v>1468</v>
      </c>
      <c r="M2568" s="646" t="s">
        <v>119</v>
      </c>
      <c r="N2568" s="765">
        <v>65042</v>
      </c>
      <c r="O2568" s="672">
        <v>65042</v>
      </c>
      <c r="P2568" s="897">
        <v>65057</v>
      </c>
      <c r="Q2568" s="898" t="s">
        <v>51</v>
      </c>
    </row>
    <row r="2569" spans="1:17" ht="18">
      <c r="A2569" s="512">
        <f t="shared" si="32"/>
        <v>1722</v>
      </c>
      <c r="B2569" s="660" t="s">
        <v>43</v>
      </c>
      <c r="C2569" s="644" t="s">
        <v>44</v>
      </c>
      <c r="D2569" s="644" t="s">
        <v>45</v>
      </c>
      <c r="E2569" s="670" t="s">
        <v>2931</v>
      </c>
      <c r="F2569" s="646" t="s">
        <v>491</v>
      </c>
      <c r="G2569" s="646">
        <v>9847824277</v>
      </c>
      <c r="H2569" s="670"/>
      <c r="I2569" s="646">
        <v>38</v>
      </c>
      <c r="J2569" s="646" t="s">
        <v>48</v>
      </c>
      <c r="K2569" s="646" t="s">
        <v>1468</v>
      </c>
      <c r="M2569" s="646" t="s">
        <v>119</v>
      </c>
      <c r="N2569" s="765">
        <v>65042</v>
      </c>
      <c r="O2569" s="672">
        <v>65042</v>
      </c>
      <c r="P2569" s="897">
        <v>65057</v>
      </c>
      <c r="Q2569" s="898" t="s">
        <v>51</v>
      </c>
    </row>
    <row r="2570" spans="1:17" ht="18">
      <c r="A2570" s="512">
        <f t="shared" si="32"/>
        <v>1723</v>
      </c>
      <c r="B2570" s="660" t="s">
        <v>43</v>
      </c>
      <c r="C2570" s="644" t="s">
        <v>44</v>
      </c>
      <c r="D2570" s="644" t="s">
        <v>45</v>
      </c>
      <c r="E2570" s="670" t="s">
        <v>2932</v>
      </c>
      <c r="F2570" s="646" t="s">
        <v>502</v>
      </c>
      <c r="G2570" s="646">
        <v>9849804160</v>
      </c>
      <c r="H2570" s="670"/>
      <c r="I2570" s="646">
        <v>24</v>
      </c>
      <c r="J2570" s="646" t="s">
        <v>90</v>
      </c>
      <c r="K2570" s="646" t="s">
        <v>1468</v>
      </c>
      <c r="M2570" s="646" t="s">
        <v>119</v>
      </c>
      <c r="N2570" s="765">
        <v>65042</v>
      </c>
      <c r="O2570" s="672">
        <v>65042</v>
      </c>
      <c r="P2570" s="897">
        <v>65057</v>
      </c>
      <c r="Q2570" s="898" t="s">
        <v>51</v>
      </c>
    </row>
    <row r="2571" spans="1:17" ht="18">
      <c r="A2571" s="512">
        <f t="shared" si="32"/>
        <v>1724</v>
      </c>
      <c r="B2571" s="660" t="s">
        <v>43</v>
      </c>
      <c r="C2571" s="644" t="s">
        <v>44</v>
      </c>
      <c r="D2571" s="644" t="s">
        <v>45</v>
      </c>
      <c r="E2571" s="670" t="s">
        <v>2933</v>
      </c>
      <c r="F2571" s="646" t="s">
        <v>491</v>
      </c>
      <c r="G2571" s="646">
        <v>9849643672</v>
      </c>
      <c r="H2571" s="670"/>
      <c r="I2571" s="646">
        <v>30</v>
      </c>
      <c r="J2571" s="646" t="s">
        <v>90</v>
      </c>
      <c r="K2571" s="646" t="s">
        <v>1468</v>
      </c>
      <c r="M2571" s="646" t="s">
        <v>119</v>
      </c>
      <c r="N2571" s="765">
        <v>65042</v>
      </c>
      <c r="O2571" s="672">
        <v>65042</v>
      </c>
      <c r="P2571" s="897">
        <v>65057</v>
      </c>
      <c r="Q2571" s="898" t="s">
        <v>51</v>
      </c>
    </row>
    <row r="2572" spans="1:17" ht="18">
      <c r="A2572" s="512">
        <f t="shared" si="32"/>
        <v>1725</v>
      </c>
      <c r="B2572" s="660" t="s">
        <v>43</v>
      </c>
      <c r="C2572" s="644" t="s">
        <v>44</v>
      </c>
      <c r="D2572" s="644" t="s">
        <v>45</v>
      </c>
      <c r="E2572" s="644" t="s">
        <v>3084</v>
      </c>
      <c r="F2572" s="577" t="s">
        <v>491</v>
      </c>
      <c r="G2572" s="577">
        <v>9829565728</v>
      </c>
      <c r="I2572" s="577">
        <v>50</v>
      </c>
      <c r="J2572" s="577" t="s">
        <v>90</v>
      </c>
      <c r="K2572" s="577" t="s">
        <v>1468</v>
      </c>
      <c r="M2572" s="571" t="s">
        <v>119</v>
      </c>
      <c r="N2572" s="745">
        <v>65043</v>
      </c>
      <c r="O2572" s="572">
        <v>65043</v>
      </c>
      <c r="P2572" s="514">
        <v>65058</v>
      </c>
      <c r="Q2572" s="512" t="s">
        <v>51</v>
      </c>
    </row>
    <row r="2573" spans="1:17" ht="18">
      <c r="A2573" s="512">
        <f t="shared" si="32"/>
        <v>1726</v>
      </c>
      <c r="B2573" s="660" t="s">
        <v>43</v>
      </c>
      <c r="C2573" s="644" t="s">
        <v>44</v>
      </c>
      <c r="D2573" s="644" t="s">
        <v>45</v>
      </c>
      <c r="E2573" s="644" t="s">
        <v>2970</v>
      </c>
      <c r="F2573" s="577" t="s">
        <v>491</v>
      </c>
      <c r="G2573" s="577">
        <v>9808191223</v>
      </c>
      <c r="I2573" s="577">
        <v>17</v>
      </c>
      <c r="J2573" s="577" t="s">
        <v>48</v>
      </c>
      <c r="K2573" s="577" t="s">
        <v>1468</v>
      </c>
      <c r="M2573" s="571" t="s">
        <v>119</v>
      </c>
      <c r="N2573" s="745">
        <v>65043</v>
      </c>
      <c r="O2573" s="572">
        <v>65043</v>
      </c>
      <c r="P2573" s="514">
        <v>65058</v>
      </c>
      <c r="Q2573" s="512" t="s">
        <v>51</v>
      </c>
    </row>
    <row r="2574" spans="1:17" ht="18">
      <c r="A2574" s="512">
        <f t="shared" si="32"/>
        <v>1727</v>
      </c>
      <c r="B2574" s="660" t="s">
        <v>43</v>
      </c>
      <c r="C2574" s="644" t="s">
        <v>44</v>
      </c>
      <c r="D2574" s="644" t="s">
        <v>45</v>
      </c>
      <c r="E2574" s="644" t="s">
        <v>2971</v>
      </c>
      <c r="F2574" s="577" t="s">
        <v>491</v>
      </c>
      <c r="G2574" s="577">
        <v>9857880233</v>
      </c>
      <c r="I2574" s="577">
        <v>43</v>
      </c>
      <c r="J2574" s="577" t="s">
        <v>48</v>
      </c>
      <c r="K2574" s="577" t="s">
        <v>1468</v>
      </c>
      <c r="M2574" s="571" t="s">
        <v>119</v>
      </c>
      <c r="N2574" s="745">
        <v>65043</v>
      </c>
      <c r="O2574" s="572">
        <v>65043</v>
      </c>
      <c r="P2574" s="514">
        <v>65058</v>
      </c>
      <c r="Q2574" s="512" t="s">
        <v>51</v>
      </c>
    </row>
    <row r="2575" spans="1:17" ht="18">
      <c r="A2575" s="512">
        <f t="shared" si="32"/>
        <v>1728</v>
      </c>
      <c r="B2575" s="660" t="s">
        <v>43</v>
      </c>
      <c r="C2575" s="644" t="s">
        <v>44</v>
      </c>
      <c r="D2575" s="644" t="s">
        <v>45</v>
      </c>
      <c r="E2575" s="644" t="s">
        <v>2961</v>
      </c>
      <c r="F2575" s="577" t="s">
        <v>502</v>
      </c>
      <c r="G2575" s="577">
        <v>9847814943</v>
      </c>
      <c r="I2575" s="577">
        <v>30</v>
      </c>
      <c r="J2575" s="577" t="s">
        <v>48</v>
      </c>
      <c r="K2575" s="577" t="s">
        <v>1480</v>
      </c>
      <c r="M2575" s="571" t="s">
        <v>119</v>
      </c>
      <c r="N2575" s="745">
        <v>65043</v>
      </c>
      <c r="O2575" s="572">
        <v>65043</v>
      </c>
      <c r="P2575" s="514">
        <v>65058</v>
      </c>
      <c r="Q2575" s="512" t="s">
        <v>51</v>
      </c>
    </row>
    <row r="2576" spans="1:17" ht="18">
      <c r="A2576" s="512">
        <f t="shared" si="32"/>
        <v>1729</v>
      </c>
      <c r="B2576" s="660" t="s">
        <v>43</v>
      </c>
      <c r="C2576" s="644" t="s">
        <v>44</v>
      </c>
      <c r="D2576" s="644" t="s">
        <v>45</v>
      </c>
      <c r="E2576" s="644" t="s">
        <v>3011</v>
      </c>
      <c r="F2576" s="577" t="s">
        <v>124</v>
      </c>
      <c r="G2576" s="577">
        <v>9867154999</v>
      </c>
      <c r="I2576" s="577">
        <v>30</v>
      </c>
      <c r="J2576" s="577" t="s">
        <v>48</v>
      </c>
      <c r="K2576" s="577" t="s">
        <v>1468</v>
      </c>
      <c r="M2576" s="571" t="s">
        <v>119</v>
      </c>
      <c r="N2576" s="745">
        <v>65043</v>
      </c>
      <c r="O2576" s="572">
        <v>65043</v>
      </c>
      <c r="P2576" s="514">
        <v>65058</v>
      </c>
      <c r="Q2576" s="512" t="s">
        <v>51</v>
      </c>
    </row>
    <row r="2577" spans="1:17" ht="18">
      <c r="A2577" s="512">
        <f t="shared" si="32"/>
        <v>1730</v>
      </c>
      <c r="B2577" s="660" t="s">
        <v>43</v>
      </c>
      <c r="C2577" s="644" t="s">
        <v>44</v>
      </c>
      <c r="D2577" s="644" t="s">
        <v>45</v>
      </c>
      <c r="E2577" s="644" t="s">
        <v>3071</v>
      </c>
      <c r="F2577" s="577" t="s">
        <v>502</v>
      </c>
      <c r="G2577" s="577">
        <v>9844935748</v>
      </c>
      <c r="I2577" s="577">
        <v>28</v>
      </c>
      <c r="J2577" s="577" t="s">
        <v>90</v>
      </c>
      <c r="K2577" s="577" t="s">
        <v>1480</v>
      </c>
      <c r="M2577" s="571" t="s">
        <v>119</v>
      </c>
      <c r="N2577" s="745">
        <v>65043</v>
      </c>
      <c r="O2577" s="572">
        <v>65043</v>
      </c>
      <c r="P2577" s="514">
        <v>65058</v>
      </c>
      <c r="Q2577" s="512" t="s">
        <v>51</v>
      </c>
    </row>
    <row r="2578" spans="1:17" s="163" customFormat="1" ht="18">
      <c r="A2578" s="512">
        <f t="shared" ref="A2578:A2641" si="33">A2577+1</f>
        <v>1731</v>
      </c>
      <c r="B2578" s="660" t="s">
        <v>43</v>
      </c>
      <c r="C2578" s="644" t="s">
        <v>44</v>
      </c>
      <c r="D2578" s="644" t="s">
        <v>45</v>
      </c>
      <c r="E2578" s="644" t="s">
        <v>3061</v>
      </c>
      <c r="F2578" s="577" t="s">
        <v>598</v>
      </c>
      <c r="G2578" s="577">
        <v>9848129374</v>
      </c>
      <c r="H2578" s="432"/>
      <c r="I2578" s="577">
        <v>67</v>
      </c>
      <c r="J2578" s="577" t="s">
        <v>90</v>
      </c>
      <c r="K2578" s="577" t="s">
        <v>1468</v>
      </c>
      <c r="L2578" s="434"/>
      <c r="M2578" s="571" t="s">
        <v>119</v>
      </c>
      <c r="N2578" s="745">
        <v>65043</v>
      </c>
      <c r="O2578" s="572">
        <v>65043</v>
      </c>
      <c r="P2578" s="514">
        <v>65058</v>
      </c>
      <c r="Q2578" s="512" t="s">
        <v>51</v>
      </c>
    </row>
    <row r="2579" spans="1:17" ht="18">
      <c r="A2579" s="512">
        <f t="shared" si="33"/>
        <v>1732</v>
      </c>
      <c r="B2579" s="660" t="s">
        <v>43</v>
      </c>
      <c r="C2579" s="644" t="s">
        <v>44</v>
      </c>
      <c r="D2579" s="644" t="s">
        <v>45</v>
      </c>
      <c r="E2579" s="644" t="s">
        <v>3110</v>
      </c>
      <c r="F2579" s="577" t="s">
        <v>441</v>
      </c>
      <c r="G2579" s="577">
        <v>9844978024</v>
      </c>
      <c r="I2579" s="577">
        <v>34</v>
      </c>
      <c r="J2579" s="577" t="s">
        <v>90</v>
      </c>
      <c r="K2579" s="577" t="s">
        <v>1468</v>
      </c>
      <c r="M2579" s="571" t="s">
        <v>119</v>
      </c>
      <c r="N2579" s="745">
        <v>65043</v>
      </c>
      <c r="O2579" s="572">
        <v>65043</v>
      </c>
      <c r="P2579" s="514">
        <v>65058</v>
      </c>
      <c r="Q2579" s="512" t="s">
        <v>51</v>
      </c>
    </row>
    <row r="2580" spans="1:17" ht="18">
      <c r="A2580" s="512">
        <f t="shared" si="33"/>
        <v>1733</v>
      </c>
      <c r="B2580" s="660" t="s">
        <v>43</v>
      </c>
      <c r="C2580" s="644" t="s">
        <v>44</v>
      </c>
      <c r="D2580" s="644" t="s">
        <v>45</v>
      </c>
      <c r="E2580" s="644" t="s">
        <v>3085</v>
      </c>
      <c r="F2580" s="577" t="s">
        <v>491</v>
      </c>
      <c r="G2580" s="577">
        <v>9857820595</v>
      </c>
      <c r="I2580" s="577">
        <v>44</v>
      </c>
      <c r="J2580" s="577" t="s">
        <v>90</v>
      </c>
      <c r="K2580" s="577" t="s">
        <v>53</v>
      </c>
      <c r="M2580" s="571" t="s">
        <v>119</v>
      </c>
      <c r="N2580" s="745">
        <v>65043</v>
      </c>
      <c r="O2580" s="572">
        <v>65043</v>
      </c>
      <c r="P2580" s="514">
        <v>65058</v>
      </c>
      <c r="Q2580" s="512" t="s">
        <v>51</v>
      </c>
    </row>
    <row r="2581" spans="1:17" ht="18">
      <c r="A2581" s="512">
        <f t="shared" si="33"/>
        <v>1734</v>
      </c>
      <c r="B2581" s="660" t="s">
        <v>43</v>
      </c>
      <c r="C2581" s="644" t="s">
        <v>44</v>
      </c>
      <c r="D2581" s="644" t="s">
        <v>45</v>
      </c>
      <c r="E2581" s="644" t="s">
        <v>3086</v>
      </c>
      <c r="F2581" s="577" t="s">
        <v>491</v>
      </c>
      <c r="G2581" s="577">
        <v>9809582109</v>
      </c>
      <c r="I2581" s="577">
        <v>23</v>
      </c>
      <c r="J2581" s="577" t="s">
        <v>90</v>
      </c>
      <c r="K2581" s="577" t="s">
        <v>1468</v>
      </c>
      <c r="M2581" s="571" t="s">
        <v>119</v>
      </c>
      <c r="N2581" s="745">
        <v>65043</v>
      </c>
      <c r="O2581" s="572">
        <v>65043</v>
      </c>
      <c r="P2581" s="514">
        <v>65058</v>
      </c>
      <c r="Q2581" s="512" t="s">
        <v>51</v>
      </c>
    </row>
    <row r="2582" spans="1:17" ht="18">
      <c r="A2582" s="512">
        <f t="shared" si="33"/>
        <v>1735</v>
      </c>
      <c r="B2582" s="660" t="s">
        <v>43</v>
      </c>
      <c r="C2582" s="644" t="s">
        <v>44</v>
      </c>
      <c r="D2582" s="644" t="s">
        <v>45</v>
      </c>
      <c r="E2582" s="644" t="s">
        <v>2956</v>
      </c>
      <c r="F2582" s="577" t="s">
        <v>510</v>
      </c>
      <c r="G2582" s="577">
        <v>9800000000</v>
      </c>
      <c r="I2582" s="577">
        <v>32</v>
      </c>
      <c r="J2582" s="577" t="s">
        <v>48</v>
      </c>
      <c r="K2582" s="577" t="s">
        <v>1459</v>
      </c>
      <c r="M2582" s="571" t="s">
        <v>119</v>
      </c>
      <c r="N2582" s="745">
        <v>65043</v>
      </c>
      <c r="O2582" s="572">
        <v>65043</v>
      </c>
      <c r="P2582" s="514">
        <v>65058</v>
      </c>
      <c r="Q2582" s="512" t="s">
        <v>51</v>
      </c>
    </row>
    <row r="2583" spans="1:17" ht="18">
      <c r="A2583" s="512">
        <f t="shared" si="33"/>
        <v>1736</v>
      </c>
      <c r="B2583" s="660" t="s">
        <v>43</v>
      </c>
      <c r="C2583" s="644" t="s">
        <v>44</v>
      </c>
      <c r="D2583" s="644" t="s">
        <v>45</v>
      </c>
      <c r="E2583" s="644" t="s">
        <v>3122</v>
      </c>
      <c r="F2583" s="577" t="s">
        <v>124</v>
      </c>
      <c r="G2583" s="577">
        <v>9847908656</v>
      </c>
      <c r="I2583" s="577">
        <v>46</v>
      </c>
      <c r="J2583" s="577" t="s">
        <v>90</v>
      </c>
      <c r="K2583" s="577" t="s">
        <v>1468</v>
      </c>
      <c r="M2583" s="571" t="s">
        <v>119</v>
      </c>
      <c r="N2583" s="745">
        <v>65043</v>
      </c>
      <c r="O2583" s="572">
        <v>65043</v>
      </c>
      <c r="P2583" s="514">
        <v>65058</v>
      </c>
      <c r="Q2583" s="512" t="s">
        <v>51</v>
      </c>
    </row>
    <row r="2584" spans="1:17" ht="18">
      <c r="A2584" s="512">
        <f t="shared" si="33"/>
        <v>1737</v>
      </c>
      <c r="B2584" s="660" t="s">
        <v>43</v>
      </c>
      <c r="C2584" s="644" t="s">
        <v>44</v>
      </c>
      <c r="D2584" s="644" t="s">
        <v>45</v>
      </c>
      <c r="E2584" s="644" t="s">
        <v>3066</v>
      </c>
      <c r="F2584" s="577" t="s">
        <v>502</v>
      </c>
      <c r="G2584" s="577">
        <v>9847990925</v>
      </c>
      <c r="I2584" s="577">
        <v>53</v>
      </c>
      <c r="J2584" s="577" t="s">
        <v>90</v>
      </c>
      <c r="K2584" s="577" t="s">
        <v>53</v>
      </c>
      <c r="M2584" s="571" t="s">
        <v>119</v>
      </c>
      <c r="N2584" s="745">
        <v>65043</v>
      </c>
      <c r="O2584" s="572">
        <v>65043</v>
      </c>
      <c r="P2584" s="514">
        <v>65058</v>
      </c>
      <c r="Q2584" s="512" t="s">
        <v>51</v>
      </c>
    </row>
    <row r="2585" spans="1:17" ht="18">
      <c r="A2585" s="512">
        <f t="shared" si="33"/>
        <v>1738</v>
      </c>
      <c r="B2585" s="660" t="s">
        <v>43</v>
      </c>
      <c r="C2585" s="644" t="s">
        <v>44</v>
      </c>
      <c r="D2585" s="644" t="s">
        <v>45</v>
      </c>
      <c r="E2585" s="644" t="s">
        <v>3148</v>
      </c>
      <c r="F2585" s="577" t="s">
        <v>1008</v>
      </c>
      <c r="G2585" s="577">
        <v>9847909607</v>
      </c>
      <c r="I2585" s="577">
        <v>55</v>
      </c>
      <c r="J2585" s="577" t="s">
        <v>90</v>
      </c>
      <c r="K2585" s="577" t="s">
        <v>1468</v>
      </c>
      <c r="M2585" s="571" t="s">
        <v>119</v>
      </c>
      <c r="N2585" s="745">
        <v>65043</v>
      </c>
      <c r="O2585" s="572">
        <v>65043</v>
      </c>
      <c r="P2585" s="514">
        <v>65058</v>
      </c>
      <c r="Q2585" s="512" t="s">
        <v>51</v>
      </c>
    </row>
    <row r="2586" spans="1:17" ht="18">
      <c r="A2586" s="512">
        <f t="shared" si="33"/>
        <v>1739</v>
      </c>
      <c r="B2586" s="660" t="s">
        <v>43</v>
      </c>
      <c r="C2586" s="644" t="s">
        <v>44</v>
      </c>
      <c r="D2586" s="644" t="s">
        <v>45</v>
      </c>
      <c r="E2586" s="644" t="s">
        <v>3090</v>
      </c>
      <c r="F2586" s="577" t="s">
        <v>491</v>
      </c>
      <c r="G2586" s="577">
        <v>9847847339</v>
      </c>
      <c r="I2586" s="577">
        <v>56</v>
      </c>
      <c r="J2586" s="577" t="s">
        <v>90</v>
      </c>
      <c r="K2586" s="577" t="s">
        <v>1480</v>
      </c>
      <c r="M2586" s="571" t="s">
        <v>119</v>
      </c>
      <c r="N2586" s="745">
        <v>65043</v>
      </c>
      <c r="O2586" s="572">
        <v>65043</v>
      </c>
      <c r="P2586" s="514">
        <v>65058</v>
      </c>
      <c r="Q2586" s="512" t="s">
        <v>51</v>
      </c>
    </row>
    <row r="2587" spans="1:17" ht="18">
      <c r="A2587" s="512">
        <f t="shared" si="33"/>
        <v>1740</v>
      </c>
      <c r="B2587" s="660" t="s">
        <v>43</v>
      </c>
      <c r="C2587" s="644" t="s">
        <v>44</v>
      </c>
      <c r="D2587" s="644" t="s">
        <v>45</v>
      </c>
      <c r="E2587" s="644" t="s">
        <v>3039</v>
      </c>
      <c r="F2587" s="577" t="s">
        <v>617</v>
      </c>
      <c r="G2587" s="577">
        <v>9812824436</v>
      </c>
      <c r="I2587" s="577">
        <v>48</v>
      </c>
      <c r="J2587" s="577" t="s">
        <v>48</v>
      </c>
      <c r="K2587" s="577" t="s">
        <v>1480</v>
      </c>
      <c r="M2587" s="571" t="s">
        <v>119</v>
      </c>
      <c r="N2587" s="745">
        <v>65043</v>
      </c>
      <c r="O2587" s="572">
        <v>65043</v>
      </c>
      <c r="P2587" s="514">
        <v>65058</v>
      </c>
      <c r="Q2587" s="512" t="s">
        <v>51</v>
      </c>
    </row>
    <row r="2588" spans="1:17" ht="18">
      <c r="A2588" s="512">
        <f t="shared" si="33"/>
        <v>1741</v>
      </c>
      <c r="B2588" s="660" t="s">
        <v>43</v>
      </c>
      <c r="C2588" s="644" t="s">
        <v>44</v>
      </c>
      <c r="D2588" s="644" t="s">
        <v>45</v>
      </c>
      <c r="E2588" s="644" t="s">
        <v>3087</v>
      </c>
      <c r="F2588" s="577" t="s">
        <v>491</v>
      </c>
      <c r="G2588" s="577">
        <v>9847822501</v>
      </c>
      <c r="I2588" s="577">
        <v>39</v>
      </c>
      <c r="J2588" s="577" t="s">
        <v>90</v>
      </c>
      <c r="K2588" s="577" t="s">
        <v>1468</v>
      </c>
      <c r="M2588" s="571" t="s">
        <v>119</v>
      </c>
      <c r="N2588" s="745">
        <v>65043</v>
      </c>
      <c r="O2588" s="572">
        <v>65043</v>
      </c>
      <c r="P2588" s="514">
        <v>65058</v>
      </c>
      <c r="Q2588" s="512" t="s">
        <v>51</v>
      </c>
    </row>
    <row r="2589" spans="1:17" ht="18">
      <c r="A2589" s="512">
        <f t="shared" si="33"/>
        <v>1742</v>
      </c>
      <c r="B2589" s="660" t="s">
        <v>43</v>
      </c>
      <c r="C2589" s="644" t="s">
        <v>44</v>
      </c>
      <c r="D2589" s="644" t="s">
        <v>45</v>
      </c>
      <c r="E2589" s="644" t="s">
        <v>3029</v>
      </c>
      <c r="F2589" s="577" t="s">
        <v>791</v>
      </c>
      <c r="G2589" s="577">
        <v>9848132933</v>
      </c>
      <c r="I2589" s="577">
        <v>49</v>
      </c>
      <c r="J2589" s="577" t="s">
        <v>48</v>
      </c>
      <c r="K2589" s="577" t="s">
        <v>1480</v>
      </c>
      <c r="M2589" s="571" t="s">
        <v>119</v>
      </c>
      <c r="N2589" s="745">
        <v>65043</v>
      </c>
      <c r="O2589" s="572">
        <v>65043</v>
      </c>
      <c r="P2589" s="514">
        <v>65058</v>
      </c>
      <c r="Q2589" s="512" t="s">
        <v>51</v>
      </c>
    </row>
    <row r="2590" spans="1:17" ht="18">
      <c r="A2590" s="512">
        <f t="shared" si="33"/>
        <v>1743</v>
      </c>
      <c r="B2590" s="660" t="s">
        <v>43</v>
      </c>
      <c r="C2590" s="644" t="s">
        <v>44</v>
      </c>
      <c r="D2590" s="644" t="s">
        <v>45</v>
      </c>
      <c r="E2590" s="644" t="s">
        <v>3035</v>
      </c>
      <c r="F2590" s="577" t="s">
        <v>1046</v>
      </c>
      <c r="G2590" s="577">
        <v>9810939566</v>
      </c>
      <c r="I2590" s="577">
        <v>48</v>
      </c>
      <c r="J2590" s="577" t="s">
        <v>48</v>
      </c>
      <c r="K2590" s="577" t="s">
        <v>1480</v>
      </c>
      <c r="M2590" s="571" t="s">
        <v>119</v>
      </c>
      <c r="N2590" s="745">
        <v>65043</v>
      </c>
      <c r="O2590" s="572">
        <v>65043</v>
      </c>
      <c r="P2590" s="514">
        <v>65058</v>
      </c>
      <c r="Q2590" s="512" t="s">
        <v>51</v>
      </c>
    </row>
    <row r="2591" spans="1:17" ht="18">
      <c r="A2591" s="512">
        <f t="shared" si="33"/>
        <v>1744</v>
      </c>
      <c r="B2591" s="660" t="s">
        <v>43</v>
      </c>
      <c r="C2591" s="644" t="s">
        <v>44</v>
      </c>
      <c r="D2591" s="644" t="s">
        <v>45</v>
      </c>
      <c r="E2591" s="644" t="s">
        <v>3032</v>
      </c>
      <c r="F2591" s="577" t="s">
        <v>1046</v>
      </c>
      <c r="G2591" s="577">
        <v>9857820865</v>
      </c>
      <c r="I2591" s="577">
        <v>48</v>
      </c>
      <c r="J2591" s="577" t="s">
        <v>48</v>
      </c>
      <c r="K2591" s="577" t="s">
        <v>1468</v>
      </c>
      <c r="M2591" s="571" t="s">
        <v>119</v>
      </c>
      <c r="N2591" s="745">
        <v>65043</v>
      </c>
      <c r="O2591" s="572">
        <v>65043</v>
      </c>
      <c r="P2591" s="514">
        <v>65058</v>
      </c>
      <c r="Q2591" s="512" t="s">
        <v>51</v>
      </c>
    </row>
    <row r="2592" spans="1:17" ht="18">
      <c r="A2592" s="512">
        <f t="shared" si="33"/>
        <v>1745</v>
      </c>
      <c r="B2592" s="660" t="s">
        <v>43</v>
      </c>
      <c r="C2592" s="644" t="s">
        <v>44</v>
      </c>
      <c r="D2592" s="644" t="s">
        <v>45</v>
      </c>
      <c r="E2592" s="644" t="s">
        <v>3052</v>
      </c>
      <c r="F2592" s="577" t="s">
        <v>1008</v>
      </c>
      <c r="G2592" s="577">
        <v>9847990947</v>
      </c>
      <c r="I2592" s="577">
        <v>40</v>
      </c>
      <c r="J2592" s="577" t="s">
        <v>48</v>
      </c>
      <c r="K2592" s="577" t="s">
        <v>1468</v>
      </c>
      <c r="M2592" s="571" t="s">
        <v>119</v>
      </c>
      <c r="N2592" s="745">
        <v>65043</v>
      </c>
      <c r="O2592" s="572">
        <v>65043</v>
      </c>
      <c r="P2592" s="514">
        <v>65058</v>
      </c>
      <c r="Q2592" s="512" t="s">
        <v>51</v>
      </c>
    </row>
    <row r="2593" spans="1:17" ht="18">
      <c r="A2593" s="512">
        <f t="shared" si="33"/>
        <v>1746</v>
      </c>
      <c r="B2593" s="660" t="s">
        <v>43</v>
      </c>
      <c r="C2593" s="644" t="s">
        <v>44</v>
      </c>
      <c r="D2593" s="644" t="s">
        <v>45</v>
      </c>
      <c r="E2593" s="644" t="s">
        <v>3012</v>
      </c>
      <c r="F2593" s="577" t="s">
        <v>124</v>
      </c>
      <c r="G2593" s="577">
        <v>9847943312</v>
      </c>
      <c r="I2593" s="577">
        <v>37</v>
      </c>
      <c r="J2593" s="577" t="s">
        <v>48</v>
      </c>
      <c r="K2593" s="577" t="s">
        <v>1468</v>
      </c>
      <c r="M2593" s="571" t="s">
        <v>119</v>
      </c>
      <c r="N2593" s="745">
        <v>65043</v>
      </c>
      <c r="O2593" s="572">
        <v>65043</v>
      </c>
      <c r="P2593" s="514">
        <v>65058</v>
      </c>
      <c r="Q2593" s="512" t="s">
        <v>51</v>
      </c>
    </row>
    <row r="2594" spans="1:17" ht="18">
      <c r="A2594" s="512">
        <f t="shared" si="33"/>
        <v>1747</v>
      </c>
      <c r="B2594" s="660" t="s">
        <v>43</v>
      </c>
      <c r="C2594" s="644" t="s">
        <v>44</v>
      </c>
      <c r="D2594" s="644" t="s">
        <v>45</v>
      </c>
      <c r="E2594" s="644" t="s">
        <v>3072</v>
      </c>
      <c r="F2594" s="577" t="s">
        <v>502</v>
      </c>
      <c r="G2594" s="577">
        <v>9847992616</v>
      </c>
      <c r="I2594" s="577">
        <v>41</v>
      </c>
      <c r="J2594" s="577" t="s">
        <v>90</v>
      </c>
      <c r="K2594" s="577" t="s">
        <v>1480</v>
      </c>
      <c r="M2594" s="571" t="s">
        <v>119</v>
      </c>
      <c r="N2594" s="745">
        <v>65043</v>
      </c>
      <c r="O2594" s="572">
        <v>65043</v>
      </c>
      <c r="P2594" s="514">
        <v>65058</v>
      </c>
      <c r="Q2594" s="512" t="s">
        <v>51</v>
      </c>
    </row>
    <row r="2595" spans="1:17" ht="18">
      <c r="A2595" s="512">
        <f t="shared" si="33"/>
        <v>1748</v>
      </c>
      <c r="B2595" s="660" t="s">
        <v>43</v>
      </c>
      <c r="C2595" s="644" t="s">
        <v>44</v>
      </c>
      <c r="D2595" s="644" t="s">
        <v>45</v>
      </c>
      <c r="E2595" s="644" t="s">
        <v>3073</v>
      </c>
      <c r="F2595" s="577" t="s">
        <v>502</v>
      </c>
      <c r="G2595" s="577">
        <v>9822903398</v>
      </c>
      <c r="I2595" s="577">
        <v>55</v>
      </c>
      <c r="J2595" s="577" t="s">
        <v>90</v>
      </c>
      <c r="K2595" s="577" t="s">
        <v>1480</v>
      </c>
      <c r="M2595" s="571" t="s">
        <v>119</v>
      </c>
      <c r="N2595" s="745">
        <v>65043</v>
      </c>
      <c r="O2595" s="572">
        <v>65043</v>
      </c>
      <c r="P2595" s="514">
        <v>65058</v>
      </c>
      <c r="Q2595" s="512" t="s">
        <v>51</v>
      </c>
    </row>
    <row r="2596" spans="1:17" ht="18">
      <c r="A2596" s="512">
        <f t="shared" si="33"/>
        <v>1749</v>
      </c>
      <c r="B2596" s="660" t="s">
        <v>43</v>
      </c>
      <c r="C2596" s="644" t="s">
        <v>44</v>
      </c>
      <c r="D2596" s="644" t="s">
        <v>45</v>
      </c>
      <c r="E2596" s="644" t="s">
        <v>3137</v>
      </c>
      <c r="F2596" s="577" t="s">
        <v>1046</v>
      </c>
      <c r="G2596" s="577">
        <v>9844992415</v>
      </c>
      <c r="I2596" s="577">
        <v>69</v>
      </c>
      <c r="J2596" s="577" t="s">
        <v>90</v>
      </c>
      <c r="K2596" s="577" t="s">
        <v>1480</v>
      </c>
      <c r="M2596" s="571" t="s">
        <v>119</v>
      </c>
      <c r="N2596" s="745">
        <v>65043</v>
      </c>
      <c r="O2596" s="572">
        <v>65043</v>
      </c>
      <c r="P2596" s="514">
        <v>65058</v>
      </c>
      <c r="Q2596" s="512" t="s">
        <v>51</v>
      </c>
    </row>
    <row r="2597" spans="1:17" ht="18">
      <c r="A2597" s="512">
        <f t="shared" si="33"/>
        <v>1750</v>
      </c>
      <c r="B2597" s="660" t="s">
        <v>43</v>
      </c>
      <c r="C2597" s="644" t="s">
        <v>44</v>
      </c>
      <c r="D2597" s="644" t="s">
        <v>45</v>
      </c>
      <c r="E2597" s="644" t="s">
        <v>3018</v>
      </c>
      <c r="F2597" s="577" t="s">
        <v>124</v>
      </c>
      <c r="G2597" s="577">
        <v>9809844406</v>
      </c>
      <c r="I2597" s="577">
        <v>25</v>
      </c>
      <c r="J2597" s="577" t="s">
        <v>48</v>
      </c>
      <c r="K2597" s="577" t="s">
        <v>1480</v>
      </c>
      <c r="M2597" s="571" t="s">
        <v>119</v>
      </c>
      <c r="N2597" s="745">
        <v>65043</v>
      </c>
      <c r="O2597" s="572">
        <v>65043</v>
      </c>
      <c r="P2597" s="514">
        <v>65058</v>
      </c>
      <c r="Q2597" s="512" t="s">
        <v>51</v>
      </c>
    </row>
    <row r="2598" spans="1:17" ht="18">
      <c r="A2598" s="512">
        <f t="shared" si="33"/>
        <v>1751</v>
      </c>
      <c r="B2598" s="660" t="s">
        <v>43</v>
      </c>
      <c r="C2598" s="644" t="s">
        <v>44</v>
      </c>
      <c r="D2598" s="644" t="s">
        <v>45</v>
      </c>
      <c r="E2598" s="644" t="s">
        <v>3111</v>
      </c>
      <c r="F2598" s="577" t="s">
        <v>441</v>
      </c>
      <c r="G2598" s="577">
        <v>9857821096</v>
      </c>
      <c r="I2598" s="577">
        <v>48</v>
      </c>
      <c r="J2598" s="577" t="s">
        <v>90</v>
      </c>
      <c r="K2598" s="577" t="s">
        <v>53</v>
      </c>
      <c r="M2598" s="571" t="s">
        <v>119</v>
      </c>
      <c r="N2598" s="745">
        <v>65043</v>
      </c>
      <c r="O2598" s="572">
        <v>65043</v>
      </c>
      <c r="P2598" s="514">
        <v>65058</v>
      </c>
      <c r="Q2598" s="512" t="s">
        <v>51</v>
      </c>
    </row>
    <row r="2599" spans="1:17" ht="18">
      <c r="A2599" s="512">
        <f t="shared" si="33"/>
        <v>1752</v>
      </c>
      <c r="B2599" s="660" t="s">
        <v>43</v>
      </c>
      <c r="C2599" s="644" t="s">
        <v>44</v>
      </c>
      <c r="D2599" s="644" t="s">
        <v>45</v>
      </c>
      <c r="E2599" s="644" t="s">
        <v>2972</v>
      </c>
      <c r="F2599" s="577" t="s">
        <v>491</v>
      </c>
      <c r="G2599" s="577">
        <v>9847916432</v>
      </c>
      <c r="I2599" s="577">
        <v>60</v>
      </c>
      <c r="J2599" s="577" t="s">
        <v>48</v>
      </c>
      <c r="K2599" s="577" t="s">
        <v>1468</v>
      </c>
      <c r="M2599" s="571" t="s">
        <v>119</v>
      </c>
      <c r="N2599" s="745">
        <v>65043</v>
      </c>
      <c r="O2599" s="572">
        <v>65043</v>
      </c>
      <c r="P2599" s="514">
        <v>65058</v>
      </c>
      <c r="Q2599" s="512" t="s">
        <v>51</v>
      </c>
    </row>
    <row r="2600" spans="1:17" ht="18">
      <c r="A2600" s="512">
        <f t="shared" si="33"/>
        <v>1753</v>
      </c>
      <c r="B2600" s="660" t="s">
        <v>43</v>
      </c>
      <c r="C2600" s="644" t="s">
        <v>44</v>
      </c>
      <c r="D2600" s="644" t="s">
        <v>45</v>
      </c>
      <c r="E2600" s="644" t="s">
        <v>3040</v>
      </c>
      <c r="F2600" s="577" t="s">
        <v>617</v>
      </c>
      <c r="G2600" s="577">
        <v>9808328356</v>
      </c>
      <c r="I2600" s="577">
        <v>53</v>
      </c>
      <c r="J2600" s="577" t="s">
        <v>48</v>
      </c>
      <c r="K2600" s="577" t="s">
        <v>1480</v>
      </c>
      <c r="M2600" s="571" t="s">
        <v>119</v>
      </c>
      <c r="N2600" s="745">
        <v>65043</v>
      </c>
      <c r="O2600" s="572">
        <v>65043</v>
      </c>
      <c r="P2600" s="514">
        <v>65058</v>
      </c>
      <c r="Q2600" s="512" t="s">
        <v>51</v>
      </c>
    </row>
    <row r="2601" spans="1:17" ht="18">
      <c r="A2601" s="512">
        <f t="shared" si="33"/>
        <v>1754</v>
      </c>
      <c r="B2601" s="660" t="s">
        <v>43</v>
      </c>
      <c r="C2601" s="644" t="s">
        <v>44</v>
      </c>
      <c r="D2601" s="644" t="s">
        <v>45</v>
      </c>
      <c r="E2601" s="670" t="s">
        <v>3118</v>
      </c>
      <c r="F2601" s="577" t="s">
        <v>529</v>
      </c>
      <c r="G2601" s="577">
        <v>9812837957</v>
      </c>
      <c r="I2601" s="577">
        <v>48</v>
      </c>
      <c r="J2601" s="577" t="s">
        <v>90</v>
      </c>
      <c r="K2601" s="577" t="s">
        <v>1468</v>
      </c>
      <c r="M2601" s="571" t="s">
        <v>119</v>
      </c>
      <c r="N2601" s="745">
        <v>65043</v>
      </c>
      <c r="O2601" s="572">
        <v>65043</v>
      </c>
      <c r="P2601" s="514">
        <v>65058</v>
      </c>
      <c r="Q2601" s="512" t="s">
        <v>51</v>
      </c>
    </row>
    <row r="2602" spans="1:17" ht="18">
      <c r="A2602" s="512">
        <f t="shared" si="33"/>
        <v>1755</v>
      </c>
      <c r="B2602" s="660" t="s">
        <v>43</v>
      </c>
      <c r="C2602" s="644" t="s">
        <v>44</v>
      </c>
      <c r="D2602" s="644" t="s">
        <v>45</v>
      </c>
      <c r="E2602" s="644" t="s">
        <v>2996</v>
      </c>
      <c r="F2602" s="577" t="s">
        <v>441</v>
      </c>
      <c r="G2602" s="577">
        <v>9809565948</v>
      </c>
      <c r="I2602" s="577">
        <v>44</v>
      </c>
      <c r="J2602" s="577" t="s">
        <v>48</v>
      </c>
      <c r="K2602" s="577" t="s">
        <v>1468</v>
      </c>
      <c r="M2602" s="571" t="s">
        <v>119</v>
      </c>
      <c r="N2602" s="745">
        <v>65043</v>
      </c>
      <c r="O2602" s="572">
        <v>65043</v>
      </c>
      <c r="P2602" s="514">
        <v>65058</v>
      </c>
      <c r="Q2602" s="512" t="s">
        <v>51</v>
      </c>
    </row>
    <row r="2603" spans="1:17" ht="18">
      <c r="A2603" s="512">
        <f t="shared" si="33"/>
        <v>1756</v>
      </c>
      <c r="B2603" s="660" t="s">
        <v>43</v>
      </c>
      <c r="C2603" s="644" t="s">
        <v>44</v>
      </c>
      <c r="D2603" s="644" t="s">
        <v>45</v>
      </c>
      <c r="E2603" s="670" t="s">
        <v>3043</v>
      </c>
      <c r="F2603" s="577" t="s">
        <v>497</v>
      </c>
      <c r="G2603" s="577">
        <v>9818123748</v>
      </c>
      <c r="I2603" s="577">
        <v>58</v>
      </c>
      <c r="J2603" s="577" t="s">
        <v>48</v>
      </c>
      <c r="K2603" s="577" t="s">
        <v>53</v>
      </c>
      <c r="M2603" s="571" t="s">
        <v>119</v>
      </c>
      <c r="N2603" s="745">
        <v>65043</v>
      </c>
      <c r="O2603" s="572">
        <v>65043</v>
      </c>
      <c r="P2603" s="514">
        <v>65058</v>
      </c>
      <c r="Q2603" s="512" t="s">
        <v>51</v>
      </c>
    </row>
    <row r="2604" spans="1:17" ht="18">
      <c r="A2604" s="512">
        <f t="shared" si="33"/>
        <v>1757</v>
      </c>
      <c r="B2604" s="660" t="s">
        <v>43</v>
      </c>
      <c r="C2604" s="644" t="s">
        <v>44</v>
      </c>
      <c r="D2604" s="644" t="s">
        <v>45</v>
      </c>
      <c r="E2604" s="644" t="s">
        <v>2997</v>
      </c>
      <c r="F2604" s="577" t="s">
        <v>441</v>
      </c>
      <c r="G2604" s="577">
        <v>9848275715</v>
      </c>
      <c r="I2604" s="577">
        <v>43</v>
      </c>
      <c r="J2604" s="577" t="s">
        <v>48</v>
      </c>
      <c r="K2604" s="577" t="s">
        <v>1468</v>
      </c>
      <c r="M2604" s="571" t="s">
        <v>119</v>
      </c>
      <c r="N2604" s="745">
        <v>65043</v>
      </c>
      <c r="O2604" s="572">
        <v>65043</v>
      </c>
      <c r="P2604" s="514">
        <v>65058</v>
      </c>
      <c r="Q2604" s="512" t="s">
        <v>51</v>
      </c>
    </row>
    <row r="2605" spans="1:17" ht="18">
      <c r="A2605" s="512">
        <f t="shared" si="33"/>
        <v>1758</v>
      </c>
      <c r="B2605" s="660" t="s">
        <v>43</v>
      </c>
      <c r="C2605" s="644" t="s">
        <v>44</v>
      </c>
      <c r="D2605" s="644" t="s">
        <v>45</v>
      </c>
      <c r="E2605" s="644" t="s">
        <v>3123</v>
      </c>
      <c r="F2605" s="577" t="s">
        <v>124</v>
      </c>
      <c r="G2605" s="577">
        <v>9847891351</v>
      </c>
      <c r="I2605" s="577">
        <v>57</v>
      </c>
      <c r="J2605" s="577" t="s">
        <v>90</v>
      </c>
      <c r="K2605" s="577" t="s">
        <v>1459</v>
      </c>
      <c r="M2605" s="571" t="s">
        <v>119</v>
      </c>
      <c r="N2605" s="745">
        <v>65043</v>
      </c>
      <c r="O2605" s="572">
        <v>65043</v>
      </c>
      <c r="P2605" s="514">
        <v>65058</v>
      </c>
      <c r="Q2605" s="512" t="s">
        <v>51</v>
      </c>
    </row>
    <row r="2606" spans="1:17" s="163" customFormat="1" ht="18">
      <c r="A2606" s="512">
        <f t="shared" si="33"/>
        <v>1759</v>
      </c>
      <c r="B2606" s="660" t="s">
        <v>43</v>
      </c>
      <c r="C2606" s="644" t="s">
        <v>44</v>
      </c>
      <c r="D2606" s="644" t="s">
        <v>45</v>
      </c>
      <c r="E2606" s="644" t="s">
        <v>3013</v>
      </c>
      <c r="F2606" s="577" t="s">
        <v>124</v>
      </c>
      <c r="G2606" s="577">
        <v>9866963329</v>
      </c>
      <c r="H2606" s="432"/>
      <c r="I2606" s="577">
        <v>30</v>
      </c>
      <c r="J2606" s="577" t="s">
        <v>48</v>
      </c>
      <c r="K2606" s="577" t="s">
        <v>1468</v>
      </c>
      <c r="L2606" s="434"/>
      <c r="M2606" s="571" t="s">
        <v>119</v>
      </c>
      <c r="N2606" s="745">
        <v>65043</v>
      </c>
      <c r="O2606" s="572">
        <v>65043</v>
      </c>
      <c r="P2606" s="514">
        <v>65058</v>
      </c>
      <c r="Q2606" s="512" t="s">
        <v>51</v>
      </c>
    </row>
    <row r="2607" spans="1:17" ht="18">
      <c r="A2607" s="512">
        <f t="shared" si="33"/>
        <v>1760</v>
      </c>
      <c r="B2607" s="660" t="s">
        <v>43</v>
      </c>
      <c r="C2607" s="644" t="s">
        <v>44</v>
      </c>
      <c r="D2607" s="644" t="s">
        <v>45</v>
      </c>
      <c r="E2607" s="644" t="s">
        <v>3053</v>
      </c>
      <c r="F2607" s="577" t="s">
        <v>1008</v>
      </c>
      <c r="G2607" s="577">
        <v>9847885144</v>
      </c>
      <c r="I2607" s="577">
        <v>20</v>
      </c>
      <c r="J2607" s="577" t="s">
        <v>48</v>
      </c>
      <c r="K2607" s="577" t="s">
        <v>1468</v>
      </c>
      <c r="M2607" s="571" t="s">
        <v>119</v>
      </c>
      <c r="N2607" s="745">
        <v>65043</v>
      </c>
      <c r="O2607" s="572">
        <v>65043</v>
      </c>
      <c r="P2607" s="514">
        <v>65058</v>
      </c>
      <c r="Q2607" s="512" t="s">
        <v>51</v>
      </c>
    </row>
    <row r="2608" spans="1:17" ht="18">
      <c r="A2608" s="512">
        <f t="shared" si="33"/>
        <v>1761</v>
      </c>
      <c r="B2608" s="660" t="s">
        <v>43</v>
      </c>
      <c r="C2608" s="644" t="s">
        <v>44</v>
      </c>
      <c r="D2608" s="644" t="s">
        <v>45</v>
      </c>
      <c r="E2608" s="644" t="s">
        <v>3019</v>
      </c>
      <c r="F2608" s="577" t="s">
        <v>124</v>
      </c>
      <c r="G2608" s="577">
        <v>9808761536</v>
      </c>
      <c r="I2608" s="577">
        <v>35</v>
      </c>
      <c r="J2608" s="577" t="s">
        <v>48</v>
      </c>
      <c r="K2608" s="577" t="s">
        <v>1480</v>
      </c>
      <c r="M2608" s="571" t="s">
        <v>119</v>
      </c>
      <c r="N2608" s="745">
        <v>65043</v>
      </c>
      <c r="O2608" s="572">
        <v>65043</v>
      </c>
      <c r="P2608" s="514">
        <v>65058</v>
      </c>
      <c r="Q2608" s="512" t="s">
        <v>51</v>
      </c>
    </row>
    <row r="2609" spans="1:17" s="163" customFormat="1" ht="18">
      <c r="A2609" s="512">
        <f t="shared" si="33"/>
        <v>1762</v>
      </c>
      <c r="B2609" s="660" t="s">
        <v>43</v>
      </c>
      <c r="C2609" s="644" t="s">
        <v>44</v>
      </c>
      <c r="D2609" s="644" t="s">
        <v>45</v>
      </c>
      <c r="E2609" s="644" t="s">
        <v>2947</v>
      </c>
      <c r="F2609" s="577" t="s">
        <v>598</v>
      </c>
      <c r="G2609" s="577">
        <v>9868626389</v>
      </c>
      <c r="H2609" s="432"/>
      <c r="I2609" s="577">
        <v>50</v>
      </c>
      <c r="J2609" s="577" t="s">
        <v>48</v>
      </c>
      <c r="K2609" s="577" t="s">
        <v>1468</v>
      </c>
      <c r="L2609" s="434"/>
      <c r="M2609" s="571" t="s">
        <v>119</v>
      </c>
      <c r="N2609" s="745">
        <v>65043</v>
      </c>
      <c r="O2609" s="572">
        <v>65043</v>
      </c>
      <c r="P2609" s="514">
        <v>65058</v>
      </c>
      <c r="Q2609" s="512" t="s">
        <v>51</v>
      </c>
    </row>
    <row r="2610" spans="1:17" ht="18">
      <c r="A2610" s="512">
        <f t="shared" si="33"/>
        <v>1763</v>
      </c>
      <c r="B2610" s="660" t="s">
        <v>43</v>
      </c>
      <c r="C2610" s="644" t="s">
        <v>44</v>
      </c>
      <c r="D2610" s="644" t="s">
        <v>45</v>
      </c>
      <c r="E2610" s="644" t="s">
        <v>3023</v>
      </c>
      <c r="F2610" s="577" t="s">
        <v>124</v>
      </c>
      <c r="G2610" s="577">
        <v>9847989913</v>
      </c>
      <c r="I2610" s="577">
        <v>40</v>
      </c>
      <c r="J2610" s="577" t="s">
        <v>48</v>
      </c>
      <c r="K2610" s="577" t="s">
        <v>1480</v>
      </c>
      <c r="M2610" s="571" t="s">
        <v>119</v>
      </c>
      <c r="N2610" s="745">
        <v>65043</v>
      </c>
      <c r="O2610" s="572">
        <v>65043</v>
      </c>
      <c r="P2610" s="514">
        <v>65058</v>
      </c>
      <c r="Q2610" s="512" t="s">
        <v>51</v>
      </c>
    </row>
    <row r="2611" spans="1:17" ht="18">
      <c r="A2611" s="512">
        <f t="shared" si="33"/>
        <v>1764</v>
      </c>
      <c r="B2611" s="660" t="s">
        <v>43</v>
      </c>
      <c r="C2611" s="644" t="s">
        <v>44</v>
      </c>
      <c r="D2611" s="644" t="s">
        <v>45</v>
      </c>
      <c r="E2611" s="644" t="s">
        <v>3014</v>
      </c>
      <c r="F2611" s="577" t="s">
        <v>124</v>
      </c>
      <c r="G2611" s="577">
        <v>9822821780</v>
      </c>
      <c r="I2611" s="577">
        <v>42</v>
      </c>
      <c r="J2611" s="577" t="s">
        <v>48</v>
      </c>
      <c r="K2611" s="577" t="s">
        <v>1468</v>
      </c>
      <c r="M2611" s="571" t="s">
        <v>119</v>
      </c>
      <c r="N2611" s="745">
        <v>65043</v>
      </c>
      <c r="O2611" s="572">
        <v>65043</v>
      </c>
      <c r="P2611" s="514">
        <v>65058</v>
      </c>
      <c r="Q2611" s="512" t="s">
        <v>51</v>
      </c>
    </row>
    <row r="2612" spans="1:17" ht="18">
      <c r="A2612" s="512">
        <f t="shared" si="33"/>
        <v>1765</v>
      </c>
      <c r="B2612" s="660" t="s">
        <v>43</v>
      </c>
      <c r="C2612" s="644" t="s">
        <v>44</v>
      </c>
      <c r="D2612" s="644" t="s">
        <v>45</v>
      </c>
      <c r="E2612" s="644" t="s">
        <v>3149</v>
      </c>
      <c r="F2612" s="577" t="s">
        <v>1008</v>
      </c>
      <c r="G2612" s="577">
        <v>9847289513</v>
      </c>
      <c r="I2612" s="577">
        <v>68</v>
      </c>
      <c r="J2612" s="577" t="s">
        <v>90</v>
      </c>
      <c r="K2612" s="577" t="s">
        <v>1480</v>
      </c>
      <c r="M2612" s="571" t="s">
        <v>119</v>
      </c>
      <c r="N2612" s="745">
        <v>65043</v>
      </c>
      <c r="O2612" s="572">
        <v>65043</v>
      </c>
      <c r="P2612" s="514">
        <v>65058</v>
      </c>
      <c r="Q2612" s="512" t="s">
        <v>51</v>
      </c>
    </row>
    <row r="2613" spans="1:17" ht="18">
      <c r="A2613" s="512">
        <f t="shared" si="33"/>
        <v>1766</v>
      </c>
      <c r="B2613" s="660" t="s">
        <v>43</v>
      </c>
      <c r="C2613" s="644" t="s">
        <v>44</v>
      </c>
      <c r="D2613" s="644" t="s">
        <v>45</v>
      </c>
      <c r="E2613" s="644" t="s">
        <v>3126</v>
      </c>
      <c r="F2613" s="577" t="s">
        <v>124</v>
      </c>
      <c r="G2613" s="577">
        <v>9847872037</v>
      </c>
      <c r="I2613" s="577">
        <v>34</v>
      </c>
      <c r="J2613" s="577" t="s">
        <v>90</v>
      </c>
      <c r="K2613" s="577" t="s">
        <v>1480</v>
      </c>
      <c r="M2613" s="571" t="s">
        <v>119</v>
      </c>
      <c r="N2613" s="745">
        <v>65043</v>
      </c>
      <c r="O2613" s="572">
        <v>65043</v>
      </c>
      <c r="P2613" s="514">
        <v>65058</v>
      </c>
      <c r="Q2613" s="512" t="s">
        <v>51</v>
      </c>
    </row>
    <row r="2614" spans="1:17" ht="18">
      <c r="A2614" s="512">
        <f t="shared" si="33"/>
        <v>1767</v>
      </c>
      <c r="B2614" s="660" t="s">
        <v>43</v>
      </c>
      <c r="C2614" s="644" t="s">
        <v>44</v>
      </c>
      <c r="D2614" s="644" t="s">
        <v>45</v>
      </c>
      <c r="E2614" s="644" t="s">
        <v>3124</v>
      </c>
      <c r="F2614" s="577" t="s">
        <v>124</v>
      </c>
      <c r="G2614" s="577">
        <v>9809512116</v>
      </c>
      <c r="I2614" s="577">
        <v>48</v>
      </c>
      <c r="J2614" s="577" t="s">
        <v>90</v>
      </c>
      <c r="K2614" s="577" t="s">
        <v>1468</v>
      </c>
      <c r="M2614" s="571" t="s">
        <v>119</v>
      </c>
      <c r="N2614" s="745">
        <v>65043</v>
      </c>
      <c r="O2614" s="572">
        <v>65043</v>
      </c>
      <c r="P2614" s="514">
        <v>65058</v>
      </c>
      <c r="Q2614" s="512" t="s">
        <v>51</v>
      </c>
    </row>
    <row r="2615" spans="1:17" ht="18">
      <c r="A2615" s="512">
        <f t="shared" si="33"/>
        <v>1768</v>
      </c>
      <c r="B2615" s="660" t="s">
        <v>43</v>
      </c>
      <c r="C2615" s="644" t="s">
        <v>44</v>
      </c>
      <c r="D2615" s="644" t="s">
        <v>45</v>
      </c>
      <c r="E2615" s="644" t="s">
        <v>3132</v>
      </c>
      <c r="F2615" s="577" t="s">
        <v>1046</v>
      </c>
      <c r="G2615" s="577">
        <v>9868663710</v>
      </c>
      <c r="I2615" s="577">
        <v>60</v>
      </c>
      <c r="J2615" s="577" t="s">
        <v>90</v>
      </c>
      <c r="K2615" s="577" t="s">
        <v>1468</v>
      </c>
      <c r="M2615" s="571" t="s">
        <v>119</v>
      </c>
      <c r="N2615" s="745">
        <v>65043</v>
      </c>
      <c r="O2615" s="572">
        <v>65043</v>
      </c>
      <c r="P2615" s="514">
        <v>65058</v>
      </c>
      <c r="Q2615" s="512" t="s">
        <v>51</v>
      </c>
    </row>
    <row r="2616" spans="1:17" ht="18">
      <c r="A2616" s="512">
        <f t="shared" si="33"/>
        <v>1769</v>
      </c>
      <c r="B2616" s="669" t="s">
        <v>43</v>
      </c>
      <c r="C2616" s="640" t="s">
        <v>44</v>
      </c>
      <c r="D2616" s="640" t="s">
        <v>45</v>
      </c>
      <c r="E2616" s="640" t="s">
        <v>2310</v>
      </c>
      <c r="F2616" s="635" t="s">
        <v>491</v>
      </c>
      <c r="G2616" s="635">
        <v>9847946599</v>
      </c>
      <c r="H2616" s="436"/>
      <c r="I2616" s="635">
        <v>40</v>
      </c>
      <c r="J2616" s="635" t="s">
        <v>48</v>
      </c>
      <c r="K2616" s="635" t="s">
        <v>53</v>
      </c>
      <c r="L2616" s="438"/>
      <c r="M2616" s="592" t="s">
        <v>54</v>
      </c>
      <c r="N2616" s="754">
        <v>65043</v>
      </c>
      <c r="O2616" s="610">
        <v>65043</v>
      </c>
      <c r="P2616" s="465">
        <v>65061</v>
      </c>
      <c r="Q2616" s="436" t="s">
        <v>51</v>
      </c>
    </row>
    <row r="2617" spans="1:17" ht="18">
      <c r="A2617" s="512">
        <f t="shared" si="33"/>
        <v>1770</v>
      </c>
      <c r="B2617" s="660" t="s">
        <v>43</v>
      </c>
      <c r="C2617" s="644" t="s">
        <v>44</v>
      </c>
      <c r="D2617" s="644" t="s">
        <v>45</v>
      </c>
      <c r="E2617" s="644" t="s">
        <v>3015</v>
      </c>
      <c r="F2617" s="577" t="s">
        <v>124</v>
      </c>
      <c r="G2617" s="577">
        <v>9809508323</v>
      </c>
      <c r="I2617" s="577">
        <v>28</v>
      </c>
      <c r="J2617" s="577" t="s">
        <v>48</v>
      </c>
      <c r="K2617" s="577" t="s">
        <v>1468</v>
      </c>
      <c r="M2617" s="571" t="s">
        <v>119</v>
      </c>
      <c r="N2617" s="745">
        <v>65043</v>
      </c>
      <c r="O2617" s="572">
        <v>65043</v>
      </c>
      <c r="P2617" s="514">
        <v>65058</v>
      </c>
      <c r="Q2617" s="512" t="s">
        <v>51</v>
      </c>
    </row>
    <row r="2618" spans="1:17" ht="18">
      <c r="A2618" s="512">
        <f t="shared" si="33"/>
        <v>1771</v>
      </c>
      <c r="B2618" s="660" t="s">
        <v>43</v>
      </c>
      <c r="C2618" s="644" t="s">
        <v>44</v>
      </c>
      <c r="D2618" s="644" t="s">
        <v>45</v>
      </c>
      <c r="E2618" s="670" t="s">
        <v>3016</v>
      </c>
      <c r="F2618" s="577" t="s">
        <v>124</v>
      </c>
      <c r="G2618" s="577">
        <v>9847888704</v>
      </c>
      <c r="I2618" s="577">
        <v>42</v>
      </c>
      <c r="J2618" s="577" t="s">
        <v>48</v>
      </c>
      <c r="K2618" s="577" t="s">
        <v>1468</v>
      </c>
      <c r="M2618" s="571" t="s">
        <v>119</v>
      </c>
      <c r="N2618" s="745">
        <v>65043</v>
      </c>
      <c r="O2618" s="572">
        <v>65043</v>
      </c>
      <c r="P2618" s="514">
        <v>65058</v>
      </c>
      <c r="Q2618" s="512" t="s">
        <v>51</v>
      </c>
    </row>
    <row r="2619" spans="1:17" ht="18">
      <c r="A2619" s="512">
        <f t="shared" si="33"/>
        <v>1772</v>
      </c>
      <c r="B2619" s="660" t="s">
        <v>43</v>
      </c>
      <c r="C2619" s="644" t="s">
        <v>44</v>
      </c>
      <c r="D2619" s="644" t="s">
        <v>45</v>
      </c>
      <c r="E2619" s="644" t="s">
        <v>3112</v>
      </c>
      <c r="F2619" s="577" t="s">
        <v>441</v>
      </c>
      <c r="G2619" s="577">
        <v>9809874498</v>
      </c>
      <c r="I2619" s="577">
        <v>34</v>
      </c>
      <c r="J2619" s="577" t="s">
        <v>90</v>
      </c>
      <c r="K2619" s="577" t="s">
        <v>1468</v>
      </c>
      <c r="M2619" s="571" t="s">
        <v>119</v>
      </c>
      <c r="N2619" s="745">
        <v>65043</v>
      </c>
      <c r="O2619" s="572">
        <v>65043</v>
      </c>
      <c r="P2619" s="514">
        <v>65058</v>
      </c>
      <c r="Q2619" s="512" t="s">
        <v>51</v>
      </c>
    </row>
    <row r="2620" spans="1:17" ht="18">
      <c r="A2620" s="512">
        <f t="shared" si="33"/>
        <v>1773</v>
      </c>
      <c r="B2620" s="660" t="s">
        <v>43</v>
      </c>
      <c r="C2620" s="644" t="s">
        <v>44</v>
      </c>
      <c r="D2620" s="644" t="s">
        <v>45</v>
      </c>
      <c r="E2620" s="644" t="s">
        <v>3067</v>
      </c>
      <c r="F2620" s="577" t="s">
        <v>502</v>
      </c>
      <c r="G2620" s="577">
        <v>9864918664</v>
      </c>
      <c r="I2620" s="577">
        <v>39</v>
      </c>
      <c r="J2620" s="577" t="s">
        <v>90</v>
      </c>
      <c r="K2620" s="577" t="s">
        <v>1468</v>
      </c>
      <c r="M2620" s="571" t="s">
        <v>119</v>
      </c>
      <c r="N2620" s="745">
        <v>65043</v>
      </c>
      <c r="O2620" s="572">
        <v>65043</v>
      </c>
      <c r="P2620" s="514">
        <v>65058</v>
      </c>
      <c r="Q2620" s="512" t="s">
        <v>51</v>
      </c>
    </row>
    <row r="2621" spans="1:17" ht="18">
      <c r="A2621" s="512">
        <f t="shared" si="33"/>
        <v>1774</v>
      </c>
      <c r="B2621" s="669" t="s">
        <v>43</v>
      </c>
      <c r="C2621" s="640" t="s">
        <v>44</v>
      </c>
      <c r="D2621" s="640" t="s">
        <v>45</v>
      </c>
      <c r="E2621" s="640" t="s">
        <v>2975</v>
      </c>
      <c r="F2621" s="635" t="s">
        <v>491</v>
      </c>
      <c r="G2621" s="635">
        <v>9813291688</v>
      </c>
      <c r="H2621" s="436"/>
      <c r="I2621" s="635">
        <v>50</v>
      </c>
      <c r="J2621" s="635" t="s">
        <v>48</v>
      </c>
      <c r="K2621" s="635" t="s">
        <v>1480</v>
      </c>
      <c r="L2621" s="438"/>
      <c r="M2621" s="592" t="s">
        <v>54</v>
      </c>
      <c r="N2621" s="754">
        <v>65043</v>
      </c>
      <c r="O2621" s="610">
        <v>65043</v>
      </c>
      <c r="P2621" s="465">
        <v>65061</v>
      </c>
      <c r="Q2621" s="436" t="s">
        <v>51</v>
      </c>
    </row>
    <row r="2622" spans="1:17" ht="18">
      <c r="A2622" s="512">
        <f t="shared" si="33"/>
        <v>1775</v>
      </c>
      <c r="B2622" s="660" t="s">
        <v>43</v>
      </c>
      <c r="C2622" s="644" t="s">
        <v>44</v>
      </c>
      <c r="D2622" s="644" t="s">
        <v>45</v>
      </c>
      <c r="E2622" s="644" t="s">
        <v>2948</v>
      </c>
      <c r="F2622" s="577" t="s">
        <v>598</v>
      </c>
      <c r="G2622" s="577">
        <v>9829807608</v>
      </c>
      <c r="I2622" s="577">
        <v>58</v>
      </c>
      <c r="J2622" s="577" t="s">
        <v>48</v>
      </c>
      <c r="K2622" s="577" t="s">
        <v>1468</v>
      </c>
      <c r="M2622" s="571" t="s">
        <v>119</v>
      </c>
      <c r="N2622" s="745">
        <v>65043</v>
      </c>
      <c r="O2622" s="572">
        <v>65043</v>
      </c>
      <c r="P2622" s="514">
        <v>65058</v>
      </c>
      <c r="Q2622" s="512" t="s">
        <v>51</v>
      </c>
    </row>
    <row r="2623" spans="1:17" ht="18">
      <c r="A2623" s="512">
        <f t="shared" si="33"/>
        <v>1776</v>
      </c>
      <c r="B2623" s="660" t="s">
        <v>43</v>
      </c>
      <c r="C2623" s="644" t="s">
        <v>44</v>
      </c>
      <c r="D2623" s="644" t="s">
        <v>45</v>
      </c>
      <c r="E2623" s="644" t="s">
        <v>2943</v>
      </c>
      <c r="F2623" s="577" t="s">
        <v>512</v>
      </c>
      <c r="G2623" s="577">
        <v>9812836139</v>
      </c>
      <c r="I2623" s="577">
        <v>55</v>
      </c>
      <c r="J2623" s="577" t="s">
        <v>48</v>
      </c>
      <c r="K2623" s="577" t="s">
        <v>53</v>
      </c>
      <c r="M2623" s="571" t="s">
        <v>119</v>
      </c>
      <c r="N2623" s="745">
        <v>65043</v>
      </c>
      <c r="O2623" s="572">
        <v>65043</v>
      </c>
      <c r="P2623" s="514">
        <v>65058</v>
      </c>
      <c r="Q2623" s="512" t="s">
        <v>51</v>
      </c>
    </row>
    <row r="2624" spans="1:17" ht="18">
      <c r="A2624" s="512">
        <f t="shared" si="33"/>
        <v>1777</v>
      </c>
      <c r="B2624" s="660" t="s">
        <v>43</v>
      </c>
      <c r="C2624" s="644" t="s">
        <v>44</v>
      </c>
      <c r="D2624" s="644" t="s">
        <v>45</v>
      </c>
      <c r="E2624" s="644" t="s">
        <v>3133</v>
      </c>
      <c r="F2624" s="577" t="s">
        <v>1046</v>
      </c>
      <c r="G2624" s="577">
        <v>9817715695</v>
      </c>
      <c r="I2624" s="577">
        <v>50</v>
      </c>
      <c r="J2624" s="577" t="s">
        <v>90</v>
      </c>
      <c r="K2624" s="577" t="s">
        <v>1468</v>
      </c>
      <c r="M2624" s="571" t="s">
        <v>119</v>
      </c>
      <c r="N2624" s="745">
        <v>65043</v>
      </c>
      <c r="O2624" s="572">
        <v>65043</v>
      </c>
      <c r="P2624" s="514">
        <v>65058</v>
      </c>
      <c r="Q2624" s="512" t="s">
        <v>51</v>
      </c>
    </row>
    <row r="2625" spans="1:17" ht="18">
      <c r="A2625" s="512">
        <f t="shared" si="33"/>
        <v>1778</v>
      </c>
      <c r="B2625" s="660" t="s">
        <v>43</v>
      </c>
      <c r="C2625" s="644" t="s">
        <v>44</v>
      </c>
      <c r="D2625" s="644" t="s">
        <v>45</v>
      </c>
      <c r="E2625" s="644" t="s">
        <v>3047</v>
      </c>
      <c r="F2625" s="577" t="s">
        <v>730</v>
      </c>
      <c r="G2625" s="577">
        <v>9857820496</v>
      </c>
      <c r="I2625" s="577">
        <v>54</v>
      </c>
      <c r="J2625" s="577" t="s">
        <v>48</v>
      </c>
      <c r="K2625" s="577" t="s">
        <v>53</v>
      </c>
      <c r="M2625" s="571" t="s">
        <v>119</v>
      </c>
      <c r="N2625" s="745">
        <v>65043</v>
      </c>
      <c r="O2625" s="572">
        <v>65043</v>
      </c>
      <c r="P2625" s="514">
        <v>65058</v>
      </c>
      <c r="Q2625" s="512" t="s">
        <v>51</v>
      </c>
    </row>
    <row r="2626" spans="1:17" ht="18">
      <c r="A2626" s="512">
        <f t="shared" si="33"/>
        <v>1779</v>
      </c>
      <c r="B2626" s="660" t="s">
        <v>43</v>
      </c>
      <c r="C2626" s="644" t="s">
        <v>44</v>
      </c>
      <c r="D2626" s="644" t="s">
        <v>45</v>
      </c>
      <c r="E2626" s="644" t="s">
        <v>2999</v>
      </c>
      <c r="F2626" s="577" t="s">
        <v>441</v>
      </c>
      <c r="G2626" s="577">
        <v>9851259377</v>
      </c>
      <c r="I2626" s="577">
        <v>40</v>
      </c>
      <c r="J2626" s="577" t="s">
        <v>48</v>
      </c>
      <c r="K2626" s="577" t="s">
        <v>1480</v>
      </c>
      <c r="M2626" s="571" t="s">
        <v>119</v>
      </c>
      <c r="N2626" s="745">
        <v>65043</v>
      </c>
      <c r="O2626" s="572">
        <v>65043</v>
      </c>
      <c r="P2626" s="514">
        <v>65058</v>
      </c>
      <c r="Q2626" s="512" t="s">
        <v>51</v>
      </c>
    </row>
    <row r="2627" spans="1:17" ht="18">
      <c r="A2627" s="512">
        <f t="shared" si="33"/>
        <v>1780</v>
      </c>
      <c r="B2627" s="660" t="s">
        <v>43</v>
      </c>
      <c r="C2627" s="644" t="s">
        <v>44</v>
      </c>
      <c r="D2627" s="644" t="s">
        <v>45</v>
      </c>
      <c r="E2627" s="644" t="s">
        <v>1690</v>
      </c>
      <c r="F2627" s="577" t="s">
        <v>529</v>
      </c>
      <c r="G2627" s="577">
        <v>9847978626</v>
      </c>
      <c r="I2627" s="577">
        <v>32</v>
      </c>
      <c r="J2627" s="577" t="s">
        <v>90</v>
      </c>
      <c r="K2627" s="577" t="s">
        <v>1468</v>
      </c>
      <c r="M2627" s="571" t="s">
        <v>119</v>
      </c>
      <c r="N2627" s="745">
        <v>65043</v>
      </c>
      <c r="O2627" s="572">
        <v>65043</v>
      </c>
      <c r="P2627" s="514">
        <v>65058</v>
      </c>
      <c r="Q2627" s="512" t="s">
        <v>51</v>
      </c>
    </row>
    <row r="2628" spans="1:17" ht="18">
      <c r="A2628" s="512">
        <f t="shared" si="33"/>
        <v>1781</v>
      </c>
      <c r="B2628" s="660" t="s">
        <v>43</v>
      </c>
      <c r="C2628" s="644" t="s">
        <v>44</v>
      </c>
      <c r="D2628" s="644" t="s">
        <v>45</v>
      </c>
      <c r="E2628" s="644" t="s">
        <v>3068</v>
      </c>
      <c r="F2628" s="577" t="s">
        <v>502</v>
      </c>
      <c r="G2628" s="577">
        <v>9810892694</v>
      </c>
      <c r="I2628" s="577">
        <v>42</v>
      </c>
      <c r="J2628" s="577" t="s">
        <v>90</v>
      </c>
      <c r="K2628" s="577" t="s">
        <v>1468</v>
      </c>
      <c r="M2628" s="571" t="s">
        <v>119</v>
      </c>
      <c r="N2628" s="745">
        <v>65043</v>
      </c>
      <c r="O2628" s="572">
        <v>65043</v>
      </c>
      <c r="P2628" s="514">
        <v>65058</v>
      </c>
      <c r="Q2628" s="512" t="s">
        <v>51</v>
      </c>
    </row>
    <row r="2629" spans="1:17" ht="18">
      <c r="A2629" s="512">
        <f t="shared" si="33"/>
        <v>1782</v>
      </c>
      <c r="B2629" s="660" t="s">
        <v>43</v>
      </c>
      <c r="C2629" s="644" t="s">
        <v>44</v>
      </c>
      <c r="D2629" s="644" t="s">
        <v>45</v>
      </c>
      <c r="E2629" s="644" t="s">
        <v>3144</v>
      </c>
      <c r="F2629" s="577" t="s">
        <v>730</v>
      </c>
      <c r="G2629" s="577">
        <v>9844996384</v>
      </c>
      <c r="I2629" s="577">
        <v>31</v>
      </c>
      <c r="J2629" s="577" t="s">
        <v>90</v>
      </c>
      <c r="K2629" s="577" t="s">
        <v>53</v>
      </c>
      <c r="M2629" s="571" t="s">
        <v>119</v>
      </c>
      <c r="N2629" s="745">
        <v>65043</v>
      </c>
      <c r="O2629" s="572">
        <v>65043</v>
      </c>
      <c r="P2629" s="514">
        <v>65058</v>
      </c>
      <c r="Q2629" s="512" t="s">
        <v>51</v>
      </c>
    </row>
    <row r="2630" spans="1:17" ht="18">
      <c r="A2630" s="512">
        <f t="shared" si="33"/>
        <v>1783</v>
      </c>
      <c r="B2630" s="660" t="s">
        <v>43</v>
      </c>
      <c r="C2630" s="644" t="s">
        <v>44</v>
      </c>
      <c r="D2630" s="644" t="s">
        <v>45</v>
      </c>
      <c r="E2630" s="644" t="s">
        <v>3134</v>
      </c>
      <c r="F2630" s="577" t="s">
        <v>1046</v>
      </c>
      <c r="G2630" s="577">
        <v>9847832462</v>
      </c>
      <c r="I2630" s="577">
        <v>65</v>
      </c>
      <c r="J2630" s="577" t="s">
        <v>90</v>
      </c>
      <c r="K2630" s="577" t="s">
        <v>1468</v>
      </c>
      <c r="M2630" s="571" t="s">
        <v>119</v>
      </c>
      <c r="N2630" s="745">
        <v>65043</v>
      </c>
      <c r="O2630" s="572">
        <v>65043</v>
      </c>
      <c r="P2630" s="514">
        <v>65058</v>
      </c>
      <c r="Q2630" s="512" t="s">
        <v>51</v>
      </c>
    </row>
    <row r="2631" spans="1:17" ht="18">
      <c r="A2631" s="512">
        <f t="shared" si="33"/>
        <v>1784</v>
      </c>
      <c r="B2631" s="660" t="s">
        <v>43</v>
      </c>
      <c r="C2631" s="644" t="s">
        <v>44</v>
      </c>
      <c r="D2631" s="644" t="s">
        <v>45</v>
      </c>
      <c r="E2631" s="670" t="s">
        <v>2940</v>
      </c>
      <c r="F2631" s="577" t="s">
        <v>636</v>
      </c>
      <c r="G2631" s="577">
        <v>9809874498</v>
      </c>
      <c r="I2631" s="577">
        <v>37</v>
      </c>
      <c r="J2631" s="577" t="s">
        <v>48</v>
      </c>
      <c r="K2631" s="577" t="s">
        <v>1468</v>
      </c>
      <c r="M2631" s="571" t="s">
        <v>119</v>
      </c>
      <c r="N2631" s="745">
        <v>65043</v>
      </c>
      <c r="O2631" s="572">
        <v>65043</v>
      </c>
      <c r="P2631" s="514">
        <v>65058</v>
      </c>
      <c r="Q2631" s="512" t="s">
        <v>51</v>
      </c>
    </row>
    <row r="2632" spans="1:17" ht="18">
      <c r="A2632" s="512">
        <f t="shared" si="33"/>
        <v>1785</v>
      </c>
      <c r="B2632" s="660" t="s">
        <v>43</v>
      </c>
      <c r="C2632" s="644" t="s">
        <v>44</v>
      </c>
      <c r="D2632" s="644" t="s">
        <v>45</v>
      </c>
      <c r="E2632" s="644" t="s">
        <v>3020</v>
      </c>
      <c r="F2632" s="577" t="s">
        <v>124</v>
      </c>
      <c r="G2632" s="577">
        <v>9809873496</v>
      </c>
      <c r="I2632" s="577">
        <v>44</v>
      </c>
      <c r="J2632" s="577" t="s">
        <v>48</v>
      </c>
      <c r="K2632" s="577" t="s">
        <v>1480</v>
      </c>
      <c r="M2632" s="571" t="s">
        <v>119</v>
      </c>
      <c r="N2632" s="745">
        <v>65043</v>
      </c>
      <c r="O2632" s="572">
        <v>65043</v>
      </c>
      <c r="P2632" s="514">
        <v>65058</v>
      </c>
      <c r="Q2632" s="512" t="s">
        <v>51</v>
      </c>
    </row>
    <row r="2633" spans="1:17" ht="18">
      <c r="A2633" s="512">
        <f t="shared" si="33"/>
        <v>1786</v>
      </c>
      <c r="B2633" s="660" t="s">
        <v>43</v>
      </c>
      <c r="C2633" s="644" t="s">
        <v>44</v>
      </c>
      <c r="D2633" s="644" t="s">
        <v>45</v>
      </c>
      <c r="E2633" s="644" t="s">
        <v>2976</v>
      </c>
      <c r="F2633" s="577" t="s">
        <v>491</v>
      </c>
      <c r="G2633" s="577">
        <v>9868639894</v>
      </c>
      <c r="I2633" s="577">
        <v>46</v>
      </c>
      <c r="J2633" s="577" t="s">
        <v>48</v>
      </c>
      <c r="K2633" s="577" t="s">
        <v>1480</v>
      </c>
      <c r="M2633" s="571" t="s">
        <v>119</v>
      </c>
      <c r="N2633" s="745">
        <v>65043</v>
      </c>
      <c r="O2633" s="572">
        <v>65043</v>
      </c>
      <c r="P2633" s="514">
        <v>65058</v>
      </c>
      <c r="Q2633" s="512" t="s">
        <v>51</v>
      </c>
    </row>
    <row r="2634" spans="1:17" ht="18">
      <c r="A2634" s="512">
        <f t="shared" si="33"/>
        <v>1787</v>
      </c>
      <c r="B2634" s="660" t="s">
        <v>43</v>
      </c>
      <c r="C2634" s="644" t="s">
        <v>44</v>
      </c>
      <c r="D2634" s="644" t="s">
        <v>45</v>
      </c>
      <c r="E2634" s="644" t="s">
        <v>3145</v>
      </c>
      <c r="F2634" s="577" t="s">
        <v>730</v>
      </c>
      <c r="G2634" s="577">
        <v>9806242517</v>
      </c>
      <c r="I2634" s="577">
        <v>46</v>
      </c>
      <c r="J2634" s="577" t="s">
        <v>90</v>
      </c>
      <c r="K2634" s="577" t="s">
        <v>53</v>
      </c>
      <c r="M2634" s="571" t="s">
        <v>119</v>
      </c>
      <c r="N2634" s="745">
        <v>65043</v>
      </c>
      <c r="O2634" s="572">
        <v>65043</v>
      </c>
      <c r="P2634" s="514">
        <v>65058</v>
      </c>
      <c r="Q2634" s="512" t="s">
        <v>51</v>
      </c>
    </row>
    <row r="2635" spans="1:17" ht="18">
      <c r="A2635" s="512">
        <f t="shared" si="33"/>
        <v>1788</v>
      </c>
      <c r="B2635" s="660" t="s">
        <v>43</v>
      </c>
      <c r="C2635" s="644" t="s">
        <v>44</v>
      </c>
      <c r="D2635" s="644" t="s">
        <v>45</v>
      </c>
      <c r="E2635" s="644" t="s">
        <v>2962</v>
      </c>
      <c r="F2635" s="577" t="s">
        <v>502</v>
      </c>
      <c r="G2635" s="577">
        <v>9857822443</v>
      </c>
      <c r="I2635" s="577">
        <v>44</v>
      </c>
      <c r="J2635" s="577" t="s">
        <v>48</v>
      </c>
      <c r="K2635" s="577" t="s">
        <v>1480</v>
      </c>
      <c r="M2635" s="571" t="s">
        <v>119</v>
      </c>
      <c r="N2635" s="745">
        <v>65043</v>
      </c>
      <c r="O2635" s="572">
        <v>65043</v>
      </c>
      <c r="P2635" s="514">
        <v>65058</v>
      </c>
      <c r="Q2635" s="512" t="s">
        <v>51</v>
      </c>
    </row>
    <row r="2636" spans="1:17" ht="18">
      <c r="A2636" s="512">
        <f t="shared" si="33"/>
        <v>1789</v>
      </c>
      <c r="B2636" s="660" t="s">
        <v>43</v>
      </c>
      <c r="C2636" s="644" t="s">
        <v>44</v>
      </c>
      <c r="D2636" s="644" t="s">
        <v>45</v>
      </c>
      <c r="E2636" s="644" t="s">
        <v>3044</v>
      </c>
      <c r="F2636" s="577" t="s">
        <v>497</v>
      </c>
      <c r="G2636" s="577">
        <v>9847831435</v>
      </c>
      <c r="I2636" s="577">
        <v>42</v>
      </c>
      <c r="J2636" s="577" t="s">
        <v>48</v>
      </c>
      <c r="K2636" s="577" t="s">
        <v>1480</v>
      </c>
      <c r="M2636" s="571" t="s">
        <v>119</v>
      </c>
      <c r="N2636" s="745">
        <v>65043</v>
      </c>
      <c r="O2636" s="572">
        <v>65043</v>
      </c>
      <c r="P2636" s="514">
        <v>65058</v>
      </c>
      <c r="Q2636" s="512" t="s">
        <v>51</v>
      </c>
    </row>
    <row r="2637" spans="1:17" ht="18">
      <c r="A2637" s="512">
        <f t="shared" si="33"/>
        <v>1790</v>
      </c>
      <c r="B2637" s="660" t="s">
        <v>43</v>
      </c>
      <c r="C2637" s="644" t="s">
        <v>44</v>
      </c>
      <c r="D2637" s="644" t="s">
        <v>45</v>
      </c>
      <c r="E2637" s="644" t="s">
        <v>2998</v>
      </c>
      <c r="F2637" s="577" t="s">
        <v>441</v>
      </c>
      <c r="G2637" s="577">
        <v>9847844161</v>
      </c>
      <c r="I2637" s="577">
        <v>51</v>
      </c>
      <c r="J2637" s="577" t="s">
        <v>48</v>
      </c>
      <c r="K2637" s="577" t="s">
        <v>1468</v>
      </c>
      <c r="M2637" s="571" t="s">
        <v>119</v>
      </c>
      <c r="N2637" s="745">
        <v>65043</v>
      </c>
      <c r="O2637" s="572">
        <v>65043</v>
      </c>
      <c r="P2637" s="514">
        <v>65058</v>
      </c>
      <c r="Q2637" s="512" t="s">
        <v>51</v>
      </c>
    </row>
    <row r="2638" spans="1:17" ht="18">
      <c r="A2638" s="512">
        <f t="shared" si="33"/>
        <v>1791</v>
      </c>
      <c r="B2638" s="660" t="s">
        <v>43</v>
      </c>
      <c r="C2638" s="644" t="s">
        <v>44</v>
      </c>
      <c r="D2638" s="644" t="s">
        <v>45</v>
      </c>
      <c r="E2638" s="670" t="s">
        <v>3091</v>
      </c>
      <c r="F2638" s="577" t="s">
        <v>491</v>
      </c>
      <c r="G2638" s="577">
        <v>9847824650</v>
      </c>
      <c r="I2638" s="577">
        <v>37</v>
      </c>
      <c r="J2638" s="577" t="s">
        <v>90</v>
      </c>
      <c r="K2638" s="577" t="s">
        <v>1480</v>
      </c>
      <c r="M2638" s="571" t="s">
        <v>119</v>
      </c>
      <c r="N2638" s="745">
        <v>65043</v>
      </c>
      <c r="O2638" s="572">
        <v>65043</v>
      </c>
      <c r="P2638" s="514">
        <v>65058</v>
      </c>
      <c r="Q2638" s="512" t="s">
        <v>51</v>
      </c>
    </row>
    <row r="2639" spans="1:17" ht="18">
      <c r="A2639" s="512">
        <f t="shared" si="33"/>
        <v>1792</v>
      </c>
      <c r="B2639" s="660" t="s">
        <v>43</v>
      </c>
      <c r="C2639" s="644" t="s">
        <v>44</v>
      </c>
      <c r="D2639" s="644" t="s">
        <v>45</v>
      </c>
      <c r="E2639" s="670" t="s">
        <v>3088</v>
      </c>
      <c r="F2639" s="577" t="s">
        <v>491</v>
      </c>
      <c r="G2639" s="577">
        <v>9857823985</v>
      </c>
      <c r="I2639" s="577">
        <v>50</v>
      </c>
      <c r="J2639" s="577" t="s">
        <v>90</v>
      </c>
      <c r="K2639" s="577" t="s">
        <v>1468</v>
      </c>
      <c r="M2639" s="571" t="s">
        <v>119</v>
      </c>
      <c r="N2639" s="745">
        <v>65043</v>
      </c>
      <c r="O2639" s="572">
        <v>65043</v>
      </c>
      <c r="P2639" s="514">
        <v>65058</v>
      </c>
      <c r="Q2639" s="512" t="s">
        <v>51</v>
      </c>
    </row>
    <row r="2640" spans="1:17" ht="18">
      <c r="A2640" s="512">
        <f t="shared" si="33"/>
        <v>1793</v>
      </c>
      <c r="B2640" s="660" t="s">
        <v>43</v>
      </c>
      <c r="C2640" s="644" t="s">
        <v>44</v>
      </c>
      <c r="D2640" s="644" t="s">
        <v>45</v>
      </c>
      <c r="E2640" s="644" t="s">
        <v>3142</v>
      </c>
      <c r="F2640" s="577" t="s">
        <v>557</v>
      </c>
      <c r="G2640" s="577">
        <v>9847962797</v>
      </c>
      <c r="I2640" s="577">
        <v>87</v>
      </c>
      <c r="J2640" s="577" t="s">
        <v>90</v>
      </c>
      <c r="K2640" s="577" t="s">
        <v>1480</v>
      </c>
      <c r="M2640" s="571" t="s">
        <v>119</v>
      </c>
      <c r="N2640" s="745">
        <v>65043</v>
      </c>
      <c r="O2640" s="572">
        <v>65043</v>
      </c>
      <c r="P2640" s="514">
        <v>65058</v>
      </c>
      <c r="Q2640" s="512" t="s">
        <v>51</v>
      </c>
    </row>
    <row r="2641" spans="1:17" ht="18">
      <c r="A2641" s="512">
        <f t="shared" si="33"/>
        <v>1794</v>
      </c>
      <c r="B2641" s="660" t="s">
        <v>43</v>
      </c>
      <c r="C2641" s="644" t="s">
        <v>44</v>
      </c>
      <c r="D2641" s="644" t="s">
        <v>45</v>
      </c>
      <c r="E2641" s="644" t="s">
        <v>3083</v>
      </c>
      <c r="F2641" s="577" t="s">
        <v>502</v>
      </c>
      <c r="G2641" s="577">
        <v>9858020001</v>
      </c>
      <c r="I2641" s="577">
        <v>5</v>
      </c>
      <c r="J2641" s="577" t="s">
        <v>90</v>
      </c>
      <c r="K2641" s="577" t="s">
        <v>1468</v>
      </c>
      <c r="M2641" s="571" t="s">
        <v>119</v>
      </c>
      <c r="N2641" s="745">
        <v>65043</v>
      </c>
      <c r="O2641" s="572">
        <v>65043</v>
      </c>
      <c r="P2641" s="514">
        <v>65058</v>
      </c>
      <c r="Q2641" s="512" t="s">
        <v>51</v>
      </c>
    </row>
    <row r="2642" spans="1:17" ht="18">
      <c r="A2642" s="512">
        <f t="shared" ref="A2642:A2705" si="34">A2641+1</f>
        <v>1795</v>
      </c>
      <c r="B2642" s="660" t="s">
        <v>43</v>
      </c>
      <c r="C2642" s="644" t="s">
        <v>44</v>
      </c>
      <c r="D2642" s="644" t="s">
        <v>45</v>
      </c>
      <c r="E2642" s="644" t="s">
        <v>2949</v>
      </c>
      <c r="F2642" s="577" t="s">
        <v>598</v>
      </c>
      <c r="G2642" s="577">
        <v>9822885363</v>
      </c>
      <c r="I2642" s="577">
        <v>36</v>
      </c>
      <c r="J2642" s="577" t="s">
        <v>48</v>
      </c>
      <c r="K2642" s="577" t="s">
        <v>1468</v>
      </c>
      <c r="M2642" s="571" t="s">
        <v>119</v>
      </c>
      <c r="N2642" s="745">
        <v>65043</v>
      </c>
      <c r="O2642" s="572">
        <v>65043</v>
      </c>
      <c r="P2642" s="514">
        <v>65058</v>
      </c>
      <c r="Q2642" s="512" t="s">
        <v>51</v>
      </c>
    </row>
    <row r="2643" spans="1:17" ht="18">
      <c r="A2643" s="512">
        <f t="shared" si="34"/>
        <v>1796</v>
      </c>
      <c r="B2643" s="660" t="s">
        <v>43</v>
      </c>
      <c r="C2643" s="644" t="s">
        <v>44</v>
      </c>
      <c r="D2643" s="644" t="s">
        <v>45</v>
      </c>
      <c r="E2643" s="644" t="s">
        <v>3054</v>
      </c>
      <c r="F2643" s="577" t="s">
        <v>1008</v>
      </c>
      <c r="G2643" s="577">
        <v>9809586513</v>
      </c>
      <c r="I2643" s="577">
        <v>26</v>
      </c>
      <c r="J2643" s="577" t="s">
        <v>48</v>
      </c>
      <c r="K2643" s="577" t="s">
        <v>1480</v>
      </c>
      <c r="M2643" s="571" t="s">
        <v>119</v>
      </c>
      <c r="N2643" s="745">
        <v>65043</v>
      </c>
      <c r="O2643" s="572">
        <v>65043</v>
      </c>
      <c r="P2643" s="514">
        <v>65058</v>
      </c>
      <c r="Q2643" s="512" t="s">
        <v>51</v>
      </c>
    </row>
    <row r="2644" spans="1:17" ht="18">
      <c r="A2644" s="512">
        <f t="shared" si="34"/>
        <v>1797</v>
      </c>
      <c r="B2644" s="660" t="s">
        <v>43</v>
      </c>
      <c r="C2644" s="644" t="s">
        <v>44</v>
      </c>
      <c r="D2644" s="644" t="s">
        <v>45</v>
      </c>
      <c r="E2644" s="644" t="s">
        <v>3017</v>
      </c>
      <c r="F2644" s="577" t="s">
        <v>124</v>
      </c>
      <c r="G2644" s="577">
        <v>9847956410</v>
      </c>
      <c r="I2644" s="577">
        <v>52</v>
      </c>
      <c r="J2644" s="577" t="s">
        <v>48</v>
      </c>
      <c r="K2644" s="577" t="s">
        <v>1468</v>
      </c>
      <c r="M2644" s="571" t="s">
        <v>119</v>
      </c>
      <c r="N2644" s="745">
        <v>65043</v>
      </c>
      <c r="O2644" s="572">
        <v>65043</v>
      </c>
      <c r="P2644" s="514">
        <v>65058</v>
      </c>
      <c r="Q2644" s="512" t="s">
        <v>51</v>
      </c>
    </row>
    <row r="2645" spans="1:17" ht="18">
      <c r="A2645" s="512">
        <f t="shared" si="34"/>
        <v>1798</v>
      </c>
      <c r="B2645" s="660" t="s">
        <v>43</v>
      </c>
      <c r="C2645" s="644" t="s">
        <v>44</v>
      </c>
      <c r="D2645" s="644" t="s">
        <v>45</v>
      </c>
      <c r="E2645" s="644" t="s">
        <v>3058</v>
      </c>
      <c r="F2645" s="577" t="s">
        <v>1204</v>
      </c>
      <c r="G2645" s="577">
        <v>9847837899</v>
      </c>
      <c r="I2645" s="577">
        <v>31</v>
      </c>
      <c r="J2645" s="577" t="s">
        <v>48</v>
      </c>
      <c r="K2645" s="577" t="s">
        <v>53</v>
      </c>
      <c r="M2645" s="571" t="s">
        <v>119</v>
      </c>
      <c r="N2645" s="745">
        <v>65043</v>
      </c>
      <c r="O2645" s="572">
        <v>65043</v>
      </c>
      <c r="P2645" s="514">
        <v>65058</v>
      </c>
      <c r="Q2645" s="512" t="s">
        <v>51</v>
      </c>
    </row>
    <row r="2646" spans="1:17" ht="18">
      <c r="A2646" s="512">
        <f t="shared" si="34"/>
        <v>1799</v>
      </c>
      <c r="B2646" s="660" t="s">
        <v>43</v>
      </c>
      <c r="C2646" s="644" t="s">
        <v>44</v>
      </c>
      <c r="D2646" s="644" t="s">
        <v>45</v>
      </c>
      <c r="E2646" s="644" t="s">
        <v>3007</v>
      </c>
      <c r="F2646" s="577" t="s">
        <v>529</v>
      </c>
      <c r="G2646" s="577">
        <v>9866176379</v>
      </c>
      <c r="I2646" s="577">
        <v>43</v>
      </c>
      <c r="J2646" s="577" t="s">
        <v>48</v>
      </c>
      <c r="K2646" s="577" t="s">
        <v>1480</v>
      </c>
      <c r="M2646" s="571" t="s">
        <v>119</v>
      </c>
      <c r="N2646" s="745">
        <v>65043</v>
      </c>
      <c r="O2646" s="572">
        <v>65043</v>
      </c>
      <c r="P2646" s="514">
        <v>65058</v>
      </c>
      <c r="Q2646" s="512" t="s">
        <v>51</v>
      </c>
    </row>
    <row r="2647" spans="1:17" ht="18">
      <c r="A2647" s="512">
        <f t="shared" si="34"/>
        <v>1800</v>
      </c>
      <c r="B2647" s="660" t="s">
        <v>43</v>
      </c>
      <c r="C2647" s="644" t="s">
        <v>44</v>
      </c>
      <c r="D2647" s="644" t="s">
        <v>45</v>
      </c>
      <c r="E2647" s="644" t="s">
        <v>3131</v>
      </c>
      <c r="F2647" s="577" t="s">
        <v>1009</v>
      </c>
      <c r="G2647" s="577">
        <v>9857821501</v>
      </c>
      <c r="I2647" s="577">
        <v>65</v>
      </c>
      <c r="J2647" s="577" t="s">
        <v>90</v>
      </c>
      <c r="K2647" s="577" t="s">
        <v>1468</v>
      </c>
      <c r="M2647" s="571" t="s">
        <v>119</v>
      </c>
      <c r="N2647" s="745">
        <v>65043</v>
      </c>
      <c r="O2647" s="572">
        <v>65043</v>
      </c>
      <c r="P2647" s="514">
        <v>65058</v>
      </c>
      <c r="Q2647" s="512" t="s">
        <v>51</v>
      </c>
    </row>
    <row r="2648" spans="1:17" ht="18">
      <c r="A2648" s="512">
        <f t="shared" si="34"/>
        <v>1801</v>
      </c>
      <c r="B2648" s="660" t="s">
        <v>43</v>
      </c>
      <c r="C2648" s="644" t="s">
        <v>44</v>
      </c>
      <c r="D2648" s="644" t="s">
        <v>45</v>
      </c>
      <c r="E2648" s="644" t="s">
        <v>3033</v>
      </c>
      <c r="F2648" s="577" t="s">
        <v>1046</v>
      </c>
      <c r="G2648" s="577">
        <v>9868663710</v>
      </c>
      <c r="I2648" s="577">
        <v>65</v>
      </c>
      <c r="J2648" s="577" t="s">
        <v>48</v>
      </c>
      <c r="K2648" s="577" t="s">
        <v>1468</v>
      </c>
      <c r="M2648" s="571" t="s">
        <v>119</v>
      </c>
      <c r="N2648" s="745">
        <v>65043</v>
      </c>
      <c r="O2648" s="572">
        <v>65043</v>
      </c>
      <c r="P2648" s="514">
        <v>65058</v>
      </c>
      <c r="Q2648" s="512" t="s">
        <v>51</v>
      </c>
    </row>
    <row r="2649" spans="1:17" ht="18">
      <c r="A2649" s="512">
        <f t="shared" si="34"/>
        <v>1802</v>
      </c>
      <c r="B2649" s="660" t="s">
        <v>43</v>
      </c>
      <c r="C2649" s="644" t="s">
        <v>44</v>
      </c>
      <c r="D2649" s="644" t="s">
        <v>45</v>
      </c>
      <c r="E2649" s="644" t="s">
        <v>2977</v>
      </c>
      <c r="F2649" s="577" t="s">
        <v>491</v>
      </c>
      <c r="G2649" s="577">
        <v>9810843902</v>
      </c>
      <c r="I2649" s="577">
        <v>51</v>
      </c>
      <c r="J2649" s="577" t="s">
        <v>48</v>
      </c>
      <c r="K2649" s="577" t="s">
        <v>1480</v>
      </c>
      <c r="M2649" s="571" t="s">
        <v>119</v>
      </c>
      <c r="N2649" s="745">
        <v>65043</v>
      </c>
      <c r="O2649" s="572">
        <v>65043</v>
      </c>
      <c r="P2649" s="514">
        <v>65058</v>
      </c>
      <c r="Q2649" s="512" t="s">
        <v>51</v>
      </c>
    </row>
    <row r="2650" spans="1:17" ht="18">
      <c r="A2650" s="512">
        <f t="shared" si="34"/>
        <v>1803</v>
      </c>
      <c r="B2650" s="660" t="s">
        <v>43</v>
      </c>
      <c r="C2650" s="644" t="s">
        <v>44</v>
      </c>
      <c r="D2650" s="644" t="s">
        <v>45</v>
      </c>
      <c r="E2650" s="644" t="s">
        <v>2960</v>
      </c>
      <c r="F2650" s="577" t="s">
        <v>502</v>
      </c>
      <c r="G2650" s="577">
        <v>9844933356</v>
      </c>
      <c r="I2650" s="577">
        <v>75</v>
      </c>
      <c r="J2650" s="577" t="s">
        <v>48</v>
      </c>
      <c r="K2650" s="577" t="s">
        <v>1468</v>
      </c>
      <c r="M2650" s="571" t="s">
        <v>119</v>
      </c>
      <c r="N2650" s="745">
        <v>65043</v>
      </c>
      <c r="O2650" s="572">
        <v>65043</v>
      </c>
      <c r="P2650" s="514">
        <v>65058</v>
      </c>
      <c r="Q2650" s="512" t="s">
        <v>51</v>
      </c>
    </row>
    <row r="2651" spans="1:17" ht="18">
      <c r="A2651" s="512">
        <f t="shared" si="34"/>
        <v>1804</v>
      </c>
      <c r="B2651" s="660" t="s">
        <v>43</v>
      </c>
      <c r="C2651" s="644" t="s">
        <v>44</v>
      </c>
      <c r="D2651" s="644" t="s">
        <v>45</v>
      </c>
      <c r="E2651" s="644" t="s">
        <v>3092</v>
      </c>
      <c r="F2651" s="577" t="s">
        <v>491</v>
      </c>
      <c r="G2651" s="577">
        <v>9847884765</v>
      </c>
      <c r="I2651" s="577">
        <v>59</v>
      </c>
      <c r="J2651" s="577" t="s">
        <v>90</v>
      </c>
      <c r="K2651" s="577" t="s">
        <v>1480</v>
      </c>
      <c r="M2651" s="571" t="s">
        <v>119</v>
      </c>
      <c r="N2651" s="745">
        <v>65043</v>
      </c>
      <c r="O2651" s="572">
        <v>65043</v>
      </c>
      <c r="P2651" s="514">
        <v>65058</v>
      </c>
      <c r="Q2651" s="512" t="s">
        <v>51</v>
      </c>
    </row>
    <row r="2652" spans="1:17" ht="18">
      <c r="A2652" s="512">
        <f t="shared" si="34"/>
        <v>1805</v>
      </c>
      <c r="B2652" s="660" t="s">
        <v>43</v>
      </c>
      <c r="C2652" s="644" t="s">
        <v>44</v>
      </c>
      <c r="D2652" s="644" t="s">
        <v>45</v>
      </c>
      <c r="E2652" s="644" t="s">
        <v>3113</v>
      </c>
      <c r="F2652" s="577" t="s">
        <v>441</v>
      </c>
      <c r="G2652" s="577">
        <v>9822851177</v>
      </c>
      <c r="I2652" s="577">
        <v>62</v>
      </c>
      <c r="J2652" s="577" t="s">
        <v>90</v>
      </c>
      <c r="K2652" s="577" t="s">
        <v>1468</v>
      </c>
      <c r="M2652" s="571" t="s">
        <v>119</v>
      </c>
      <c r="N2652" s="745">
        <v>65043</v>
      </c>
      <c r="O2652" s="572">
        <v>65043</v>
      </c>
      <c r="P2652" s="514">
        <v>65058</v>
      </c>
      <c r="Q2652" s="512" t="s">
        <v>51</v>
      </c>
    </row>
    <row r="2653" spans="1:17" ht="18">
      <c r="A2653" s="512">
        <f t="shared" si="34"/>
        <v>1806</v>
      </c>
      <c r="B2653" s="660" t="s">
        <v>43</v>
      </c>
      <c r="C2653" s="644" t="s">
        <v>44</v>
      </c>
      <c r="D2653" s="644" t="s">
        <v>45</v>
      </c>
      <c r="E2653" s="670" t="s">
        <v>3127</v>
      </c>
      <c r="F2653" s="577" t="s">
        <v>124</v>
      </c>
      <c r="G2653" s="577">
        <v>9848476427</v>
      </c>
      <c r="I2653" s="577">
        <v>29</v>
      </c>
      <c r="J2653" s="577" t="s">
        <v>90</v>
      </c>
      <c r="K2653" s="577" t="s">
        <v>1480</v>
      </c>
      <c r="M2653" s="571" t="s">
        <v>119</v>
      </c>
      <c r="N2653" s="745">
        <v>65043</v>
      </c>
      <c r="O2653" s="572">
        <v>65043</v>
      </c>
      <c r="P2653" s="514">
        <v>65058</v>
      </c>
      <c r="Q2653" s="512" t="s">
        <v>51</v>
      </c>
    </row>
    <row r="2654" spans="1:17" ht="18">
      <c r="A2654" s="512">
        <f t="shared" si="34"/>
        <v>1807</v>
      </c>
      <c r="B2654" s="660" t="s">
        <v>43</v>
      </c>
      <c r="C2654" s="644" t="s">
        <v>44</v>
      </c>
      <c r="D2654" s="644" t="s">
        <v>45</v>
      </c>
      <c r="E2654" s="644" t="s">
        <v>2944</v>
      </c>
      <c r="F2654" s="577" t="s">
        <v>512</v>
      </c>
      <c r="G2654" s="577">
        <v>9847849126</v>
      </c>
      <c r="I2654" s="577">
        <v>62</v>
      </c>
      <c r="J2654" s="577" t="s">
        <v>48</v>
      </c>
      <c r="K2654" s="577" t="s">
        <v>1468</v>
      </c>
      <c r="M2654" s="571" t="s">
        <v>119</v>
      </c>
      <c r="N2654" s="745">
        <v>65043</v>
      </c>
      <c r="O2654" s="572">
        <v>65043</v>
      </c>
      <c r="P2654" s="514">
        <v>65058</v>
      </c>
      <c r="Q2654" s="512" t="s">
        <v>51</v>
      </c>
    </row>
    <row r="2655" spans="1:17" ht="18">
      <c r="A2655" s="512">
        <f t="shared" si="34"/>
        <v>1808</v>
      </c>
      <c r="B2655" s="660" t="s">
        <v>43</v>
      </c>
      <c r="C2655" s="644" t="s">
        <v>44</v>
      </c>
      <c r="D2655" s="644" t="s">
        <v>45</v>
      </c>
      <c r="E2655" s="644" t="s">
        <v>2957</v>
      </c>
      <c r="F2655" s="577" t="s">
        <v>510</v>
      </c>
      <c r="G2655" s="577">
        <v>9844965722</v>
      </c>
      <c r="I2655" s="577">
        <v>60</v>
      </c>
      <c r="J2655" s="577" t="s">
        <v>48</v>
      </c>
      <c r="K2655" s="577" t="s">
        <v>1468</v>
      </c>
      <c r="M2655" s="571" t="s">
        <v>119</v>
      </c>
      <c r="N2655" s="745">
        <v>65043</v>
      </c>
      <c r="O2655" s="572">
        <v>65043</v>
      </c>
      <c r="P2655" s="514">
        <v>65058</v>
      </c>
      <c r="Q2655" s="512" t="s">
        <v>51</v>
      </c>
    </row>
    <row r="2656" spans="1:17" ht="18">
      <c r="A2656" s="512">
        <f t="shared" si="34"/>
        <v>1809</v>
      </c>
      <c r="B2656" s="660" t="s">
        <v>43</v>
      </c>
      <c r="C2656" s="644" t="s">
        <v>44</v>
      </c>
      <c r="D2656" s="644" t="s">
        <v>45</v>
      </c>
      <c r="E2656" s="644" t="s">
        <v>3059</v>
      </c>
      <c r="F2656" s="577" t="s">
        <v>1204</v>
      </c>
      <c r="G2656" s="577">
        <v>9857821071</v>
      </c>
      <c r="I2656" s="577">
        <v>40</v>
      </c>
      <c r="J2656" s="577" t="s">
        <v>48</v>
      </c>
      <c r="K2656" s="577" t="s">
        <v>53</v>
      </c>
      <c r="M2656" s="571" t="s">
        <v>119</v>
      </c>
      <c r="N2656" s="745">
        <v>65043</v>
      </c>
      <c r="O2656" s="572">
        <v>65043</v>
      </c>
      <c r="P2656" s="514">
        <v>65058</v>
      </c>
      <c r="Q2656" s="512" t="s">
        <v>51</v>
      </c>
    </row>
    <row r="2657" spans="1:17" ht="18">
      <c r="A2657" s="512">
        <f t="shared" si="34"/>
        <v>1810</v>
      </c>
      <c r="B2657" s="660" t="s">
        <v>43</v>
      </c>
      <c r="C2657" s="644" t="s">
        <v>44</v>
      </c>
      <c r="D2657" s="644" t="s">
        <v>45</v>
      </c>
      <c r="E2657" s="644" t="s">
        <v>2950</v>
      </c>
      <c r="F2657" s="577" t="s">
        <v>598</v>
      </c>
      <c r="G2657" s="577">
        <v>9861415144</v>
      </c>
      <c r="I2657" s="577">
        <v>56</v>
      </c>
      <c r="J2657" s="577" t="s">
        <v>48</v>
      </c>
      <c r="K2657" s="577" t="s">
        <v>1468</v>
      </c>
      <c r="M2657" s="571" t="s">
        <v>119</v>
      </c>
      <c r="N2657" s="745">
        <v>65043</v>
      </c>
      <c r="O2657" s="572">
        <v>65043</v>
      </c>
      <c r="P2657" s="514">
        <v>65058</v>
      </c>
      <c r="Q2657" s="512" t="s">
        <v>51</v>
      </c>
    </row>
    <row r="2658" spans="1:17" ht="18">
      <c r="A2658" s="512">
        <f t="shared" si="34"/>
        <v>1811</v>
      </c>
      <c r="B2658" s="660" t="s">
        <v>43</v>
      </c>
      <c r="C2658" s="644" t="s">
        <v>44</v>
      </c>
      <c r="D2658" s="644" t="s">
        <v>45</v>
      </c>
      <c r="E2658" s="644" t="s">
        <v>3060</v>
      </c>
      <c r="F2658" s="577" t="s">
        <v>1204</v>
      </c>
      <c r="G2658" s="577">
        <v>9810800460</v>
      </c>
      <c r="I2658" s="577">
        <v>52</v>
      </c>
      <c r="J2658" s="577" t="s">
        <v>48</v>
      </c>
      <c r="K2658" s="577" t="s">
        <v>53</v>
      </c>
      <c r="M2658" s="571" t="s">
        <v>119</v>
      </c>
      <c r="N2658" s="745">
        <v>65043</v>
      </c>
      <c r="O2658" s="572">
        <v>65043</v>
      </c>
      <c r="P2658" s="514">
        <v>65058</v>
      </c>
      <c r="Q2658" s="512" t="s">
        <v>51</v>
      </c>
    </row>
    <row r="2659" spans="1:17" ht="18">
      <c r="A2659" s="512">
        <f t="shared" si="34"/>
        <v>1812</v>
      </c>
      <c r="B2659" s="660" t="s">
        <v>43</v>
      </c>
      <c r="C2659" s="644" t="s">
        <v>44</v>
      </c>
      <c r="D2659" s="644" t="s">
        <v>45</v>
      </c>
      <c r="E2659" s="670" t="s">
        <v>3069</v>
      </c>
      <c r="F2659" s="577" t="s">
        <v>502</v>
      </c>
      <c r="G2659" s="577">
        <v>9844933356</v>
      </c>
      <c r="I2659" s="577">
        <v>70</v>
      </c>
      <c r="J2659" s="577" t="s">
        <v>90</v>
      </c>
      <c r="K2659" s="577" t="s">
        <v>1468</v>
      </c>
      <c r="M2659" s="571" t="s">
        <v>119</v>
      </c>
      <c r="N2659" s="745">
        <v>65043</v>
      </c>
      <c r="O2659" s="572">
        <v>65043</v>
      </c>
      <c r="P2659" s="514">
        <v>65058</v>
      </c>
      <c r="Q2659" s="512" t="s">
        <v>51</v>
      </c>
    </row>
    <row r="2660" spans="1:17" ht="18">
      <c r="A2660" s="512">
        <f t="shared" si="34"/>
        <v>1813</v>
      </c>
      <c r="B2660" s="660" t="s">
        <v>43</v>
      </c>
      <c r="C2660" s="644" t="s">
        <v>44</v>
      </c>
      <c r="D2660" s="644" t="s">
        <v>45</v>
      </c>
      <c r="E2660" s="644" t="s">
        <v>3135</v>
      </c>
      <c r="F2660" s="577" t="s">
        <v>1046</v>
      </c>
      <c r="G2660" s="577">
        <v>9857820865</v>
      </c>
      <c r="I2660" s="577">
        <v>44</v>
      </c>
      <c r="J2660" s="577" t="s">
        <v>90</v>
      </c>
      <c r="K2660" s="577" t="s">
        <v>1468</v>
      </c>
      <c r="M2660" s="571" t="s">
        <v>119</v>
      </c>
      <c r="N2660" s="745">
        <v>65043</v>
      </c>
      <c r="O2660" s="572">
        <v>65043</v>
      </c>
      <c r="P2660" s="514">
        <v>65058</v>
      </c>
      <c r="Q2660" s="512" t="s">
        <v>51</v>
      </c>
    </row>
    <row r="2661" spans="1:17" ht="18">
      <c r="A2661" s="512">
        <f t="shared" si="34"/>
        <v>1814</v>
      </c>
      <c r="B2661" s="660" t="s">
        <v>43</v>
      </c>
      <c r="C2661" s="644" t="s">
        <v>44</v>
      </c>
      <c r="D2661" s="644" t="s">
        <v>45</v>
      </c>
      <c r="E2661" s="644" t="s">
        <v>2973</v>
      </c>
      <c r="F2661" s="577" t="s">
        <v>491</v>
      </c>
      <c r="G2661" s="577">
        <v>9829588098</v>
      </c>
      <c r="I2661" s="577">
        <v>39</v>
      </c>
      <c r="J2661" s="577" t="s">
        <v>48</v>
      </c>
      <c r="K2661" s="577" t="s">
        <v>1468</v>
      </c>
      <c r="M2661" s="571" t="s">
        <v>119</v>
      </c>
      <c r="N2661" s="745">
        <v>65043</v>
      </c>
      <c r="O2661" s="572">
        <v>65043</v>
      </c>
      <c r="P2661" s="514">
        <v>65058</v>
      </c>
      <c r="Q2661" s="512" t="s">
        <v>51</v>
      </c>
    </row>
    <row r="2662" spans="1:17" ht="18">
      <c r="A2662" s="512">
        <f t="shared" si="34"/>
        <v>1815</v>
      </c>
      <c r="B2662" s="660" t="s">
        <v>43</v>
      </c>
      <c r="C2662" s="644" t="s">
        <v>44</v>
      </c>
      <c r="D2662" s="644" t="s">
        <v>45</v>
      </c>
      <c r="E2662" s="644" t="s">
        <v>2969</v>
      </c>
      <c r="F2662" s="577" t="s">
        <v>502</v>
      </c>
      <c r="G2662" s="577">
        <v>9848021963</v>
      </c>
      <c r="I2662" s="577">
        <v>63</v>
      </c>
      <c r="J2662" s="577" t="s">
        <v>48</v>
      </c>
      <c r="K2662" s="577" t="s">
        <v>1459</v>
      </c>
      <c r="M2662" s="571" t="s">
        <v>119</v>
      </c>
      <c r="N2662" s="745">
        <v>65043</v>
      </c>
      <c r="O2662" s="572">
        <v>65043</v>
      </c>
      <c r="P2662" s="514">
        <v>65058</v>
      </c>
      <c r="Q2662" s="512" t="s">
        <v>51</v>
      </c>
    </row>
    <row r="2663" spans="1:17" ht="18">
      <c r="A2663" s="512">
        <f t="shared" si="34"/>
        <v>1816</v>
      </c>
      <c r="B2663" s="660" t="s">
        <v>43</v>
      </c>
      <c r="C2663" s="644" t="s">
        <v>44</v>
      </c>
      <c r="D2663" s="644" t="s">
        <v>45</v>
      </c>
      <c r="E2663" s="644" t="s">
        <v>2974</v>
      </c>
      <c r="F2663" s="577" t="s">
        <v>491</v>
      </c>
      <c r="G2663" s="577"/>
      <c r="I2663" s="577">
        <v>40</v>
      </c>
      <c r="J2663" s="577" t="s">
        <v>48</v>
      </c>
      <c r="K2663" s="577" t="s">
        <v>53</v>
      </c>
      <c r="M2663" s="571" t="s">
        <v>119</v>
      </c>
      <c r="N2663" s="745">
        <v>65043</v>
      </c>
      <c r="O2663" s="572">
        <v>65043</v>
      </c>
      <c r="P2663" s="514">
        <v>65058</v>
      </c>
      <c r="Q2663" s="512" t="s">
        <v>51</v>
      </c>
    </row>
    <row r="2664" spans="1:17" ht="18">
      <c r="A2664" s="512">
        <f t="shared" si="34"/>
        <v>1817</v>
      </c>
      <c r="B2664" s="660" t="s">
        <v>43</v>
      </c>
      <c r="C2664" s="644" t="s">
        <v>44</v>
      </c>
      <c r="D2664" s="644" t="s">
        <v>45</v>
      </c>
      <c r="E2664" s="644" t="s">
        <v>2951</v>
      </c>
      <c r="F2664" s="577" t="s">
        <v>598</v>
      </c>
      <c r="G2664" s="577">
        <v>9843287303</v>
      </c>
      <c r="I2664" s="577">
        <v>33</v>
      </c>
      <c r="J2664" s="577" t="s">
        <v>48</v>
      </c>
      <c r="K2664" s="577" t="s">
        <v>1468</v>
      </c>
      <c r="M2664" s="571" t="s">
        <v>119</v>
      </c>
      <c r="N2664" s="745">
        <v>65043</v>
      </c>
      <c r="O2664" s="572">
        <v>65043</v>
      </c>
      <c r="P2664" s="514">
        <v>65058</v>
      </c>
      <c r="Q2664" s="512" t="s">
        <v>51</v>
      </c>
    </row>
    <row r="2665" spans="1:17" ht="18">
      <c r="A2665" s="512">
        <f t="shared" si="34"/>
        <v>1818</v>
      </c>
      <c r="B2665" s="660" t="s">
        <v>43</v>
      </c>
      <c r="C2665" s="644" t="s">
        <v>44</v>
      </c>
      <c r="D2665" s="644" t="s">
        <v>45</v>
      </c>
      <c r="E2665" s="644" t="s">
        <v>3140</v>
      </c>
      <c r="F2665" s="577" t="s">
        <v>617</v>
      </c>
      <c r="G2665" s="577">
        <v>9809592136</v>
      </c>
      <c r="I2665" s="577">
        <v>60</v>
      </c>
      <c r="J2665" s="577" t="s">
        <v>90</v>
      </c>
      <c r="K2665" s="577" t="s">
        <v>53</v>
      </c>
      <c r="M2665" s="571" t="s">
        <v>119</v>
      </c>
      <c r="N2665" s="745">
        <v>65043</v>
      </c>
      <c r="O2665" s="572">
        <v>65043</v>
      </c>
      <c r="P2665" s="514">
        <v>65058</v>
      </c>
      <c r="Q2665" s="512" t="s">
        <v>51</v>
      </c>
    </row>
    <row r="2666" spans="1:17" ht="18">
      <c r="A2666" s="512">
        <f t="shared" si="34"/>
        <v>1819</v>
      </c>
      <c r="B2666" s="660" t="s">
        <v>43</v>
      </c>
      <c r="C2666" s="644" t="s">
        <v>44</v>
      </c>
      <c r="D2666" s="644" t="s">
        <v>45</v>
      </c>
      <c r="E2666" s="644" t="s">
        <v>3146</v>
      </c>
      <c r="F2666" s="577" t="s">
        <v>730</v>
      </c>
      <c r="G2666" s="577">
        <v>9841095708</v>
      </c>
      <c r="I2666" s="577">
        <v>42</v>
      </c>
      <c r="J2666" s="577" t="s">
        <v>90</v>
      </c>
      <c r="K2666" s="577" t="s">
        <v>53</v>
      </c>
      <c r="M2666" s="571" t="s">
        <v>119</v>
      </c>
      <c r="N2666" s="745">
        <v>65043</v>
      </c>
      <c r="O2666" s="572">
        <v>65043</v>
      </c>
      <c r="P2666" s="514">
        <v>65058</v>
      </c>
      <c r="Q2666" s="512" t="s">
        <v>51</v>
      </c>
    </row>
    <row r="2667" spans="1:17" ht="18">
      <c r="A2667" s="512">
        <f t="shared" si="34"/>
        <v>1820</v>
      </c>
      <c r="B2667" s="660" t="s">
        <v>43</v>
      </c>
      <c r="C2667" s="644" t="s">
        <v>44</v>
      </c>
      <c r="D2667" s="644" t="s">
        <v>45</v>
      </c>
      <c r="E2667" s="644" t="s">
        <v>3063</v>
      </c>
      <c r="F2667" s="577" t="s">
        <v>510</v>
      </c>
      <c r="G2667" s="577">
        <v>9868661762</v>
      </c>
      <c r="I2667" s="577">
        <v>26</v>
      </c>
      <c r="J2667" s="577" t="s">
        <v>90</v>
      </c>
      <c r="K2667" s="577" t="s">
        <v>1468</v>
      </c>
      <c r="M2667" s="571" t="s">
        <v>119</v>
      </c>
      <c r="N2667" s="745">
        <v>65043</v>
      </c>
      <c r="O2667" s="572">
        <v>65043</v>
      </c>
      <c r="P2667" s="514">
        <v>65058</v>
      </c>
      <c r="Q2667" s="512" t="s">
        <v>51</v>
      </c>
    </row>
    <row r="2668" spans="1:17" ht="18">
      <c r="A2668" s="512">
        <f t="shared" si="34"/>
        <v>1821</v>
      </c>
      <c r="B2668" s="660" t="s">
        <v>43</v>
      </c>
      <c r="C2668" s="644" t="s">
        <v>44</v>
      </c>
      <c r="D2668" s="644" t="s">
        <v>45</v>
      </c>
      <c r="E2668" s="644" t="s">
        <v>2958</v>
      </c>
      <c r="F2668" s="577" t="s">
        <v>510</v>
      </c>
      <c r="G2668" s="577">
        <v>9811413407</v>
      </c>
      <c r="I2668" s="577">
        <v>39</v>
      </c>
      <c r="J2668" s="577" t="s">
        <v>48</v>
      </c>
      <c r="K2668" s="577" t="s">
        <v>1480</v>
      </c>
      <c r="M2668" s="571" t="s">
        <v>119</v>
      </c>
      <c r="N2668" s="745">
        <v>65043</v>
      </c>
      <c r="O2668" s="572">
        <v>65043</v>
      </c>
      <c r="P2668" s="514">
        <v>65058</v>
      </c>
      <c r="Q2668" s="512" t="s">
        <v>51</v>
      </c>
    </row>
    <row r="2669" spans="1:17" ht="18">
      <c r="A2669" s="512">
        <f t="shared" si="34"/>
        <v>1822</v>
      </c>
      <c r="B2669" s="660" t="s">
        <v>43</v>
      </c>
      <c r="C2669" s="644" t="s">
        <v>44</v>
      </c>
      <c r="D2669" s="644" t="s">
        <v>45</v>
      </c>
      <c r="E2669" s="644" t="s">
        <v>3000</v>
      </c>
      <c r="F2669" s="577" t="s">
        <v>441</v>
      </c>
      <c r="G2669" s="577">
        <v>9857820634</v>
      </c>
      <c r="I2669" s="577">
        <v>60</v>
      </c>
      <c r="J2669" s="577" t="s">
        <v>48</v>
      </c>
      <c r="K2669" s="577" t="s">
        <v>1480</v>
      </c>
      <c r="M2669" s="571" t="s">
        <v>119</v>
      </c>
      <c r="N2669" s="745">
        <v>65043</v>
      </c>
      <c r="O2669" s="572">
        <v>65043</v>
      </c>
      <c r="P2669" s="514">
        <v>65058</v>
      </c>
      <c r="Q2669" s="512" t="s">
        <v>51</v>
      </c>
    </row>
    <row r="2670" spans="1:17" ht="18">
      <c r="A2670" s="512">
        <f t="shared" si="34"/>
        <v>1823</v>
      </c>
      <c r="B2670" s="660" t="s">
        <v>43</v>
      </c>
      <c r="C2670" s="644" t="s">
        <v>44</v>
      </c>
      <c r="D2670" s="644" t="s">
        <v>45</v>
      </c>
      <c r="E2670" s="670" t="s">
        <v>3006</v>
      </c>
      <c r="F2670" s="577" t="s">
        <v>529</v>
      </c>
      <c r="G2670" s="577">
        <v>9810883065</v>
      </c>
      <c r="I2670" s="577">
        <v>60</v>
      </c>
      <c r="J2670" s="577" t="s">
        <v>48</v>
      </c>
      <c r="K2670" s="577" t="s">
        <v>1468</v>
      </c>
      <c r="M2670" s="571" t="s">
        <v>119</v>
      </c>
      <c r="N2670" s="745">
        <v>65043</v>
      </c>
      <c r="O2670" s="572">
        <v>65043</v>
      </c>
      <c r="P2670" s="514">
        <v>65058</v>
      </c>
      <c r="Q2670" s="512" t="s">
        <v>51</v>
      </c>
    </row>
    <row r="2671" spans="1:17" ht="18">
      <c r="A2671" s="512">
        <f t="shared" si="34"/>
        <v>1824</v>
      </c>
      <c r="B2671" s="660" t="s">
        <v>43</v>
      </c>
      <c r="C2671" s="644" t="s">
        <v>44</v>
      </c>
      <c r="D2671" s="644" t="s">
        <v>45</v>
      </c>
      <c r="E2671" s="644" t="s">
        <v>3130</v>
      </c>
      <c r="F2671" s="577" t="s">
        <v>791</v>
      </c>
      <c r="G2671" s="577">
        <v>9809798457</v>
      </c>
      <c r="I2671" s="577">
        <v>30</v>
      </c>
      <c r="J2671" s="577" t="s">
        <v>90</v>
      </c>
      <c r="K2671" s="577" t="s">
        <v>1480</v>
      </c>
      <c r="M2671" s="571" t="s">
        <v>119</v>
      </c>
      <c r="N2671" s="745">
        <v>65043</v>
      </c>
      <c r="O2671" s="572">
        <v>65043</v>
      </c>
      <c r="P2671" s="514">
        <v>65058</v>
      </c>
      <c r="Q2671" s="512" t="s">
        <v>51</v>
      </c>
    </row>
    <row r="2672" spans="1:17" ht="18">
      <c r="A2672" s="512">
        <f t="shared" si="34"/>
        <v>1825</v>
      </c>
      <c r="B2672" s="658" t="s">
        <v>43</v>
      </c>
      <c r="C2672" s="630" t="s">
        <v>44</v>
      </c>
      <c r="D2672" s="630" t="s">
        <v>45</v>
      </c>
      <c r="E2672" s="630" t="s">
        <v>1581</v>
      </c>
      <c r="F2672" s="597" t="s">
        <v>730</v>
      </c>
      <c r="G2672" s="597">
        <v>9844977822</v>
      </c>
      <c r="H2672" s="422"/>
      <c r="I2672" s="597">
        <v>78</v>
      </c>
      <c r="J2672" s="597" t="s">
        <v>48</v>
      </c>
      <c r="K2672" s="423"/>
      <c r="L2672" s="423"/>
      <c r="M2672" s="597" t="s">
        <v>119</v>
      </c>
      <c r="N2672" s="726">
        <v>65043</v>
      </c>
      <c r="O2672" s="476">
        <v>65043</v>
      </c>
      <c r="P2672" s="476">
        <v>65044</v>
      </c>
      <c r="Q2672" s="422" t="s">
        <v>940</v>
      </c>
    </row>
    <row r="2673" spans="1:17" ht="18">
      <c r="A2673" s="512">
        <f t="shared" si="34"/>
        <v>1826</v>
      </c>
      <c r="B2673" s="660" t="s">
        <v>43</v>
      </c>
      <c r="C2673" s="644" t="s">
        <v>44</v>
      </c>
      <c r="D2673" s="644" t="s">
        <v>45</v>
      </c>
      <c r="E2673" s="670" t="s">
        <v>2438</v>
      </c>
      <c r="F2673" s="577" t="s">
        <v>491</v>
      </c>
      <c r="G2673" s="577">
        <v>9847851032</v>
      </c>
      <c r="I2673" s="577">
        <v>35</v>
      </c>
      <c r="J2673" s="577" t="s">
        <v>90</v>
      </c>
      <c r="K2673" s="577" t="s">
        <v>1480</v>
      </c>
      <c r="M2673" s="571" t="s">
        <v>119</v>
      </c>
      <c r="N2673" s="745">
        <v>65043</v>
      </c>
      <c r="O2673" s="572">
        <v>65043</v>
      </c>
      <c r="P2673" s="514">
        <v>65058</v>
      </c>
      <c r="Q2673" s="512" t="s">
        <v>51</v>
      </c>
    </row>
    <row r="2674" spans="1:17" ht="18">
      <c r="A2674" s="512">
        <f t="shared" si="34"/>
        <v>1827</v>
      </c>
      <c r="B2674" s="660" t="s">
        <v>43</v>
      </c>
      <c r="C2674" s="644" t="s">
        <v>44</v>
      </c>
      <c r="D2674" s="644" t="s">
        <v>45</v>
      </c>
      <c r="E2674" s="670" t="s">
        <v>3062</v>
      </c>
      <c r="F2674" s="577" t="s">
        <v>598</v>
      </c>
      <c r="G2674" s="577">
        <v>9866916928</v>
      </c>
      <c r="I2674" s="577">
        <v>50</v>
      </c>
      <c r="J2674" s="577" t="s">
        <v>90</v>
      </c>
      <c r="K2674" s="577" t="s">
        <v>1468</v>
      </c>
      <c r="M2674" s="571" t="s">
        <v>119</v>
      </c>
      <c r="N2674" s="745">
        <v>65043</v>
      </c>
      <c r="O2674" s="572">
        <v>65043</v>
      </c>
      <c r="P2674" s="514">
        <v>65058</v>
      </c>
      <c r="Q2674" s="512" t="s">
        <v>51</v>
      </c>
    </row>
    <row r="2675" spans="1:17" ht="18">
      <c r="A2675" s="512">
        <f t="shared" si="34"/>
        <v>1828</v>
      </c>
      <c r="B2675" s="660" t="s">
        <v>43</v>
      </c>
      <c r="C2675" s="644" t="s">
        <v>44</v>
      </c>
      <c r="D2675" s="644" t="s">
        <v>45</v>
      </c>
      <c r="E2675" s="644" t="s">
        <v>3114</v>
      </c>
      <c r="F2675" s="577" t="s">
        <v>441</v>
      </c>
      <c r="G2675" s="577">
        <v>9847844161</v>
      </c>
      <c r="I2675" s="577">
        <v>28</v>
      </c>
      <c r="J2675" s="577" t="s">
        <v>90</v>
      </c>
      <c r="K2675" s="577" t="s">
        <v>1468</v>
      </c>
      <c r="M2675" s="571" t="s">
        <v>119</v>
      </c>
      <c r="N2675" s="745">
        <v>65043</v>
      </c>
      <c r="O2675" s="572">
        <v>65043</v>
      </c>
      <c r="P2675" s="514">
        <v>65058</v>
      </c>
      <c r="Q2675" s="512" t="s">
        <v>51</v>
      </c>
    </row>
    <row r="2676" spans="1:17" ht="18">
      <c r="A2676" s="512">
        <f t="shared" si="34"/>
        <v>1829</v>
      </c>
      <c r="B2676" s="660" t="s">
        <v>43</v>
      </c>
      <c r="C2676" s="644" t="s">
        <v>44</v>
      </c>
      <c r="D2676" s="644" t="s">
        <v>45</v>
      </c>
      <c r="E2676" s="644" t="s">
        <v>3125</v>
      </c>
      <c r="F2676" s="577" t="s">
        <v>124</v>
      </c>
      <c r="G2676" s="577">
        <v>9847853327</v>
      </c>
      <c r="I2676" s="577">
        <v>63</v>
      </c>
      <c r="J2676" s="577" t="s">
        <v>90</v>
      </c>
      <c r="K2676" s="577" t="s">
        <v>1468</v>
      </c>
      <c r="M2676" s="571" t="s">
        <v>119</v>
      </c>
      <c r="N2676" s="745">
        <v>65043</v>
      </c>
      <c r="O2676" s="572">
        <v>65043</v>
      </c>
      <c r="P2676" s="514">
        <v>65058</v>
      </c>
      <c r="Q2676" s="512" t="s">
        <v>51</v>
      </c>
    </row>
    <row r="2677" spans="1:17" ht="18">
      <c r="A2677" s="512">
        <f t="shared" si="34"/>
        <v>1830</v>
      </c>
      <c r="B2677" s="660" t="s">
        <v>43</v>
      </c>
      <c r="C2677" s="644" t="s">
        <v>44</v>
      </c>
      <c r="D2677" s="644" t="s">
        <v>45</v>
      </c>
      <c r="E2677" s="670" t="s">
        <v>1467</v>
      </c>
      <c r="F2677" s="577" t="s">
        <v>1008</v>
      </c>
      <c r="G2677" s="577">
        <v>9847822497</v>
      </c>
      <c r="I2677" s="577">
        <v>26</v>
      </c>
      <c r="J2677" s="577" t="s">
        <v>90</v>
      </c>
      <c r="K2677" s="577" t="s">
        <v>1468</v>
      </c>
      <c r="M2677" s="571" t="s">
        <v>119</v>
      </c>
      <c r="N2677" s="745">
        <v>65043</v>
      </c>
      <c r="O2677" s="572">
        <v>65043</v>
      </c>
      <c r="P2677" s="514">
        <v>65058</v>
      </c>
      <c r="Q2677" s="512" t="s">
        <v>51</v>
      </c>
    </row>
    <row r="2678" spans="1:17" ht="18">
      <c r="A2678" s="512">
        <f t="shared" si="34"/>
        <v>1831</v>
      </c>
      <c r="B2678" s="660" t="s">
        <v>43</v>
      </c>
      <c r="C2678" s="644" t="s">
        <v>44</v>
      </c>
      <c r="D2678" s="644" t="s">
        <v>45</v>
      </c>
      <c r="E2678" s="644" t="s">
        <v>3021</v>
      </c>
      <c r="F2678" s="577" t="s">
        <v>124</v>
      </c>
      <c r="G2678" s="577">
        <v>9843240561</v>
      </c>
      <c r="I2678" s="577">
        <v>49</v>
      </c>
      <c r="J2678" s="577" t="s">
        <v>48</v>
      </c>
      <c r="K2678" s="577" t="s">
        <v>1480</v>
      </c>
      <c r="M2678" s="571" t="s">
        <v>119</v>
      </c>
      <c r="N2678" s="745">
        <v>65043</v>
      </c>
      <c r="O2678" s="572">
        <v>65043</v>
      </c>
      <c r="P2678" s="514">
        <v>65058</v>
      </c>
      <c r="Q2678" s="512" t="s">
        <v>51</v>
      </c>
    </row>
    <row r="2679" spans="1:17" ht="18">
      <c r="A2679" s="512">
        <f t="shared" si="34"/>
        <v>1832</v>
      </c>
      <c r="B2679" s="660" t="s">
        <v>43</v>
      </c>
      <c r="C2679" s="644" t="s">
        <v>44</v>
      </c>
      <c r="D2679" s="644" t="s">
        <v>45</v>
      </c>
      <c r="E2679" s="644" t="s">
        <v>3048</v>
      </c>
      <c r="F2679" s="577" t="s">
        <v>730</v>
      </c>
      <c r="G2679" s="577">
        <v>9841095708</v>
      </c>
      <c r="I2679" s="577">
        <v>42</v>
      </c>
      <c r="J2679" s="577" t="s">
        <v>48</v>
      </c>
      <c r="K2679" s="577" t="s">
        <v>53</v>
      </c>
      <c r="M2679" s="571" t="s">
        <v>119</v>
      </c>
      <c r="N2679" s="745">
        <v>65043</v>
      </c>
      <c r="O2679" s="572">
        <v>65043</v>
      </c>
      <c r="P2679" s="514">
        <v>65058</v>
      </c>
      <c r="Q2679" s="512" t="s">
        <v>51</v>
      </c>
    </row>
    <row r="2680" spans="1:17" ht="18">
      <c r="A2680" s="512">
        <f t="shared" si="34"/>
        <v>1833</v>
      </c>
      <c r="B2680" s="660" t="s">
        <v>43</v>
      </c>
      <c r="C2680" s="644" t="s">
        <v>44</v>
      </c>
      <c r="D2680" s="644" t="s">
        <v>45</v>
      </c>
      <c r="E2680" s="644" t="s">
        <v>3141</v>
      </c>
      <c r="F2680" s="577" t="s">
        <v>617</v>
      </c>
      <c r="G2680" s="577">
        <v>9849859264</v>
      </c>
      <c r="I2680" s="577">
        <v>3</v>
      </c>
      <c r="J2680" s="577" t="s">
        <v>90</v>
      </c>
      <c r="K2680" s="577" t="s">
        <v>53</v>
      </c>
      <c r="M2680" s="571" t="s">
        <v>119</v>
      </c>
      <c r="N2680" s="745">
        <v>65043</v>
      </c>
      <c r="O2680" s="572">
        <v>65043</v>
      </c>
      <c r="P2680" s="514">
        <v>65058</v>
      </c>
      <c r="Q2680" s="512" t="s">
        <v>51</v>
      </c>
    </row>
    <row r="2681" spans="1:17" ht="18">
      <c r="A2681" s="512">
        <f t="shared" si="34"/>
        <v>1834</v>
      </c>
      <c r="B2681" s="660" t="s">
        <v>43</v>
      </c>
      <c r="C2681" s="644" t="s">
        <v>44</v>
      </c>
      <c r="D2681" s="644" t="s">
        <v>45</v>
      </c>
      <c r="E2681" s="644" t="s">
        <v>2963</v>
      </c>
      <c r="F2681" s="577" t="s">
        <v>502</v>
      </c>
      <c r="G2681" s="577">
        <v>9857823981</v>
      </c>
      <c r="I2681" s="577">
        <v>65</v>
      </c>
      <c r="J2681" s="577" t="s">
        <v>48</v>
      </c>
      <c r="K2681" s="577" t="s">
        <v>1480</v>
      </c>
      <c r="M2681" s="571" t="s">
        <v>119</v>
      </c>
      <c r="N2681" s="745">
        <v>65043</v>
      </c>
      <c r="O2681" s="572">
        <v>65043</v>
      </c>
      <c r="P2681" s="514">
        <v>65058</v>
      </c>
      <c r="Q2681" s="512" t="s">
        <v>51</v>
      </c>
    </row>
    <row r="2682" spans="1:17" ht="18">
      <c r="A2682" s="512">
        <f t="shared" si="34"/>
        <v>1835</v>
      </c>
      <c r="B2682" s="660" t="s">
        <v>43</v>
      </c>
      <c r="C2682" s="644" t="s">
        <v>44</v>
      </c>
      <c r="D2682" s="644" t="s">
        <v>45</v>
      </c>
      <c r="E2682" s="644" t="s">
        <v>2945</v>
      </c>
      <c r="F2682" s="577" t="s">
        <v>512</v>
      </c>
      <c r="G2682" s="577">
        <v>9847830578</v>
      </c>
      <c r="I2682" s="577">
        <v>37</v>
      </c>
      <c r="J2682" s="577" t="s">
        <v>48</v>
      </c>
      <c r="K2682" s="577" t="s">
        <v>1468</v>
      </c>
      <c r="M2682" s="571" t="s">
        <v>119</v>
      </c>
      <c r="N2682" s="745">
        <v>65043</v>
      </c>
      <c r="O2682" s="572">
        <v>65043</v>
      </c>
      <c r="P2682" s="514">
        <v>65058</v>
      </c>
      <c r="Q2682" s="512" t="s">
        <v>51</v>
      </c>
    </row>
    <row r="2683" spans="1:17" ht="18">
      <c r="A2683" s="512">
        <f t="shared" si="34"/>
        <v>1836</v>
      </c>
      <c r="B2683" s="660" t="s">
        <v>43</v>
      </c>
      <c r="C2683" s="644" t="s">
        <v>44</v>
      </c>
      <c r="D2683" s="644" t="s">
        <v>45</v>
      </c>
      <c r="E2683" s="644" t="s">
        <v>3034</v>
      </c>
      <c r="F2683" s="577" t="s">
        <v>1046</v>
      </c>
      <c r="G2683" s="577">
        <v>9849715424</v>
      </c>
      <c r="I2683" s="577">
        <v>30</v>
      </c>
      <c r="J2683" s="577" t="s">
        <v>48</v>
      </c>
      <c r="K2683" s="577" t="s">
        <v>53</v>
      </c>
      <c r="M2683" s="571" t="s">
        <v>119</v>
      </c>
      <c r="N2683" s="745">
        <v>65043</v>
      </c>
      <c r="O2683" s="572">
        <v>65043</v>
      </c>
      <c r="P2683" s="514">
        <v>65058</v>
      </c>
      <c r="Q2683" s="512" t="s">
        <v>51</v>
      </c>
    </row>
    <row r="2684" spans="1:17" ht="18">
      <c r="A2684" s="512">
        <f t="shared" si="34"/>
        <v>1837</v>
      </c>
      <c r="B2684" s="660" t="s">
        <v>43</v>
      </c>
      <c r="C2684" s="644" t="s">
        <v>44</v>
      </c>
      <c r="D2684" s="644" t="s">
        <v>45</v>
      </c>
      <c r="E2684" s="644" t="s">
        <v>2941</v>
      </c>
      <c r="F2684" s="577" t="s">
        <v>636</v>
      </c>
      <c r="G2684" s="577">
        <v>9847875428</v>
      </c>
      <c r="I2684" s="577">
        <v>34</v>
      </c>
      <c r="J2684" s="577" t="s">
        <v>48</v>
      </c>
      <c r="K2684" s="577" t="s">
        <v>1468</v>
      </c>
      <c r="M2684" s="571" t="s">
        <v>119</v>
      </c>
      <c r="N2684" s="745">
        <v>65043</v>
      </c>
      <c r="O2684" s="572">
        <v>65043</v>
      </c>
      <c r="P2684" s="514">
        <v>65058</v>
      </c>
      <c r="Q2684" s="512" t="s">
        <v>51</v>
      </c>
    </row>
    <row r="2685" spans="1:17" ht="18">
      <c r="A2685" s="512">
        <f t="shared" si="34"/>
        <v>1838</v>
      </c>
      <c r="B2685" s="660" t="s">
        <v>43</v>
      </c>
      <c r="C2685" s="644" t="s">
        <v>44</v>
      </c>
      <c r="D2685" s="644" t="s">
        <v>45</v>
      </c>
      <c r="E2685" s="644" t="s">
        <v>3115</v>
      </c>
      <c r="F2685" s="577" t="s">
        <v>441</v>
      </c>
      <c r="G2685" s="577">
        <v>9847830306</v>
      </c>
      <c r="I2685" s="577">
        <v>22</v>
      </c>
      <c r="J2685" s="577" t="s">
        <v>90</v>
      </c>
      <c r="K2685" s="577" t="s">
        <v>53</v>
      </c>
      <c r="M2685" s="571" t="s">
        <v>119</v>
      </c>
      <c r="N2685" s="745">
        <v>65043</v>
      </c>
      <c r="O2685" s="572">
        <v>65043</v>
      </c>
      <c r="P2685" s="514">
        <v>65058</v>
      </c>
      <c r="Q2685" s="512" t="s">
        <v>51</v>
      </c>
    </row>
    <row r="2686" spans="1:17" ht="18">
      <c r="A2686" s="512">
        <f t="shared" si="34"/>
        <v>1839</v>
      </c>
      <c r="B2686" s="660" t="s">
        <v>43</v>
      </c>
      <c r="C2686" s="644" t="s">
        <v>44</v>
      </c>
      <c r="D2686" s="644" t="s">
        <v>45</v>
      </c>
      <c r="E2686" s="644" t="s">
        <v>3136</v>
      </c>
      <c r="F2686" s="577" t="s">
        <v>1046</v>
      </c>
      <c r="G2686" s="577">
        <v>9812819106</v>
      </c>
      <c r="I2686" s="577">
        <v>27</v>
      </c>
      <c r="J2686" s="577" t="s">
        <v>90</v>
      </c>
      <c r="K2686" s="577" t="s">
        <v>1468</v>
      </c>
      <c r="M2686" s="571" t="s">
        <v>119</v>
      </c>
      <c r="N2686" s="745">
        <v>65043</v>
      </c>
      <c r="O2686" s="572">
        <v>65043</v>
      </c>
      <c r="P2686" s="514">
        <v>65058</v>
      </c>
      <c r="Q2686" s="512" t="s">
        <v>51</v>
      </c>
    </row>
    <row r="2687" spans="1:17" ht="18">
      <c r="A2687" s="512">
        <f t="shared" si="34"/>
        <v>1840</v>
      </c>
      <c r="B2687" s="669" t="s">
        <v>43</v>
      </c>
      <c r="C2687" s="640" t="s">
        <v>44</v>
      </c>
      <c r="D2687" s="640" t="s">
        <v>45</v>
      </c>
      <c r="E2687" s="640" t="s">
        <v>3064</v>
      </c>
      <c r="F2687" s="635" t="s">
        <v>510</v>
      </c>
      <c r="G2687" s="635">
        <v>9844965722</v>
      </c>
      <c r="H2687" s="436"/>
      <c r="I2687" s="635">
        <v>56</v>
      </c>
      <c r="J2687" s="635" t="s">
        <v>90</v>
      </c>
      <c r="K2687" s="635" t="s">
        <v>1468</v>
      </c>
      <c r="L2687" s="438"/>
      <c r="M2687" s="592" t="s">
        <v>262</v>
      </c>
      <c r="N2687" s="754">
        <v>65043</v>
      </c>
      <c r="O2687" s="610">
        <v>65043</v>
      </c>
      <c r="P2687" s="465">
        <v>65073</v>
      </c>
      <c r="Q2687" s="436" t="s">
        <v>51</v>
      </c>
    </row>
    <row r="2688" spans="1:17" ht="18">
      <c r="A2688" s="512">
        <f t="shared" si="34"/>
        <v>1841</v>
      </c>
      <c r="B2688" s="660" t="s">
        <v>43</v>
      </c>
      <c r="C2688" s="644" t="s">
        <v>44</v>
      </c>
      <c r="D2688" s="644" t="s">
        <v>45</v>
      </c>
      <c r="E2688" s="644" t="s">
        <v>3117</v>
      </c>
      <c r="F2688" s="577" t="s">
        <v>441</v>
      </c>
      <c r="G2688" s="577">
        <v>9748510379</v>
      </c>
      <c r="I2688" s="577">
        <v>23</v>
      </c>
      <c r="J2688" s="577" t="s">
        <v>90</v>
      </c>
      <c r="K2688" s="577" t="s">
        <v>1480</v>
      </c>
      <c r="M2688" s="571" t="s">
        <v>119</v>
      </c>
      <c r="N2688" s="745">
        <v>65043</v>
      </c>
      <c r="O2688" s="572">
        <v>65043</v>
      </c>
      <c r="P2688" s="514">
        <v>65058</v>
      </c>
      <c r="Q2688" s="512" t="s">
        <v>51</v>
      </c>
    </row>
    <row r="2689" spans="1:17" ht="18">
      <c r="A2689" s="512">
        <f t="shared" si="34"/>
        <v>1842</v>
      </c>
      <c r="B2689" s="660" t="s">
        <v>43</v>
      </c>
      <c r="C2689" s="644" t="s">
        <v>44</v>
      </c>
      <c r="D2689" s="644" t="s">
        <v>45</v>
      </c>
      <c r="E2689" s="644" t="s">
        <v>3070</v>
      </c>
      <c r="F2689" s="577" t="s">
        <v>502</v>
      </c>
      <c r="G2689" s="577">
        <v>9843462926</v>
      </c>
      <c r="I2689" s="577">
        <v>27</v>
      </c>
      <c r="J2689" s="577" t="s">
        <v>90</v>
      </c>
      <c r="K2689" s="577" t="s">
        <v>53</v>
      </c>
      <c r="M2689" s="571" t="s">
        <v>119</v>
      </c>
      <c r="N2689" s="745">
        <v>65043</v>
      </c>
      <c r="O2689" s="572">
        <v>65043</v>
      </c>
      <c r="P2689" s="514">
        <v>65058</v>
      </c>
      <c r="Q2689" s="512" t="s">
        <v>51</v>
      </c>
    </row>
    <row r="2690" spans="1:17" ht="18">
      <c r="A2690" s="512">
        <f t="shared" si="34"/>
        <v>1843</v>
      </c>
      <c r="B2690" s="660" t="s">
        <v>43</v>
      </c>
      <c r="C2690" s="644" t="s">
        <v>44</v>
      </c>
      <c r="D2690" s="644" t="s">
        <v>45</v>
      </c>
      <c r="E2690" s="644" t="s">
        <v>3049</v>
      </c>
      <c r="F2690" s="577" t="s">
        <v>730</v>
      </c>
      <c r="G2690" s="577">
        <v>9849158514</v>
      </c>
      <c r="I2690" s="577">
        <v>56</v>
      </c>
      <c r="J2690" s="577" t="s">
        <v>48</v>
      </c>
      <c r="K2690" s="577" t="s">
        <v>1480</v>
      </c>
      <c r="M2690" s="571" t="s">
        <v>119</v>
      </c>
      <c r="N2690" s="745">
        <v>65043</v>
      </c>
      <c r="O2690" s="572">
        <v>65043</v>
      </c>
      <c r="P2690" s="514">
        <v>65058</v>
      </c>
      <c r="Q2690" s="512" t="s">
        <v>51</v>
      </c>
    </row>
    <row r="2691" spans="1:17" ht="18">
      <c r="A2691" s="512">
        <f t="shared" si="34"/>
        <v>1844</v>
      </c>
      <c r="B2691" s="660" t="s">
        <v>43</v>
      </c>
      <c r="C2691" s="644" t="s">
        <v>44</v>
      </c>
      <c r="D2691" s="644" t="s">
        <v>45</v>
      </c>
      <c r="E2691" s="670" t="s">
        <v>3089</v>
      </c>
      <c r="F2691" s="577" t="s">
        <v>491</v>
      </c>
      <c r="G2691" s="577">
        <v>9840729685</v>
      </c>
      <c r="I2691" s="577">
        <v>40</v>
      </c>
      <c r="J2691" s="577" t="s">
        <v>90</v>
      </c>
      <c r="K2691" s="577" t="s">
        <v>1468</v>
      </c>
      <c r="M2691" s="571" t="s">
        <v>119</v>
      </c>
      <c r="N2691" s="745">
        <v>65043</v>
      </c>
      <c r="O2691" s="572">
        <v>65043</v>
      </c>
      <c r="P2691" s="514">
        <v>65058</v>
      </c>
      <c r="Q2691" s="512" t="s">
        <v>51</v>
      </c>
    </row>
    <row r="2692" spans="1:17" ht="18">
      <c r="A2692" s="512">
        <f t="shared" si="34"/>
        <v>1845</v>
      </c>
      <c r="B2692" s="660" t="s">
        <v>43</v>
      </c>
      <c r="C2692" s="644" t="s">
        <v>44</v>
      </c>
      <c r="D2692" s="644" t="s">
        <v>45</v>
      </c>
      <c r="E2692" s="644" t="s">
        <v>3093</v>
      </c>
      <c r="F2692" s="577" t="s">
        <v>491</v>
      </c>
      <c r="G2692" s="577">
        <v>9844933387</v>
      </c>
      <c r="I2692" s="577">
        <v>65</v>
      </c>
      <c r="J2692" s="577" t="s">
        <v>90</v>
      </c>
      <c r="K2692" s="577" t="s">
        <v>1480</v>
      </c>
      <c r="M2692" s="571" t="s">
        <v>119</v>
      </c>
      <c r="N2692" s="745">
        <v>65043</v>
      </c>
      <c r="O2692" s="572">
        <v>65043</v>
      </c>
      <c r="P2692" s="514">
        <v>65058</v>
      </c>
      <c r="Q2692" s="512" t="s">
        <v>51</v>
      </c>
    </row>
    <row r="2693" spans="1:17" ht="18">
      <c r="A2693" s="512">
        <f t="shared" si="34"/>
        <v>1846</v>
      </c>
      <c r="B2693" s="660" t="s">
        <v>43</v>
      </c>
      <c r="C2693" s="644" t="s">
        <v>44</v>
      </c>
      <c r="D2693" s="644" t="s">
        <v>45</v>
      </c>
      <c r="E2693" s="644" t="s">
        <v>3094</v>
      </c>
      <c r="F2693" s="577" t="s">
        <v>491</v>
      </c>
      <c r="G2693" s="577">
        <v>9841237895</v>
      </c>
      <c r="I2693" s="577">
        <v>55</v>
      </c>
      <c r="J2693" s="577" t="s">
        <v>90</v>
      </c>
      <c r="K2693" s="577" t="s">
        <v>1480</v>
      </c>
      <c r="M2693" s="571" t="s">
        <v>119</v>
      </c>
      <c r="N2693" s="745">
        <v>65043</v>
      </c>
      <c r="O2693" s="572">
        <v>65043</v>
      </c>
      <c r="P2693" s="514">
        <v>65058</v>
      </c>
      <c r="Q2693" s="512" t="s">
        <v>51</v>
      </c>
    </row>
    <row r="2694" spans="1:17" ht="18">
      <c r="A2694" s="512">
        <f t="shared" si="34"/>
        <v>1847</v>
      </c>
      <c r="B2694" s="660" t="s">
        <v>43</v>
      </c>
      <c r="C2694" s="644" t="s">
        <v>44</v>
      </c>
      <c r="D2694" s="644" t="s">
        <v>45</v>
      </c>
      <c r="E2694" s="644" t="s">
        <v>3116</v>
      </c>
      <c r="F2694" s="577" t="s">
        <v>441</v>
      </c>
      <c r="G2694" s="577">
        <v>9818664845</v>
      </c>
      <c r="I2694" s="577">
        <v>47</v>
      </c>
      <c r="J2694" s="577" t="s">
        <v>90</v>
      </c>
      <c r="K2694" s="577" t="s">
        <v>1468</v>
      </c>
      <c r="M2694" s="571" t="s">
        <v>119</v>
      </c>
      <c r="N2694" s="745">
        <v>65043</v>
      </c>
      <c r="O2694" s="572">
        <v>65043</v>
      </c>
      <c r="P2694" s="514">
        <v>65058</v>
      </c>
      <c r="Q2694" s="512" t="s">
        <v>51</v>
      </c>
    </row>
    <row r="2695" spans="1:17" ht="18">
      <c r="A2695" s="512">
        <f t="shared" si="34"/>
        <v>1848</v>
      </c>
      <c r="B2695" s="660" t="s">
        <v>43</v>
      </c>
      <c r="C2695" s="644" t="s">
        <v>44</v>
      </c>
      <c r="D2695" s="644" t="s">
        <v>45</v>
      </c>
      <c r="E2695" s="644" t="s">
        <v>2965</v>
      </c>
      <c r="F2695" s="577" t="s">
        <v>502</v>
      </c>
      <c r="G2695" s="577">
        <v>9847836688</v>
      </c>
      <c r="I2695" s="577">
        <v>17</v>
      </c>
      <c r="J2695" s="577" t="s">
        <v>48</v>
      </c>
      <c r="K2695" s="577" t="s">
        <v>1468</v>
      </c>
      <c r="M2695" s="571" t="s">
        <v>119</v>
      </c>
      <c r="N2695" s="745">
        <v>65043</v>
      </c>
      <c r="O2695" s="572">
        <v>65043</v>
      </c>
      <c r="P2695" s="514">
        <v>65058</v>
      </c>
      <c r="Q2695" s="512" t="s">
        <v>51</v>
      </c>
    </row>
    <row r="2696" spans="1:17" ht="18">
      <c r="A2696" s="512">
        <f t="shared" si="34"/>
        <v>1849</v>
      </c>
      <c r="B2696" s="660" t="s">
        <v>43</v>
      </c>
      <c r="C2696" s="644" t="s">
        <v>44</v>
      </c>
      <c r="D2696" s="644" t="s">
        <v>45</v>
      </c>
      <c r="E2696" s="644" t="s">
        <v>2981</v>
      </c>
      <c r="F2696" s="577" t="s">
        <v>491</v>
      </c>
      <c r="G2696" s="577">
        <v>9863117720</v>
      </c>
      <c r="I2696" s="577">
        <v>80</v>
      </c>
      <c r="J2696" s="577" t="s">
        <v>48</v>
      </c>
      <c r="K2696" s="577" t="s">
        <v>1480</v>
      </c>
      <c r="M2696" s="571" t="s">
        <v>119</v>
      </c>
      <c r="N2696" s="745">
        <v>65043</v>
      </c>
      <c r="O2696" s="572">
        <v>65043</v>
      </c>
      <c r="P2696" s="514">
        <v>65058</v>
      </c>
      <c r="Q2696" s="512" t="s">
        <v>51</v>
      </c>
    </row>
    <row r="2697" spans="1:17" ht="18">
      <c r="A2697" s="512">
        <f t="shared" si="34"/>
        <v>1850</v>
      </c>
      <c r="B2697" s="660" t="s">
        <v>43</v>
      </c>
      <c r="C2697" s="644" t="s">
        <v>44</v>
      </c>
      <c r="D2697" s="644" t="s">
        <v>45</v>
      </c>
      <c r="E2697" s="644" t="s">
        <v>3036</v>
      </c>
      <c r="F2697" s="577" t="s">
        <v>1046</v>
      </c>
      <c r="G2697" s="577">
        <v>9841626560</v>
      </c>
      <c r="I2697" s="577">
        <v>34</v>
      </c>
      <c r="J2697" s="577" t="s">
        <v>48</v>
      </c>
      <c r="K2697" s="577" t="s">
        <v>1468</v>
      </c>
      <c r="M2697" s="571" t="s">
        <v>119</v>
      </c>
      <c r="N2697" s="745">
        <v>65043</v>
      </c>
      <c r="O2697" s="572">
        <v>65043</v>
      </c>
      <c r="P2697" s="514">
        <v>65058</v>
      </c>
      <c r="Q2697" s="512" t="s">
        <v>51</v>
      </c>
    </row>
    <row r="2698" spans="1:17" ht="18">
      <c r="A2698" s="512">
        <f t="shared" si="34"/>
        <v>1851</v>
      </c>
      <c r="B2698" s="660" t="s">
        <v>43</v>
      </c>
      <c r="C2698" s="644" t="s">
        <v>44</v>
      </c>
      <c r="D2698" s="644" t="s">
        <v>45</v>
      </c>
      <c r="E2698" s="644" t="s">
        <v>3045</v>
      </c>
      <c r="F2698" s="577" t="s">
        <v>497</v>
      </c>
      <c r="G2698" s="577">
        <v>9847925498</v>
      </c>
      <c r="I2698" s="577">
        <v>55</v>
      </c>
      <c r="J2698" s="577" t="s">
        <v>48</v>
      </c>
      <c r="K2698" s="577" t="s">
        <v>1468</v>
      </c>
      <c r="M2698" s="571" t="s">
        <v>119</v>
      </c>
      <c r="N2698" s="745">
        <v>65043</v>
      </c>
      <c r="O2698" s="572">
        <v>65043</v>
      </c>
      <c r="P2698" s="514">
        <v>65058</v>
      </c>
      <c r="Q2698" s="512" t="s">
        <v>51</v>
      </c>
    </row>
    <row r="2699" spans="1:17" ht="18">
      <c r="A2699" s="512">
        <f t="shared" si="34"/>
        <v>1852</v>
      </c>
      <c r="B2699" s="660" t="s">
        <v>43</v>
      </c>
      <c r="C2699" s="644" t="s">
        <v>44</v>
      </c>
      <c r="D2699" s="644" t="s">
        <v>45</v>
      </c>
      <c r="E2699" s="644" t="s">
        <v>2953</v>
      </c>
      <c r="F2699" s="577" t="s">
        <v>598</v>
      </c>
      <c r="G2699" s="577">
        <v>9866870777</v>
      </c>
      <c r="I2699" s="577">
        <v>48</v>
      </c>
      <c r="J2699" s="577" t="s">
        <v>48</v>
      </c>
      <c r="K2699" s="577" t="s">
        <v>1468</v>
      </c>
      <c r="M2699" s="571" t="s">
        <v>119</v>
      </c>
      <c r="N2699" s="745">
        <v>65043</v>
      </c>
      <c r="O2699" s="572">
        <v>65043</v>
      </c>
      <c r="P2699" s="514">
        <v>65058</v>
      </c>
      <c r="Q2699" s="512" t="s">
        <v>51</v>
      </c>
    </row>
    <row r="2700" spans="1:17" s="163" customFormat="1" ht="18">
      <c r="A2700" s="512">
        <f t="shared" si="34"/>
        <v>1853</v>
      </c>
      <c r="B2700" s="660" t="s">
        <v>43</v>
      </c>
      <c r="C2700" s="644" t="s">
        <v>44</v>
      </c>
      <c r="D2700" s="644" t="s">
        <v>45</v>
      </c>
      <c r="E2700" s="644" t="s">
        <v>3001</v>
      </c>
      <c r="F2700" s="577" t="s">
        <v>441</v>
      </c>
      <c r="G2700" s="577">
        <v>9868046944</v>
      </c>
      <c r="H2700" s="432"/>
      <c r="I2700" s="577">
        <v>26</v>
      </c>
      <c r="J2700" s="577" t="s">
        <v>48</v>
      </c>
      <c r="K2700" s="577" t="s">
        <v>1480</v>
      </c>
      <c r="L2700" s="434"/>
      <c r="M2700" s="571" t="s">
        <v>119</v>
      </c>
      <c r="N2700" s="745">
        <v>65043</v>
      </c>
      <c r="O2700" s="572">
        <v>65043</v>
      </c>
      <c r="P2700" s="514">
        <v>65058</v>
      </c>
      <c r="Q2700" s="512" t="s">
        <v>51</v>
      </c>
    </row>
    <row r="2701" spans="1:17" ht="18">
      <c r="A2701" s="512">
        <f t="shared" si="34"/>
        <v>1854</v>
      </c>
      <c r="B2701" s="660" t="s">
        <v>43</v>
      </c>
      <c r="C2701" s="644" t="s">
        <v>44</v>
      </c>
      <c r="D2701" s="644" t="s">
        <v>45</v>
      </c>
      <c r="E2701" s="644" t="s">
        <v>3050</v>
      </c>
      <c r="F2701" s="577" t="s">
        <v>730</v>
      </c>
      <c r="G2701" s="577">
        <v>9810885578</v>
      </c>
      <c r="I2701" s="577">
        <v>51</v>
      </c>
      <c r="J2701" s="577" t="s">
        <v>48</v>
      </c>
      <c r="K2701" s="577" t="s">
        <v>53</v>
      </c>
      <c r="M2701" s="571" t="s">
        <v>119</v>
      </c>
      <c r="N2701" s="745">
        <v>65043</v>
      </c>
      <c r="O2701" s="572">
        <v>65043</v>
      </c>
      <c r="P2701" s="514">
        <v>65058</v>
      </c>
      <c r="Q2701" s="512" t="s">
        <v>51</v>
      </c>
    </row>
    <row r="2702" spans="1:17" ht="18">
      <c r="A2702" s="512">
        <f t="shared" si="34"/>
        <v>1855</v>
      </c>
      <c r="B2702" s="660" t="s">
        <v>43</v>
      </c>
      <c r="C2702" s="644" t="s">
        <v>44</v>
      </c>
      <c r="D2702" s="644" t="s">
        <v>45</v>
      </c>
      <c r="E2702" s="644" t="s">
        <v>2954</v>
      </c>
      <c r="F2702" s="577" t="s">
        <v>598</v>
      </c>
      <c r="G2702" s="577">
        <v>9847855352</v>
      </c>
      <c r="I2702" s="577">
        <v>49</v>
      </c>
      <c r="J2702" s="577" t="s">
        <v>48</v>
      </c>
      <c r="K2702" s="577" t="s">
        <v>1468</v>
      </c>
      <c r="M2702" s="571" t="s">
        <v>119</v>
      </c>
      <c r="N2702" s="745">
        <v>65043</v>
      </c>
      <c r="O2702" s="572">
        <v>65043</v>
      </c>
      <c r="P2702" s="514">
        <v>65058</v>
      </c>
      <c r="Q2702" s="512" t="s">
        <v>51</v>
      </c>
    </row>
    <row r="2703" spans="1:17" ht="18">
      <c r="A2703" s="512">
        <f t="shared" si="34"/>
        <v>1856</v>
      </c>
      <c r="B2703" s="660" t="s">
        <v>43</v>
      </c>
      <c r="C2703" s="644" t="s">
        <v>44</v>
      </c>
      <c r="D2703" s="644" t="s">
        <v>45</v>
      </c>
      <c r="E2703" s="644" t="s">
        <v>3100</v>
      </c>
      <c r="F2703" s="577" t="s">
        <v>491</v>
      </c>
      <c r="G2703" s="577">
        <v>9843243806</v>
      </c>
      <c r="I2703" s="577">
        <v>63</v>
      </c>
      <c r="J2703" s="577" t="s">
        <v>90</v>
      </c>
      <c r="K2703" s="577" t="s">
        <v>1468</v>
      </c>
      <c r="M2703" s="571" t="s">
        <v>119</v>
      </c>
      <c r="N2703" s="745">
        <v>65043</v>
      </c>
      <c r="O2703" s="572">
        <v>65043</v>
      </c>
      <c r="P2703" s="514">
        <v>65058</v>
      </c>
      <c r="Q2703" s="512" t="s">
        <v>51</v>
      </c>
    </row>
    <row r="2704" spans="1:17" ht="18">
      <c r="A2704" s="512">
        <f t="shared" si="34"/>
        <v>1857</v>
      </c>
      <c r="B2704" s="660" t="s">
        <v>43</v>
      </c>
      <c r="C2704" s="644" t="s">
        <v>44</v>
      </c>
      <c r="D2704" s="644" t="s">
        <v>45</v>
      </c>
      <c r="E2704" s="644" t="s">
        <v>3030</v>
      </c>
      <c r="F2704" s="577" t="s">
        <v>791</v>
      </c>
      <c r="G2704" s="577">
        <v>9822887405</v>
      </c>
      <c r="I2704" s="577">
        <v>20</v>
      </c>
      <c r="J2704" s="577" t="s">
        <v>48</v>
      </c>
      <c r="K2704" s="577" t="s">
        <v>53</v>
      </c>
      <c r="M2704" s="571" t="s">
        <v>119</v>
      </c>
      <c r="N2704" s="745">
        <v>65043</v>
      </c>
      <c r="O2704" s="572">
        <v>65043</v>
      </c>
      <c r="P2704" s="514">
        <v>65058</v>
      </c>
      <c r="Q2704" s="512" t="s">
        <v>51</v>
      </c>
    </row>
    <row r="2705" spans="1:17" ht="18">
      <c r="A2705" s="512">
        <f t="shared" si="34"/>
        <v>1858</v>
      </c>
      <c r="B2705" s="660" t="s">
        <v>43</v>
      </c>
      <c r="C2705" s="644" t="s">
        <v>44</v>
      </c>
      <c r="D2705" s="644" t="s">
        <v>45</v>
      </c>
      <c r="E2705" s="644" t="s">
        <v>3074</v>
      </c>
      <c r="F2705" s="577" t="s">
        <v>502</v>
      </c>
      <c r="G2705" s="577">
        <v>9857820442</v>
      </c>
      <c r="I2705" s="577">
        <v>26</v>
      </c>
      <c r="J2705" s="577" t="s">
        <v>90</v>
      </c>
      <c r="K2705" s="577" t="s">
        <v>1480</v>
      </c>
      <c r="M2705" s="571" t="s">
        <v>119</v>
      </c>
      <c r="N2705" s="745">
        <v>65043</v>
      </c>
      <c r="O2705" s="572">
        <v>65043</v>
      </c>
      <c r="P2705" s="514">
        <v>65058</v>
      </c>
      <c r="Q2705" s="512" t="s">
        <v>51</v>
      </c>
    </row>
    <row r="2706" spans="1:17" ht="18">
      <c r="A2706" s="512">
        <f t="shared" ref="A2706:A2769" si="35">A2705+1</f>
        <v>1859</v>
      </c>
      <c r="B2706" s="660" t="s">
        <v>43</v>
      </c>
      <c r="C2706" s="644" t="s">
        <v>44</v>
      </c>
      <c r="D2706" s="644" t="s">
        <v>45</v>
      </c>
      <c r="E2706" s="644" t="s">
        <v>3009</v>
      </c>
      <c r="F2706" s="577" t="s">
        <v>529</v>
      </c>
      <c r="G2706" s="577">
        <v>9809556282</v>
      </c>
      <c r="I2706" s="577">
        <v>47</v>
      </c>
      <c r="J2706" s="577" t="s">
        <v>48</v>
      </c>
      <c r="K2706" s="577" t="s">
        <v>1468</v>
      </c>
      <c r="M2706" s="571" t="s">
        <v>119</v>
      </c>
      <c r="N2706" s="745">
        <v>65043</v>
      </c>
      <c r="O2706" s="572">
        <v>65043</v>
      </c>
      <c r="P2706" s="514">
        <v>65058</v>
      </c>
      <c r="Q2706" s="512" t="s">
        <v>51</v>
      </c>
    </row>
    <row r="2707" spans="1:17" ht="18">
      <c r="A2707" s="512">
        <f t="shared" si="35"/>
        <v>1860</v>
      </c>
      <c r="B2707" s="660" t="s">
        <v>43</v>
      </c>
      <c r="C2707" s="644" t="s">
        <v>44</v>
      </c>
      <c r="D2707" s="644" t="s">
        <v>45</v>
      </c>
      <c r="E2707" s="644" t="s">
        <v>3101</v>
      </c>
      <c r="F2707" s="577" t="s">
        <v>491</v>
      </c>
      <c r="G2707" s="577">
        <v>9866649362</v>
      </c>
      <c r="I2707" s="577">
        <v>41</v>
      </c>
      <c r="J2707" s="577" t="s">
        <v>90</v>
      </c>
      <c r="K2707" s="577" t="s">
        <v>1468</v>
      </c>
      <c r="M2707" s="571" t="s">
        <v>119</v>
      </c>
      <c r="N2707" s="745">
        <v>65043</v>
      </c>
      <c r="O2707" s="572">
        <v>65043</v>
      </c>
      <c r="P2707" s="514">
        <v>65058</v>
      </c>
      <c r="Q2707" s="512" t="s">
        <v>51</v>
      </c>
    </row>
    <row r="2708" spans="1:17" ht="18">
      <c r="A2708" s="512">
        <f t="shared" si="35"/>
        <v>1861</v>
      </c>
      <c r="B2708" s="658" t="s">
        <v>43</v>
      </c>
      <c r="C2708" s="630" t="s">
        <v>44</v>
      </c>
      <c r="D2708" s="630" t="s">
        <v>45</v>
      </c>
      <c r="E2708" s="630" t="s">
        <v>3031</v>
      </c>
      <c r="F2708" s="597" t="s">
        <v>791</v>
      </c>
      <c r="G2708" s="597">
        <v>9809824863</v>
      </c>
      <c r="H2708" s="422"/>
      <c r="I2708" s="597">
        <v>52</v>
      </c>
      <c r="J2708" s="597" t="s">
        <v>48</v>
      </c>
      <c r="K2708" s="597" t="s">
        <v>1468</v>
      </c>
      <c r="L2708" s="423"/>
      <c r="M2708" s="597" t="s">
        <v>119</v>
      </c>
      <c r="N2708" s="758">
        <v>65043</v>
      </c>
      <c r="O2708" s="632">
        <v>65043</v>
      </c>
      <c r="P2708" s="476">
        <v>65054</v>
      </c>
      <c r="Q2708" s="422" t="s">
        <v>940</v>
      </c>
    </row>
    <row r="2709" spans="1:17" ht="18">
      <c r="A2709" s="512">
        <f t="shared" si="35"/>
        <v>1862</v>
      </c>
      <c r="B2709" s="660" t="s">
        <v>43</v>
      </c>
      <c r="C2709" s="644" t="s">
        <v>44</v>
      </c>
      <c r="D2709" s="644" t="s">
        <v>45</v>
      </c>
      <c r="E2709" s="644" t="s">
        <v>3075</v>
      </c>
      <c r="F2709" s="577" t="s">
        <v>502</v>
      </c>
      <c r="G2709" s="577">
        <v>9847821153</v>
      </c>
      <c r="I2709" s="577">
        <v>38</v>
      </c>
      <c r="J2709" s="577" t="s">
        <v>90</v>
      </c>
      <c r="K2709" s="577" t="s">
        <v>1480</v>
      </c>
      <c r="M2709" s="571" t="s">
        <v>119</v>
      </c>
      <c r="N2709" s="745">
        <v>65043</v>
      </c>
      <c r="O2709" s="572">
        <v>65043</v>
      </c>
      <c r="P2709" s="514">
        <v>65058</v>
      </c>
      <c r="Q2709" s="512" t="s">
        <v>51</v>
      </c>
    </row>
    <row r="2710" spans="1:17" ht="18">
      <c r="A2710" s="512">
        <f t="shared" si="35"/>
        <v>1863</v>
      </c>
      <c r="B2710" s="660" t="s">
        <v>43</v>
      </c>
      <c r="C2710" s="644" t="s">
        <v>44</v>
      </c>
      <c r="D2710" s="644" t="s">
        <v>45</v>
      </c>
      <c r="E2710" s="644" t="s">
        <v>3095</v>
      </c>
      <c r="F2710" s="577" t="s">
        <v>491</v>
      </c>
      <c r="G2710" s="577">
        <v>9809752361</v>
      </c>
      <c r="I2710" s="577">
        <v>56</v>
      </c>
      <c r="J2710" s="577" t="s">
        <v>90</v>
      </c>
      <c r="K2710" s="577" t="s">
        <v>1480</v>
      </c>
      <c r="M2710" s="571" t="s">
        <v>119</v>
      </c>
      <c r="N2710" s="745">
        <v>65043</v>
      </c>
      <c r="O2710" s="572">
        <v>65043</v>
      </c>
      <c r="P2710" s="514">
        <v>65058</v>
      </c>
      <c r="Q2710" s="512" t="s">
        <v>51</v>
      </c>
    </row>
    <row r="2711" spans="1:17" ht="18">
      <c r="A2711" s="512">
        <f t="shared" si="35"/>
        <v>1864</v>
      </c>
      <c r="B2711" s="660" t="s">
        <v>43</v>
      </c>
      <c r="C2711" s="644" t="s">
        <v>44</v>
      </c>
      <c r="D2711" s="644" t="s">
        <v>45</v>
      </c>
      <c r="E2711" s="644" t="s">
        <v>3096</v>
      </c>
      <c r="F2711" s="577" t="s">
        <v>491</v>
      </c>
      <c r="G2711" s="577">
        <v>9847887097</v>
      </c>
      <c r="I2711" s="577">
        <v>58</v>
      </c>
      <c r="J2711" s="577" t="s">
        <v>90</v>
      </c>
      <c r="K2711" s="577" t="s">
        <v>1480</v>
      </c>
      <c r="M2711" s="571" t="s">
        <v>119</v>
      </c>
      <c r="N2711" s="745">
        <v>65043</v>
      </c>
      <c r="O2711" s="572">
        <v>65043</v>
      </c>
      <c r="P2711" s="514">
        <v>65058</v>
      </c>
      <c r="Q2711" s="512" t="s">
        <v>51</v>
      </c>
    </row>
    <row r="2712" spans="1:17" ht="18">
      <c r="A2712" s="512">
        <f t="shared" si="35"/>
        <v>1865</v>
      </c>
      <c r="B2712" s="660" t="s">
        <v>43</v>
      </c>
      <c r="C2712" s="644" t="s">
        <v>44</v>
      </c>
      <c r="D2712" s="644" t="s">
        <v>45</v>
      </c>
      <c r="E2712" s="644" t="s">
        <v>2982</v>
      </c>
      <c r="F2712" s="577" t="s">
        <v>491</v>
      </c>
      <c r="G2712" s="577">
        <v>9809753726</v>
      </c>
      <c r="I2712" s="577">
        <v>20</v>
      </c>
      <c r="J2712" s="577" t="s">
        <v>48</v>
      </c>
      <c r="K2712" s="577" t="s">
        <v>1468</v>
      </c>
      <c r="M2712" s="571" t="s">
        <v>119</v>
      </c>
      <c r="N2712" s="745">
        <v>65043</v>
      </c>
      <c r="O2712" s="572">
        <v>65043</v>
      </c>
      <c r="P2712" s="514">
        <v>65058</v>
      </c>
      <c r="Q2712" s="512" t="s">
        <v>51</v>
      </c>
    </row>
    <row r="2713" spans="1:17" ht="18">
      <c r="A2713" s="512">
        <f t="shared" si="35"/>
        <v>1866</v>
      </c>
      <c r="B2713" s="660" t="s">
        <v>43</v>
      </c>
      <c r="C2713" s="644" t="s">
        <v>44</v>
      </c>
      <c r="D2713" s="644" t="s">
        <v>45</v>
      </c>
      <c r="E2713" s="644" t="s">
        <v>3150</v>
      </c>
      <c r="F2713" s="577" t="s">
        <v>1008</v>
      </c>
      <c r="G2713" s="577">
        <v>9847932585</v>
      </c>
      <c r="I2713" s="577">
        <v>40</v>
      </c>
      <c r="J2713" s="577" t="s">
        <v>90</v>
      </c>
      <c r="K2713" s="577" t="s">
        <v>1468</v>
      </c>
      <c r="M2713" s="571" t="s">
        <v>119</v>
      </c>
      <c r="N2713" s="745">
        <v>65043</v>
      </c>
      <c r="O2713" s="572">
        <v>65043</v>
      </c>
      <c r="P2713" s="514">
        <v>65058</v>
      </c>
      <c r="Q2713" s="512" t="s">
        <v>51</v>
      </c>
    </row>
    <row r="2714" spans="1:17" ht="18">
      <c r="A2714" s="512">
        <f t="shared" si="35"/>
        <v>1867</v>
      </c>
      <c r="B2714" s="660" t="s">
        <v>43</v>
      </c>
      <c r="C2714" s="644" t="s">
        <v>44</v>
      </c>
      <c r="D2714" s="644" t="s">
        <v>45</v>
      </c>
      <c r="E2714" s="644" t="s">
        <v>3055</v>
      </c>
      <c r="F2714" s="577" t="s">
        <v>1008</v>
      </c>
      <c r="G2714" s="577">
        <v>9847820335</v>
      </c>
      <c r="I2714" s="577">
        <v>43</v>
      </c>
      <c r="J2714" s="577" t="s">
        <v>48</v>
      </c>
      <c r="K2714" s="577" t="s">
        <v>1468</v>
      </c>
      <c r="M2714" s="571" t="s">
        <v>119</v>
      </c>
      <c r="N2714" s="745">
        <v>65043</v>
      </c>
      <c r="O2714" s="572">
        <v>65043</v>
      </c>
      <c r="P2714" s="514">
        <v>65058</v>
      </c>
      <c r="Q2714" s="512" t="s">
        <v>51</v>
      </c>
    </row>
    <row r="2715" spans="1:17" ht="18">
      <c r="A2715" s="512">
        <f t="shared" si="35"/>
        <v>1868</v>
      </c>
      <c r="B2715" s="660" t="s">
        <v>43</v>
      </c>
      <c r="C2715" s="644" t="s">
        <v>44</v>
      </c>
      <c r="D2715" s="644" t="s">
        <v>45</v>
      </c>
      <c r="E2715" s="644" t="s">
        <v>2955</v>
      </c>
      <c r="F2715" s="577" t="s">
        <v>598</v>
      </c>
      <c r="G2715" s="577">
        <v>9857090981</v>
      </c>
      <c r="I2715" s="577">
        <v>28</v>
      </c>
      <c r="J2715" s="577" t="s">
        <v>48</v>
      </c>
      <c r="K2715" s="577" t="s">
        <v>53</v>
      </c>
      <c r="M2715" s="571" t="s">
        <v>119</v>
      </c>
      <c r="N2715" s="745">
        <v>65043</v>
      </c>
      <c r="O2715" s="572">
        <v>65043</v>
      </c>
      <c r="P2715" s="514">
        <v>65058</v>
      </c>
      <c r="Q2715" s="512" t="s">
        <v>51</v>
      </c>
    </row>
    <row r="2716" spans="1:17" ht="18">
      <c r="A2716" s="512">
        <f t="shared" si="35"/>
        <v>1869</v>
      </c>
      <c r="B2716" s="660" t="s">
        <v>43</v>
      </c>
      <c r="C2716" s="644" t="s">
        <v>44</v>
      </c>
      <c r="D2716" s="644" t="s">
        <v>45</v>
      </c>
      <c r="E2716" s="644" t="s">
        <v>2983</v>
      </c>
      <c r="F2716" s="577" t="s">
        <v>491</v>
      </c>
      <c r="G2716" s="577">
        <v>9841873016</v>
      </c>
      <c r="I2716" s="577">
        <v>32</v>
      </c>
      <c r="J2716" s="577" t="s">
        <v>48</v>
      </c>
      <c r="K2716" s="577" t="s">
        <v>53</v>
      </c>
      <c r="M2716" s="571" t="s">
        <v>119</v>
      </c>
      <c r="N2716" s="745">
        <v>65043</v>
      </c>
      <c r="O2716" s="572">
        <v>65043</v>
      </c>
      <c r="P2716" s="514">
        <v>65058</v>
      </c>
      <c r="Q2716" s="512" t="s">
        <v>51</v>
      </c>
    </row>
    <row r="2717" spans="1:17" ht="18">
      <c r="A2717" s="512">
        <f t="shared" si="35"/>
        <v>1870</v>
      </c>
      <c r="B2717" s="660" t="s">
        <v>43</v>
      </c>
      <c r="C2717" s="644" t="s">
        <v>44</v>
      </c>
      <c r="D2717" s="644" t="s">
        <v>45</v>
      </c>
      <c r="E2717" s="670" t="s">
        <v>2984</v>
      </c>
      <c r="F2717" s="577" t="s">
        <v>491</v>
      </c>
      <c r="G2717" s="577">
        <v>9841396314</v>
      </c>
      <c r="I2717" s="577">
        <v>42</v>
      </c>
      <c r="J2717" s="577" t="s">
        <v>48</v>
      </c>
      <c r="K2717" s="577" t="s">
        <v>1468</v>
      </c>
      <c r="M2717" s="571" t="s">
        <v>119</v>
      </c>
      <c r="N2717" s="745">
        <v>65043</v>
      </c>
      <c r="O2717" s="572">
        <v>65043</v>
      </c>
      <c r="P2717" s="514">
        <v>65058</v>
      </c>
      <c r="Q2717" s="512" t="s">
        <v>51</v>
      </c>
    </row>
    <row r="2718" spans="1:17" ht="18">
      <c r="A2718" s="512">
        <f t="shared" si="35"/>
        <v>1871</v>
      </c>
      <c r="B2718" s="660" t="s">
        <v>43</v>
      </c>
      <c r="C2718" s="644" t="s">
        <v>44</v>
      </c>
      <c r="D2718" s="644" t="s">
        <v>45</v>
      </c>
      <c r="E2718" s="644" t="s">
        <v>2942</v>
      </c>
      <c r="F2718" s="577" t="s">
        <v>636</v>
      </c>
      <c r="G2718" s="577">
        <v>9867092600</v>
      </c>
      <c r="I2718" s="577">
        <v>39</v>
      </c>
      <c r="J2718" s="577" t="s">
        <v>48</v>
      </c>
      <c r="K2718" s="577" t="s">
        <v>1468</v>
      </c>
      <c r="M2718" s="571" t="s">
        <v>119</v>
      </c>
      <c r="N2718" s="745">
        <v>65043</v>
      </c>
      <c r="O2718" s="572">
        <v>65043</v>
      </c>
      <c r="P2718" s="514">
        <v>65058</v>
      </c>
      <c r="Q2718" s="512" t="s">
        <v>51</v>
      </c>
    </row>
    <row r="2719" spans="1:17" ht="18">
      <c r="A2719" s="512">
        <f t="shared" si="35"/>
        <v>1872</v>
      </c>
      <c r="B2719" s="660" t="s">
        <v>43</v>
      </c>
      <c r="C2719" s="644" t="s">
        <v>44</v>
      </c>
      <c r="D2719" s="644" t="s">
        <v>45</v>
      </c>
      <c r="E2719" s="644" t="s">
        <v>3024</v>
      </c>
      <c r="F2719" s="577" t="s">
        <v>124</v>
      </c>
      <c r="G2719" s="577">
        <v>9812869459</v>
      </c>
      <c r="I2719" s="577">
        <v>48</v>
      </c>
      <c r="J2719" s="577" t="s">
        <v>48</v>
      </c>
      <c r="K2719" s="577" t="s">
        <v>1468</v>
      </c>
      <c r="M2719" s="571" t="s">
        <v>119</v>
      </c>
      <c r="N2719" s="745">
        <v>65043</v>
      </c>
      <c r="O2719" s="572">
        <v>65043</v>
      </c>
      <c r="P2719" s="514">
        <v>65058</v>
      </c>
      <c r="Q2719" s="512" t="s">
        <v>51</v>
      </c>
    </row>
    <row r="2720" spans="1:17" ht="18">
      <c r="A2720" s="512">
        <f t="shared" si="35"/>
        <v>1873</v>
      </c>
      <c r="B2720" s="660" t="s">
        <v>43</v>
      </c>
      <c r="C2720" s="644" t="s">
        <v>44</v>
      </c>
      <c r="D2720" s="644" t="s">
        <v>45</v>
      </c>
      <c r="E2720" s="644" t="s">
        <v>2985</v>
      </c>
      <c r="F2720" s="577" t="s">
        <v>491</v>
      </c>
      <c r="G2720" s="577">
        <v>9847981970</v>
      </c>
      <c r="I2720" s="577">
        <v>41</v>
      </c>
      <c r="J2720" s="577" t="s">
        <v>48</v>
      </c>
      <c r="K2720" s="577" t="s">
        <v>1468</v>
      </c>
      <c r="M2720" s="571" t="s">
        <v>119</v>
      </c>
      <c r="N2720" s="745">
        <v>65043</v>
      </c>
      <c r="O2720" s="572">
        <v>65043</v>
      </c>
      <c r="P2720" s="514">
        <v>65058</v>
      </c>
      <c r="Q2720" s="512" t="s">
        <v>51</v>
      </c>
    </row>
    <row r="2721" spans="1:17" ht="18">
      <c r="A2721" s="512">
        <f t="shared" si="35"/>
        <v>1874</v>
      </c>
      <c r="B2721" s="660" t="s">
        <v>43</v>
      </c>
      <c r="C2721" s="644" t="s">
        <v>44</v>
      </c>
      <c r="D2721" s="644" t="s">
        <v>45</v>
      </c>
      <c r="E2721" s="644" t="s">
        <v>2952</v>
      </c>
      <c r="F2721" s="577" t="s">
        <v>598</v>
      </c>
      <c r="G2721" s="577">
        <v>9847879825</v>
      </c>
      <c r="I2721" s="577">
        <v>63</v>
      </c>
      <c r="J2721" s="577" t="s">
        <v>48</v>
      </c>
      <c r="K2721" s="577" t="s">
        <v>1480</v>
      </c>
      <c r="M2721" s="571" t="s">
        <v>119</v>
      </c>
      <c r="N2721" s="745">
        <v>65043</v>
      </c>
      <c r="O2721" s="572">
        <v>65043</v>
      </c>
      <c r="P2721" s="514">
        <v>65058</v>
      </c>
      <c r="Q2721" s="512" t="s">
        <v>51</v>
      </c>
    </row>
    <row r="2722" spans="1:17" ht="18">
      <c r="A2722" s="512">
        <f t="shared" si="35"/>
        <v>1875</v>
      </c>
      <c r="B2722" s="660" t="s">
        <v>43</v>
      </c>
      <c r="C2722" s="644" t="s">
        <v>44</v>
      </c>
      <c r="D2722" s="644" t="s">
        <v>45</v>
      </c>
      <c r="E2722" s="644" t="s">
        <v>3076</v>
      </c>
      <c r="F2722" s="577" t="s">
        <v>502</v>
      </c>
      <c r="G2722" s="577">
        <v>9829563268</v>
      </c>
      <c r="I2722" s="577">
        <v>8</v>
      </c>
      <c r="J2722" s="577" t="s">
        <v>90</v>
      </c>
      <c r="K2722" s="577" t="s">
        <v>1480</v>
      </c>
      <c r="M2722" s="571" t="s">
        <v>119</v>
      </c>
      <c r="N2722" s="745">
        <v>65043</v>
      </c>
      <c r="O2722" s="572">
        <v>65043</v>
      </c>
      <c r="P2722" s="514">
        <v>65058</v>
      </c>
      <c r="Q2722" s="512" t="s">
        <v>51</v>
      </c>
    </row>
    <row r="2723" spans="1:17" ht="18">
      <c r="A2723" s="512">
        <f t="shared" si="35"/>
        <v>1876</v>
      </c>
      <c r="B2723" s="660" t="s">
        <v>43</v>
      </c>
      <c r="C2723" s="644" t="s">
        <v>44</v>
      </c>
      <c r="D2723" s="644" t="s">
        <v>45</v>
      </c>
      <c r="E2723" s="670" t="s">
        <v>1577</v>
      </c>
      <c r="F2723" s="577" t="s">
        <v>441</v>
      </c>
      <c r="G2723" s="577">
        <v>9847823183</v>
      </c>
      <c r="I2723" s="577">
        <v>41</v>
      </c>
      <c r="J2723" s="577" t="s">
        <v>90</v>
      </c>
      <c r="K2723" s="577" t="s">
        <v>53</v>
      </c>
      <c r="M2723" s="571" t="s">
        <v>119</v>
      </c>
      <c r="N2723" s="745">
        <v>65043</v>
      </c>
      <c r="O2723" s="572">
        <v>65043</v>
      </c>
      <c r="P2723" s="514">
        <v>65058</v>
      </c>
      <c r="Q2723" s="512" t="s">
        <v>51</v>
      </c>
    </row>
    <row r="2724" spans="1:17" ht="18">
      <c r="A2724" s="512">
        <f t="shared" si="35"/>
        <v>1877</v>
      </c>
      <c r="B2724" s="660" t="s">
        <v>43</v>
      </c>
      <c r="C2724" s="644" t="s">
        <v>44</v>
      </c>
      <c r="D2724" s="644" t="s">
        <v>45</v>
      </c>
      <c r="E2724" s="644" t="s">
        <v>3056</v>
      </c>
      <c r="F2724" s="577" t="s">
        <v>1008</v>
      </c>
      <c r="G2724" s="577">
        <v>9868628225</v>
      </c>
      <c r="I2724" s="577">
        <v>25</v>
      </c>
      <c r="J2724" s="577" t="s">
        <v>48</v>
      </c>
      <c r="K2724" s="577" t="s">
        <v>1468</v>
      </c>
      <c r="M2724" s="571" t="s">
        <v>119</v>
      </c>
      <c r="N2724" s="745">
        <v>65043</v>
      </c>
      <c r="O2724" s="572">
        <v>65043</v>
      </c>
      <c r="P2724" s="514">
        <v>65058</v>
      </c>
      <c r="Q2724" s="512" t="s">
        <v>51</v>
      </c>
    </row>
    <row r="2725" spans="1:17" ht="18">
      <c r="A2725" s="512">
        <f t="shared" si="35"/>
        <v>1878</v>
      </c>
      <c r="B2725" s="660" t="s">
        <v>43</v>
      </c>
      <c r="C2725" s="644" t="s">
        <v>44</v>
      </c>
      <c r="D2725" s="644" t="s">
        <v>45</v>
      </c>
      <c r="E2725" s="644" t="s">
        <v>2964</v>
      </c>
      <c r="F2725" s="577" t="s">
        <v>502</v>
      </c>
      <c r="G2725" s="577">
        <v>9847830083</v>
      </c>
      <c r="I2725" s="577">
        <v>30</v>
      </c>
      <c r="J2725" s="577" t="s">
        <v>48</v>
      </c>
      <c r="K2725" s="577" t="s">
        <v>1480</v>
      </c>
      <c r="M2725" s="571" t="s">
        <v>119</v>
      </c>
      <c r="N2725" s="745">
        <v>65043</v>
      </c>
      <c r="O2725" s="572">
        <v>65043</v>
      </c>
      <c r="P2725" s="514">
        <v>65058</v>
      </c>
      <c r="Q2725" s="512" t="s">
        <v>51</v>
      </c>
    </row>
    <row r="2726" spans="1:17" ht="18">
      <c r="A2726" s="512">
        <f t="shared" si="35"/>
        <v>1879</v>
      </c>
      <c r="B2726" s="660" t="s">
        <v>43</v>
      </c>
      <c r="C2726" s="644" t="s">
        <v>44</v>
      </c>
      <c r="D2726" s="644" t="s">
        <v>45</v>
      </c>
      <c r="E2726" s="670" t="s">
        <v>3010</v>
      </c>
      <c r="F2726" s="577" t="s">
        <v>529</v>
      </c>
      <c r="G2726" s="577">
        <v>9810889365</v>
      </c>
      <c r="I2726" s="577">
        <v>10</v>
      </c>
      <c r="J2726" s="577" t="s">
        <v>48</v>
      </c>
      <c r="K2726" s="577" t="s">
        <v>53</v>
      </c>
      <c r="M2726" s="571" t="s">
        <v>119</v>
      </c>
      <c r="N2726" s="745">
        <v>65043</v>
      </c>
      <c r="O2726" s="572">
        <v>65043</v>
      </c>
      <c r="P2726" s="514">
        <v>65058</v>
      </c>
      <c r="Q2726" s="512" t="s">
        <v>51</v>
      </c>
    </row>
    <row r="2727" spans="1:17" ht="18">
      <c r="A2727" s="512">
        <f t="shared" si="35"/>
        <v>1880</v>
      </c>
      <c r="B2727" s="660" t="s">
        <v>43</v>
      </c>
      <c r="C2727" s="644" t="s">
        <v>44</v>
      </c>
      <c r="D2727" s="644" t="s">
        <v>45</v>
      </c>
      <c r="E2727" s="644" t="s">
        <v>2966</v>
      </c>
      <c r="F2727" s="577" t="s">
        <v>502</v>
      </c>
      <c r="G2727" s="577">
        <v>9803622096</v>
      </c>
      <c r="I2727" s="577">
        <v>45</v>
      </c>
      <c r="J2727" s="577" t="s">
        <v>48</v>
      </c>
      <c r="K2727" s="577" t="s">
        <v>1468</v>
      </c>
      <c r="M2727" s="571" t="s">
        <v>119</v>
      </c>
      <c r="N2727" s="745">
        <v>65043</v>
      </c>
      <c r="O2727" s="572">
        <v>65043</v>
      </c>
      <c r="P2727" s="514">
        <v>65058</v>
      </c>
      <c r="Q2727" s="512" t="s">
        <v>51</v>
      </c>
    </row>
    <row r="2728" spans="1:17" ht="18">
      <c r="A2728" s="512">
        <f t="shared" si="35"/>
        <v>1881</v>
      </c>
      <c r="B2728" s="660" t="s">
        <v>43</v>
      </c>
      <c r="C2728" s="644" t="s">
        <v>44</v>
      </c>
      <c r="D2728" s="644" t="s">
        <v>45</v>
      </c>
      <c r="E2728" s="670" t="s">
        <v>2663</v>
      </c>
      <c r="F2728" s="577" t="s">
        <v>529</v>
      </c>
      <c r="G2728" s="577">
        <v>9841183894</v>
      </c>
      <c r="I2728" s="577">
        <v>38</v>
      </c>
      <c r="J2728" s="577" t="s">
        <v>48</v>
      </c>
      <c r="K2728" s="577" t="s">
        <v>1468</v>
      </c>
      <c r="M2728" s="571" t="s">
        <v>119</v>
      </c>
      <c r="N2728" s="745">
        <v>65043</v>
      </c>
      <c r="O2728" s="572">
        <v>65043</v>
      </c>
      <c r="P2728" s="514">
        <v>65058</v>
      </c>
      <c r="Q2728" s="512" t="s">
        <v>51</v>
      </c>
    </row>
    <row r="2729" spans="1:17" ht="18">
      <c r="A2729" s="512">
        <f t="shared" si="35"/>
        <v>1882</v>
      </c>
      <c r="B2729" s="660" t="s">
        <v>43</v>
      </c>
      <c r="C2729" s="644" t="s">
        <v>44</v>
      </c>
      <c r="D2729" s="644" t="s">
        <v>45</v>
      </c>
      <c r="E2729" s="644" t="s">
        <v>2986</v>
      </c>
      <c r="F2729" s="577" t="s">
        <v>491</v>
      </c>
      <c r="G2729" s="577">
        <v>980708209</v>
      </c>
      <c r="I2729" s="577">
        <v>54</v>
      </c>
      <c r="J2729" s="577" t="s">
        <v>48</v>
      </c>
      <c r="K2729" s="577" t="s">
        <v>1468</v>
      </c>
      <c r="M2729" s="571" t="s">
        <v>119</v>
      </c>
      <c r="N2729" s="745">
        <v>65043</v>
      </c>
      <c r="O2729" s="572">
        <v>65043</v>
      </c>
      <c r="P2729" s="514">
        <v>65058</v>
      </c>
      <c r="Q2729" s="512" t="s">
        <v>51</v>
      </c>
    </row>
    <row r="2730" spans="1:17" ht="18">
      <c r="A2730" s="512">
        <f t="shared" si="35"/>
        <v>1883</v>
      </c>
      <c r="B2730" s="660" t="s">
        <v>43</v>
      </c>
      <c r="C2730" s="644" t="s">
        <v>44</v>
      </c>
      <c r="D2730" s="644" t="s">
        <v>45</v>
      </c>
      <c r="E2730" s="644" t="s">
        <v>3022</v>
      </c>
      <c r="F2730" s="577" t="s">
        <v>124</v>
      </c>
      <c r="G2730" s="577">
        <v>9857821000</v>
      </c>
      <c r="I2730" s="577">
        <v>51</v>
      </c>
      <c r="J2730" s="577" t="s">
        <v>48</v>
      </c>
      <c r="K2730" s="577" t="s">
        <v>1480</v>
      </c>
      <c r="M2730" s="571" t="s">
        <v>119</v>
      </c>
      <c r="N2730" s="745">
        <v>65043</v>
      </c>
      <c r="O2730" s="572">
        <v>65043</v>
      </c>
      <c r="P2730" s="514">
        <v>65058</v>
      </c>
      <c r="Q2730" s="512" t="s">
        <v>51</v>
      </c>
    </row>
    <row r="2731" spans="1:17" ht="18">
      <c r="A2731" s="512">
        <f t="shared" si="35"/>
        <v>1884</v>
      </c>
      <c r="B2731" s="660" t="s">
        <v>43</v>
      </c>
      <c r="C2731" s="644" t="s">
        <v>44</v>
      </c>
      <c r="D2731" s="644" t="s">
        <v>45</v>
      </c>
      <c r="E2731" s="644" t="s">
        <v>3077</v>
      </c>
      <c r="F2731" s="577" t="s">
        <v>502</v>
      </c>
      <c r="G2731" s="577">
        <v>9847837175</v>
      </c>
      <c r="I2731" s="577">
        <v>40</v>
      </c>
      <c r="J2731" s="577" t="s">
        <v>90</v>
      </c>
      <c r="K2731" s="577" t="s">
        <v>1480</v>
      </c>
      <c r="M2731" s="571" t="s">
        <v>119</v>
      </c>
      <c r="N2731" s="745">
        <v>65043</v>
      </c>
      <c r="O2731" s="572">
        <v>65043</v>
      </c>
      <c r="P2731" s="514">
        <v>65058</v>
      </c>
      <c r="Q2731" s="512" t="s">
        <v>51</v>
      </c>
    </row>
    <row r="2732" spans="1:17" ht="18">
      <c r="A2732" s="512">
        <f t="shared" si="35"/>
        <v>1885</v>
      </c>
      <c r="B2732" s="660" t="s">
        <v>43</v>
      </c>
      <c r="C2732" s="644" t="s">
        <v>44</v>
      </c>
      <c r="D2732" s="644" t="s">
        <v>45</v>
      </c>
      <c r="E2732" s="644" t="s">
        <v>2272</v>
      </c>
      <c r="F2732" s="577" t="s">
        <v>598</v>
      </c>
      <c r="G2732" s="577">
        <v>9809894138</v>
      </c>
      <c r="I2732" s="577">
        <v>42</v>
      </c>
      <c r="J2732" s="577" t="s">
        <v>48</v>
      </c>
      <c r="K2732" s="577" t="s">
        <v>1468</v>
      </c>
      <c r="M2732" s="571" t="s">
        <v>119</v>
      </c>
      <c r="N2732" s="745">
        <v>65043</v>
      </c>
      <c r="O2732" s="572">
        <v>65043</v>
      </c>
      <c r="P2732" s="514">
        <v>65058</v>
      </c>
      <c r="Q2732" s="512" t="s">
        <v>51</v>
      </c>
    </row>
    <row r="2733" spans="1:17" ht="18">
      <c r="A2733" s="512">
        <f t="shared" si="35"/>
        <v>1886</v>
      </c>
      <c r="B2733" s="660" t="s">
        <v>43</v>
      </c>
      <c r="C2733" s="644" t="s">
        <v>44</v>
      </c>
      <c r="D2733" s="644" t="s">
        <v>45</v>
      </c>
      <c r="E2733" s="644" t="s">
        <v>2987</v>
      </c>
      <c r="F2733" s="577" t="s">
        <v>491</v>
      </c>
      <c r="G2733" s="577">
        <v>9848350311</v>
      </c>
      <c r="I2733" s="577">
        <v>29</v>
      </c>
      <c r="J2733" s="577" t="s">
        <v>48</v>
      </c>
      <c r="K2733" s="577" t="s">
        <v>53</v>
      </c>
      <c r="M2733" s="571" t="s">
        <v>119</v>
      </c>
      <c r="N2733" s="745">
        <v>65043</v>
      </c>
      <c r="O2733" s="572">
        <v>65043</v>
      </c>
      <c r="P2733" s="514">
        <v>65058</v>
      </c>
      <c r="Q2733" s="512" t="s">
        <v>51</v>
      </c>
    </row>
    <row r="2734" spans="1:17" ht="18">
      <c r="A2734" s="512">
        <f t="shared" si="35"/>
        <v>1887</v>
      </c>
      <c r="B2734" s="660" t="s">
        <v>43</v>
      </c>
      <c r="C2734" s="644" t="s">
        <v>44</v>
      </c>
      <c r="D2734" s="644" t="s">
        <v>45</v>
      </c>
      <c r="E2734" s="644" t="s">
        <v>3065</v>
      </c>
      <c r="F2734" s="577" t="s">
        <v>510</v>
      </c>
      <c r="G2734" s="577">
        <v>9847823280</v>
      </c>
      <c r="I2734" s="577">
        <v>63</v>
      </c>
      <c r="J2734" s="577" t="s">
        <v>90</v>
      </c>
      <c r="K2734" s="577" t="s">
        <v>53</v>
      </c>
      <c r="M2734" s="571" t="s">
        <v>119</v>
      </c>
      <c r="N2734" s="745">
        <v>65043</v>
      </c>
      <c r="O2734" s="572">
        <v>65043</v>
      </c>
      <c r="P2734" s="514">
        <v>65058</v>
      </c>
      <c r="Q2734" s="512" t="s">
        <v>51</v>
      </c>
    </row>
    <row r="2735" spans="1:17" ht="18">
      <c r="A2735" s="512">
        <f t="shared" si="35"/>
        <v>1888</v>
      </c>
      <c r="B2735" s="660" t="s">
        <v>43</v>
      </c>
      <c r="C2735" s="644" t="s">
        <v>44</v>
      </c>
      <c r="D2735" s="644" t="s">
        <v>45</v>
      </c>
      <c r="E2735" s="644" t="s">
        <v>2988</v>
      </c>
      <c r="F2735" s="577" t="s">
        <v>491</v>
      </c>
      <c r="G2735" s="577">
        <v>9847865783</v>
      </c>
      <c r="I2735" s="577">
        <v>30</v>
      </c>
      <c r="J2735" s="577" t="s">
        <v>48</v>
      </c>
      <c r="K2735" s="577" t="s">
        <v>1468</v>
      </c>
      <c r="M2735" s="571" t="s">
        <v>119</v>
      </c>
      <c r="N2735" s="745">
        <v>65043</v>
      </c>
      <c r="O2735" s="572">
        <v>65043</v>
      </c>
      <c r="P2735" s="514">
        <v>65058</v>
      </c>
      <c r="Q2735" s="512" t="s">
        <v>51</v>
      </c>
    </row>
    <row r="2736" spans="1:17" ht="18">
      <c r="A2736" s="512">
        <f t="shared" si="35"/>
        <v>1889</v>
      </c>
      <c r="B2736" s="660" t="s">
        <v>43</v>
      </c>
      <c r="C2736" s="644" t="s">
        <v>44</v>
      </c>
      <c r="D2736" s="644" t="s">
        <v>45</v>
      </c>
      <c r="E2736" s="644" t="s">
        <v>3078</v>
      </c>
      <c r="F2736" s="577" t="s">
        <v>502</v>
      </c>
      <c r="G2736" s="577">
        <v>9829506239</v>
      </c>
      <c r="I2736" s="577">
        <v>50</v>
      </c>
      <c r="J2736" s="577" t="s">
        <v>90</v>
      </c>
      <c r="K2736" s="577" t="s">
        <v>1468</v>
      </c>
      <c r="M2736" s="571" t="s">
        <v>119</v>
      </c>
      <c r="N2736" s="745">
        <v>65043</v>
      </c>
      <c r="O2736" s="572">
        <v>65043</v>
      </c>
      <c r="P2736" s="514">
        <v>65058</v>
      </c>
      <c r="Q2736" s="512" t="s">
        <v>51</v>
      </c>
    </row>
    <row r="2737" spans="1:17" ht="18">
      <c r="A2737" s="512">
        <f t="shared" si="35"/>
        <v>1890</v>
      </c>
      <c r="B2737" s="660" t="s">
        <v>43</v>
      </c>
      <c r="C2737" s="644" t="s">
        <v>44</v>
      </c>
      <c r="D2737" s="644" t="s">
        <v>45</v>
      </c>
      <c r="E2737" s="644" t="s">
        <v>2989</v>
      </c>
      <c r="F2737" s="577" t="s">
        <v>491</v>
      </c>
      <c r="G2737" s="577">
        <v>9868085445</v>
      </c>
      <c r="I2737" s="577">
        <v>42</v>
      </c>
      <c r="J2737" s="577" t="s">
        <v>48</v>
      </c>
      <c r="K2737" s="577" t="s">
        <v>1468</v>
      </c>
      <c r="M2737" s="571" t="s">
        <v>119</v>
      </c>
      <c r="N2737" s="745">
        <v>65043</v>
      </c>
      <c r="O2737" s="572">
        <v>65043</v>
      </c>
      <c r="P2737" s="514">
        <v>65058</v>
      </c>
      <c r="Q2737" s="512" t="s">
        <v>51</v>
      </c>
    </row>
    <row r="2738" spans="1:17" ht="18">
      <c r="A2738" s="512">
        <f t="shared" si="35"/>
        <v>1891</v>
      </c>
      <c r="B2738" s="660" t="s">
        <v>43</v>
      </c>
      <c r="C2738" s="644" t="s">
        <v>44</v>
      </c>
      <c r="D2738" s="644" t="s">
        <v>45</v>
      </c>
      <c r="E2738" s="670" t="s">
        <v>1451</v>
      </c>
      <c r="F2738" s="577" t="s">
        <v>529</v>
      </c>
      <c r="G2738" s="577">
        <v>9810889365</v>
      </c>
      <c r="I2738" s="577">
        <v>7</v>
      </c>
      <c r="J2738" s="577" t="s">
        <v>48</v>
      </c>
      <c r="K2738" s="577" t="s">
        <v>53</v>
      </c>
      <c r="M2738" s="571" t="s">
        <v>119</v>
      </c>
      <c r="N2738" s="745">
        <v>65043</v>
      </c>
      <c r="O2738" s="572">
        <v>65043</v>
      </c>
      <c r="P2738" s="514">
        <v>65058</v>
      </c>
      <c r="Q2738" s="512" t="s">
        <v>51</v>
      </c>
    </row>
    <row r="2739" spans="1:17" s="326" customFormat="1" ht="18">
      <c r="A2739" s="512">
        <f t="shared" si="35"/>
        <v>1892</v>
      </c>
      <c r="B2739" s="660" t="s">
        <v>43</v>
      </c>
      <c r="C2739" s="644" t="s">
        <v>44</v>
      </c>
      <c r="D2739" s="644" t="s">
        <v>45</v>
      </c>
      <c r="E2739" s="644" t="s">
        <v>3046</v>
      </c>
      <c r="F2739" s="577" t="s">
        <v>497</v>
      </c>
      <c r="G2739" s="577">
        <v>9849986867</v>
      </c>
      <c r="H2739" s="432"/>
      <c r="I2739" s="577">
        <v>35</v>
      </c>
      <c r="J2739" s="577" t="s">
        <v>48</v>
      </c>
      <c r="K2739" s="577" t="s">
        <v>1468</v>
      </c>
      <c r="L2739" s="434"/>
      <c r="M2739" s="571" t="s">
        <v>119</v>
      </c>
      <c r="N2739" s="745">
        <v>65043</v>
      </c>
      <c r="O2739" s="572">
        <v>65043</v>
      </c>
      <c r="P2739" s="514">
        <v>65058</v>
      </c>
      <c r="Q2739" s="512" t="s">
        <v>51</v>
      </c>
    </row>
    <row r="2740" spans="1:17" ht="18">
      <c r="A2740" s="512">
        <f t="shared" si="35"/>
        <v>1893</v>
      </c>
      <c r="B2740" s="660" t="s">
        <v>43</v>
      </c>
      <c r="C2740" s="644" t="s">
        <v>44</v>
      </c>
      <c r="D2740" s="644" t="s">
        <v>45</v>
      </c>
      <c r="E2740" s="644" t="s">
        <v>3025</v>
      </c>
      <c r="F2740" s="577" t="s">
        <v>124</v>
      </c>
      <c r="G2740" s="577">
        <v>9810912741</v>
      </c>
      <c r="I2740" s="577">
        <v>59</v>
      </c>
      <c r="J2740" s="577" t="s">
        <v>48</v>
      </c>
      <c r="K2740" s="577" t="s">
        <v>1468</v>
      </c>
      <c r="M2740" s="571" t="s">
        <v>119</v>
      </c>
      <c r="N2740" s="745">
        <v>65043</v>
      </c>
      <c r="O2740" s="572">
        <v>65043</v>
      </c>
      <c r="P2740" s="514">
        <v>65058</v>
      </c>
      <c r="Q2740" s="512" t="s">
        <v>51</v>
      </c>
    </row>
    <row r="2741" spans="1:17" ht="18">
      <c r="A2741" s="512">
        <f t="shared" si="35"/>
        <v>1894</v>
      </c>
      <c r="B2741" s="660" t="s">
        <v>43</v>
      </c>
      <c r="C2741" s="644" t="s">
        <v>44</v>
      </c>
      <c r="D2741" s="644" t="s">
        <v>45</v>
      </c>
      <c r="E2741" s="644" t="s">
        <v>3097</v>
      </c>
      <c r="F2741" s="577" t="s">
        <v>491</v>
      </c>
      <c r="G2741" s="577">
        <v>9857824612</v>
      </c>
      <c r="I2741" s="577">
        <v>38</v>
      </c>
      <c r="J2741" s="577" t="s">
        <v>90</v>
      </c>
      <c r="K2741" s="577" t="s">
        <v>1480</v>
      </c>
      <c r="M2741" s="571" t="s">
        <v>119</v>
      </c>
      <c r="N2741" s="745">
        <v>65043</v>
      </c>
      <c r="O2741" s="572">
        <v>65043</v>
      </c>
      <c r="P2741" s="514">
        <v>65058</v>
      </c>
      <c r="Q2741" s="512" t="s">
        <v>51</v>
      </c>
    </row>
    <row r="2742" spans="1:17" ht="18">
      <c r="A2742" s="512">
        <f t="shared" si="35"/>
        <v>1895</v>
      </c>
      <c r="B2742" s="658" t="s">
        <v>43</v>
      </c>
      <c r="C2742" s="630" t="s">
        <v>44</v>
      </c>
      <c r="D2742" s="630" t="s">
        <v>45</v>
      </c>
      <c r="E2742" s="630" t="s">
        <v>3102</v>
      </c>
      <c r="F2742" s="597" t="s">
        <v>491</v>
      </c>
      <c r="G2742" s="597">
        <v>9868421343</v>
      </c>
      <c r="H2742" s="422"/>
      <c r="I2742" s="597">
        <v>84</v>
      </c>
      <c r="J2742" s="597" t="s">
        <v>90</v>
      </c>
      <c r="K2742" s="597" t="s">
        <v>1468</v>
      </c>
      <c r="L2742" s="423"/>
      <c r="M2742" s="597" t="s">
        <v>119</v>
      </c>
      <c r="N2742" s="758">
        <v>65043</v>
      </c>
      <c r="O2742" s="632">
        <v>65043</v>
      </c>
      <c r="P2742" s="476">
        <v>65076</v>
      </c>
      <c r="Q2742" s="422" t="s">
        <v>940</v>
      </c>
    </row>
    <row r="2743" spans="1:17" ht="18">
      <c r="A2743" s="512">
        <f t="shared" si="35"/>
        <v>1896</v>
      </c>
      <c r="B2743" s="660" t="s">
        <v>43</v>
      </c>
      <c r="C2743" s="644" t="s">
        <v>44</v>
      </c>
      <c r="D2743" s="644" t="s">
        <v>45</v>
      </c>
      <c r="E2743" s="670" t="s">
        <v>3057</v>
      </c>
      <c r="F2743" s="577" t="s">
        <v>1008</v>
      </c>
      <c r="G2743" s="577">
        <v>9847940200</v>
      </c>
      <c r="I2743" s="577">
        <v>34</v>
      </c>
      <c r="J2743" s="577" t="s">
        <v>48</v>
      </c>
      <c r="K2743" s="577" t="s">
        <v>1468</v>
      </c>
      <c r="M2743" s="571" t="s">
        <v>119</v>
      </c>
      <c r="N2743" s="745">
        <v>65043</v>
      </c>
      <c r="O2743" s="572">
        <v>65043</v>
      </c>
      <c r="P2743" s="514">
        <v>65058</v>
      </c>
      <c r="Q2743" s="512" t="s">
        <v>51</v>
      </c>
    </row>
    <row r="2744" spans="1:17" ht="18">
      <c r="A2744" s="512">
        <f t="shared" si="35"/>
        <v>1897</v>
      </c>
      <c r="B2744" s="660" t="s">
        <v>43</v>
      </c>
      <c r="C2744" s="644" t="s">
        <v>44</v>
      </c>
      <c r="D2744" s="644" t="s">
        <v>45</v>
      </c>
      <c r="E2744" s="644" t="s">
        <v>3151</v>
      </c>
      <c r="F2744" s="577" t="s">
        <v>1008</v>
      </c>
      <c r="G2744" s="577">
        <v>9847940200</v>
      </c>
      <c r="I2744" s="577">
        <v>54</v>
      </c>
      <c r="J2744" s="577" t="s">
        <v>90</v>
      </c>
      <c r="K2744" s="577" t="s">
        <v>1468</v>
      </c>
      <c r="M2744" s="571" t="s">
        <v>119</v>
      </c>
      <c r="N2744" s="745">
        <v>65043</v>
      </c>
      <c r="O2744" s="572">
        <v>65043</v>
      </c>
      <c r="P2744" s="514">
        <v>65058</v>
      </c>
      <c r="Q2744" s="512" t="s">
        <v>51</v>
      </c>
    </row>
    <row r="2745" spans="1:17" ht="18">
      <c r="A2745" s="512">
        <f t="shared" si="35"/>
        <v>1898</v>
      </c>
      <c r="B2745" s="660" t="s">
        <v>43</v>
      </c>
      <c r="C2745" s="644" t="s">
        <v>44</v>
      </c>
      <c r="D2745" s="644" t="s">
        <v>45</v>
      </c>
      <c r="E2745" s="644" t="s">
        <v>3098</v>
      </c>
      <c r="F2745" s="577" t="s">
        <v>491</v>
      </c>
      <c r="G2745" s="577">
        <v>9809752361</v>
      </c>
      <c r="I2745" s="577">
        <v>15</v>
      </c>
      <c r="J2745" s="577" t="s">
        <v>90</v>
      </c>
      <c r="K2745" s="577" t="s">
        <v>1480</v>
      </c>
      <c r="M2745" s="571" t="s">
        <v>119</v>
      </c>
      <c r="N2745" s="745">
        <v>65043</v>
      </c>
      <c r="O2745" s="572">
        <v>65043</v>
      </c>
      <c r="P2745" s="514">
        <v>65058</v>
      </c>
      <c r="Q2745" s="512" t="s">
        <v>51</v>
      </c>
    </row>
    <row r="2746" spans="1:17" ht="18">
      <c r="A2746" s="512">
        <f t="shared" si="35"/>
        <v>1899</v>
      </c>
      <c r="B2746" s="660" t="s">
        <v>43</v>
      </c>
      <c r="C2746" s="644" t="s">
        <v>44</v>
      </c>
      <c r="D2746" s="644" t="s">
        <v>45</v>
      </c>
      <c r="E2746" s="644" t="s">
        <v>3041</v>
      </c>
      <c r="F2746" s="577" t="s">
        <v>617</v>
      </c>
      <c r="G2746" s="577">
        <v>9849859264</v>
      </c>
      <c r="I2746" s="577">
        <v>26</v>
      </c>
      <c r="J2746" s="577" t="s">
        <v>48</v>
      </c>
      <c r="K2746" s="577" t="s">
        <v>53</v>
      </c>
      <c r="M2746" s="571" t="s">
        <v>119</v>
      </c>
      <c r="N2746" s="745">
        <v>65043</v>
      </c>
      <c r="O2746" s="572">
        <v>65043</v>
      </c>
      <c r="P2746" s="514">
        <v>65058</v>
      </c>
      <c r="Q2746" s="512" t="s">
        <v>51</v>
      </c>
    </row>
    <row r="2747" spans="1:17" ht="18">
      <c r="A2747" s="512">
        <f t="shared" si="35"/>
        <v>1900</v>
      </c>
      <c r="B2747" s="660" t="s">
        <v>43</v>
      </c>
      <c r="C2747" s="644" t="s">
        <v>44</v>
      </c>
      <c r="D2747" s="644" t="s">
        <v>45</v>
      </c>
      <c r="E2747" s="644" t="s">
        <v>2990</v>
      </c>
      <c r="F2747" s="577" t="s">
        <v>491</v>
      </c>
      <c r="G2747" s="577">
        <v>9847846999</v>
      </c>
      <c r="I2747" s="577">
        <v>5</v>
      </c>
      <c r="J2747" s="577" t="s">
        <v>48</v>
      </c>
      <c r="K2747" s="577" t="s">
        <v>53</v>
      </c>
      <c r="M2747" s="571" t="s">
        <v>119</v>
      </c>
      <c r="N2747" s="745">
        <v>65043</v>
      </c>
      <c r="O2747" s="572">
        <v>65043</v>
      </c>
      <c r="P2747" s="514">
        <v>65058</v>
      </c>
      <c r="Q2747" s="512" t="s">
        <v>51</v>
      </c>
    </row>
    <row r="2748" spans="1:17" ht="18">
      <c r="A2748" s="512">
        <f t="shared" si="35"/>
        <v>1901</v>
      </c>
      <c r="B2748" s="660" t="s">
        <v>43</v>
      </c>
      <c r="C2748" s="644" t="s">
        <v>44</v>
      </c>
      <c r="D2748" s="644" t="s">
        <v>45</v>
      </c>
      <c r="E2748" s="644" t="s">
        <v>3103</v>
      </c>
      <c r="F2748" s="577" t="s">
        <v>491</v>
      </c>
      <c r="G2748" s="577">
        <v>9840708209</v>
      </c>
      <c r="I2748" s="577">
        <v>28</v>
      </c>
      <c r="J2748" s="577" t="s">
        <v>90</v>
      </c>
      <c r="K2748" s="577" t="s">
        <v>1468</v>
      </c>
      <c r="M2748" s="571" t="s">
        <v>119</v>
      </c>
      <c r="N2748" s="745">
        <v>65043</v>
      </c>
      <c r="O2748" s="572">
        <v>65043</v>
      </c>
      <c r="P2748" s="514">
        <v>65058</v>
      </c>
      <c r="Q2748" s="512" t="s">
        <v>51</v>
      </c>
    </row>
    <row r="2749" spans="1:17" ht="18">
      <c r="A2749" s="512">
        <f t="shared" si="35"/>
        <v>1902</v>
      </c>
      <c r="B2749" s="660" t="s">
        <v>43</v>
      </c>
      <c r="C2749" s="644" t="s">
        <v>44</v>
      </c>
      <c r="D2749" s="644" t="s">
        <v>45</v>
      </c>
      <c r="E2749" s="644" t="s">
        <v>3143</v>
      </c>
      <c r="F2749" s="577" t="s">
        <v>497</v>
      </c>
      <c r="G2749" s="577">
        <v>9847942722</v>
      </c>
      <c r="I2749" s="577">
        <v>31</v>
      </c>
      <c r="J2749" s="577" t="s">
        <v>90</v>
      </c>
      <c r="K2749" s="577" t="s">
        <v>1468</v>
      </c>
      <c r="M2749" s="571" t="s">
        <v>119</v>
      </c>
      <c r="N2749" s="745">
        <v>65043</v>
      </c>
      <c r="O2749" s="572">
        <v>65043</v>
      </c>
      <c r="P2749" s="514">
        <v>65058</v>
      </c>
      <c r="Q2749" s="512" t="s">
        <v>51</v>
      </c>
    </row>
    <row r="2750" spans="1:17" ht="18">
      <c r="A2750" s="512">
        <f t="shared" si="35"/>
        <v>1903</v>
      </c>
      <c r="B2750" s="660" t="s">
        <v>43</v>
      </c>
      <c r="C2750" s="644" t="s">
        <v>44</v>
      </c>
      <c r="D2750" s="644" t="s">
        <v>45</v>
      </c>
      <c r="E2750" s="644" t="s">
        <v>3138</v>
      </c>
      <c r="F2750" s="577" t="s">
        <v>1046</v>
      </c>
      <c r="G2750" s="577">
        <v>9847833534</v>
      </c>
      <c r="I2750" s="577">
        <v>35</v>
      </c>
      <c r="J2750" s="577" t="s">
        <v>90</v>
      </c>
      <c r="K2750" s="577" t="s">
        <v>1480</v>
      </c>
      <c r="M2750" s="571" t="s">
        <v>119</v>
      </c>
      <c r="N2750" s="745">
        <v>65043</v>
      </c>
      <c r="O2750" s="572">
        <v>65043</v>
      </c>
      <c r="P2750" s="514">
        <v>65058</v>
      </c>
      <c r="Q2750" s="512" t="s">
        <v>51</v>
      </c>
    </row>
    <row r="2751" spans="1:17" ht="18">
      <c r="A2751" s="512">
        <f t="shared" si="35"/>
        <v>1904</v>
      </c>
      <c r="B2751" s="660" t="s">
        <v>43</v>
      </c>
      <c r="C2751" s="644" t="s">
        <v>44</v>
      </c>
      <c r="D2751" s="644" t="s">
        <v>45</v>
      </c>
      <c r="E2751" s="670" t="s">
        <v>3104</v>
      </c>
      <c r="F2751" s="577" t="s">
        <v>491</v>
      </c>
      <c r="G2751" s="577">
        <v>9868610644</v>
      </c>
      <c r="I2751" s="577">
        <v>28</v>
      </c>
      <c r="J2751" s="577" t="s">
        <v>90</v>
      </c>
      <c r="K2751" s="577" t="s">
        <v>1468</v>
      </c>
      <c r="M2751" s="571" t="s">
        <v>119</v>
      </c>
      <c r="N2751" s="745">
        <v>65043</v>
      </c>
      <c r="O2751" s="572">
        <v>65043</v>
      </c>
      <c r="P2751" s="514">
        <v>65058</v>
      </c>
      <c r="Q2751" s="512" t="s">
        <v>51</v>
      </c>
    </row>
    <row r="2752" spans="1:17" ht="18">
      <c r="A2752" s="512">
        <f t="shared" si="35"/>
        <v>1905</v>
      </c>
      <c r="B2752" s="660" t="s">
        <v>43</v>
      </c>
      <c r="C2752" s="644" t="s">
        <v>44</v>
      </c>
      <c r="D2752" s="644" t="s">
        <v>45</v>
      </c>
      <c r="E2752" s="644" t="s">
        <v>3105</v>
      </c>
      <c r="F2752" s="577" t="s">
        <v>491</v>
      </c>
      <c r="G2752" s="577">
        <v>9866235774</v>
      </c>
      <c r="I2752" s="577">
        <v>30</v>
      </c>
      <c r="J2752" s="577" t="s">
        <v>90</v>
      </c>
      <c r="K2752" s="577" t="s">
        <v>1468</v>
      </c>
      <c r="M2752" s="571" t="s">
        <v>119</v>
      </c>
      <c r="N2752" s="745">
        <v>65043</v>
      </c>
      <c r="O2752" s="572">
        <v>65043</v>
      </c>
      <c r="P2752" s="514">
        <v>65058</v>
      </c>
      <c r="Q2752" s="512" t="s">
        <v>51</v>
      </c>
    </row>
    <row r="2753" spans="1:17" ht="18">
      <c r="A2753" s="512">
        <f t="shared" si="35"/>
        <v>1906</v>
      </c>
      <c r="B2753" s="660" t="s">
        <v>43</v>
      </c>
      <c r="C2753" s="644" t="s">
        <v>44</v>
      </c>
      <c r="D2753" s="644" t="s">
        <v>45</v>
      </c>
      <c r="E2753" s="644" t="s">
        <v>3139</v>
      </c>
      <c r="F2753" s="577" t="s">
        <v>1046</v>
      </c>
      <c r="G2753" s="577">
        <v>9857872980</v>
      </c>
      <c r="I2753" s="577">
        <v>65</v>
      </c>
      <c r="J2753" s="577" t="s">
        <v>90</v>
      </c>
      <c r="K2753" s="577" t="s">
        <v>1468</v>
      </c>
      <c r="M2753" s="571" t="s">
        <v>119</v>
      </c>
      <c r="N2753" s="745">
        <v>65043</v>
      </c>
      <c r="O2753" s="572">
        <v>65043</v>
      </c>
      <c r="P2753" s="514">
        <v>65058</v>
      </c>
      <c r="Q2753" s="512" t="s">
        <v>51</v>
      </c>
    </row>
    <row r="2754" spans="1:17" ht="18">
      <c r="A2754" s="512">
        <f t="shared" si="35"/>
        <v>1907</v>
      </c>
      <c r="B2754" s="660" t="s">
        <v>43</v>
      </c>
      <c r="C2754" s="644" t="s">
        <v>44</v>
      </c>
      <c r="D2754" s="644" t="s">
        <v>45</v>
      </c>
      <c r="E2754" s="644" t="s">
        <v>3042</v>
      </c>
      <c r="F2754" s="577" t="s">
        <v>557</v>
      </c>
      <c r="G2754" s="577">
        <v>9847227550</v>
      </c>
      <c r="I2754" s="577">
        <v>30</v>
      </c>
      <c r="J2754" s="577" t="s">
        <v>48</v>
      </c>
      <c r="K2754" s="577" t="s">
        <v>53</v>
      </c>
      <c r="M2754" s="571" t="s">
        <v>119</v>
      </c>
      <c r="N2754" s="745">
        <v>65043</v>
      </c>
      <c r="O2754" s="572">
        <v>65043</v>
      </c>
      <c r="P2754" s="514">
        <v>65058</v>
      </c>
      <c r="Q2754" s="512" t="s">
        <v>51</v>
      </c>
    </row>
    <row r="2755" spans="1:17" ht="18">
      <c r="A2755" s="512">
        <f t="shared" si="35"/>
        <v>1908</v>
      </c>
      <c r="B2755" s="660" t="s">
        <v>43</v>
      </c>
      <c r="C2755" s="644" t="s">
        <v>44</v>
      </c>
      <c r="D2755" s="644" t="s">
        <v>45</v>
      </c>
      <c r="E2755" s="644" t="s">
        <v>3002</v>
      </c>
      <c r="F2755" s="577" t="s">
        <v>441</v>
      </c>
      <c r="G2755" s="577">
        <v>9847830306</v>
      </c>
      <c r="I2755" s="577">
        <v>32</v>
      </c>
      <c r="J2755" s="577" t="s">
        <v>48</v>
      </c>
      <c r="K2755" s="577" t="s">
        <v>53</v>
      </c>
      <c r="M2755" s="571" t="s">
        <v>119</v>
      </c>
      <c r="N2755" s="745">
        <v>65043</v>
      </c>
      <c r="O2755" s="572">
        <v>65043</v>
      </c>
      <c r="P2755" s="514">
        <v>65058</v>
      </c>
      <c r="Q2755" s="512" t="s">
        <v>51</v>
      </c>
    </row>
    <row r="2756" spans="1:17" ht="18">
      <c r="A2756" s="512">
        <f t="shared" si="35"/>
        <v>1909</v>
      </c>
      <c r="B2756" s="660" t="s">
        <v>43</v>
      </c>
      <c r="C2756" s="644" t="s">
        <v>44</v>
      </c>
      <c r="D2756" s="644" t="s">
        <v>45</v>
      </c>
      <c r="E2756" s="644" t="s">
        <v>3051</v>
      </c>
      <c r="F2756" s="577" t="s">
        <v>730</v>
      </c>
      <c r="G2756" s="577">
        <v>9847832412</v>
      </c>
      <c r="I2756" s="577">
        <v>49</v>
      </c>
      <c r="J2756" s="577" t="s">
        <v>48</v>
      </c>
      <c r="K2756" s="577" t="s">
        <v>53</v>
      </c>
      <c r="M2756" s="571" t="s">
        <v>119</v>
      </c>
      <c r="N2756" s="745">
        <v>65043</v>
      </c>
      <c r="O2756" s="572">
        <v>65043</v>
      </c>
      <c r="P2756" s="514">
        <v>65058</v>
      </c>
      <c r="Q2756" s="512" t="s">
        <v>51</v>
      </c>
    </row>
    <row r="2757" spans="1:17" ht="18">
      <c r="A2757" s="512">
        <f t="shared" si="35"/>
        <v>1910</v>
      </c>
      <c r="B2757" s="669" t="s">
        <v>43</v>
      </c>
      <c r="C2757" s="640" t="s">
        <v>44</v>
      </c>
      <c r="D2757" s="640" t="s">
        <v>45</v>
      </c>
      <c r="E2757" s="640" t="s">
        <v>2946</v>
      </c>
      <c r="F2757" s="635" t="s">
        <v>512</v>
      </c>
      <c r="G2757" s="635">
        <v>9809743416</v>
      </c>
      <c r="H2757" s="436"/>
      <c r="I2757" s="635">
        <v>50</v>
      </c>
      <c r="J2757" s="635" t="s">
        <v>48</v>
      </c>
      <c r="K2757" s="635" t="s">
        <v>53</v>
      </c>
      <c r="L2757" s="438"/>
      <c r="M2757" s="592" t="s">
        <v>54</v>
      </c>
      <c r="N2757" s="754">
        <v>65043</v>
      </c>
      <c r="O2757" s="610">
        <v>65043</v>
      </c>
      <c r="P2757" s="465">
        <v>65061</v>
      </c>
      <c r="Q2757" s="436" t="s">
        <v>51</v>
      </c>
    </row>
    <row r="2758" spans="1:17" ht="18">
      <c r="A2758" s="512">
        <f t="shared" si="35"/>
        <v>1911</v>
      </c>
      <c r="B2758" s="660" t="s">
        <v>43</v>
      </c>
      <c r="C2758" s="644" t="s">
        <v>44</v>
      </c>
      <c r="D2758" s="644" t="s">
        <v>45</v>
      </c>
      <c r="E2758" s="644" t="s">
        <v>3119</v>
      </c>
      <c r="F2758" s="577" t="s">
        <v>529</v>
      </c>
      <c r="G2758" s="577">
        <v>9812827978</v>
      </c>
      <c r="I2758" s="577">
        <v>25</v>
      </c>
      <c r="J2758" s="577" t="s">
        <v>90</v>
      </c>
      <c r="K2758" s="577" t="s">
        <v>1480</v>
      </c>
      <c r="M2758" s="571" t="s">
        <v>119</v>
      </c>
      <c r="N2758" s="745">
        <v>65043</v>
      </c>
      <c r="O2758" s="572">
        <v>65043</v>
      </c>
      <c r="P2758" s="514">
        <v>65058</v>
      </c>
      <c r="Q2758" s="512" t="s">
        <v>51</v>
      </c>
    </row>
    <row r="2759" spans="1:17" ht="18">
      <c r="A2759" s="512">
        <f t="shared" si="35"/>
        <v>1912</v>
      </c>
      <c r="B2759" s="660" t="s">
        <v>43</v>
      </c>
      <c r="C2759" s="644" t="s">
        <v>44</v>
      </c>
      <c r="D2759" s="644" t="s">
        <v>45</v>
      </c>
      <c r="E2759" s="644" t="s">
        <v>3120</v>
      </c>
      <c r="F2759" s="577" t="s">
        <v>529</v>
      </c>
      <c r="G2759" s="577">
        <v>9868965103</v>
      </c>
      <c r="I2759" s="577">
        <v>22</v>
      </c>
      <c r="J2759" s="577" t="s">
        <v>90</v>
      </c>
      <c r="K2759" s="577" t="s">
        <v>1480</v>
      </c>
      <c r="M2759" s="571" t="s">
        <v>119</v>
      </c>
      <c r="N2759" s="745">
        <v>65043</v>
      </c>
      <c r="O2759" s="572">
        <v>65043</v>
      </c>
      <c r="P2759" s="514">
        <v>65058</v>
      </c>
      <c r="Q2759" s="512" t="s">
        <v>51</v>
      </c>
    </row>
    <row r="2760" spans="1:17" ht="18">
      <c r="A2760" s="512">
        <f t="shared" si="35"/>
        <v>1913</v>
      </c>
      <c r="B2760" s="660" t="s">
        <v>43</v>
      </c>
      <c r="C2760" s="644" t="s">
        <v>44</v>
      </c>
      <c r="D2760" s="644" t="s">
        <v>45</v>
      </c>
      <c r="E2760" s="644" t="s">
        <v>2967</v>
      </c>
      <c r="F2760" s="577" t="s">
        <v>502</v>
      </c>
      <c r="G2760" s="577">
        <v>9847823000</v>
      </c>
      <c r="I2760" s="577">
        <v>69</v>
      </c>
      <c r="J2760" s="577" t="s">
        <v>48</v>
      </c>
      <c r="K2760" s="577" t="s">
        <v>53</v>
      </c>
      <c r="M2760" s="571" t="s">
        <v>119</v>
      </c>
      <c r="N2760" s="745">
        <v>65043</v>
      </c>
      <c r="O2760" s="572">
        <v>65043</v>
      </c>
      <c r="P2760" s="514">
        <v>65058</v>
      </c>
      <c r="Q2760" s="512" t="s">
        <v>51</v>
      </c>
    </row>
    <row r="2761" spans="1:17" ht="18">
      <c r="A2761" s="512">
        <f t="shared" si="35"/>
        <v>1914</v>
      </c>
      <c r="B2761" s="660" t="s">
        <v>43</v>
      </c>
      <c r="C2761" s="644" t="s">
        <v>44</v>
      </c>
      <c r="D2761" s="644" t="s">
        <v>45</v>
      </c>
      <c r="E2761" s="644" t="s">
        <v>3003</v>
      </c>
      <c r="F2761" s="577" t="s">
        <v>441</v>
      </c>
      <c r="G2761" s="577">
        <v>9865294910</v>
      </c>
      <c r="I2761" s="577">
        <v>34</v>
      </c>
      <c r="J2761" s="577" t="s">
        <v>48</v>
      </c>
      <c r="K2761" s="577" t="s">
        <v>1468</v>
      </c>
      <c r="M2761" s="571" t="s">
        <v>119</v>
      </c>
      <c r="N2761" s="745">
        <v>65043</v>
      </c>
      <c r="O2761" s="572">
        <v>65043</v>
      </c>
      <c r="P2761" s="514">
        <v>65058</v>
      </c>
      <c r="Q2761" s="512" t="s">
        <v>51</v>
      </c>
    </row>
    <row r="2762" spans="1:17" ht="18">
      <c r="A2762" s="512">
        <f t="shared" si="35"/>
        <v>1915</v>
      </c>
      <c r="B2762" s="660" t="s">
        <v>43</v>
      </c>
      <c r="C2762" s="644" t="s">
        <v>44</v>
      </c>
      <c r="D2762" s="644" t="s">
        <v>45</v>
      </c>
      <c r="E2762" s="644" t="s">
        <v>3106</v>
      </c>
      <c r="F2762" s="577" t="s">
        <v>491</v>
      </c>
      <c r="G2762" s="577">
        <v>9847938541</v>
      </c>
      <c r="I2762" s="577">
        <v>47</v>
      </c>
      <c r="J2762" s="577" t="s">
        <v>90</v>
      </c>
      <c r="K2762" s="577" t="s">
        <v>1468</v>
      </c>
      <c r="M2762" s="571" t="s">
        <v>119</v>
      </c>
      <c r="N2762" s="745">
        <v>65043</v>
      </c>
      <c r="O2762" s="572">
        <v>65043</v>
      </c>
      <c r="P2762" s="514">
        <v>65058</v>
      </c>
      <c r="Q2762" s="512" t="s">
        <v>51</v>
      </c>
    </row>
    <row r="2763" spans="1:17" ht="18">
      <c r="A2763" s="512">
        <f t="shared" si="35"/>
        <v>1916</v>
      </c>
      <c r="B2763" s="660" t="s">
        <v>43</v>
      </c>
      <c r="C2763" s="644" t="s">
        <v>44</v>
      </c>
      <c r="D2763" s="644" t="s">
        <v>45</v>
      </c>
      <c r="E2763" s="644" t="s">
        <v>3128</v>
      </c>
      <c r="F2763" s="577" t="s">
        <v>124</v>
      </c>
      <c r="G2763" s="577">
        <v>9847937411</v>
      </c>
      <c r="I2763" s="577">
        <v>59</v>
      </c>
      <c r="J2763" s="577" t="s">
        <v>90</v>
      </c>
      <c r="K2763" s="577" t="s">
        <v>1480</v>
      </c>
      <c r="M2763" s="571" t="s">
        <v>119</v>
      </c>
      <c r="N2763" s="745">
        <v>65043</v>
      </c>
      <c r="O2763" s="572">
        <v>65043</v>
      </c>
      <c r="P2763" s="514">
        <v>65058</v>
      </c>
      <c r="Q2763" s="512" t="s">
        <v>51</v>
      </c>
    </row>
    <row r="2764" spans="1:17" ht="18">
      <c r="A2764" s="512">
        <f t="shared" si="35"/>
        <v>1917</v>
      </c>
      <c r="B2764" s="660" t="s">
        <v>43</v>
      </c>
      <c r="C2764" s="644" t="s">
        <v>44</v>
      </c>
      <c r="D2764" s="644" t="s">
        <v>45</v>
      </c>
      <c r="E2764" s="644" t="s">
        <v>3037</v>
      </c>
      <c r="F2764" s="577" t="s">
        <v>1046</v>
      </c>
      <c r="G2764" s="577">
        <v>9812819106</v>
      </c>
      <c r="I2764" s="577">
        <v>15</v>
      </c>
      <c r="J2764" s="577" t="s">
        <v>48</v>
      </c>
      <c r="K2764" s="577" t="s">
        <v>1468</v>
      </c>
      <c r="M2764" s="571" t="s">
        <v>119</v>
      </c>
      <c r="N2764" s="745">
        <v>65043</v>
      </c>
      <c r="O2764" s="572">
        <v>65043</v>
      </c>
      <c r="P2764" s="514">
        <v>65058</v>
      </c>
      <c r="Q2764" s="512" t="s">
        <v>51</v>
      </c>
    </row>
    <row r="2765" spans="1:17" ht="18">
      <c r="A2765" s="512">
        <f t="shared" si="35"/>
        <v>1918</v>
      </c>
      <c r="B2765" s="660" t="s">
        <v>43</v>
      </c>
      <c r="C2765" s="644" t="s">
        <v>44</v>
      </c>
      <c r="D2765" s="644" t="s">
        <v>45</v>
      </c>
      <c r="E2765" s="644" t="s">
        <v>2978</v>
      </c>
      <c r="F2765" s="577" t="s">
        <v>491</v>
      </c>
      <c r="G2765" s="577">
        <v>9844933387</v>
      </c>
      <c r="I2765" s="577">
        <v>82</v>
      </c>
      <c r="J2765" s="577" t="s">
        <v>48</v>
      </c>
      <c r="K2765" s="577" t="s">
        <v>1480</v>
      </c>
      <c r="M2765" s="571" t="s">
        <v>119</v>
      </c>
      <c r="N2765" s="745">
        <v>65043</v>
      </c>
      <c r="O2765" s="572">
        <v>65043</v>
      </c>
      <c r="P2765" s="514">
        <v>65058</v>
      </c>
      <c r="Q2765" s="512" t="s">
        <v>51</v>
      </c>
    </row>
    <row r="2766" spans="1:17" ht="18">
      <c r="A2766" s="512">
        <f t="shared" si="35"/>
        <v>1919</v>
      </c>
      <c r="B2766" s="660" t="s">
        <v>43</v>
      </c>
      <c r="C2766" s="644" t="s">
        <v>44</v>
      </c>
      <c r="D2766" s="644" t="s">
        <v>45</v>
      </c>
      <c r="E2766" s="644" t="s">
        <v>2979</v>
      </c>
      <c r="F2766" s="577" t="s">
        <v>491</v>
      </c>
      <c r="G2766" s="577">
        <v>9857820558</v>
      </c>
      <c r="I2766" s="577">
        <v>64</v>
      </c>
      <c r="J2766" s="577" t="s">
        <v>48</v>
      </c>
      <c r="K2766" s="577" t="s">
        <v>1480</v>
      </c>
      <c r="M2766" s="571" t="s">
        <v>119</v>
      </c>
      <c r="N2766" s="745">
        <v>65043</v>
      </c>
      <c r="O2766" s="572">
        <v>65043</v>
      </c>
      <c r="P2766" s="514">
        <v>65058</v>
      </c>
      <c r="Q2766" s="512" t="s">
        <v>51</v>
      </c>
    </row>
    <row r="2767" spans="1:17" ht="18">
      <c r="A2767" s="512">
        <f t="shared" si="35"/>
        <v>1920</v>
      </c>
      <c r="B2767" s="660" t="s">
        <v>43</v>
      </c>
      <c r="C2767" s="644" t="s">
        <v>44</v>
      </c>
      <c r="D2767" s="644" t="s">
        <v>45</v>
      </c>
      <c r="E2767" s="644" t="s">
        <v>3121</v>
      </c>
      <c r="F2767" s="577" t="s">
        <v>529</v>
      </c>
      <c r="G2767" s="577">
        <v>9866934023</v>
      </c>
      <c r="I2767" s="577">
        <v>32</v>
      </c>
      <c r="J2767" s="577" t="s">
        <v>90</v>
      </c>
      <c r="K2767" s="577" t="s">
        <v>1468</v>
      </c>
      <c r="M2767" s="571" t="s">
        <v>119</v>
      </c>
      <c r="N2767" s="745">
        <v>65043</v>
      </c>
      <c r="O2767" s="572">
        <v>65043</v>
      </c>
      <c r="P2767" s="514">
        <v>65058</v>
      </c>
      <c r="Q2767" s="512" t="s">
        <v>51</v>
      </c>
    </row>
    <row r="2768" spans="1:17" ht="18">
      <c r="A2768" s="512">
        <f t="shared" si="35"/>
        <v>1921</v>
      </c>
      <c r="B2768" s="660" t="s">
        <v>43</v>
      </c>
      <c r="C2768" s="644" t="s">
        <v>44</v>
      </c>
      <c r="D2768" s="644" t="s">
        <v>45</v>
      </c>
      <c r="E2768" s="670" t="s">
        <v>2659</v>
      </c>
      <c r="F2768" s="577" t="s">
        <v>730</v>
      </c>
      <c r="G2768" s="577">
        <v>9809871327</v>
      </c>
      <c r="I2768" s="577">
        <v>28</v>
      </c>
      <c r="J2768" s="577" t="s">
        <v>90</v>
      </c>
      <c r="K2768" s="577" t="s">
        <v>1468</v>
      </c>
      <c r="M2768" s="571" t="s">
        <v>119</v>
      </c>
      <c r="N2768" s="745">
        <v>65043</v>
      </c>
      <c r="O2768" s="572">
        <v>65043</v>
      </c>
      <c r="P2768" s="514">
        <v>65058</v>
      </c>
      <c r="Q2768" s="512" t="s">
        <v>51</v>
      </c>
    </row>
    <row r="2769" spans="1:17" ht="18">
      <c r="A2769" s="512">
        <f t="shared" si="35"/>
        <v>1922</v>
      </c>
      <c r="B2769" s="660" t="s">
        <v>43</v>
      </c>
      <c r="C2769" s="644" t="s">
        <v>44</v>
      </c>
      <c r="D2769" s="644" t="s">
        <v>45</v>
      </c>
      <c r="E2769" s="644" t="s">
        <v>3079</v>
      </c>
      <c r="F2769" s="577" t="s">
        <v>502</v>
      </c>
      <c r="G2769" s="577">
        <v>9808835302</v>
      </c>
      <c r="I2769" s="577">
        <v>46</v>
      </c>
      <c r="J2769" s="577" t="s">
        <v>90</v>
      </c>
      <c r="K2769" s="577" t="s">
        <v>1468</v>
      </c>
      <c r="M2769" s="571" t="s">
        <v>119</v>
      </c>
      <c r="N2769" s="745">
        <v>65043</v>
      </c>
      <c r="O2769" s="572">
        <v>65043</v>
      </c>
      <c r="P2769" s="514">
        <v>65058</v>
      </c>
      <c r="Q2769" s="512" t="s">
        <v>51</v>
      </c>
    </row>
    <row r="2770" spans="1:17" ht="18">
      <c r="A2770" s="512">
        <f t="shared" ref="A2770:A2833" si="36">A2769+1</f>
        <v>1923</v>
      </c>
      <c r="B2770" s="660" t="s">
        <v>43</v>
      </c>
      <c r="C2770" s="644" t="s">
        <v>44</v>
      </c>
      <c r="D2770" s="644" t="s">
        <v>45</v>
      </c>
      <c r="E2770" s="670" t="s">
        <v>3026</v>
      </c>
      <c r="F2770" s="577" t="s">
        <v>124</v>
      </c>
      <c r="G2770" s="577">
        <v>9847876046</v>
      </c>
      <c r="I2770" s="577">
        <v>37</v>
      </c>
      <c r="J2770" s="577" t="s">
        <v>48</v>
      </c>
      <c r="K2770" s="577" t="s">
        <v>1468</v>
      </c>
      <c r="M2770" s="571" t="s">
        <v>119</v>
      </c>
      <c r="N2770" s="745">
        <v>65043</v>
      </c>
      <c r="O2770" s="572">
        <v>65043</v>
      </c>
      <c r="P2770" s="514">
        <v>65058</v>
      </c>
      <c r="Q2770" s="512" t="s">
        <v>51</v>
      </c>
    </row>
    <row r="2771" spans="1:17" ht="18">
      <c r="A2771" s="512">
        <f t="shared" si="36"/>
        <v>1924</v>
      </c>
      <c r="B2771" s="660" t="s">
        <v>43</v>
      </c>
      <c r="C2771" s="644" t="s">
        <v>44</v>
      </c>
      <c r="D2771" s="644" t="s">
        <v>45</v>
      </c>
      <c r="E2771" s="670" t="s">
        <v>3004</v>
      </c>
      <c r="F2771" s="577" t="s">
        <v>441</v>
      </c>
      <c r="G2771" s="577">
        <v>9810976918</v>
      </c>
      <c r="I2771" s="577">
        <v>25</v>
      </c>
      <c r="J2771" s="577" t="s">
        <v>48</v>
      </c>
      <c r="K2771" s="577" t="s">
        <v>1468</v>
      </c>
      <c r="M2771" s="571" t="s">
        <v>119</v>
      </c>
      <c r="N2771" s="745">
        <v>65043</v>
      </c>
      <c r="O2771" s="572">
        <v>65043</v>
      </c>
      <c r="P2771" s="514">
        <v>65058</v>
      </c>
      <c r="Q2771" s="512" t="s">
        <v>51</v>
      </c>
    </row>
    <row r="2772" spans="1:17" ht="18">
      <c r="A2772" s="512">
        <f t="shared" si="36"/>
        <v>1925</v>
      </c>
      <c r="B2772" s="660" t="s">
        <v>43</v>
      </c>
      <c r="C2772" s="644" t="s">
        <v>44</v>
      </c>
      <c r="D2772" s="644" t="s">
        <v>45</v>
      </c>
      <c r="E2772" s="644" t="s">
        <v>2991</v>
      </c>
      <c r="F2772" s="577" t="s">
        <v>491</v>
      </c>
      <c r="G2772" s="577">
        <v>9851148501</v>
      </c>
      <c r="I2772" s="577">
        <v>38</v>
      </c>
      <c r="J2772" s="577" t="s">
        <v>48</v>
      </c>
      <c r="K2772" s="577" t="s">
        <v>1468</v>
      </c>
      <c r="M2772" s="571" t="s">
        <v>119</v>
      </c>
      <c r="N2772" s="745">
        <v>65043</v>
      </c>
      <c r="O2772" s="572">
        <v>65043</v>
      </c>
      <c r="P2772" s="514">
        <v>65058</v>
      </c>
      <c r="Q2772" s="512" t="s">
        <v>51</v>
      </c>
    </row>
    <row r="2773" spans="1:17" ht="18">
      <c r="A2773" s="512">
        <f t="shared" si="36"/>
        <v>1926</v>
      </c>
      <c r="B2773" s="660" t="s">
        <v>43</v>
      </c>
      <c r="C2773" s="644" t="s">
        <v>44</v>
      </c>
      <c r="D2773" s="644" t="s">
        <v>45</v>
      </c>
      <c r="E2773" s="644" t="s">
        <v>3027</v>
      </c>
      <c r="F2773" s="577" t="s">
        <v>124</v>
      </c>
      <c r="G2773" s="577">
        <v>9822835232</v>
      </c>
      <c r="I2773" s="577">
        <v>18</v>
      </c>
      <c r="J2773" s="577" t="s">
        <v>48</v>
      </c>
      <c r="K2773" s="577" t="s">
        <v>1468</v>
      </c>
      <c r="M2773" s="571" t="s">
        <v>119</v>
      </c>
      <c r="N2773" s="745">
        <v>65043</v>
      </c>
      <c r="O2773" s="572">
        <v>65043</v>
      </c>
      <c r="P2773" s="514">
        <v>65058</v>
      </c>
      <c r="Q2773" s="512" t="s">
        <v>51</v>
      </c>
    </row>
    <row r="2774" spans="1:17" ht="18">
      <c r="A2774" s="512">
        <f t="shared" si="36"/>
        <v>1927</v>
      </c>
      <c r="B2774" s="660" t="s">
        <v>43</v>
      </c>
      <c r="C2774" s="644" t="s">
        <v>44</v>
      </c>
      <c r="D2774" s="644" t="s">
        <v>45</v>
      </c>
      <c r="E2774" s="644" t="s">
        <v>3028</v>
      </c>
      <c r="F2774" s="577" t="s">
        <v>124</v>
      </c>
      <c r="G2774" s="577">
        <v>9823414725</v>
      </c>
      <c r="I2774" s="577">
        <v>29</v>
      </c>
      <c r="J2774" s="577" t="s">
        <v>48</v>
      </c>
      <c r="K2774" s="577" t="s">
        <v>1468</v>
      </c>
      <c r="M2774" s="571" t="s">
        <v>119</v>
      </c>
      <c r="N2774" s="745">
        <v>65043</v>
      </c>
      <c r="O2774" s="572">
        <v>65043</v>
      </c>
      <c r="P2774" s="514">
        <v>65058</v>
      </c>
      <c r="Q2774" s="512" t="s">
        <v>51</v>
      </c>
    </row>
    <row r="2775" spans="1:17" ht="18">
      <c r="A2775" s="512">
        <f t="shared" si="36"/>
        <v>1928</v>
      </c>
      <c r="B2775" s="660" t="s">
        <v>43</v>
      </c>
      <c r="C2775" s="644" t="s">
        <v>44</v>
      </c>
      <c r="D2775" s="644" t="s">
        <v>45</v>
      </c>
      <c r="E2775" s="644" t="s">
        <v>2992</v>
      </c>
      <c r="F2775" s="577" t="s">
        <v>491</v>
      </c>
      <c r="G2775" s="577">
        <v>9829801492</v>
      </c>
      <c r="I2775" s="577">
        <v>55</v>
      </c>
      <c r="J2775" s="577" t="s">
        <v>48</v>
      </c>
      <c r="K2775" s="577" t="s">
        <v>1468</v>
      </c>
      <c r="M2775" s="571" t="s">
        <v>119</v>
      </c>
      <c r="N2775" s="745">
        <v>65043</v>
      </c>
      <c r="O2775" s="572">
        <v>65043</v>
      </c>
      <c r="P2775" s="514">
        <v>65058</v>
      </c>
      <c r="Q2775" s="512" t="s">
        <v>51</v>
      </c>
    </row>
    <row r="2776" spans="1:17" ht="18">
      <c r="A2776" s="512">
        <f t="shared" si="36"/>
        <v>1929</v>
      </c>
      <c r="B2776" s="660" t="s">
        <v>43</v>
      </c>
      <c r="C2776" s="644" t="s">
        <v>44</v>
      </c>
      <c r="D2776" s="644" t="s">
        <v>45</v>
      </c>
      <c r="E2776" s="670" t="s">
        <v>2993</v>
      </c>
      <c r="F2776" s="577" t="s">
        <v>491</v>
      </c>
      <c r="G2776" s="577">
        <v>9857823985</v>
      </c>
      <c r="I2776" s="577">
        <v>55</v>
      </c>
      <c r="J2776" s="577" t="s">
        <v>48</v>
      </c>
      <c r="K2776" s="577" t="s">
        <v>1468</v>
      </c>
      <c r="M2776" s="571" t="s">
        <v>119</v>
      </c>
      <c r="N2776" s="745">
        <v>65043</v>
      </c>
      <c r="O2776" s="572">
        <v>65043</v>
      </c>
      <c r="P2776" s="514">
        <v>65058</v>
      </c>
      <c r="Q2776" s="512" t="s">
        <v>51</v>
      </c>
    </row>
    <row r="2777" spans="1:17" ht="18">
      <c r="A2777" s="512">
        <f t="shared" si="36"/>
        <v>1930</v>
      </c>
      <c r="B2777" s="660" t="s">
        <v>43</v>
      </c>
      <c r="C2777" s="644" t="s">
        <v>44</v>
      </c>
      <c r="D2777" s="644" t="s">
        <v>45</v>
      </c>
      <c r="E2777" s="670" t="s">
        <v>2447</v>
      </c>
      <c r="F2777" s="577" t="s">
        <v>491</v>
      </c>
      <c r="G2777" s="577">
        <v>9829565682</v>
      </c>
      <c r="I2777" s="577">
        <v>40</v>
      </c>
      <c r="J2777" s="577" t="s">
        <v>90</v>
      </c>
      <c r="K2777" s="577" t="s">
        <v>1468</v>
      </c>
      <c r="M2777" s="571" t="s">
        <v>119</v>
      </c>
      <c r="N2777" s="745">
        <v>65043</v>
      </c>
      <c r="O2777" s="572">
        <v>65043</v>
      </c>
      <c r="P2777" s="514">
        <v>65058</v>
      </c>
      <c r="Q2777" s="512" t="s">
        <v>51</v>
      </c>
    </row>
    <row r="2778" spans="1:17" ht="18">
      <c r="A2778" s="512">
        <f t="shared" si="36"/>
        <v>1931</v>
      </c>
      <c r="B2778" s="660" t="s">
        <v>43</v>
      </c>
      <c r="C2778" s="644" t="s">
        <v>44</v>
      </c>
      <c r="D2778" s="644" t="s">
        <v>45</v>
      </c>
      <c r="E2778" s="670" t="s">
        <v>3080</v>
      </c>
      <c r="F2778" s="577" t="s">
        <v>502</v>
      </c>
      <c r="G2778" s="577">
        <v>9844179052</v>
      </c>
      <c r="I2778" s="577">
        <v>37</v>
      </c>
      <c r="J2778" s="577" t="s">
        <v>90</v>
      </c>
      <c r="K2778" s="577" t="s">
        <v>1468</v>
      </c>
      <c r="M2778" s="571" t="s">
        <v>119</v>
      </c>
      <c r="N2778" s="745">
        <v>65043</v>
      </c>
      <c r="O2778" s="572">
        <v>65043</v>
      </c>
      <c r="P2778" s="514">
        <v>65058</v>
      </c>
      <c r="Q2778" s="512" t="s">
        <v>51</v>
      </c>
    </row>
    <row r="2779" spans="1:17" ht="18">
      <c r="A2779" s="512">
        <f t="shared" si="36"/>
        <v>1932</v>
      </c>
      <c r="B2779" s="660" t="s">
        <v>43</v>
      </c>
      <c r="C2779" s="644" t="s">
        <v>44</v>
      </c>
      <c r="D2779" s="644" t="s">
        <v>45</v>
      </c>
      <c r="E2779" s="644" t="s">
        <v>3099</v>
      </c>
      <c r="F2779" s="577" t="s">
        <v>491</v>
      </c>
      <c r="G2779" s="577">
        <v>9860026815</v>
      </c>
      <c r="I2779" s="577">
        <v>22</v>
      </c>
      <c r="J2779" s="577" t="s">
        <v>90</v>
      </c>
      <c r="K2779" s="577" t="s">
        <v>1480</v>
      </c>
      <c r="M2779" s="571" t="s">
        <v>119</v>
      </c>
      <c r="N2779" s="745">
        <v>65043</v>
      </c>
      <c r="O2779" s="572">
        <v>65043</v>
      </c>
      <c r="P2779" s="514">
        <v>65058</v>
      </c>
      <c r="Q2779" s="512" t="s">
        <v>51</v>
      </c>
    </row>
    <row r="2780" spans="1:17" ht="18">
      <c r="A2780" s="512">
        <f t="shared" si="36"/>
        <v>1933</v>
      </c>
      <c r="B2780" s="660" t="s">
        <v>43</v>
      </c>
      <c r="C2780" s="644" t="s">
        <v>44</v>
      </c>
      <c r="D2780" s="644" t="s">
        <v>45</v>
      </c>
      <c r="E2780" s="644" t="s">
        <v>3081</v>
      </c>
      <c r="F2780" s="577" t="s">
        <v>502</v>
      </c>
      <c r="G2780" s="577">
        <v>9812835558</v>
      </c>
      <c r="I2780" s="577">
        <v>25</v>
      </c>
      <c r="J2780" s="577" t="s">
        <v>90</v>
      </c>
      <c r="K2780" s="577" t="s">
        <v>1468</v>
      </c>
      <c r="M2780" s="571" t="s">
        <v>119</v>
      </c>
      <c r="N2780" s="745">
        <v>65043</v>
      </c>
      <c r="O2780" s="572">
        <v>65043</v>
      </c>
      <c r="P2780" s="514">
        <v>65058</v>
      </c>
      <c r="Q2780" s="512" t="s">
        <v>51</v>
      </c>
    </row>
    <row r="2781" spans="1:17" ht="18">
      <c r="A2781" s="512">
        <f t="shared" si="36"/>
        <v>1934</v>
      </c>
      <c r="B2781" s="660" t="s">
        <v>43</v>
      </c>
      <c r="C2781" s="644" t="s">
        <v>44</v>
      </c>
      <c r="D2781" s="644" t="s">
        <v>45</v>
      </c>
      <c r="E2781" s="644" t="s">
        <v>3107</v>
      </c>
      <c r="F2781" s="577" t="s">
        <v>491</v>
      </c>
      <c r="G2781" s="577">
        <v>9864355709</v>
      </c>
      <c r="I2781" s="577">
        <v>28</v>
      </c>
      <c r="J2781" s="577" t="s">
        <v>90</v>
      </c>
      <c r="K2781" s="577" t="s">
        <v>1468</v>
      </c>
      <c r="M2781" s="571" t="s">
        <v>119</v>
      </c>
      <c r="N2781" s="745">
        <v>65043</v>
      </c>
      <c r="O2781" s="572">
        <v>65043</v>
      </c>
      <c r="P2781" s="514">
        <v>65058</v>
      </c>
      <c r="Q2781" s="512" t="s">
        <v>51</v>
      </c>
    </row>
    <row r="2782" spans="1:17" ht="18">
      <c r="A2782" s="512">
        <f t="shared" si="36"/>
        <v>1935</v>
      </c>
      <c r="B2782" s="660" t="s">
        <v>43</v>
      </c>
      <c r="C2782" s="644" t="s">
        <v>44</v>
      </c>
      <c r="D2782" s="644" t="s">
        <v>45</v>
      </c>
      <c r="E2782" s="644" t="s">
        <v>2980</v>
      </c>
      <c r="F2782" s="577" t="s">
        <v>491</v>
      </c>
      <c r="G2782" s="577">
        <v>9857825027</v>
      </c>
      <c r="I2782" s="577">
        <v>28</v>
      </c>
      <c r="J2782" s="577" t="s">
        <v>48</v>
      </c>
      <c r="K2782" s="577" t="s">
        <v>1480</v>
      </c>
      <c r="M2782" s="571" t="s">
        <v>119</v>
      </c>
      <c r="N2782" s="745">
        <v>65043</v>
      </c>
      <c r="O2782" s="572">
        <v>65043</v>
      </c>
      <c r="P2782" s="514">
        <v>65058</v>
      </c>
      <c r="Q2782" s="512" t="s">
        <v>51</v>
      </c>
    </row>
    <row r="2783" spans="1:17" ht="18">
      <c r="A2783" s="512">
        <f t="shared" si="36"/>
        <v>1936</v>
      </c>
      <c r="B2783" s="660" t="s">
        <v>43</v>
      </c>
      <c r="C2783" s="644" t="s">
        <v>44</v>
      </c>
      <c r="D2783" s="644" t="s">
        <v>45</v>
      </c>
      <c r="E2783" s="644" t="s">
        <v>2994</v>
      </c>
      <c r="F2783" s="577" t="s">
        <v>491</v>
      </c>
      <c r="G2783" s="577">
        <v>9806253696</v>
      </c>
      <c r="I2783" s="577">
        <v>54</v>
      </c>
      <c r="J2783" s="577" t="s">
        <v>48</v>
      </c>
      <c r="K2783" s="577" t="s">
        <v>1468</v>
      </c>
      <c r="M2783" s="571" t="s">
        <v>119</v>
      </c>
      <c r="N2783" s="745">
        <v>65043</v>
      </c>
      <c r="O2783" s="572">
        <v>65043</v>
      </c>
      <c r="P2783" s="514">
        <v>65058</v>
      </c>
      <c r="Q2783" s="512" t="s">
        <v>51</v>
      </c>
    </row>
    <row r="2784" spans="1:17" ht="18">
      <c r="A2784" s="512">
        <f t="shared" si="36"/>
        <v>1937</v>
      </c>
      <c r="B2784" s="660" t="s">
        <v>43</v>
      </c>
      <c r="C2784" s="644" t="s">
        <v>44</v>
      </c>
      <c r="D2784" s="644" t="s">
        <v>45</v>
      </c>
      <c r="E2784" s="644" t="s">
        <v>3108</v>
      </c>
      <c r="F2784" s="577" t="s">
        <v>491</v>
      </c>
      <c r="G2784" s="577">
        <v>9847804549</v>
      </c>
      <c r="I2784" s="577">
        <v>27</v>
      </c>
      <c r="J2784" s="577" t="s">
        <v>90</v>
      </c>
      <c r="K2784" s="577" t="s">
        <v>1468</v>
      </c>
      <c r="M2784" s="571" t="s">
        <v>119</v>
      </c>
      <c r="N2784" s="745">
        <v>65043</v>
      </c>
      <c r="O2784" s="572">
        <v>65043</v>
      </c>
      <c r="P2784" s="514">
        <v>65058</v>
      </c>
      <c r="Q2784" s="512" t="s">
        <v>51</v>
      </c>
    </row>
    <row r="2785" spans="1:17" ht="18">
      <c r="A2785" s="512">
        <f t="shared" si="36"/>
        <v>1938</v>
      </c>
      <c r="B2785" s="660" t="s">
        <v>43</v>
      </c>
      <c r="C2785" s="644" t="s">
        <v>44</v>
      </c>
      <c r="D2785" s="644" t="s">
        <v>45</v>
      </c>
      <c r="E2785" s="644" t="s">
        <v>2968</v>
      </c>
      <c r="F2785" s="577" t="s">
        <v>502</v>
      </c>
      <c r="G2785" s="577">
        <v>9804908332</v>
      </c>
      <c r="I2785" s="577">
        <v>40</v>
      </c>
      <c r="J2785" s="577" t="s">
        <v>48</v>
      </c>
      <c r="K2785" s="577" t="s">
        <v>1468</v>
      </c>
      <c r="M2785" s="571" t="s">
        <v>119</v>
      </c>
      <c r="N2785" s="745">
        <v>65043</v>
      </c>
      <c r="O2785" s="572">
        <v>65043</v>
      </c>
      <c r="P2785" s="514">
        <v>65058</v>
      </c>
      <c r="Q2785" s="512" t="s">
        <v>51</v>
      </c>
    </row>
    <row r="2786" spans="1:17" ht="18">
      <c r="A2786" s="512">
        <f t="shared" si="36"/>
        <v>1939</v>
      </c>
      <c r="B2786" s="660" t="s">
        <v>43</v>
      </c>
      <c r="C2786" s="644" t="s">
        <v>44</v>
      </c>
      <c r="D2786" s="644" t="s">
        <v>45</v>
      </c>
      <c r="E2786" s="644" t="s">
        <v>3109</v>
      </c>
      <c r="F2786" s="577" t="s">
        <v>491</v>
      </c>
      <c r="G2786" s="577">
        <v>9847985200</v>
      </c>
      <c r="I2786" s="577">
        <v>39</v>
      </c>
      <c r="J2786" s="577" t="s">
        <v>90</v>
      </c>
      <c r="K2786" s="577" t="s">
        <v>53</v>
      </c>
      <c r="M2786" s="571" t="s">
        <v>119</v>
      </c>
      <c r="N2786" s="745">
        <v>65043</v>
      </c>
      <c r="O2786" s="572">
        <v>65043</v>
      </c>
      <c r="P2786" s="514">
        <v>65058</v>
      </c>
      <c r="Q2786" s="512" t="s">
        <v>51</v>
      </c>
    </row>
    <row r="2787" spans="1:17" ht="18">
      <c r="A2787" s="512">
        <f t="shared" si="36"/>
        <v>1940</v>
      </c>
      <c r="B2787" s="660" t="s">
        <v>43</v>
      </c>
      <c r="C2787" s="644" t="s">
        <v>44</v>
      </c>
      <c r="D2787" s="644" t="s">
        <v>45</v>
      </c>
      <c r="E2787" s="644" t="s">
        <v>3008</v>
      </c>
      <c r="F2787" s="577" t="s">
        <v>529</v>
      </c>
      <c r="G2787" s="577">
        <v>9847835205</v>
      </c>
      <c r="I2787" s="577">
        <v>30</v>
      </c>
      <c r="J2787" s="577" t="s">
        <v>48</v>
      </c>
      <c r="K2787" s="577" t="s">
        <v>1480</v>
      </c>
      <c r="M2787" s="571" t="s">
        <v>119</v>
      </c>
      <c r="N2787" s="745">
        <v>65043</v>
      </c>
      <c r="O2787" s="572">
        <v>65043</v>
      </c>
      <c r="P2787" s="514">
        <v>65058</v>
      </c>
      <c r="Q2787" s="512" t="s">
        <v>51</v>
      </c>
    </row>
    <row r="2788" spans="1:17" ht="18">
      <c r="A2788" s="512">
        <f t="shared" si="36"/>
        <v>1941</v>
      </c>
      <c r="B2788" s="660" t="s">
        <v>43</v>
      </c>
      <c r="C2788" s="644" t="s">
        <v>44</v>
      </c>
      <c r="D2788" s="644" t="s">
        <v>45</v>
      </c>
      <c r="E2788" s="644" t="s">
        <v>3005</v>
      </c>
      <c r="F2788" s="577" t="s">
        <v>441</v>
      </c>
      <c r="G2788" s="577">
        <v>9864927837</v>
      </c>
      <c r="I2788" s="577">
        <v>22</v>
      </c>
      <c r="J2788" s="577" t="s">
        <v>48</v>
      </c>
      <c r="K2788" s="577" t="s">
        <v>1468</v>
      </c>
      <c r="M2788" s="571" t="s">
        <v>119</v>
      </c>
      <c r="N2788" s="745">
        <v>65043</v>
      </c>
      <c r="O2788" s="572">
        <v>65043</v>
      </c>
      <c r="P2788" s="514">
        <v>65058</v>
      </c>
      <c r="Q2788" s="512" t="s">
        <v>51</v>
      </c>
    </row>
    <row r="2789" spans="1:17" ht="18">
      <c r="A2789" s="512">
        <f t="shared" si="36"/>
        <v>1942</v>
      </c>
      <c r="B2789" s="660" t="s">
        <v>43</v>
      </c>
      <c r="C2789" s="644" t="s">
        <v>44</v>
      </c>
      <c r="D2789" s="644" t="s">
        <v>45</v>
      </c>
      <c r="E2789" s="644" t="s">
        <v>3129</v>
      </c>
      <c r="F2789" s="577" t="s">
        <v>124</v>
      </c>
      <c r="G2789" s="577">
        <v>9847943312</v>
      </c>
      <c r="I2789" s="577">
        <v>27</v>
      </c>
      <c r="J2789" s="577" t="s">
        <v>90</v>
      </c>
      <c r="K2789" s="577" t="s">
        <v>1468</v>
      </c>
      <c r="M2789" s="571" t="s">
        <v>119</v>
      </c>
      <c r="N2789" s="745">
        <v>65043</v>
      </c>
      <c r="O2789" s="572">
        <v>65043</v>
      </c>
      <c r="P2789" s="514">
        <v>65058</v>
      </c>
      <c r="Q2789" s="512" t="s">
        <v>51</v>
      </c>
    </row>
    <row r="2790" spans="1:17" ht="18">
      <c r="A2790" s="512">
        <f t="shared" si="36"/>
        <v>1943</v>
      </c>
      <c r="B2790" s="660" t="s">
        <v>43</v>
      </c>
      <c r="C2790" s="644" t="s">
        <v>44</v>
      </c>
      <c r="D2790" s="644" t="s">
        <v>45</v>
      </c>
      <c r="E2790" s="644" t="s">
        <v>3038</v>
      </c>
      <c r="F2790" s="577" t="s">
        <v>1046</v>
      </c>
      <c r="G2790" s="577">
        <v>9809875887</v>
      </c>
      <c r="I2790" s="577">
        <v>27</v>
      </c>
      <c r="J2790" s="577" t="s">
        <v>48</v>
      </c>
      <c r="K2790" s="577" t="s">
        <v>1468</v>
      </c>
      <c r="M2790" s="571" t="s">
        <v>119</v>
      </c>
      <c r="N2790" s="745">
        <v>65043</v>
      </c>
      <c r="O2790" s="572">
        <v>65043</v>
      </c>
      <c r="P2790" s="514">
        <v>65058</v>
      </c>
      <c r="Q2790" s="512" t="s">
        <v>51</v>
      </c>
    </row>
    <row r="2791" spans="1:17" ht="18">
      <c r="A2791" s="512">
        <f t="shared" si="36"/>
        <v>1944</v>
      </c>
      <c r="B2791" s="660" t="s">
        <v>43</v>
      </c>
      <c r="C2791" s="644" t="s">
        <v>44</v>
      </c>
      <c r="D2791" s="644" t="s">
        <v>45</v>
      </c>
      <c r="E2791" s="644" t="s">
        <v>3082</v>
      </c>
      <c r="F2791" s="577" t="s">
        <v>502</v>
      </c>
      <c r="G2791" s="577">
        <v>9843462926</v>
      </c>
      <c r="I2791" s="577">
        <v>30</v>
      </c>
      <c r="J2791" s="577" t="s">
        <v>90</v>
      </c>
      <c r="K2791" s="577" t="s">
        <v>53</v>
      </c>
      <c r="M2791" s="571" t="s">
        <v>119</v>
      </c>
      <c r="N2791" s="745">
        <v>65043</v>
      </c>
      <c r="O2791" s="572">
        <v>65043</v>
      </c>
      <c r="P2791" s="514">
        <v>65058</v>
      </c>
      <c r="Q2791" s="512" t="s">
        <v>51</v>
      </c>
    </row>
    <row r="2792" spans="1:17" ht="18">
      <c r="A2792" s="512">
        <f t="shared" si="36"/>
        <v>1945</v>
      </c>
      <c r="B2792" s="660" t="s">
        <v>43</v>
      </c>
      <c r="C2792" s="644" t="s">
        <v>44</v>
      </c>
      <c r="D2792" s="644" t="s">
        <v>45</v>
      </c>
      <c r="E2792" s="644" t="s">
        <v>2959</v>
      </c>
      <c r="F2792" s="577" t="s">
        <v>510</v>
      </c>
      <c r="G2792" s="577">
        <v>9806261858</v>
      </c>
      <c r="I2792" s="577">
        <v>40</v>
      </c>
      <c r="J2792" s="577" t="s">
        <v>48</v>
      </c>
      <c r="K2792" s="577" t="s">
        <v>1468</v>
      </c>
      <c r="M2792" s="571" t="s">
        <v>119</v>
      </c>
      <c r="N2792" s="745">
        <v>65043</v>
      </c>
      <c r="O2792" s="572">
        <v>65043</v>
      </c>
      <c r="P2792" s="514">
        <v>65058</v>
      </c>
      <c r="Q2792" s="512" t="s">
        <v>51</v>
      </c>
    </row>
    <row r="2793" spans="1:17" ht="18">
      <c r="A2793" s="512">
        <f t="shared" si="36"/>
        <v>1946</v>
      </c>
      <c r="B2793" s="660" t="s">
        <v>43</v>
      </c>
      <c r="C2793" s="644" t="s">
        <v>44</v>
      </c>
      <c r="D2793" s="644" t="s">
        <v>45</v>
      </c>
      <c r="E2793" s="644" t="s">
        <v>2995</v>
      </c>
      <c r="F2793" s="577" t="s">
        <v>491</v>
      </c>
      <c r="G2793" s="577">
        <v>9847827159</v>
      </c>
      <c r="I2793" s="577">
        <v>65</v>
      </c>
      <c r="J2793" s="577" t="s">
        <v>48</v>
      </c>
      <c r="K2793" s="577" t="s">
        <v>1468</v>
      </c>
      <c r="M2793" s="571" t="s">
        <v>119</v>
      </c>
      <c r="N2793" s="745">
        <v>65043</v>
      </c>
      <c r="O2793" s="572">
        <v>65043</v>
      </c>
      <c r="P2793" s="514">
        <v>65058</v>
      </c>
      <c r="Q2793" s="512" t="s">
        <v>51</v>
      </c>
    </row>
    <row r="2794" spans="1:17" ht="18">
      <c r="A2794" s="512">
        <f t="shared" si="36"/>
        <v>1947</v>
      </c>
      <c r="B2794" s="660" t="s">
        <v>43</v>
      </c>
      <c r="C2794" s="644" t="s">
        <v>44</v>
      </c>
      <c r="D2794" s="644" t="s">
        <v>45</v>
      </c>
      <c r="E2794" s="644" t="s">
        <v>3147</v>
      </c>
      <c r="F2794" s="577" t="s">
        <v>730</v>
      </c>
      <c r="G2794" s="577">
        <v>9857820496</v>
      </c>
      <c r="I2794" s="577">
        <v>48</v>
      </c>
      <c r="J2794" s="577" t="s">
        <v>90</v>
      </c>
      <c r="K2794" s="577" t="s">
        <v>53</v>
      </c>
      <c r="M2794" s="571" t="s">
        <v>119</v>
      </c>
      <c r="N2794" s="745">
        <v>65043</v>
      </c>
      <c r="O2794" s="572">
        <v>65043</v>
      </c>
      <c r="P2794" s="514">
        <v>65058</v>
      </c>
      <c r="Q2794" s="512" t="s">
        <v>51</v>
      </c>
    </row>
    <row r="2795" spans="1:17" ht="18">
      <c r="A2795" s="512">
        <f t="shared" si="36"/>
        <v>1948</v>
      </c>
      <c r="B2795" s="660" t="s">
        <v>43</v>
      </c>
      <c r="C2795" s="644" t="s">
        <v>44</v>
      </c>
      <c r="D2795" s="644" t="s">
        <v>45</v>
      </c>
      <c r="E2795" s="670" t="s">
        <v>3154</v>
      </c>
      <c r="F2795" s="577" t="s">
        <v>491</v>
      </c>
      <c r="G2795" s="577">
        <v>9844933818</v>
      </c>
      <c r="I2795" s="577">
        <v>23</v>
      </c>
      <c r="J2795" s="577" t="s">
        <v>48</v>
      </c>
      <c r="K2795" s="577" t="s">
        <v>53</v>
      </c>
      <c r="M2795" s="571" t="s">
        <v>119</v>
      </c>
      <c r="N2795" s="745">
        <v>65044</v>
      </c>
      <c r="O2795" s="572">
        <v>65044</v>
      </c>
      <c r="P2795" s="541">
        <v>65059</v>
      </c>
      <c r="Q2795" s="533" t="s">
        <v>51</v>
      </c>
    </row>
    <row r="2796" spans="1:17" ht="18">
      <c r="A2796" s="512">
        <f t="shared" si="36"/>
        <v>1949</v>
      </c>
      <c r="B2796" s="660" t="s">
        <v>43</v>
      </c>
      <c r="C2796" s="644" t="s">
        <v>44</v>
      </c>
      <c r="D2796" s="644" t="s">
        <v>45</v>
      </c>
      <c r="E2796" s="670" t="s">
        <v>3155</v>
      </c>
      <c r="F2796" s="577" t="s">
        <v>1008</v>
      </c>
      <c r="G2796" s="577">
        <v>9844940230</v>
      </c>
      <c r="I2796" s="577">
        <v>65</v>
      </c>
      <c r="J2796" s="577" t="s">
        <v>90</v>
      </c>
      <c r="K2796" s="577" t="s">
        <v>3289</v>
      </c>
      <c r="M2796" s="571" t="s">
        <v>119</v>
      </c>
      <c r="N2796" s="745">
        <v>65044</v>
      </c>
      <c r="O2796" s="572">
        <v>65044</v>
      </c>
      <c r="P2796" s="541">
        <v>65059</v>
      </c>
      <c r="Q2796" s="533" t="s">
        <v>51</v>
      </c>
    </row>
    <row r="2797" spans="1:17" ht="18">
      <c r="A2797" s="512">
        <f t="shared" si="36"/>
        <v>1950</v>
      </c>
      <c r="B2797" s="660" t="s">
        <v>43</v>
      </c>
      <c r="C2797" s="644" t="s">
        <v>44</v>
      </c>
      <c r="D2797" s="644" t="s">
        <v>45</v>
      </c>
      <c r="E2797" s="670" t="s">
        <v>3156</v>
      </c>
      <c r="F2797" s="577" t="s">
        <v>491</v>
      </c>
      <c r="G2797" s="577">
        <v>9857824123</v>
      </c>
      <c r="I2797" s="577">
        <v>17</v>
      </c>
      <c r="J2797" s="577" t="s">
        <v>48</v>
      </c>
      <c r="K2797" s="577" t="s">
        <v>53</v>
      </c>
      <c r="M2797" s="571" t="s">
        <v>119</v>
      </c>
      <c r="N2797" s="745">
        <v>65044</v>
      </c>
      <c r="O2797" s="572">
        <v>65044</v>
      </c>
      <c r="P2797" s="541">
        <v>65059</v>
      </c>
      <c r="Q2797" s="533" t="s">
        <v>51</v>
      </c>
    </row>
    <row r="2798" spans="1:17" ht="18">
      <c r="A2798" s="512">
        <f t="shared" si="36"/>
        <v>1951</v>
      </c>
      <c r="B2798" s="660" t="s">
        <v>43</v>
      </c>
      <c r="C2798" s="644" t="s">
        <v>44</v>
      </c>
      <c r="D2798" s="644" t="s">
        <v>45</v>
      </c>
      <c r="E2798" s="670" t="s">
        <v>3157</v>
      </c>
      <c r="F2798" s="577" t="s">
        <v>124</v>
      </c>
      <c r="G2798" s="577">
        <v>9844768098</v>
      </c>
      <c r="I2798" s="577">
        <v>41</v>
      </c>
      <c r="J2798" s="577" t="s">
        <v>48</v>
      </c>
      <c r="K2798" s="577" t="s">
        <v>1468</v>
      </c>
      <c r="M2798" s="571" t="s">
        <v>119</v>
      </c>
      <c r="N2798" s="745">
        <v>65044</v>
      </c>
      <c r="O2798" s="572">
        <v>65044</v>
      </c>
      <c r="P2798" s="541">
        <v>65059</v>
      </c>
      <c r="Q2798" s="533" t="s">
        <v>51</v>
      </c>
    </row>
    <row r="2799" spans="1:17" ht="18">
      <c r="A2799" s="512">
        <f t="shared" si="36"/>
        <v>1952</v>
      </c>
      <c r="B2799" s="660" t="s">
        <v>43</v>
      </c>
      <c r="C2799" s="644" t="s">
        <v>44</v>
      </c>
      <c r="D2799" s="644" t="s">
        <v>45</v>
      </c>
      <c r="E2799" s="670" t="s">
        <v>3158</v>
      </c>
      <c r="F2799" s="577" t="s">
        <v>529</v>
      </c>
      <c r="G2799" s="577">
        <v>9810812084</v>
      </c>
      <c r="I2799" s="577">
        <v>58</v>
      </c>
      <c r="J2799" s="577" t="s">
        <v>48</v>
      </c>
      <c r="K2799" s="577" t="s">
        <v>1468</v>
      </c>
      <c r="M2799" s="571" t="s">
        <v>119</v>
      </c>
      <c r="N2799" s="745">
        <v>65044</v>
      </c>
      <c r="O2799" s="572">
        <v>65044</v>
      </c>
      <c r="P2799" s="541">
        <v>65059</v>
      </c>
      <c r="Q2799" s="533" t="s">
        <v>51</v>
      </c>
    </row>
    <row r="2800" spans="1:17" ht="18">
      <c r="A2800" s="512">
        <f t="shared" si="36"/>
        <v>1953</v>
      </c>
      <c r="B2800" s="660" t="s">
        <v>43</v>
      </c>
      <c r="C2800" s="644" t="s">
        <v>44</v>
      </c>
      <c r="D2800" s="644" t="s">
        <v>45</v>
      </c>
      <c r="E2800" s="670" t="s">
        <v>3159</v>
      </c>
      <c r="F2800" s="577" t="s">
        <v>124</v>
      </c>
      <c r="G2800" s="577">
        <v>9847823285</v>
      </c>
      <c r="I2800" s="577">
        <v>85</v>
      </c>
      <c r="J2800" s="577" t="s">
        <v>48</v>
      </c>
      <c r="K2800" s="577" t="s">
        <v>1468</v>
      </c>
      <c r="M2800" s="571" t="s">
        <v>119</v>
      </c>
      <c r="N2800" s="745">
        <v>65044</v>
      </c>
      <c r="O2800" s="572">
        <v>65044</v>
      </c>
      <c r="P2800" s="541">
        <v>65059</v>
      </c>
      <c r="Q2800" s="533" t="s">
        <v>51</v>
      </c>
    </row>
    <row r="2801" spans="1:17" ht="18">
      <c r="A2801" s="512">
        <f t="shared" si="36"/>
        <v>1954</v>
      </c>
      <c r="B2801" s="660" t="s">
        <v>43</v>
      </c>
      <c r="C2801" s="644" t="s">
        <v>44</v>
      </c>
      <c r="D2801" s="644" t="s">
        <v>45</v>
      </c>
      <c r="E2801" s="670" t="s">
        <v>3160</v>
      </c>
      <c r="F2801" s="577" t="s">
        <v>441</v>
      </c>
      <c r="G2801" s="577">
        <v>9866843399</v>
      </c>
      <c r="I2801" s="577">
        <v>27</v>
      </c>
      <c r="J2801" s="577" t="s">
        <v>48</v>
      </c>
      <c r="K2801" s="577" t="s">
        <v>53</v>
      </c>
      <c r="M2801" s="571" t="s">
        <v>119</v>
      </c>
      <c r="N2801" s="745">
        <v>65044</v>
      </c>
      <c r="O2801" s="572">
        <v>65044</v>
      </c>
      <c r="P2801" s="541">
        <v>65059</v>
      </c>
      <c r="Q2801" s="533" t="s">
        <v>51</v>
      </c>
    </row>
    <row r="2802" spans="1:17" ht="18">
      <c r="A2802" s="512">
        <f t="shared" si="36"/>
        <v>1955</v>
      </c>
      <c r="B2802" s="660" t="s">
        <v>43</v>
      </c>
      <c r="C2802" s="644" t="s">
        <v>44</v>
      </c>
      <c r="D2802" s="644" t="s">
        <v>45</v>
      </c>
      <c r="E2802" s="670" t="s">
        <v>3161</v>
      </c>
      <c r="F2802" s="577" t="s">
        <v>491</v>
      </c>
      <c r="G2802" s="577">
        <v>9857825242</v>
      </c>
      <c r="I2802" s="577">
        <v>83</v>
      </c>
      <c r="J2802" s="577" t="s">
        <v>90</v>
      </c>
      <c r="K2802" s="577" t="s">
        <v>1468</v>
      </c>
      <c r="M2802" s="571" t="s">
        <v>119</v>
      </c>
      <c r="N2802" s="745">
        <v>65044</v>
      </c>
      <c r="O2802" s="572">
        <v>65044</v>
      </c>
      <c r="P2802" s="541">
        <v>65059</v>
      </c>
      <c r="Q2802" s="533" t="s">
        <v>51</v>
      </c>
    </row>
    <row r="2803" spans="1:17" ht="18">
      <c r="A2803" s="512">
        <f t="shared" si="36"/>
        <v>1956</v>
      </c>
      <c r="B2803" s="660" t="s">
        <v>43</v>
      </c>
      <c r="C2803" s="644" t="s">
        <v>44</v>
      </c>
      <c r="D2803" s="644" t="s">
        <v>45</v>
      </c>
      <c r="E2803" s="670" t="s">
        <v>3162</v>
      </c>
      <c r="F2803" s="577" t="s">
        <v>497</v>
      </c>
      <c r="G2803" s="577">
        <v>9810884072</v>
      </c>
      <c r="I2803" s="577">
        <v>19</v>
      </c>
      <c r="J2803" s="577" t="s">
        <v>48</v>
      </c>
      <c r="K2803" s="577" t="s">
        <v>1468</v>
      </c>
      <c r="M2803" s="571" t="s">
        <v>119</v>
      </c>
      <c r="N2803" s="745">
        <v>65044</v>
      </c>
      <c r="O2803" s="572">
        <v>65044</v>
      </c>
      <c r="P2803" s="541">
        <v>65059</v>
      </c>
      <c r="Q2803" s="533" t="s">
        <v>51</v>
      </c>
    </row>
    <row r="2804" spans="1:17" ht="18">
      <c r="A2804" s="512">
        <f t="shared" si="36"/>
        <v>1957</v>
      </c>
      <c r="B2804" s="660" t="s">
        <v>43</v>
      </c>
      <c r="C2804" s="644" t="s">
        <v>44</v>
      </c>
      <c r="D2804" s="644" t="s">
        <v>45</v>
      </c>
      <c r="E2804" s="670" t="s">
        <v>3163</v>
      </c>
      <c r="F2804" s="577" t="s">
        <v>124</v>
      </c>
      <c r="G2804" s="577">
        <v>9864903432</v>
      </c>
      <c r="I2804" s="577">
        <v>29</v>
      </c>
      <c r="J2804" s="577" t="s">
        <v>48</v>
      </c>
      <c r="K2804" s="577" t="s">
        <v>1480</v>
      </c>
      <c r="M2804" s="571" t="s">
        <v>119</v>
      </c>
      <c r="N2804" s="745">
        <v>65044</v>
      </c>
      <c r="O2804" s="572">
        <v>65044</v>
      </c>
      <c r="P2804" s="541">
        <v>65059</v>
      </c>
      <c r="Q2804" s="533" t="s">
        <v>51</v>
      </c>
    </row>
    <row r="2805" spans="1:17" ht="18">
      <c r="A2805" s="512">
        <f t="shared" si="36"/>
        <v>1958</v>
      </c>
      <c r="B2805" s="660" t="s">
        <v>43</v>
      </c>
      <c r="C2805" s="644" t="s">
        <v>44</v>
      </c>
      <c r="D2805" s="644" t="s">
        <v>45</v>
      </c>
      <c r="E2805" s="670" t="s">
        <v>3164</v>
      </c>
      <c r="F2805" s="577" t="s">
        <v>441</v>
      </c>
      <c r="G2805" s="577">
        <v>9809803092</v>
      </c>
      <c r="I2805" s="577">
        <v>41</v>
      </c>
      <c r="J2805" s="577" t="s">
        <v>48</v>
      </c>
      <c r="K2805" s="577" t="s">
        <v>1468</v>
      </c>
      <c r="M2805" s="571" t="s">
        <v>119</v>
      </c>
      <c r="N2805" s="745">
        <v>65044</v>
      </c>
      <c r="O2805" s="572">
        <v>65044</v>
      </c>
      <c r="P2805" s="541">
        <v>65059</v>
      </c>
      <c r="Q2805" s="533" t="s">
        <v>51</v>
      </c>
    </row>
    <row r="2806" spans="1:17" ht="18">
      <c r="A2806" s="512">
        <f t="shared" si="36"/>
        <v>1959</v>
      </c>
      <c r="B2806" s="660" t="s">
        <v>43</v>
      </c>
      <c r="C2806" s="644" t="s">
        <v>44</v>
      </c>
      <c r="D2806" s="644" t="s">
        <v>45</v>
      </c>
      <c r="E2806" s="670" t="s">
        <v>3165</v>
      </c>
      <c r="F2806" s="577" t="s">
        <v>1008</v>
      </c>
      <c r="G2806" s="577">
        <v>9818458529</v>
      </c>
      <c r="I2806" s="577">
        <v>30</v>
      </c>
      <c r="J2806" s="577" t="s">
        <v>48</v>
      </c>
      <c r="K2806" s="577" t="s">
        <v>53</v>
      </c>
      <c r="M2806" s="571" t="s">
        <v>119</v>
      </c>
      <c r="N2806" s="745">
        <v>65044</v>
      </c>
      <c r="O2806" s="572">
        <v>65044</v>
      </c>
      <c r="P2806" s="541">
        <v>65059</v>
      </c>
      <c r="Q2806" s="533" t="s">
        <v>51</v>
      </c>
    </row>
    <row r="2807" spans="1:17" ht="18">
      <c r="A2807" s="512">
        <f t="shared" si="36"/>
        <v>1960</v>
      </c>
      <c r="B2807" s="660" t="s">
        <v>43</v>
      </c>
      <c r="C2807" s="644" t="s">
        <v>44</v>
      </c>
      <c r="D2807" s="644" t="s">
        <v>45</v>
      </c>
      <c r="E2807" s="670" t="s">
        <v>3166</v>
      </c>
      <c r="F2807" s="577" t="s">
        <v>1046</v>
      </c>
      <c r="G2807" s="577">
        <v>9841647754</v>
      </c>
      <c r="I2807" s="577">
        <v>44</v>
      </c>
      <c r="J2807" s="577" t="s">
        <v>48</v>
      </c>
      <c r="K2807" s="577" t="s">
        <v>1468</v>
      </c>
      <c r="M2807" s="571" t="s">
        <v>119</v>
      </c>
      <c r="N2807" s="745">
        <v>65044</v>
      </c>
      <c r="O2807" s="572">
        <v>65044</v>
      </c>
      <c r="P2807" s="541">
        <v>65059</v>
      </c>
      <c r="Q2807" s="533" t="s">
        <v>51</v>
      </c>
    </row>
    <row r="2808" spans="1:17" ht="18">
      <c r="A2808" s="512">
        <f t="shared" si="36"/>
        <v>1961</v>
      </c>
      <c r="B2808" s="660" t="s">
        <v>43</v>
      </c>
      <c r="C2808" s="644" t="s">
        <v>44</v>
      </c>
      <c r="D2808" s="644" t="s">
        <v>45</v>
      </c>
      <c r="E2808" s="670" t="s">
        <v>3167</v>
      </c>
      <c r="F2808" s="577" t="s">
        <v>512</v>
      </c>
      <c r="G2808" s="577">
        <v>9815221727</v>
      </c>
      <c r="I2808" s="577">
        <v>55</v>
      </c>
      <c r="J2808" s="577" t="s">
        <v>48</v>
      </c>
      <c r="K2808" s="577" t="s">
        <v>1480</v>
      </c>
      <c r="M2808" s="571" t="s">
        <v>119</v>
      </c>
      <c r="N2808" s="745">
        <v>65044</v>
      </c>
      <c r="O2808" s="572">
        <v>65044</v>
      </c>
      <c r="P2808" s="541">
        <v>65059</v>
      </c>
      <c r="Q2808" s="533" t="s">
        <v>51</v>
      </c>
    </row>
    <row r="2809" spans="1:17" ht="18">
      <c r="A2809" s="512">
        <f t="shared" si="36"/>
        <v>1962</v>
      </c>
      <c r="B2809" s="660" t="s">
        <v>43</v>
      </c>
      <c r="C2809" s="644" t="s">
        <v>44</v>
      </c>
      <c r="D2809" s="644" t="s">
        <v>45</v>
      </c>
      <c r="E2809" s="670" t="s">
        <v>3168</v>
      </c>
      <c r="F2809" s="577" t="s">
        <v>510</v>
      </c>
      <c r="G2809" s="577">
        <v>9809847313</v>
      </c>
      <c r="I2809" s="577">
        <v>45</v>
      </c>
      <c r="J2809" s="577" t="s">
        <v>90</v>
      </c>
      <c r="K2809" s="577" t="s">
        <v>53</v>
      </c>
      <c r="M2809" s="571" t="s">
        <v>119</v>
      </c>
      <c r="N2809" s="745">
        <v>65044</v>
      </c>
      <c r="O2809" s="572">
        <v>65044</v>
      </c>
      <c r="P2809" s="541">
        <v>65059</v>
      </c>
      <c r="Q2809" s="533" t="s">
        <v>51</v>
      </c>
    </row>
    <row r="2810" spans="1:17" ht="18">
      <c r="A2810" s="512">
        <f t="shared" si="36"/>
        <v>1963</v>
      </c>
      <c r="B2810" s="660" t="s">
        <v>43</v>
      </c>
      <c r="C2810" s="644" t="s">
        <v>44</v>
      </c>
      <c r="D2810" s="644" t="s">
        <v>45</v>
      </c>
      <c r="E2810" s="670" t="s">
        <v>3169</v>
      </c>
      <c r="F2810" s="577" t="s">
        <v>598</v>
      </c>
      <c r="G2810" s="577">
        <v>9868605352</v>
      </c>
      <c r="I2810" s="577">
        <v>65</v>
      </c>
      <c r="J2810" s="577" t="s">
        <v>90</v>
      </c>
      <c r="K2810" s="577" t="s">
        <v>1468</v>
      </c>
      <c r="M2810" s="571" t="s">
        <v>119</v>
      </c>
      <c r="N2810" s="745">
        <v>65044</v>
      </c>
      <c r="O2810" s="572">
        <v>65044</v>
      </c>
      <c r="P2810" s="541">
        <v>65059</v>
      </c>
      <c r="Q2810" s="533" t="s">
        <v>51</v>
      </c>
    </row>
    <row r="2811" spans="1:17" ht="18">
      <c r="A2811" s="512">
        <f t="shared" si="36"/>
        <v>1964</v>
      </c>
      <c r="B2811" s="660" t="s">
        <v>43</v>
      </c>
      <c r="C2811" s="644" t="s">
        <v>44</v>
      </c>
      <c r="D2811" s="644" t="s">
        <v>45</v>
      </c>
      <c r="E2811" s="670" t="s">
        <v>3170</v>
      </c>
      <c r="F2811" s="577" t="s">
        <v>730</v>
      </c>
      <c r="G2811" s="577">
        <v>9801208354</v>
      </c>
      <c r="I2811" s="577">
        <v>45</v>
      </c>
      <c r="J2811" s="577" t="s">
        <v>48</v>
      </c>
      <c r="K2811" s="577" t="s">
        <v>53</v>
      </c>
      <c r="M2811" s="571" t="s">
        <v>119</v>
      </c>
      <c r="N2811" s="745">
        <v>65044</v>
      </c>
      <c r="O2811" s="572">
        <v>65044</v>
      </c>
      <c r="P2811" s="541">
        <v>65059</v>
      </c>
      <c r="Q2811" s="533" t="s">
        <v>51</v>
      </c>
    </row>
    <row r="2812" spans="1:17" ht="18">
      <c r="A2812" s="512">
        <f t="shared" si="36"/>
        <v>1965</v>
      </c>
      <c r="B2812" s="660" t="s">
        <v>43</v>
      </c>
      <c r="C2812" s="644" t="s">
        <v>44</v>
      </c>
      <c r="D2812" s="644" t="s">
        <v>45</v>
      </c>
      <c r="E2812" s="670" t="s">
        <v>3171</v>
      </c>
      <c r="F2812" s="577" t="s">
        <v>491</v>
      </c>
      <c r="G2812" s="577">
        <v>9857820463</v>
      </c>
      <c r="I2812" s="577">
        <v>57</v>
      </c>
      <c r="J2812" s="577" t="s">
        <v>48</v>
      </c>
      <c r="K2812" s="577" t="s">
        <v>1480</v>
      </c>
      <c r="M2812" s="571" t="s">
        <v>119</v>
      </c>
      <c r="N2812" s="745">
        <v>65044</v>
      </c>
      <c r="O2812" s="572">
        <v>65044</v>
      </c>
      <c r="P2812" s="541">
        <v>65059</v>
      </c>
      <c r="Q2812" s="533" t="s">
        <v>51</v>
      </c>
    </row>
    <row r="2813" spans="1:17" ht="18">
      <c r="A2813" s="512">
        <f t="shared" si="36"/>
        <v>1966</v>
      </c>
      <c r="B2813" s="660" t="s">
        <v>43</v>
      </c>
      <c r="C2813" s="644" t="s">
        <v>44</v>
      </c>
      <c r="D2813" s="644" t="s">
        <v>45</v>
      </c>
      <c r="E2813" s="670" t="s">
        <v>3172</v>
      </c>
      <c r="F2813" s="577" t="s">
        <v>491</v>
      </c>
      <c r="G2813" s="577">
        <v>9857822198</v>
      </c>
      <c r="I2813" s="577">
        <v>60</v>
      </c>
      <c r="J2813" s="577" t="s">
        <v>48</v>
      </c>
      <c r="K2813" s="577" t="s">
        <v>1468</v>
      </c>
      <c r="M2813" s="571" t="s">
        <v>119</v>
      </c>
      <c r="N2813" s="745">
        <v>65044</v>
      </c>
      <c r="O2813" s="572">
        <v>65044</v>
      </c>
      <c r="P2813" s="541">
        <v>65059</v>
      </c>
      <c r="Q2813" s="533" t="s">
        <v>51</v>
      </c>
    </row>
    <row r="2814" spans="1:17" ht="18">
      <c r="A2814" s="512">
        <f t="shared" si="36"/>
        <v>1967</v>
      </c>
      <c r="B2814" s="660" t="s">
        <v>43</v>
      </c>
      <c r="C2814" s="644" t="s">
        <v>44</v>
      </c>
      <c r="D2814" s="644" t="s">
        <v>45</v>
      </c>
      <c r="E2814" s="670" t="s">
        <v>3173</v>
      </c>
      <c r="F2814" s="577" t="s">
        <v>124</v>
      </c>
      <c r="G2814" s="577">
        <v>9847940363</v>
      </c>
      <c r="I2814" s="577">
        <v>35</v>
      </c>
      <c r="J2814" s="577" t="s">
        <v>90</v>
      </c>
      <c r="K2814" s="577" t="s">
        <v>1468</v>
      </c>
      <c r="M2814" s="571" t="s">
        <v>119</v>
      </c>
      <c r="N2814" s="745">
        <v>65044</v>
      </c>
      <c r="O2814" s="572">
        <v>65044</v>
      </c>
      <c r="P2814" s="541">
        <v>65059</v>
      </c>
      <c r="Q2814" s="533" t="s">
        <v>51</v>
      </c>
    </row>
    <row r="2815" spans="1:17" ht="18">
      <c r="A2815" s="512">
        <f t="shared" si="36"/>
        <v>1968</v>
      </c>
      <c r="B2815" s="660" t="s">
        <v>43</v>
      </c>
      <c r="C2815" s="644" t="s">
        <v>44</v>
      </c>
      <c r="D2815" s="644" t="s">
        <v>45</v>
      </c>
      <c r="E2815" s="670" t="s">
        <v>3174</v>
      </c>
      <c r="F2815" s="577" t="s">
        <v>1008</v>
      </c>
      <c r="G2815" s="577">
        <v>9866828887</v>
      </c>
      <c r="I2815" s="577">
        <v>40</v>
      </c>
      <c r="J2815" s="577" t="s">
        <v>90</v>
      </c>
      <c r="K2815" s="577" t="s">
        <v>1468</v>
      </c>
      <c r="M2815" s="571" t="s">
        <v>119</v>
      </c>
      <c r="N2815" s="745">
        <v>65044</v>
      </c>
      <c r="O2815" s="572">
        <v>65044</v>
      </c>
      <c r="P2815" s="541">
        <v>65059</v>
      </c>
      <c r="Q2815" s="533" t="s">
        <v>51</v>
      </c>
    </row>
    <row r="2816" spans="1:17" ht="18">
      <c r="A2816" s="512">
        <f t="shared" si="36"/>
        <v>1969</v>
      </c>
      <c r="B2816" s="660" t="s">
        <v>43</v>
      </c>
      <c r="C2816" s="644" t="s">
        <v>44</v>
      </c>
      <c r="D2816" s="644" t="s">
        <v>45</v>
      </c>
      <c r="E2816" s="670" t="s">
        <v>3175</v>
      </c>
      <c r="F2816" s="577" t="s">
        <v>497</v>
      </c>
      <c r="G2816" s="577">
        <v>9808290436</v>
      </c>
      <c r="I2816" s="577">
        <v>58</v>
      </c>
      <c r="J2816" s="577" t="s">
        <v>48</v>
      </c>
      <c r="K2816" s="577" t="s">
        <v>1480</v>
      </c>
      <c r="M2816" s="571" t="s">
        <v>119</v>
      </c>
      <c r="N2816" s="745">
        <v>65044</v>
      </c>
      <c r="O2816" s="572">
        <v>65044</v>
      </c>
      <c r="P2816" s="541">
        <v>65059</v>
      </c>
      <c r="Q2816" s="533" t="s">
        <v>51</v>
      </c>
    </row>
    <row r="2817" spans="1:17" ht="18">
      <c r="A2817" s="512">
        <f t="shared" si="36"/>
        <v>1970</v>
      </c>
      <c r="B2817" s="658" t="s">
        <v>43</v>
      </c>
      <c r="C2817" s="630" t="s">
        <v>44</v>
      </c>
      <c r="D2817" s="630" t="s">
        <v>45</v>
      </c>
      <c r="E2817" s="630" t="s">
        <v>3176</v>
      </c>
      <c r="F2817" s="597" t="s">
        <v>124</v>
      </c>
      <c r="G2817" s="597">
        <v>9829508247</v>
      </c>
      <c r="H2817" s="422"/>
      <c r="I2817" s="597">
        <v>38</v>
      </c>
      <c r="J2817" s="597" t="s">
        <v>48</v>
      </c>
      <c r="K2817" s="597" t="s">
        <v>1480</v>
      </c>
      <c r="L2817" s="423"/>
      <c r="M2817" s="597" t="s">
        <v>119</v>
      </c>
      <c r="N2817" s="758">
        <v>65044</v>
      </c>
      <c r="O2817" s="632">
        <v>65044</v>
      </c>
      <c r="P2817" s="476">
        <v>65046</v>
      </c>
      <c r="Q2817" s="422" t="s">
        <v>940</v>
      </c>
    </row>
    <row r="2818" spans="1:17" ht="18">
      <c r="A2818" s="512">
        <f t="shared" si="36"/>
        <v>1971</v>
      </c>
      <c r="B2818" s="660" t="s">
        <v>43</v>
      </c>
      <c r="C2818" s="644" t="s">
        <v>44</v>
      </c>
      <c r="D2818" s="644" t="s">
        <v>45</v>
      </c>
      <c r="E2818" s="670" t="s">
        <v>3177</v>
      </c>
      <c r="F2818" s="577" t="s">
        <v>441</v>
      </c>
      <c r="G2818" s="577">
        <v>9844915758</v>
      </c>
      <c r="I2818" s="577">
        <v>40</v>
      </c>
      <c r="J2818" s="577" t="s">
        <v>48</v>
      </c>
      <c r="K2818" s="577" t="s">
        <v>53</v>
      </c>
      <c r="M2818" s="571" t="s">
        <v>119</v>
      </c>
      <c r="N2818" s="745">
        <v>65044</v>
      </c>
      <c r="O2818" s="572">
        <v>65044</v>
      </c>
      <c r="P2818" s="541">
        <v>65059</v>
      </c>
      <c r="Q2818" s="533" t="s">
        <v>51</v>
      </c>
    </row>
    <row r="2819" spans="1:17" ht="18">
      <c r="A2819" s="512">
        <f t="shared" si="36"/>
        <v>1972</v>
      </c>
      <c r="B2819" s="660" t="s">
        <v>43</v>
      </c>
      <c r="C2819" s="644" t="s">
        <v>44</v>
      </c>
      <c r="D2819" s="644" t="s">
        <v>45</v>
      </c>
      <c r="E2819" s="670" t="s">
        <v>3178</v>
      </c>
      <c r="F2819" s="577" t="s">
        <v>497</v>
      </c>
      <c r="G2819" s="577">
        <v>9847941396</v>
      </c>
      <c r="I2819" s="577">
        <v>24</v>
      </c>
      <c r="J2819" s="577" t="s">
        <v>48</v>
      </c>
      <c r="K2819" s="577" t="s">
        <v>53</v>
      </c>
      <c r="M2819" s="571" t="s">
        <v>119</v>
      </c>
      <c r="N2819" s="745">
        <v>65044</v>
      </c>
      <c r="O2819" s="572">
        <v>65044</v>
      </c>
      <c r="P2819" s="541">
        <v>65059</v>
      </c>
      <c r="Q2819" s="533" t="s">
        <v>51</v>
      </c>
    </row>
    <row r="2820" spans="1:17" ht="18">
      <c r="A2820" s="512">
        <f t="shared" si="36"/>
        <v>1973</v>
      </c>
      <c r="B2820" s="660" t="s">
        <v>43</v>
      </c>
      <c r="C2820" s="644" t="s">
        <v>44</v>
      </c>
      <c r="D2820" s="644" t="s">
        <v>45</v>
      </c>
      <c r="E2820" s="670" t="s">
        <v>3179</v>
      </c>
      <c r="F2820" s="577" t="s">
        <v>1008</v>
      </c>
      <c r="G2820" s="577">
        <v>9857820021</v>
      </c>
      <c r="I2820" s="577">
        <v>49</v>
      </c>
      <c r="J2820" s="577" t="s">
        <v>48</v>
      </c>
      <c r="K2820" s="577" t="s">
        <v>1468</v>
      </c>
      <c r="M2820" s="571" t="s">
        <v>119</v>
      </c>
      <c r="N2820" s="745">
        <v>65044</v>
      </c>
      <c r="O2820" s="572">
        <v>65044</v>
      </c>
      <c r="P2820" s="541">
        <v>65059</v>
      </c>
      <c r="Q2820" s="533" t="s">
        <v>51</v>
      </c>
    </row>
    <row r="2821" spans="1:17" ht="18">
      <c r="A2821" s="512">
        <f t="shared" si="36"/>
        <v>1974</v>
      </c>
      <c r="B2821" s="660" t="s">
        <v>43</v>
      </c>
      <c r="C2821" s="644" t="s">
        <v>44</v>
      </c>
      <c r="D2821" s="644" t="s">
        <v>45</v>
      </c>
      <c r="E2821" s="670" t="s">
        <v>2360</v>
      </c>
      <c r="F2821" s="577" t="s">
        <v>598</v>
      </c>
      <c r="G2821" s="577">
        <v>9845895581</v>
      </c>
      <c r="I2821" s="577">
        <v>48</v>
      </c>
      <c r="J2821" s="577" t="s">
        <v>90</v>
      </c>
      <c r="K2821" s="577" t="s">
        <v>1468</v>
      </c>
      <c r="M2821" s="571" t="s">
        <v>119</v>
      </c>
      <c r="N2821" s="745">
        <v>65044</v>
      </c>
      <c r="O2821" s="572">
        <v>65044</v>
      </c>
      <c r="P2821" s="541">
        <v>65059</v>
      </c>
      <c r="Q2821" s="533" t="s">
        <v>51</v>
      </c>
    </row>
    <row r="2822" spans="1:17" ht="18">
      <c r="A2822" s="512">
        <f t="shared" si="36"/>
        <v>1975</v>
      </c>
      <c r="B2822" s="660" t="s">
        <v>43</v>
      </c>
      <c r="C2822" s="644" t="s">
        <v>44</v>
      </c>
      <c r="D2822" s="644" t="s">
        <v>45</v>
      </c>
      <c r="E2822" s="670" t="s">
        <v>3180</v>
      </c>
      <c r="F2822" s="577" t="s">
        <v>510</v>
      </c>
      <c r="G2822" s="577">
        <v>9847947467</v>
      </c>
      <c r="I2822" s="577">
        <v>22</v>
      </c>
      <c r="J2822" s="577" t="s">
        <v>90</v>
      </c>
      <c r="K2822" s="577" t="s">
        <v>1468</v>
      </c>
      <c r="M2822" s="571" t="s">
        <v>119</v>
      </c>
      <c r="N2822" s="745">
        <v>65044</v>
      </c>
      <c r="O2822" s="572">
        <v>65044</v>
      </c>
      <c r="P2822" s="541">
        <v>65059</v>
      </c>
      <c r="Q2822" s="533" t="s">
        <v>51</v>
      </c>
    </row>
    <row r="2823" spans="1:17" ht="18">
      <c r="A2823" s="512">
        <f t="shared" si="36"/>
        <v>1976</v>
      </c>
      <c r="B2823" s="660" t="s">
        <v>43</v>
      </c>
      <c r="C2823" s="644" t="s">
        <v>44</v>
      </c>
      <c r="D2823" s="644" t="s">
        <v>45</v>
      </c>
      <c r="E2823" s="670" t="s">
        <v>3181</v>
      </c>
      <c r="F2823" s="577" t="s">
        <v>491</v>
      </c>
      <c r="G2823" s="577">
        <v>9843782883</v>
      </c>
      <c r="I2823" s="577">
        <v>27</v>
      </c>
      <c r="J2823" s="577" t="s">
        <v>90</v>
      </c>
      <c r="K2823" s="577" t="s">
        <v>1480</v>
      </c>
      <c r="M2823" s="571" t="s">
        <v>119</v>
      </c>
      <c r="N2823" s="745">
        <v>65044</v>
      </c>
      <c r="O2823" s="572">
        <v>65044</v>
      </c>
      <c r="P2823" s="541">
        <v>65059</v>
      </c>
      <c r="Q2823" s="533" t="s">
        <v>51</v>
      </c>
    </row>
    <row r="2824" spans="1:17" ht="18">
      <c r="A2824" s="512">
        <f t="shared" si="36"/>
        <v>1977</v>
      </c>
      <c r="B2824" s="660" t="s">
        <v>43</v>
      </c>
      <c r="C2824" s="644" t="s">
        <v>44</v>
      </c>
      <c r="D2824" s="644" t="s">
        <v>45</v>
      </c>
      <c r="E2824" s="670" t="s">
        <v>3182</v>
      </c>
      <c r="F2824" s="577" t="s">
        <v>1008</v>
      </c>
      <c r="G2824" s="577">
        <v>9806240769</v>
      </c>
      <c r="I2824" s="577">
        <v>39</v>
      </c>
      <c r="J2824" s="577" t="s">
        <v>48</v>
      </c>
      <c r="K2824" s="577" t="s">
        <v>53</v>
      </c>
      <c r="M2824" s="571" t="s">
        <v>119</v>
      </c>
      <c r="N2824" s="745">
        <v>65044</v>
      </c>
      <c r="O2824" s="572">
        <v>65044</v>
      </c>
      <c r="P2824" s="541">
        <v>65059</v>
      </c>
      <c r="Q2824" s="533" t="s">
        <v>51</v>
      </c>
    </row>
    <row r="2825" spans="1:17" ht="18">
      <c r="A2825" s="512">
        <f t="shared" si="36"/>
        <v>1978</v>
      </c>
      <c r="B2825" s="660" t="s">
        <v>43</v>
      </c>
      <c r="C2825" s="644" t="s">
        <v>44</v>
      </c>
      <c r="D2825" s="644" t="s">
        <v>45</v>
      </c>
      <c r="E2825" s="670" t="s">
        <v>3183</v>
      </c>
      <c r="F2825" s="577" t="s">
        <v>730</v>
      </c>
      <c r="G2825" s="577">
        <v>9847832367</v>
      </c>
      <c r="I2825" s="577">
        <v>53</v>
      </c>
      <c r="J2825" s="577" t="s">
        <v>90</v>
      </c>
      <c r="K2825" s="577" t="s">
        <v>53</v>
      </c>
      <c r="M2825" s="571" t="s">
        <v>119</v>
      </c>
      <c r="N2825" s="745">
        <v>65044</v>
      </c>
      <c r="O2825" s="572">
        <v>65044</v>
      </c>
      <c r="P2825" s="541">
        <v>65059</v>
      </c>
      <c r="Q2825" s="533" t="s">
        <v>51</v>
      </c>
    </row>
    <row r="2826" spans="1:17" ht="18">
      <c r="A2826" s="512">
        <f t="shared" si="36"/>
        <v>1979</v>
      </c>
      <c r="B2826" s="660" t="s">
        <v>43</v>
      </c>
      <c r="C2826" s="644" t="s">
        <v>44</v>
      </c>
      <c r="D2826" s="644" t="s">
        <v>45</v>
      </c>
      <c r="E2826" s="670" t="s">
        <v>3184</v>
      </c>
      <c r="F2826" s="577" t="s">
        <v>491</v>
      </c>
      <c r="G2826" s="577">
        <v>9801347929</v>
      </c>
      <c r="I2826" s="577">
        <v>40</v>
      </c>
      <c r="J2826" s="577" t="s">
        <v>48</v>
      </c>
      <c r="K2826" s="577" t="s">
        <v>53</v>
      </c>
      <c r="M2826" s="571" t="s">
        <v>119</v>
      </c>
      <c r="N2826" s="745">
        <v>65044</v>
      </c>
      <c r="O2826" s="572">
        <v>65044</v>
      </c>
      <c r="P2826" s="541">
        <v>65059</v>
      </c>
      <c r="Q2826" s="533" t="s">
        <v>51</v>
      </c>
    </row>
    <row r="2827" spans="1:17" ht="18">
      <c r="A2827" s="512">
        <f t="shared" si="36"/>
        <v>1980</v>
      </c>
      <c r="B2827" s="660" t="s">
        <v>43</v>
      </c>
      <c r="C2827" s="644" t="s">
        <v>44</v>
      </c>
      <c r="D2827" s="644" t="s">
        <v>45</v>
      </c>
      <c r="E2827" s="670" t="s">
        <v>1884</v>
      </c>
      <c r="F2827" s="577" t="s">
        <v>491</v>
      </c>
      <c r="G2827" s="577">
        <v>9809841627</v>
      </c>
      <c r="I2827" s="577">
        <v>27</v>
      </c>
      <c r="J2827" s="577" t="s">
        <v>48</v>
      </c>
      <c r="K2827" s="577" t="s">
        <v>53</v>
      </c>
      <c r="M2827" s="571" t="s">
        <v>119</v>
      </c>
      <c r="N2827" s="745">
        <v>65044</v>
      </c>
      <c r="O2827" s="572">
        <v>65044</v>
      </c>
      <c r="P2827" s="541">
        <v>65059</v>
      </c>
      <c r="Q2827" s="533" t="s">
        <v>51</v>
      </c>
    </row>
    <row r="2828" spans="1:17" ht="18">
      <c r="A2828" s="512">
        <f t="shared" si="36"/>
        <v>1981</v>
      </c>
      <c r="B2828" s="660" t="s">
        <v>43</v>
      </c>
      <c r="C2828" s="644" t="s">
        <v>44</v>
      </c>
      <c r="D2828" s="644" t="s">
        <v>45</v>
      </c>
      <c r="E2828" s="670" t="s">
        <v>3185</v>
      </c>
      <c r="F2828" s="577" t="s">
        <v>497</v>
      </c>
      <c r="G2828" s="577">
        <v>9866870342</v>
      </c>
      <c r="I2828" s="577">
        <v>54</v>
      </c>
      <c r="J2828" s="577" t="s">
        <v>48</v>
      </c>
      <c r="K2828" s="577" t="s">
        <v>1468</v>
      </c>
      <c r="M2828" s="571" t="s">
        <v>119</v>
      </c>
      <c r="N2828" s="745">
        <v>65044</v>
      </c>
      <c r="O2828" s="572">
        <v>65044</v>
      </c>
      <c r="P2828" s="541">
        <v>65059</v>
      </c>
      <c r="Q2828" s="533" t="s">
        <v>51</v>
      </c>
    </row>
    <row r="2829" spans="1:17" ht="18">
      <c r="A2829" s="512">
        <f t="shared" si="36"/>
        <v>1982</v>
      </c>
      <c r="B2829" s="660" t="s">
        <v>43</v>
      </c>
      <c r="C2829" s="644" t="s">
        <v>44</v>
      </c>
      <c r="D2829" s="644" t="s">
        <v>45</v>
      </c>
      <c r="E2829" s="670" t="s">
        <v>3186</v>
      </c>
      <c r="F2829" s="577" t="s">
        <v>529</v>
      </c>
      <c r="G2829" s="577">
        <v>9865229209</v>
      </c>
      <c r="I2829" s="577">
        <v>34</v>
      </c>
      <c r="J2829" s="577" t="s">
        <v>48</v>
      </c>
      <c r="K2829" s="577" t="s">
        <v>1468</v>
      </c>
      <c r="M2829" s="571" t="s">
        <v>119</v>
      </c>
      <c r="N2829" s="745">
        <v>65044</v>
      </c>
      <c r="O2829" s="572">
        <v>65044</v>
      </c>
      <c r="P2829" s="541">
        <v>65059</v>
      </c>
      <c r="Q2829" s="533" t="s">
        <v>51</v>
      </c>
    </row>
    <row r="2830" spans="1:17" ht="18">
      <c r="A2830" s="512">
        <f t="shared" si="36"/>
        <v>1983</v>
      </c>
      <c r="B2830" s="660" t="s">
        <v>43</v>
      </c>
      <c r="C2830" s="644" t="s">
        <v>44</v>
      </c>
      <c r="D2830" s="644" t="s">
        <v>45</v>
      </c>
      <c r="E2830" s="670" t="s">
        <v>3187</v>
      </c>
      <c r="F2830" s="577" t="s">
        <v>491</v>
      </c>
      <c r="G2830" s="577">
        <v>9841386100</v>
      </c>
      <c r="I2830" s="577">
        <v>78</v>
      </c>
      <c r="J2830" s="577" t="s">
        <v>48</v>
      </c>
      <c r="K2830" s="577" t="s">
        <v>1480</v>
      </c>
      <c r="M2830" s="571" t="s">
        <v>119</v>
      </c>
      <c r="N2830" s="745">
        <v>65044</v>
      </c>
      <c r="O2830" s="572">
        <v>65044</v>
      </c>
      <c r="P2830" s="541">
        <v>65059</v>
      </c>
      <c r="Q2830" s="533" t="s">
        <v>51</v>
      </c>
    </row>
    <row r="2831" spans="1:17" ht="18">
      <c r="A2831" s="512">
        <f t="shared" si="36"/>
        <v>1984</v>
      </c>
      <c r="B2831" s="660" t="s">
        <v>43</v>
      </c>
      <c r="C2831" s="644" t="s">
        <v>44</v>
      </c>
      <c r="D2831" s="644" t="s">
        <v>45</v>
      </c>
      <c r="E2831" s="670" t="s">
        <v>3188</v>
      </c>
      <c r="F2831" s="577" t="s">
        <v>497</v>
      </c>
      <c r="G2831" s="577">
        <v>9857820975</v>
      </c>
      <c r="I2831" s="577">
        <v>38</v>
      </c>
      <c r="J2831" s="577" t="s">
        <v>48</v>
      </c>
      <c r="K2831" s="577" t="s">
        <v>1480</v>
      </c>
      <c r="M2831" s="571" t="s">
        <v>119</v>
      </c>
      <c r="N2831" s="745">
        <v>65044</v>
      </c>
      <c r="O2831" s="572">
        <v>65044</v>
      </c>
      <c r="P2831" s="541">
        <v>65059</v>
      </c>
      <c r="Q2831" s="533" t="s">
        <v>51</v>
      </c>
    </row>
    <row r="2832" spans="1:17" ht="18">
      <c r="A2832" s="512">
        <f t="shared" si="36"/>
        <v>1985</v>
      </c>
      <c r="B2832" s="660" t="s">
        <v>43</v>
      </c>
      <c r="C2832" s="644" t="s">
        <v>44</v>
      </c>
      <c r="D2832" s="644" t="s">
        <v>45</v>
      </c>
      <c r="E2832" s="670" t="s">
        <v>3189</v>
      </c>
      <c r="F2832" s="577" t="s">
        <v>491</v>
      </c>
      <c r="G2832" s="577">
        <v>9847951058</v>
      </c>
      <c r="I2832" s="577">
        <v>34</v>
      </c>
      <c r="J2832" s="577" t="s">
        <v>90</v>
      </c>
      <c r="K2832" s="577" t="s">
        <v>53</v>
      </c>
      <c r="M2832" s="571" t="s">
        <v>119</v>
      </c>
      <c r="N2832" s="745">
        <v>65044</v>
      </c>
      <c r="O2832" s="572">
        <v>65044</v>
      </c>
      <c r="P2832" s="541">
        <v>65059</v>
      </c>
      <c r="Q2832" s="533" t="s">
        <v>51</v>
      </c>
    </row>
    <row r="2833" spans="1:17" ht="18">
      <c r="A2833" s="512">
        <f t="shared" si="36"/>
        <v>1986</v>
      </c>
      <c r="B2833" s="660" t="s">
        <v>43</v>
      </c>
      <c r="C2833" s="644" t="s">
        <v>44</v>
      </c>
      <c r="D2833" s="644" t="s">
        <v>45</v>
      </c>
      <c r="E2833" s="670" t="s">
        <v>3190</v>
      </c>
      <c r="F2833" s="577" t="s">
        <v>1046</v>
      </c>
      <c r="G2833" s="577">
        <v>9858045145</v>
      </c>
      <c r="I2833" s="577">
        <v>61</v>
      </c>
      <c r="J2833" s="577" t="s">
        <v>48</v>
      </c>
      <c r="K2833" s="577" t="s">
        <v>1480</v>
      </c>
      <c r="M2833" s="571" t="s">
        <v>119</v>
      </c>
      <c r="N2833" s="745">
        <v>65044</v>
      </c>
      <c r="O2833" s="572">
        <v>65044</v>
      </c>
      <c r="P2833" s="541">
        <v>65059</v>
      </c>
      <c r="Q2833" s="533" t="s">
        <v>51</v>
      </c>
    </row>
    <row r="2834" spans="1:17" ht="18">
      <c r="A2834" s="512">
        <f t="shared" ref="A2834:A2897" si="37">A2833+1</f>
        <v>1987</v>
      </c>
      <c r="B2834" s="660" t="s">
        <v>43</v>
      </c>
      <c r="C2834" s="644" t="s">
        <v>44</v>
      </c>
      <c r="D2834" s="644" t="s">
        <v>45</v>
      </c>
      <c r="E2834" s="670" t="s">
        <v>3191</v>
      </c>
      <c r="F2834" s="577" t="s">
        <v>491</v>
      </c>
      <c r="G2834" s="577">
        <v>9847820986</v>
      </c>
      <c r="I2834" s="577">
        <v>40</v>
      </c>
      <c r="J2834" s="577" t="s">
        <v>48</v>
      </c>
      <c r="K2834" s="577" t="s">
        <v>1480</v>
      </c>
      <c r="M2834" s="571" t="s">
        <v>119</v>
      </c>
      <c r="N2834" s="745">
        <v>65044</v>
      </c>
      <c r="O2834" s="572">
        <v>65044</v>
      </c>
      <c r="P2834" s="541">
        <v>65059</v>
      </c>
      <c r="Q2834" s="533" t="s">
        <v>51</v>
      </c>
    </row>
    <row r="2835" spans="1:17" ht="18">
      <c r="A2835" s="512">
        <f t="shared" si="37"/>
        <v>1988</v>
      </c>
      <c r="B2835" s="660" t="s">
        <v>43</v>
      </c>
      <c r="C2835" s="644" t="s">
        <v>44</v>
      </c>
      <c r="D2835" s="644" t="s">
        <v>45</v>
      </c>
      <c r="E2835" s="670" t="s">
        <v>3192</v>
      </c>
      <c r="F2835" s="577" t="s">
        <v>502</v>
      </c>
      <c r="G2835" s="577">
        <v>9812822665</v>
      </c>
      <c r="I2835" s="577">
        <v>60</v>
      </c>
      <c r="J2835" s="577" t="s">
        <v>90</v>
      </c>
      <c r="K2835" s="577" t="s">
        <v>1480</v>
      </c>
      <c r="M2835" s="571" t="s">
        <v>119</v>
      </c>
      <c r="N2835" s="745">
        <v>65044</v>
      </c>
      <c r="O2835" s="572">
        <v>65044</v>
      </c>
      <c r="P2835" s="541">
        <v>65059</v>
      </c>
      <c r="Q2835" s="533" t="s">
        <v>51</v>
      </c>
    </row>
    <row r="2836" spans="1:17" ht="18">
      <c r="A2836" s="512">
        <f t="shared" si="37"/>
        <v>1989</v>
      </c>
      <c r="B2836" s="660" t="s">
        <v>43</v>
      </c>
      <c r="C2836" s="644" t="s">
        <v>44</v>
      </c>
      <c r="D2836" s="644" t="s">
        <v>45</v>
      </c>
      <c r="E2836" s="670" t="s">
        <v>3193</v>
      </c>
      <c r="F2836" s="577" t="s">
        <v>488</v>
      </c>
      <c r="G2836" s="577">
        <v>9863339209</v>
      </c>
      <c r="I2836" s="577">
        <v>34</v>
      </c>
      <c r="J2836" s="577" t="s">
        <v>48</v>
      </c>
      <c r="K2836" s="577" t="s">
        <v>1480</v>
      </c>
      <c r="M2836" s="571" t="s">
        <v>119</v>
      </c>
      <c r="N2836" s="745">
        <v>65044</v>
      </c>
      <c r="O2836" s="572">
        <v>65044</v>
      </c>
      <c r="P2836" s="541">
        <v>65059</v>
      </c>
      <c r="Q2836" s="533" t="s">
        <v>51</v>
      </c>
    </row>
    <row r="2837" spans="1:17" ht="18">
      <c r="A2837" s="512">
        <f t="shared" si="37"/>
        <v>1990</v>
      </c>
      <c r="B2837" s="660" t="s">
        <v>43</v>
      </c>
      <c r="C2837" s="644" t="s">
        <v>44</v>
      </c>
      <c r="D2837" s="644" t="s">
        <v>45</v>
      </c>
      <c r="E2837" s="670" t="s">
        <v>3194</v>
      </c>
      <c r="F2837" s="577" t="s">
        <v>730</v>
      </c>
      <c r="G2837" s="577">
        <v>9809822763</v>
      </c>
      <c r="I2837" s="577">
        <v>37</v>
      </c>
      <c r="J2837" s="577" t="s">
        <v>90</v>
      </c>
      <c r="K2837" s="577" t="s">
        <v>53</v>
      </c>
      <c r="M2837" s="571" t="s">
        <v>119</v>
      </c>
      <c r="N2837" s="745">
        <v>65044</v>
      </c>
      <c r="O2837" s="572">
        <v>65044</v>
      </c>
      <c r="P2837" s="541">
        <v>65059</v>
      </c>
      <c r="Q2837" s="533" t="s">
        <v>51</v>
      </c>
    </row>
    <row r="2838" spans="1:17" ht="18">
      <c r="A2838" s="512">
        <f t="shared" si="37"/>
        <v>1991</v>
      </c>
      <c r="B2838" s="660" t="s">
        <v>43</v>
      </c>
      <c r="C2838" s="644" t="s">
        <v>44</v>
      </c>
      <c r="D2838" s="644" t="s">
        <v>45</v>
      </c>
      <c r="E2838" s="670" t="s">
        <v>3195</v>
      </c>
      <c r="F2838" s="577" t="s">
        <v>502</v>
      </c>
      <c r="G2838" s="577">
        <v>9810964706</v>
      </c>
      <c r="I2838" s="577">
        <v>21</v>
      </c>
      <c r="J2838" s="577" t="s">
        <v>90</v>
      </c>
      <c r="K2838" s="577" t="s">
        <v>1480</v>
      </c>
      <c r="M2838" s="571" t="s">
        <v>119</v>
      </c>
      <c r="N2838" s="745">
        <v>65044</v>
      </c>
      <c r="O2838" s="572">
        <v>65044</v>
      </c>
      <c r="P2838" s="541">
        <v>65059</v>
      </c>
      <c r="Q2838" s="533" t="s">
        <v>51</v>
      </c>
    </row>
    <row r="2839" spans="1:17" ht="18">
      <c r="A2839" s="512">
        <f t="shared" si="37"/>
        <v>1992</v>
      </c>
      <c r="B2839" s="660" t="s">
        <v>43</v>
      </c>
      <c r="C2839" s="644" t="s">
        <v>44</v>
      </c>
      <c r="D2839" s="644" t="s">
        <v>45</v>
      </c>
      <c r="E2839" s="670" t="s">
        <v>1383</v>
      </c>
      <c r="F2839" s="577" t="s">
        <v>510</v>
      </c>
      <c r="G2839" s="577">
        <v>9857830494</v>
      </c>
      <c r="I2839" s="577">
        <v>65</v>
      </c>
      <c r="J2839" s="577" t="s">
        <v>90</v>
      </c>
      <c r="K2839" s="577" t="s">
        <v>53</v>
      </c>
      <c r="M2839" s="571" t="s">
        <v>119</v>
      </c>
      <c r="N2839" s="745">
        <v>65044</v>
      </c>
      <c r="O2839" s="572">
        <v>65044</v>
      </c>
      <c r="P2839" s="541">
        <v>65059</v>
      </c>
      <c r="Q2839" s="533" t="s">
        <v>51</v>
      </c>
    </row>
    <row r="2840" spans="1:17" ht="18">
      <c r="A2840" s="512">
        <f t="shared" si="37"/>
        <v>1993</v>
      </c>
      <c r="B2840" s="660" t="s">
        <v>43</v>
      </c>
      <c r="C2840" s="644" t="s">
        <v>44</v>
      </c>
      <c r="D2840" s="644" t="s">
        <v>45</v>
      </c>
      <c r="E2840" s="670" t="s">
        <v>3196</v>
      </c>
      <c r="F2840" s="577" t="s">
        <v>491</v>
      </c>
      <c r="G2840" s="577">
        <v>9822553429</v>
      </c>
      <c r="I2840" s="577">
        <v>50</v>
      </c>
      <c r="J2840" s="577" t="s">
        <v>48</v>
      </c>
      <c r="K2840" s="577" t="s">
        <v>1468</v>
      </c>
      <c r="M2840" s="571" t="s">
        <v>119</v>
      </c>
      <c r="N2840" s="745">
        <v>65044</v>
      </c>
      <c r="O2840" s="572">
        <v>65044</v>
      </c>
      <c r="P2840" s="541">
        <v>65059</v>
      </c>
      <c r="Q2840" s="533" t="s">
        <v>51</v>
      </c>
    </row>
    <row r="2841" spans="1:17" ht="18">
      <c r="A2841" s="512">
        <f t="shared" si="37"/>
        <v>1994</v>
      </c>
      <c r="B2841" s="660" t="s">
        <v>43</v>
      </c>
      <c r="C2841" s="644" t="s">
        <v>44</v>
      </c>
      <c r="D2841" s="644" t="s">
        <v>45</v>
      </c>
      <c r="E2841" s="670" t="s">
        <v>3197</v>
      </c>
      <c r="F2841" s="577" t="s">
        <v>529</v>
      </c>
      <c r="G2841" s="577">
        <v>9847833905</v>
      </c>
      <c r="I2841" s="577">
        <v>33</v>
      </c>
      <c r="J2841" s="577" t="s">
        <v>90</v>
      </c>
      <c r="K2841" s="577" t="s">
        <v>1468</v>
      </c>
      <c r="M2841" s="571" t="s">
        <v>119</v>
      </c>
      <c r="N2841" s="745">
        <v>65044</v>
      </c>
      <c r="O2841" s="572">
        <v>65044</v>
      </c>
      <c r="P2841" s="541">
        <v>65059</v>
      </c>
      <c r="Q2841" s="533" t="s">
        <v>51</v>
      </c>
    </row>
    <row r="2842" spans="1:17" ht="18">
      <c r="A2842" s="512">
        <f t="shared" si="37"/>
        <v>1995</v>
      </c>
      <c r="B2842" s="660" t="s">
        <v>43</v>
      </c>
      <c r="C2842" s="644" t="s">
        <v>44</v>
      </c>
      <c r="D2842" s="644" t="s">
        <v>45</v>
      </c>
      <c r="E2842" s="670" t="s">
        <v>3198</v>
      </c>
      <c r="F2842" s="577" t="s">
        <v>512</v>
      </c>
      <c r="G2842" s="577">
        <v>9809885281</v>
      </c>
      <c r="I2842" s="577">
        <v>50</v>
      </c>
      <c r="J2842" s="577" t="s">
        <v>48</v>
      </c>
      <c r="K2842" s="577" t="s">
        <v>1480</v>
      </c>
      <c r="M2842" s="571" t="s">
        <v>119</v>
      </c>
      <c r="N2842" s="745">
        <v>65044</v>
      </c>
      <c r="O2842" s="572">
        <v>65044</v>
      </c>
      <c r="P2842" s="541">
        <v>65059</v>
      </c>
      <c r="Q2842" s="533" t="s">
        <v>51</v>
      </c>
    </row>
    <row r="2843" spans="1:17" ht="18">
      <c r="A2843" s="512">
        <f t="shared" si="37"/>
        <v>1996</v>
      </c>
      <c r="B2843" s="658" t="s">
        <v>43</v>
      </c>
      <c r="C2843" s="630" t="s">
        <v>44</v>
      </c>
      <c r="D2843" s="630" t="s">
        <v>45</v>
      </c>
      <c r="E2843" s="630" t="s">
        <v>3199</v>
      </c>
      <c r="F2843" s="597" t="s">
        <v>124</v>
      </c>
      <c r="G2843" s="597">
        <v>9857820623</v>
      </c>
      <c r="H2843" s="422"/>
      <c r="I2843" s="597">
        <v>37</v>
      </c>
      <c r="J2843" s="597" t="s">
        <v>48</v>
      </c>
      <c r="K2843" s="597" t="s">
        <v>1468</v>
      </c>
      <c r="L2843" s="423"/>
      <c r="M2843" s="597" t="s">
        <v>119</v>
      </c>
      <c r="N2843" s="758">
        <v>65044</v>
      </c>
      <c r="O2843" s="632">
        <v>65044</v>
      </c>
      <c r="P2843" s="476">
        <v>65046</v>
      </c>
      <c r="Q2843" s="422" t="s">
        <v>940</v>
      </c>
    </row>
    <row r="2844" spans="1:17" ht="18">
      <c r="A2844" s="512">
        <f t="shared" si="37"/>
        <v>1997</v>
      </c>
      <c r="B2844" s="658" t="s">
        <v>43</v>
      </c>
      <c r="C2844" s="630" t="s">
        <v>44</v>
      </c>
      <c r="D2844" s="630" t="s">
        <v>45</v>
      </c>
      <c r="E2844" s="630" t="s">
        <v>3292</v>
      </c>
      <c r="F2844" s="597" t="s">
        <v>1046</v>
      </c>
      <c r="G2844" s="423"/>
      <c r="H2844" s="422"/>
      <c r="I2844" s="423">
        <v>62</v>
      </c>
      <c r="J2844" s="597" t="s">
        <v>48</v>
      </c>
      <c r="K2844" s="423"/>
      <c r="L2844" s="423"/>
      <c r="M2844" s="597" t="s">
        <v>3293</v>
      </c>
      <c r="N2844" s="726">
        <v>65044</v>
      </c>
      <c r="O2844" s="476">
        <v>65044</v>
      </c>
      <c r="P2844" s="476">
        <v>65045</v>
      </c>
      <c r="Q2844" s="422" t="s">
        <v>940</v>
      </c>
    </row>
    <row r="2845" spans="1:17" ht="18">
      <c r="A2845" s="512">
        <f t="shared" si="37"/>
        <v>1998</v>
      </c>
      <c r="B2845" s="660" t="s">
        <v>43</v>
      </c>
      <c r="C2845" s="644" t="s">
        <v>44</v>
      </c>
      <c r="D2845" s="644" t="s">
        <v>45</v>
      </c>
      <c r="E2845" s="670" t="s">
        <v>3200</v>
      </c>
      <c r="F2845" s="577" t="s">
        <v>491</v>
      </c>
      <c r="G2845" s="577"/>
      <c r="I2845" s="577">
        <v>55</v>
      </c>
      <c r="J2845" s="577" t="s">
        <v>48</v>
      </c>
      <c r="K2845" s="577" t="s">
        <v>1468</v>
      </c>
      <c r="M2845" s="571" t="s">
        <v>119</v>
      </c>
      <c r="N2845" s="745">
        <v>65044</v>
      </c>
      <c r="O2845" s="572">
        <v>65044</v>
      </c>
      <c r="P2845" s="541">
        <v>65059</v>
      </c>
      <c r="Q2845" s="533" t="s">
        <v>51</v>
      </c>
    </row>
    <row r="2846" spans="1:17" ht="18">
      <c r="A2846" s="512">
        <f t="shared" si="37"/>
        <v>1999</v>
      </c>
      <c r="B2846" s="660" t="s">
        <v>43</v>
      </c>
      <c r="C2846" s="644" t="s">
        <v>44</v>
      </c>
      <c r="D2846" s="644" t="s">
        <v>45</v>
      </c>
      <c r="E2846" s="670" t="s">
        <v>1618</v>
      </c>
      <c r="F2846" s="577" t="s">
        <v>529</v>
      </c>
      <c r="G2846" s="577">
        <v>9866977628</v>
      </c>
      <c r="I2846" s="577">
        <v>58</v>
      </c>
      <c r="J2846" s="577" t="s">
        <v>48</v>
      </c>
      <c r="K2846" s="577" t="s">
        <v>1468</v>
      </c>
      <c r="M2846" s="571" t="s">
        <v>119</v>
      </c>
      <c r="N2846" s="745">
        <v>65044</v>
      </c>
      <c r="O2846" s="572">
        <v>65044</v>
      </c>
      <c r="P2846" s="541">
        <v>65059</v>
      </c>
      <c r="Q2846" s="533" t="s">
        <v>51</v>
      </c>
    </row>
    <row r="2847" spans="1:17" ht="18">
      <c r="A2847" s="512">
        <f t="shared" si="37"/>
        <v>2000</v>
      </c>
      <c r="B2847" s="660" t="s">
        <v>43</v>
      </c>
      <c r="C2847" s="644" t="s">
        <v>44</v>
      </c>
      <c r="D2847" s="644" t="s">
        <v>45</v>
      </c>
      <c r="E2847" s="670" t="s">
        <v>3201</v>
      </c>
      <c r="F2847" s="577" t="s">
        <v>502</v>
      </c>
      <c r="G2847" s="577">
        <v>9847845398</v>
      </c>
      <c r="I2847" s="577">
        <v>33</v>
      </c>
      <c r="J2847" s="577" t="s">
        <v>90</v>
      </c>
      <c r="K2847" s="577" t="s">
        <v>1480</v>
      </c>
      <c r="M2847" s="571" t="s">
        <v>119</v>
      </c>
      <c r="N2847" s="745">
        <v>65044</v>
      </c>
      <c r="O2847" s="572">
        <v>65044</v>
      </c>
      <c r="P2847" s="541">
        <v>65059</v>
      </c>
      <c r="Q2847" s="533" t="s">
        <v>51</v>
      </c>
    </row>
    <row r="2848" spans="1:17" ht="18">
      <c r="A2848" s="512">
        <f t="shared" si="37"/>
        <v>2001</v>
      </c>
      <c r="B2848" s="660" t="s">
        <v>43</v>
      </c>
      <c r="C2848" s="644" t="s">
        <v>44</v>
      </c>
      <c r="D2848" s="644" t="s">
        <v>45</v>
      </c>
      <c r="E2848" s="670" t="s">
        <v>3202</v>
      </c>
      <c r="F2848" s="577" t="s">
        <v>529</v>
      </c>
      <c r="G2848" s="577">
        <v>9857890107</v>
      </c>
      <c r="I2848" s="577">
        <v>32</v>
      </c>
      <c r="J2848" s="577" t="s">
        <v>48</v>
      </c>
      <c r="K2848" s="577" t="s">
        <v>3289</v>
      </c>
      <c r="M2848" s="571" t="s">
        <v>119</v>
      </c>
      <c r="N2848" s="745">
        <v>65044</v>
      </c>
      <c r="O2848" s="572">
        <v>65044</v>
      </c>
      <c r="P2848" s="541">
        <v>65059</v>
      </c>
      <c r="Q2848" s="533" t="s">
        <v>51</v>
      </c>
    </row>
    <row r="2849" spans="1:17" ht="18">
      <c r="A2849" s="512">
        <f t="shared" si="37"/>
        <v>2002</v>
      </c>
      <c r="B2849" s="660" t="s">
        <v>43</v>
      </c>
      <c r="C2849" s="644" t="s">
        <v>44</v>
      </c>
      <c r="D2849" s="644" t="s">
        <v>45</v>
      </c>
      <c r="E2849" s="670" t="s">
        <v>3203</v>
      </c>
      <c r="F2849" s="577" t="s">
        <v>730</v>
      </c>
      <c r="G2849" s="577">
        <v>9844977680</v>
      </c>
      <c r="I2849" s="577">
        <v>48</v>
      </c>
      <c r="J2849" s="577" t="s">
        <v>48</v>
      </c>
      <c r="K2849" s="577" t="s">
        <v>53</v>
      </c>
      <c r="M2849" s="571" t="s">
        <v>119</v>
      </c>
      <c r="N2849" s="745">
        <v>65044</v>
      </c>
      <c r="O2849" s="572">
        <v>65044</v>
      </c>
      <c r="P2849" s="541">
        <v>65059</v>
      </c>
      <c r="Q2849" s="533" t="s">
        <v>51</v>
      </c>
    </row>
    <row r="2850" spans="1:17" ht="18">
      <c r="A2850" s="512">
        <f t="shared" si="37"/>
        <v>2003</v>
      </c>
      <c r="B2850" s="660" t="s">
        <v>43</v>
      </c>
      <c r="C2850" s="644" t="s">
        <v>44</v>
      </c>
      <c r="D2850" s="644" t="s">
        <v>45</v>
      </c>
      <c r="E2850" s="670" t="s">
        <v>3204</v>
      </c>
      <c r="F2850" s="577" t="s">
        <v>491</v>
      </c>
      <c r="G2850" s="577">
        <v>9809850899</v>
      </c>
      <c r="I2850" s="577">
        <v>23</v>
      </c>
      <c r="J2850" s="577" t="s">
        <v>48</v>
      </c>
      <c r="K2850" s="577" t="s">
        <v>53</v>
      </c>
      <c r="M2850" s="571" t="s">
        <v>119</v>
      </c>
      <c r="N2850" s="745">
        <v>65044</v>
      </c>
      <c r="O2850" s="572">
        <v>65044</v>
      </c>
      <c r="P2850" s="541">
        <v>65059</v>
      </c>
      <c r="Q2850" s="533" t="s">
        <v>51</v>
      </c>
    </row>
    <row r="2851" spans="1:17" ht="18">
      <c r="A2851" s="512">
        <f t="shared" si="37"/>
        <v>2004</v>
      </c>
      <c r="B2851" s="660" t="s">
        <v>43</v>
      </c>
      <c r="C2851" s="644" t="s">
        <v>44</v>
      </c>
      <c r="D2851" s="644" t="s">
        <v>45</v>
      </c>
      <c r="E2851" s="670" t="s">
        <v>3205</v>
      </c>
      <c r="F2851" s="577" t="s">
        <v>441</v>
      </c>
      <c r="G2851" s="577">
        <v>9847909068</v>
      </c>
      <c r="I2851" s="577">
        <v>32</v>
      </c>
      <c r="J2851" s="577" t="s">
        <v>90</v>
      </c>
      <c r="K2851" s="577" t="s">
        <v>53</v>
      </c>
      <c r="M2851" s="571" t="s">
        <v>119</v>
      </c>
      <c r="N2851" s="745">
        <v>65044</v>
      </c>
      <c r="O2851" s="572">
        <v>65044</v>
      </c>
      <c r="P2851" s="541">
        <v>65059</v>
      </c>
      <c r="Q2851" s="533" t="s">
        <v>51</v>
      </c>
    </row>
    <row r="2852" spans="1:17" ht="18">
      <c r="A2852" s="512">
        <f t="shared" si="37"/>
        <v>2005</v>
      </c>
      <c r="B2852" s="660" t="s">
        <v>43</v>
      </c>
      <c r="C2852" s="644" t="s">
        <v>44</v>
      </c>
      <c r="D2852" s="644" t="s">
        <v>45</v>
      </c>
      <c r="E2852" s="670" t="s">
        <v>3206</v>
      </c>
      <c r="F2852" s="577" t="s">
        <v>636</v>
      </c>
      <c r="G2852" s="577">
        <v>9860280401</v>
      </c>
      <c r="I2852" s="577">
        <v>41</v>
      </c>
      <c r="J2852" s="577" t="s">
        <v>48</v>
      </c>
      <c r="K2852" s="577" t="s">
        <v>53</v>
      </c>
      <c r="M2852" s="571" t="s">
        <v>119</v>
      </c>
      <c r="N2852" s="745">
        <v>65044</v>
      </c>
      <c r="O2852" s="572">
        <v>65044</v>
      </c>
      <c r="P2852" s="541">
        <v>65059</v>
      </c>
      <c r="Q2852" s="533" t="s">
        <v>51</v>
      </c>
    </row>
    <row r="2853" spans="1:17" ht="18">
      <c r="A2853" s="512">
        <f t="shared" si="37"/>
        <v>2006</v>
      </c>
      <c r="B2853" s="660" t="s">
        <v>43</v>
      </c>
      <c r="C2853" s="644" t="s">
        <v>44</v>
      </c>
      <c r="D2853" s="644" t="s">
        <v>45</v>
      </c>
      <c r="E2853" s="670" t="s">
        <v>3207</v>
      </c>
      <c r="F2853" s="577" t="s">
        <v>491</v>
      </c>
      <c r="G2853" s="577"/>
      <c r="I2853" s="577">
        <v>62</v>
      </c>
      <c r="J2853" s="577" t="s">
        <v>48</v>
      </c>
      <c r="K2853" s="577" t="s">
        <v>1468</v>
      </c>
      <c r="M2853" s="571" t="s">
        <v>119</v>
      </c>
      <c r="N2853" s="745">
        <v>65044</v>
      </c>
      <c r="O2853" s="572">
        <v>65044</v>
      </c>
      <c r="P2853" s="541">
        <v>65059</v>
      </c>
      <c r="Q2853" s="533" t="s">
        <v>51</v>
      </c>
    </row>
    <row r="2854" spans="1:17" ht="18">
      <c r="A2854" s="512">
        <f t="shared" si="37"/>
        <v>2007</v>
      </c>
      <c r="B2854" s="660" t="s">
        <v>43</v>
      </c>
      <c r="C2854" s="644" t="s">
        <v>44</v>
      </c>
      <c r="D2854" s="644" t="s">
        <v>45</v>
      </c>
      <c r="E2854" s="670" t="s">
        <v>3208</v>
      </c>
      <c r="F2854" s="577" t="s">
        <v>529</v>
      </c>
      <c r="G2854" s="577">
        <v>9842783718</v>
      </c>
      <c r="I2854" s="577">
        <v>40</v>
      </c>
      <c r="J2854" s="577" t="s">
        <v>48</v>
      </c>
      <c r="K2854" s="577" t="s">
        <v>1480</v>
      </c>
      <c r="M2854" s="571" t="s">
        <v>119</v>
      </c>
      <c r="N2854" s="745">
        <v>65044</v>
      </c>
      <c r="O2854" s="572">
        <v>65044</v>
      </c>
      <c r="P2854" s="541">
        <v>65059</v>
      </c>
      <c r="Q2854" s="533" t="s">
        <v>51</v>
      </c>
    </row>
    <row r="2855" spans="1:17" ht="18">
      <c r="A2855" s="512">
        <f t="shared" si="37"/>
        <v>2008</v>
      </c>
      <c r="B2855" s="660" t="s">
        <v>43</v>
      </c>
      <c r="C2855" s="644" t="s">
        <v>44</v>
      </c>
      <c r="D2855" s="644" t="s">
        <v>45</v>
      </c>
      <c r="E2855" s="670" t="s">
        <v>3209</v>
      </c>
      <c r="F2855" s="577" t="s">
        <v>497</v>
      </c>
      <c r="G2855" s="577">
        <v>9843473589</v>
      </c>
      <c r="I2855" s="577">
        <v>70</v>
      </c>
      <c r="J2855" s="577" t="s">
        <v>90</v>
      </c>
      <c r="K2855" s="577" t="s">
        <v>1468</v>
      </c>
      <c r="M2855" s="571" t="s">
        <v>119</v>
      </c>
      <c r="N2855" s="745">
        <v>65044</v>
      </c>
      <c r="O2855" s="572">
        <v>65044</v>
      </c>
      <c r="P2855" s="541">
        <v>65059</v>
      </c>
      <c r="Q2855" s="533" t="s">
        <v>51</v>
      </c>
    </row>
    <row r="2856" spans="1:17" ht="18">
      <c r="A2856" s="512">
        <f t="shared" si="37"/>
        <v>2009</v>
      </c>
      <c r="B2856" s="660" t="s">
        <v>43</v>
      </c>
      <c r="C2856" s="644" t="s">
        <v>44</v>
      </c>
      <c r="D2856" s="644" t="s">
        <v>45</v>
      </c>
      <c r="E2856" s="670" t="s">
        <v>3210</v>
      </c>
      <c r="F2856" s="577" t="s">
        <v>491</v>
      </c>
      <c r="G2856" s="577">
        <v>9847855602</v>
      </c>
      <c r="I2856" s="577">
        <v>43</v>
      </c>
      <c r="J2856" s="577" t="s">
        <v>90</v>
      </c>
      <c r="K2856" s="577" t="s">
        <v>1480</v>
      </c>
      <c r="M2856" s="571" t="s">
        <v>119</v>
      </c>
      <c r="N2856" s="745">
        <v>65044</v>
      </c>
      <c r="O2856" s="572">
        <v>65044</v>
      </c>
      <c r="P2856" s="541">
        <v>65059</v>
      </c>
      <c r="Q2856" s="533" t="s">
        <v>51</v>
      </c>
    </row>
    <row r="2857" spans="1:17" ht="18">
      <c r="A2857" s="512">
        <f t="shared" si="37"/>
        <v>2010</v>
      </c>
      <c r="B2857" s="660" t="s">
        <v>43</v>
      </c>
      <c r="C2857" s="644" t="s">
        <v>44</v>
      </c>
      <c r="D2857" s="644" t="s">
        <v>45</v>
      </c>
      <c r="E2857" s="670" t="s">
        <v>3211</v>
      </c>
      <c r="F2857" s="577" t="s">
        <v>557</v>
      </c>
      <c r="G2857" s="577">
        <v>9844934465</v>
      </c>
      <c r="I2857" s="577">
        <v>62</v>
      </c>
      <c r="J2857" s="577" t="s">
        <v>48</v>
      </c>
      <c r="K2857" s="577" t="s">
        <v>1468</v>
      </c>
      <c r="M2857" s="571" t="s">
        <v>119</v>
      </c>
      <c r="N2857" s="745">
        <v>65044</v>
      </c>
      <c r="O2857" s="572">
        <v>65044</v>
      </c>
      <c r="P2857" s="541">
        <v>65059</v>
      </c>
      <c r="Q2857" s="533" t="s">
        <v>51</v>
      </c>
    </row>
    <row r="2858" spans="1:17" ht="18">
      <c r="A2858" s="512">
        <f t="shared" si="37"/>
        <v>2011</v>
      </c>
      <c r="B2858" s="660" t="s">
        <v>43</v>
      </c>
      <c r="C2858" s="644" t="s">
        <v>44</v>
      </c>
      <c r="D2858" s="644" t="s">
        <v>45</v>
      </c>
      <c r="E2858" s="670" t="s">
        <v>3212</v>
      </c>
      <c r="F2858" s="577" t="s">
        <v>441</v>
      </c>
      <c r="G2858" s="577">
        <v>9866900030</v>
      </c>
      <c r="I2858" s="577">
        <v>35</v>
      </c>
      <c r="J2858" s="577" t="s">
        <v>48</v>
      </c>
      <c r="K2858" s="577" t="s">
        <v>53</v>
      </c>
      <c r="M2858" s="571" t="s">
        <v>119</v>
      </c>
      <c r="N2858" s="745">
        <v>65044</v>
      </c>
      <c r="O2858" s="572">
        <v>65044</v>
      </c>
      <c r="P2858" s="541">
        <v>65059</v>
      </c>
      <c r="Q2858" s="533" t="s">
        <v>51</v>
      </c>
    </row>
    <row r="2859" spans="1:17" ht="18">
      <c r="A2859" s="512">
        <f t="shared" si="37"/>
        <v>2012</v>
      </c>
      <c r="B2859" s="660" t="s">
        <v>43</v>
      </c>
      <c r="C2859" s="644" t="s">
        <v>44</v>
      </c>
      <c r="D2859" s="644" t="s">
        <v>45</v>
      </c>
      <c r="E2859" s="670" t="s">
        <v>3213</v>
      </c>
      <c r="F2859" s="577" t="s">
        <v>491</v>
      </c>
      <c r="G2859" s="577">
        <v>9861222468</v>
      </c>
      <c r="I2859" s="577">
        <v>58</v>
      </c>
      <c r="J2859" s="577" t="s">
        <v>48</v>
      </c>
      <c r="K2859" s="577" t="s">
        <v>1480</v>
      </c>
      <c r="M2859" s="571" t="s">
        <v>119</v>
      </c>
      <c r="N2859" s="745">
        <v>65044</v>
      </c>
      <c r="O2859" s="572">
        <v>65044</v>
      </c>
      <c r="P2859" s="541">
        <v>65059</v>
      </c>
      <c r="Q2859" s="533" t="s">
        <v>51</v>
      </c>
    </row>
    <row r="2860" spans="1:17" ht="18">
      <c r="A2860" s="512">
        <f t="shared" si="37"/>
        <v>2013</v>
      </c>
      <c r="B2860" s="660" t="s">
        <v>43</v>
      </c>
      <c r="C2860" s="644" t="s">
        <v>44</v>
      </c>
      <c r="D2860" s="644" t="s">
        <v>45</v>
      </c>
      <c r="E2860" s="670" t="s">
        <v>1932</v>
      </c>
      <c r="F2860" s="577" t="s">
        <v>124</v>
      </c>
      <c r="G2860" s="577">
        <v>9829582796</v>
      </c>
      <c r="I2860" s="577">
        <v>31</v>
      </c>
      <c r="J2860" s="577" t="s">
        <v>90</v>
      </c>
      <c r="K2860" s="577" t="s">
        <v>3289</v>
      </c>
      <c r="M2860" s="571" t="s">
        <v>119</v>
      </c>
      <c r="N2860" s="745">
        <v>65044</v>
      </c>
      <c r="O2860" s="572">
        <v>65044</v>
      </c>
      <c r="P2860" s="541">
        <v>65059</v>
      </c>
      <c r="Q2860" s="533" t="s">
        <v>51</v>
      </c>
    </row>
    <row r="2861" spans="1:17" ht="18">
      <c r="A2861" s="512">
        <f t="shared" si="37"/>
        <v>2014</v>
      </c>
      <c r="B2861" s="660" t="s">
        <v>43</v>
      </c>
      <c r="C2861" s="644" t="s">
        <v>44</v>
      </c>
      <c r="D2861" s="644" t="s">
        <v>45</v>
      </c>
      <c r="E2861" s="670" t="s">
        <v>3214</v>
      </c>
      <c r="F2861" s="577" t="s">
        <v>512</v>
      </c>
      <c r="G2861" s="577">
        <v>9815221727</v>
      </c>
      <c r="I2861" s="577">
        <v>48</v>
      </c>
      <c r="J2861" s="577" t="s">
        <v>90</v>
      </c>
      <c r="K2861" s="577" t="s">
        <v>1480</v>
      </c>
      <c r="M2861" s="571" t="s">
        <v>119</v>
      </c>
      <c r="N2861" s="745">
        <v>65044</v>
      </c>
      <c r="O2861" s="572">
        <v>65044</v>
      </c>
      <c r="P2861" s="541">
        <v>65059</v>
      </c>
      <c r="Q2861" s="533" t="s">
        <v>51</v>
      </c>
    </row>
    <row r="2862" spans="1:17" ht="18">
      <c r="A2862" s="512">
        <f t="shared" si="37"/>
        <v>2015</v>
      </c>
      <c r="B2862" s="660" t="s">
        <v>43</v>
      </c>
      <c r="C2862" s="644" t="s">
        <v>44</v>
      </c>
      <c r="D2862" s="644" t="s">
        <v>45</v>
      </c>
      <c r="E2862" s="670" t="s">
        <v>3215</v>
      </c>
      <c r="F2862" s="577" t="s">
        <v>1046</v>
      </c>
      <c r="G2862" s="577">
        <v>9857860360</v>
      </c>
      <c r="I2862" s="577">
        <v>64</v>
      </c>
      <c r="J2862" s="577" t="s">
        <v>48</v>
      </c>
      <c r="K2862" s="577" t="s">
        <v>1468</v>
      </c>
      <c r="M2862" s="571" t="s">
        <v>119</v>
      </c>
      <c r="N2862" s="745">
        <v>65044</v>
      </c>
      <c r="O2862" s="572">
        <v>65044</v>
      </c>
      <c r="P2862" s="541">
        <v>65059</v>
      </c>
      <c r="Q2862" s="533" t="s">
        <v>51</v>
      </c>
    </row>
    <row r="2863" spans="1:17" ht="18">
      <c r="A2863" s="512">
        <f t="shared" si="37"/>
        <v>2016</v>
      </c>
      <c r="B2863" s="660" t="s">
        <v>43</v>
      </c>
      <c r="C2863" s="644" t="s">
        <v>44</v>
      </c>
      <c r="D2863" s="644" t="s">
        <v>45</v>
      </c>
      <c r="E2863" s="670" t="s">
        <v>3216</v>
      </c>
      <c r="F2863" s="577" t="s">
        <v>441</v>
      </c>
      <c r="G2863" s="577">
        <v>9849601216</v>
      </c>
      <c r="I2863" s="577">
        <v>36</v>
      </c>
      <c r="J2863" s="577" t="s">
        <v>48</v>
      </c>
      <c r="K2863" s="577" t="s">
        <v>1480</v>
      </c>
      <c r="M2863" s="571" t="s">
        <v>119</v>
      </c>
      <c r="N2863" s="745">
        <v>65044</v>
      </c>
      <c r="O2863" s="572">
        <v>65044</v>
      </c>
      <c r="P2863" s="541">
        <v>65059</v>
      </c>
      <c r="Q2863" s="533" t="s">
        <v>51</v>
      </c>
    </row>
    <row r="2864" spans="1:17" ht="18">
      <c r="A2864" s="512">
        <f t="shared" si="37"/>
        <v>2017</v>
      </c>
      <c r="B2864" s="660" t="s">
        <v>43</v>
      </c>
      <c r="C2864" s="644" t="s">
        <v>44</v>
      </c>
      <c r="D2864" s="644" t="s">
        <v>45</v>
      </c>
      <c r="E2864" s="670" t="s">
        <v>3217</v>
      </c>
      <c r="F2864" s="577" t="s">
        <v>124</v>
      </c>
      <c r="G2864" s="577">
        <v>9866906858</v>
      </c>
      <c r="I2864" s="577">
        <v>46</v>
      </c>
      <c r="J2864" s="577" t="s">
        <v>90</v>
      </c>
      <c r="K2864" s="577" t="s">
        <v>1468</v>
      </c>
      <c r="M2864" s="571" t="s">
        <v>119</v>
      </c>
      <c r="N2864" s="745">
        <v>65044</v>
      </c>
      <c r="O2864" s="572">
        <v>65044</v>
      </c>
      <c r="P2864" s="541">
        <v>65059</v>
      </c>
      <c r="Q2864" s="533" t="s">
        <v>51</v>
      </c>
    </row>
    <row r="2865" spans="1:17" ht="18">
      <c r="A2865" s="512">
        <f t="shared" si="37"/>
        <v>2018</v>
      </c>
      <c r="B2865" s="660" t="s">
        <v>43</v>
      </c>
      <c r="C2865" s="644" t="s">
        <v>44</v>
      </c>
      <c r="D2865" s="644" t="s">
        <v>45</v>
      </c>
      <c r="E2865" s="670" t="s">
        <v>3218</v>
      </c>
      <c r="F2865" s="577" t="s">
        <v>488</v>
      </c>
      <c r="G2865" s="577">
        <v>9809592801</v>
      </c>
      <c r="I2865" s="577">
        <v>33</v>
      </c>
      <c r="J2865" s="577" t="s">
        <v>48</v>
      </c>
      <c r="K2865" s="577" t="s">
        <v>1468</v>
      </c>
      <c r="M2865" s="571" t="s">
        <v>119</v>
      </c>
      <c r="N2865" s="745">
        <v>65044</v>
      </c>
      <c r="O2865" s="572">
        <v>65044</v>
      </c>
      <c r="P2865" s="541">
        <v>65059</v>
      </c>
      <c r="Q2865" s="533" t="s">
        <v>51</v>
      </c>
    </row>
    <row r="2866" spans="1:17" ht="18">
      <c r="A2866" s="512">
        <f t="shared" si="37"/>
        <v>2019</v>
      </c>
      <c r="B2866" s="660" t="s">
        <v>43</v>
      </c>
      <c r="C2866" s="644" t="s">
        <v>44</v>
      </c>
      <c r="D2866" s="644" t="s">
        <v>45</v>
      </c>
      <c r="E2866" s="670" t="s">
        <v>3219</v>
      </c>
      <c r="F2866" s="577" t="s">
        <v>491</v>
      </c>
      <c r="G2866" s="577">
        <v>9809879950</v>
      </c>
      <c r="I2866" s="577">
        <v>35</v>
      </c>
      <c r="J2866" s="577" t="s">
        <v>48</v>
      </c>
      <c r="K2866" s="577" t="s">
        <v>1468</v>
      </c>
      <c r="M2866" s="571" t="s">
        <v>119</v>
      </c>
      <c r="N2866" s="745">
        <v>65044</v>
      </c>
      <c r="O2866" s="572">
        <v>65044</v>
      </c>
      <c r="P2866" s="541">
        <v>65059</v>
      </c>
      <c r="Q2866" s="533" t="s">
        <v>51</v>
      </c>
    </row>
    <row r="2867" spans="1:17" ht="18">
      <c r="A2867" s="512">
        <f t="shared" si="37"/>
        <v>2020</v>
      </c>
      <c r="B2867" s="660" t="s">
        <v>43</v>
      </c>
      <c r="C2867" s="644" t="s">
        <v>44</v>
      </c>
      <c r="D2867" s="644" t="s">
        <v>45</v>
      </c>
      <c r="E2867" s="670" t="s">
        <v>3062</v>
      </c>
      <c r="F2867" s="577" t="s">
        <v>491</v>
      </c>
      <c r="G2867" s="577">
        <v>9847916373</v>
      </c>
      <c r="I2867" s="577">
        <v>38</v>
      </c>
      <c r="J2867" s="577" t="s">
        <v>90</v>
      </c>
      <c r="K2867" s="577" t="s">
        <v>1480</v>
      </c>
      <c r="M2867" s="571" t="s">
        <v>119</v>
      </c>
      <c r="N2867" s="745">
        <v>65044</v>
      </c>
      <c r="O2867" s="572">
        <v>65044</v>
      </c>
      <c r="P2867" s="541">
        <v>65059</v>
      </c>
      <c r="Q2867" s="533" t="s">
        <v>51</v>
      </c>
    </row>
    <row r="2868" spans="1:17" ht="18">
      <c r="A2868" s="512">
        <f t="shared" si="37"/>
        <v>2021</v>
      </c>
      <c r="B2868" s="660" t="s">
        <v>43</v>
      </c>
      <c r="C2868" s="644" t="s">
        <v>44</v>
      </c>
      <c r="D2868" s="644" t="s">
        <v>45</v>
      </c>
      <c r="E2868" s="670" t="s">
        <v>3220</v>
      </c>
      <c r="F2868" s="577" t="s">
        <v>617</v>
      </c>
      <c r="G2868" s="577">
        <v>9848423482</v>
      </c>
      <c r="I2868" s="577">
        <v>78</v>
      </c>
      <c r="J2868" s="577" t="s">
        <v>90</v>
      </c>
      <c r="K2868" s="577" t="s">
        <v>1468</v>
      </c>
      <c r="M2868" s="571" t="s">
        <v>119</v>
      </c>
      <c r="N2868" s="745">
        <v>65044</v>
      </c>
      <c r="O2868" s="572">
        <v>65044</v>
      </c>
      <c r="P2868" s="541">
        <v>65059</v>
      </c>
      <c r="Q2868" s="533" t="s">
        <v>51</v>
      </c>
    </row>
    <row r="2869" spans="1:17" ht="18">
      <c r="A2869" s="512">
        <f t="shared" si="37"/>
        <v>2022</v>
      </c>
      <c r="B2869" s="660" t="s">
        <v>43</v>
      </c>
      <c r="C2869" s="644" t="s">
        <v>44</v>
      </c>
      <c r="D2869" s="644" t="s">
        <v>45</v>
      </c>
      <c r="E2869" s="670" t="s">
        <v>3221</v>
      </c>
      <c r="F2869" s="577" t="s">
        <v>1046</v>
      </c>
      <c r="G2869" s="577">
        <v>9841640196</v>
      </c>
      <c r="I2869" s="577">
        <v>57</v>
      </c>
      <c r="J2869" s="577" t="s">
        <v>48</v>
      </c>
      <c r="K2869" s="577" t="s">
        <v>1468</v>
      </c>
      <c r="M2869" s="571" t="s">
        <v>119</v>
      </c>
      <c r="N2869" s="745">
        <v>65044</v>
      </c>
      <c r="O2869" s="572">
        <v>65044</v>
      </c>
      <c r="P2869" s="541">
        <v>65059</v>
      </c>
      <c r="Q2869" s="533" t="s">
        <v>51</v>
      </c>
    </row>
    <row r="2870" spans="1:17" ht="18">
      <c r="A2870" s="512">
        <f t="shared" si="37"/>
        <v>2023</v>
      </c>
      <c r="B2870" s="660" t="s">
        <v>43</v>
      </c>
      <c r="C2870" s="644" t="s">
        <v>44</v>
      </c>
      <c r="D2870" s="644" t="s">
        <v>45</v>
      </c>
      <c r="E2870" s="670" t="s">
        <v>3222</v>
      </c>
      <c r="F2870" s="577" t="s">
        <v>598</v>
      </c>
      <c r="G2870" s="577">
        <v>9847943719</v>
      </c>
      <c r="I2870" s="577">
        <v>27</v>
      </c>
      <c r="J2870" s="577" t="s">
        <v>90</v>
      </c>
      <c r="K2870" s="577" t="s">
        <v>1468</v>
      </c>
      <c r="M2870" s="571" t="s">
        <v>119</v>
      </c>
      <c r="N2870" s="745">
        <v>65044</v>
      </c>
      <c r="O2870" s="572">
        <v>65044</v>
      </c>
      <c r="P2870" s="541">
        <v>65059</v>
      </c>
      <c r="Q2870" s="533" t="s">
        <v>51</v>
      </c>
    </row>
    <row r="2871" spans="1:17" ht="18">
      <c r="A2871" s="512">
        <f t="shared" si="37"/>
        <v>2024</v>
      </c>
      <c r="B2871" s="660" t="s">
        <v>43</v>
      </c>
      <c r="C2871" s="644" t="s">
        <v>44</v>
      </c>
      <c r="D2871" s="644" t="s">
        <v>45</v>
      </c>
      <c r="E2871" s="670" t="s">
        <v>3223</v>
      </c>
      <c r="F2871" s="577" t="s">
        <v>1046</v>
      </c>
      <c r="G2871" s="577">
        <v>9857860360</v>
      </c>
      <c r="I2871" s="577">
        <v>58</v>
      </c>
      <c r="J2871" s="577" t="s">
        <v>90</v>
      </c>
      <c r="K2871" s="577" t="s">
        <v>1468</v>
      </c>
      <c r="M2871" s="571" t="s">
        <v>119</v>
      </c>
      <c r="N2871" s="745">
        <v>65044</v>
      </c>
      <c r="O2871" s="572">
        <v>65044</v>
      </c>
      <c r="P2871" s="541">
        <v>65059</v>
      </c>
      <c r="Q2871" s="533" t="s">
        <v>51</v>
      </c>
    </row>
    <row r="2872" spans="1:17" ht="18">
      <c r="A2872" s="512">
        <f t="shared" si="37"/>
        <v>2025</v>
      </c>
      <c r="B2872" s="660" t="s">
        <v>43</v>
      </c>
      <c r="C2872" s="644" t="s">
        <v>44</v>
      </c>
      <c r="D2872" s="644" t="s">
        <v>45</v>
      </c>
      <c r="E2872" s="670" t="s">
        <v>3224</v>
      </c>
      <c r="F2872" s="577" t="s">
        <v>730</v>
      </c>
      <c r="G2872" s="577">
        <v>9844977822</v>
      </c>
      <c r="I2872" s="577">
        <v>48</v>
      </c>
      <c r="J2872" s="577" t="s">
        <v>90</v>
      </c>
      <c r="K2872" s="577" t="s">
        <v>1468</v>
      </c>
      <c r="M2872" s="571" t="s">
        <v>119</v>
      </c>
      <c r="N2872" s="745">
        <v>65044</v>
      </c>
      <c r="O2872" s="572">
        <v>65044</v>
      </c>
      <c r="P2872" s="541">
        <v>65059</v>
      </c>
      <c r="Q2872" s="533" t="s">
        <v>51</v>
      </c>
    </row>
    <row r="2873" spans="1:17" ht="18">
      <c r="A2873" s="512">
        <f t="shared" si="37"/>
        <v>2026</v>
      </c>
      <c r="B2873" s="660" t="s">
        <v>43</v>
      </c>
      <c r="C2873" s="644" t="s">
        <v>44</v>
      </c>
      <c r="D2873" s="644" t="s">
        <v>45</v>
      </c>
      <c r="E2873" s="670" t="s">
        <v>3225</v>
      </c>
      <c r="F2873" s="577" t="s">
        <v>1008</v>
      </c>
      <c r="G2873" s="577">
        <v>9863133163</v>
      </c>
      <c r="I2873" s="577">
        <v>36</v>
      </c>
      <c r="J2873" s="577" t="s">
        <v>48</v>
      </c>
      <c r="K2873" s="577" t="s">
        <v>53</v>
      </c>
      <c r="M2873" s="571" t="s">
        <v>119</v>
      </c>
      <c r="N2873" s="745">
        <v>65044</v>
      </c>
      <c r="O2873" s="572">
        <v>65044</v>
      </c>
      <c r="P2873" s="541">
        <v>65059</v>
      </c>
      <c r="Q2873" s="533" t="s">
        <v>51</v>
      </c>
    </row>
    <row r="2874" spans="1:17" ht="18">
      <c r="A2874" s="512">
        <f t="shared" si="37"/>
        <v>2027</v>
      </c>
      <c r="B2874" s="660" t="s">
        <v>43</v>
      </c>
      <c r="C2874" s="644" t="s">
        <v>44</v>
      </c>
      <c r="D2874" s="644" t="s">
        <v>45</v>
      </c>
      <c r="E2874" s="670" t="s">
        <v>3225</v>
      </c>
      <c r="F2874" s="577" t="s">
        <v>1008</v>
      </c>
      <c r="G2874" s="577">
        <v>9847910682</v>
      </c>
      <c r="I2874" s="577">
        <v>69</v>
      </c>
      <c r="J2874" s="577" t="s">
        <v>48</v>
      </c>
      <c r="K2874" s="577" t="s">
        <v>53</v>
      </c>
      <c r="M2874" s="571" t="s">
        <v>119</v>
      </c>
      <c r="N2874" s="745">
        <v>65044</v>
      </c>
      <c r="O2874" s="572">
        <v>65044</v>
      </c>
      <c r="P2874" s="541">
        <v>65059</v>
      </c>
      <c r="Q2874" s="533" t="s">
        <v>51</v>
      </c>
    </row>
    <row r="2875" spans="1:17" ht="18">
      <c r="A2875" s="512">
        <f t="shared" si="37"/>
        <v>2028</v>
      </c>
      <c r="B2875" s="660" t="s">
        <v>43</v>
      </c>
      <c r="C2875" s="644" t="s">
        <v>44</v>
      </c>
      <c r="D2875" s="644" t="s">
        <v>45</v>
      </c>
      <c r="E2875" s="670" t="s">
        <v>3226</v>
      </c>
      <c r="F2875" s="577" t="s">
        <v>502</v>
      </c>
      <c r="G2875" s="577">
        <v>9809823335</v>
      </c>
      <c r="I2875" s="577">
        <v>33</v>
      </c>
      <c r="J2875" s="577" t="s">
        <v>48</v>
      </c>
      <c r="K2875" s="577" t="s">
        <v>53</v>
      </c>
      <c r="M2875" s="571" t="s">
        <v>119</v>
      </c>
      <c r="N2875" s="745">
        <v>65044</v>
      </c>
      <c r="O2875" s="572">
        <v>65044</v>
      </c>
      <c r="P2875" s="541">
        <v>65059</v>
      </c>
      <c r="Q2875" s="533" t="s">
        <v>51</v>
      </c>
    </row>
    <row r="2876" spans="1:17" ht="18">
      <c r="A2876" s="512">
        <f t="shared" si="37"/>
        <v>2029</v>
      </c>
      <c r="B2876" s="660" t="s">
        <v>43</v>
      </c>
      <c r="C2876" s="644" t="s">
        <v>44</v>
      </c>
      <c r="D2876" s="644" t="s">
        <v>45</v>
      </c>
      <c r="E2876" s="670" t="s">
        <v>3227</v>
      </c>
      <c r="F2876" s="577" t="s">
        <v>598</v>
      </c>
      <c r="G2876" s="577">
        <v>9845895581</v>
      </c>
      <c r="I2876" s="577">
        <v>65</v>
      </c>
      <c r="J2876" s="577" t="s">
        <v>48</v>
      </c>
      <c r="K2876" s="577" t="s">
        <v>1468</v>
      </c>
      <c r="M2876" s="571" t="s">
        <v>119</v>
      </c>
      <c r="N2876" s="745">
        <v>65044</v>
      </c>
      <c r="O2876" s="572">
        <v>65044</v>
      </c>
      <c r="P2876" s="541">
        <v>65059</v>
      </c>
      <c r="Q2876" s="533" t="s">
        <v>51</v>
      </c>
    </row>
    <row r="2877" spans="1:17" ht="18">
      <c r="A2877" s="512">
        <f t="shared" si="37"/>
        <v>2030</v>
      </c>
      <c r="B2877" s="658" t="s">
        <v>43</v>
      </c>
      <c r="C2877" s="630" t="s">
        <v>44</v>
      </c>
      <c r="D2877" s="630" t="s">
        <v>45</v>
      </c>
      <c r="E2877" s="630" t="s">
        <v>3290</v>
      </c>
      <c r="F2877" s="597" t="s">
        <v>441</v>
      </c>
      <c r="G2877" s="423"/>
      <c r="H2877" s="422"/>
      <c r="I2877" s="423">
        <v>62</v>
      </c>
      <c r="J2877" s="597" t="s">
        <v>48</v>
      </c>
      <c r="K2877" s="597" t="s">
        <v>1763</v>
      </c>
      <c r="L2877" s="423"/>
      <c r="M2877" s="597" t="s">
        <v>3291</v>
      </c>
      <c r="N2877" s="726">
        <v>65044</v>
      </c>
      <c r="O2877" s="632">
        <v>65044</v>
      </c>
      <c r="P2877" s="476">
        <v>65045</v>
      </c>
      <c r="Q2877" s="422" t="s">
        <v>940</v>
      </c>
    </row>
    <row r="2878" spans="1:17" ht="18">
      <c r="A2878" s="512">
        <f t="shared" si="37"/>
        <v>2031</v>
      </c>
      <c r="B2878" s="660" t="s">
        <v>43</v>
      </c>
      <c r="C2878" s="644" t="s">
        <v>44</v>
      </c>
      <c r="D2878" s="644" t="s">
        <v>45</v>
      </c>
      <c r="E2878" s="670" t="s">
        <v>3228</v>
      </c>
      <c r="F2878" s="577" t="s">
        <v>491</v>
      </c>
      <c r="G2878" s="577">
        <v>9844963895</v>
      </c>
      <c r="I2878" s="577">
        <v>28</v>
      </c>
      <c r="J2878" s="577" t="s">
        <v>90</v>
      </c>
      <c r="K2878" s="577" t="s">
        <v>1480</v>
      </c>
      <c r="M2878" s="571" t="s">
        <v>119</v>
      </c>
      <c r="N2878" s="745">
        <v>65044</v>
      </c>
      <c r="O2878" s="572">
        <v>65044</v>
      </c>
      <c r="P2878" s="541">
        <v>65059</v>
      </c>
      <c r="Q2878" s="533" t="s">
        <v>51</v>
      </c>
    </row>
    <row r="2879" spans="1:17" ht="18">
      <c r="A2879" s="512">
        <f t="shared" si="37"/>
        <v>2032</v>
      </c>
      <c r="B2879" s="660" t="s">
        <v>43</v>
      </c>
      <c r="C2879" s="644" t="s">
        <v>44</v>
      </c>
      <c r="D2879" s="644" t="s">
        <v>45</v>
      </c>
      <c r="E2879" s="670" t="s">
        <v>3229</v>
      </c>
      <c r="F2879" s="577" t="s">
        <v>1008</v>
      </c>
      <c r="G2879" s="577">
        <v>9847873147</v>
      </c>
      <c r="I2879" s="577">
        <v>48</v>
      </c>
      <c r="J2879" s="577" t="s">
        <v>48</v>
      </c>
      <c r="K2879" s="577" t="s">
        <v>1468</v>
      </c>
      <c r="M2879" s="571" t="s">
        <v>119</v>
      </c>
      <c r="N2879" s="745">
        <v>65044</v>
      </c>
      <c r="O2879" s="572">
        <v>65044</v>
      </c>
      <c r="P2879" s="541">
        <v>65059</v>
      </c>
      <c r="Q2879" s="533" t="s">
        <v>51</v>
      </c>
    </row>
    <row r="2880" spans="1:17" ht="18">
      <c r="A2880" s="512">
        <f t="shared" si="37"/>
        <v>2033</v>
      </c>
      <c r="B2880" s="660" t="s">
        <v>43</v>
      </c>
      <c r="C2880" s="644" t="s">
        <v>44</v>
      </c>
      <c r="D2880" s="644" t="s">
        <v>45</v>
      </c>
      <c r="E2880" s="670" t="s">
        <v>3230</v>
      </c>
      <c r="F2880" s="577" t="s">
        <v>491</v>
      </c>
      <c r="G2880" s="577">
        <v>9847844930</v>
      </c>
      <c r="I2880" s="577">
        <v>41</v>
      </c>
      <c r="J2880" s="577" t="s">
        <v>48</v>
      </c>
      <c r="K2880" s="577" t="s">
        <v>53</v>
      </c>
      <c r="M2880" s="571" t="s">
        <v>119</v>
      </c>
      <c r="N2880" s="745">
        <v>65044</v>
      </c>
      <c r="O2880" s="572">
        <v>65044</v>
      </c>
      <c r="P2880" s="541">
        <v>65059</v>
      </c>
      <c r="Q2880" s="533" t="s">
        <v>51</v>
      </c>
    </row>
    <row r="2881" spans="1:17" ht="18">
      <c r="A2881" s="512">
        <f t="shared" si="37"/>
        <v>2034</v>
      </c>
      <c r="B2881" s="660" t="s">
        <v>43</v>
      </c>
      <c r="C2881" s="644" t="s">
        <v>44</v>
      </c>
      <c r="D2881" s="644" t="s">
        <v>45</v>
      </c>
      <c r="E2881" s="670" t="s">
        <v>1885</v>
      </c>
      <c r="F2881" s="577" t="s">
        <v>491</v>
      </c>
      <c r="G2881" s="577">
        <v>9809841627</v>
      </c>
      <c r="I2881" s="577">
        <v>23</v>
      </c>
      <c r="J2881" s="577" t="s">
        <v>90</v>
      </c>
      <c r="K2881" s="577" t="s">
        <v>53</v>
      </c>
      <c r="M2881" s="571" t="s">
        <v>119</v>
      </c>
      <c r="N2881" s="745">
        <v>65044</v>
      </c>
      <c r="O2881" s="572">
        <v>65044</v>
      </c>
      <c r="P2881" s="541">
        <v>65059</v>
      </c>
      <c r="Q2881" s="533" t="s">
        <v>51</v>
      </c>
    </row>
    <row r="2882" spans="1:17" ht="18">
      <c r="A2882" s="512">
        <f t="shared" si="37"/>
        <v>2035</v>
      </c>
      <c r="B2882" s="660" t="s">
        <v>43</v>
      </c>
      <c r="C2882" s="644" t="s">
        <v>44</v>
      </c>
      <c r="D2882" s="644" t="s">
        <v>45</v>
      </c>
      <c r="E2882" s="670" t="s">
        <v>3231</v>
      </c>
      <c r="F2882" s="577" t="s">
        <v>124</v>
      </c>
      <c r="G2882" s="577">
        <v>9864903432</v>
      </c>
      <c r="I2882" s="577">
        <v>24</v>
      </c>
      <c r="J2882" s="577" t="s">
        <v>90</v>
      </c>
      <c r="K2882" s="577" t="s">
        <v>1480</v>
      </c>
      <c r="M2882" s="571" t="s">
        <v>119</v>
      </c>
      <c r="N2882" s="745">
        <v>65044</v>
      </c>
      <c r="O2882" s="572">
        <v>65044</v>
      </c>
      <c r="P2882" s="541">
        <v>65059</v>
      </c>
      <c r="Q2882" s="533" t="s">
        <v>51</v>
      </c>
    </row>
    <row r="2883" spans="1:17" ht="18">
      <c r="A2883" s="512">
        <f t="shared" si="37"/>
        <v>2036</v>
      </c>
      <c r="B2883" s="660" t="s">
        <v>43</v>
      </c>
      <c r="C2883" s="644" t="s">
        <v>44</v>
      </c>
      <c r="D2883" s="644" t="s">
        <v>45</v>
      </c>
      <c r="E2883" s="670" t="s">
        <v>3232</v>
      </c>
      <c r="F2883" s="577" t="s">
        <v>491</v>
      </c>
      <c r="G2883" s="577">
        <v>9809885854</v>
      </c>
      <c r="I2883" s="577">
        <v>40</v>
      </c>
      <c r="J2883" s="577" t="s">
        <v>90</v>
      </c>
      <c r="K2883" s="577" t="s">
        <v>1480</v>
      </c>
      <c r="M2883" s="571" t="s">
        <v>119</v>
      </c>
      <c r="N2883" s="745">
        <v>65044</v>
      </c>
      <c r="O2883" s="572">
        <v>65044</v>
      </c>
      <c r="P2883" s="541">
        <v>65059</v>
      </c>
      <c r="Q2883" s="533" t="s">
        <v>51</v>
      </c>
    </row>
    <row r="2884" spans="1:17" ht="18">
      <c r="A2884" s="512">
        <f t="shared" si="37"/>
        <v>2037</v>
      </c>
      <c r="B2884" s="660" t="s">
        <v>43</v>
      </c>
      <c r="C2884" s="644" t="s">
        <v>44</v>
      </c>
      <c r="D2884" s="644" t="s">
        <v>45</v>
      </c>
      <c r="E2884" s="670" t="s">
        <v>3233</v>
      </c>
      <c r="F2884" s="577" t="s">
        <v>441</v>
      </c>
      <c r="G2884" s="577">
        <v>9866900030</v>
      </c>
      <c r="I2884" s="577">
        <v>68</v>
      </c>
      <c r="J2884" s="577" t="s">
        <v>48</v>
      </c>
      <c r="K2884" s="577" t="s">
        <v>53</v>
      </c>
      <c r="M2884" s="571" t="s">
        <v>119</v>
      </c>
      <c r="N2884" s="745">
        <v>65044</v>
      </c>
      <c r="O2884" s="572">
        <v>65044</v>
      </c>
      <c r="P2884" s="541">
        <v>65059</v>
      </c>
      <c r="Q2884" s="533" t="s">
        <v>51</v>
      </c>
    </row>
    <row r="2885" spans="1:17" ht="18">
      <c r="A2885" s="512">
        <f t="shared" si="37"/>
        <v>2038</v>
      </c>
      <c r="B2885" s="660" t="s">
        <v>43</v>
      </c>
      <c r="C2885" s="644" t="s">
        <v>44</v>
      </c>
      <c r="D2885" s="644" t="s">
        <v>45</v>
      </c>
      <c r="E2885" s="670" t="s">
        <v>3234</v>
      </c>
      <c r="F2885" s="577" t="s">
        <v>488</v>
      </c>
      <c r="G2885" s="577">
        <v>9869595093</v>
      </c>
      <c r="I2885" s="577">
        <v>47</v>
      </c>
      <c r="J2885" s="577" t="s">
        <v>48</v>
      </c>
      <c r="K2885" s="577" t="s">
        <v>1480</v>
      </c>
      <c r="M2885" s="571" t="s">
        <v>119</v>
      </c>
      <c r="N2885" s="745">
        <v>65044</v>
      </c>
      <c r="O2885" s="572">
        <v>65044</v>
      </c>
      <c r="P2885" s="541">
        <v>65059</v>
      </c>
      <c r="Q2885" s="533" t="s">
        <v>51</v>
      </c>
    </row>
    <row r="2886" spans="1:17" ht="18">
      <c r="A2886" s="512">
        <f t="shared" si="37"/>
        <v>2039</v>
      </c>
      <c r="B2886" s="660" t="s">
        <v>43</v>
      </c>
      <c r="C2886" s="644" t="s">
        <v>44</v>
      </c>
      <c r="D2886" s="644" t="s">
        <v>45</v>
      </c>
      <c r="E2886" s="670" t="s">
        <v>3235</v>
      </c>
      <c r="F2886" s="577" t="s">
        <v>1046</v>
      </c>
      <c r="G2886" s="577">
        <v>9810882975</v>
      </c>
      <c r="I2886" s="577">
        <v>65</v>
      </c>
      <c r="J2886" s="577" t="s">
        <v>90</v>
      </c>
      <c r="K2886" s="577" t="s">
        <v>1480</v>
      </c>
      <c r="M2886" s="571" t="s">
        <v>119</v>
      </c>
      <c r="N2886" s="745">
        <v>65044</v>
      </c>
      <c r="O2886" s="572">
        <v>65044</v>
      </c>
      <c r="P2886" s="541">
        <v>65059</v>
      </c>
      <c r="Q2886" s="533" t="s">
        <v>51</v>
      </c>
    </row>
    <row r="2887" spans="1:17" ht="18">
      <c r="A2887" s="512">
        <f t="shared" si="37"/>
        <v>2040</v>
      </c>
      <c r="B2887" s="660" t="s">
        <v>43</v>
      </c>
      <c r="C2887" s="644" t="s">
        <v>44</v>
      </c>
      <c r="D2887" s="644" t="s">
        <v>45</v>
      </c>
      <c r="E2887" s="670" t="s">
        <v>3236</v>
      </c>
      <c r="F2887" s="577" t="s">
        <v>491</v>
      </c>
      <c r="G2887" s="577">
        <v>9847981185</v>
      </c>
      <c r="I2887" s="577">
        <v>27</v>
      </c>
      <c r="J2887" s="577" t="s">
        <v>90</v>
      </c>
      <c r="K2887" s="577" t="s">
        <v>1480</v>
      </c>
      <c r="M2887" s="571" t="s">
        <v>119</v>
      </c>
      <c r="N2887" s="745">
        <v>65044</v>
      </c>
      <c r="O2887" s="572">
        <v>65044</v>
      </c>
      <c r="P2887" s="541">
        <v>65059</v>
      </c>
      <c r="Q2887" s="533" t="s">
        <v>51</v>
      </c>
    </row>
    <row r="2888" spans="1:17" ht="18">
      <c r="A2888" s="512">
        <f t="shared" si="37"/>
        <v>2041</v>
      </c>
      <c r="B2888" s="660" t="s">
        <v>43</v>
      </c>
      <c r="C2888" s="644" t="s">
        <v>44</v>
      </c>
      <c r="D2888" s="644" t="s">
        <v>45</v>
      </c>
      <c r="E2888" s="670" t="s">
        <v>3237</v>
      </c>
      <c r="F2888" s="577" t="s">
        <v>491</v>
      </c>
      <c r="G2888" s="577">
        <v>9847852847</v>
      </c>
      <c r="I2888" s="577">
        <v>56</v>
      </c>
      <c r="J2888" s="577" t="s">
        <v>90</v>
      </c>
      <c r="K2888" s="577" t="s">
        <v>1480</v>
      </c>
      <c r="M2888" s="571" t="s">
        <v>119</v>
      </c>
      <c r="N2888" s="745">
        <v>65044</v>
      </c>
      <c r="O2888" s="572">
        <v>65044</v>
      </c>
      <c r="P2888" s="541">
        <v>65059</v>
      </c>
      <c r="Q2888" s="533" t="s">
        <v>51</v>
      </c>
    </row>
    <row r="2889" spans="1:17" ht="18">
      <c r="A2889" s="512">
        <f t="shared" si="37"/>
        <v>2042</v>
      </c>
      <c r="B2889" s="660" t="s">
        <v>43</v>
      </c>
      <c r="C2889" s="644" t="s">
        <v>44</v>
      </c>
      <c r="D2889" s="644" t="s">
        <v>45</v>
      </c>
      <c r="E2889" s="670" t="s">
        <v>3238</v>
      </c>
      <c r="F2889" s="577" t="s">
        <v>1046</v>
      </c>
      <c r="G2889" s="577">
        <v>9847978445</v>
      </c>
      <c r="I2889" s="577">
        <v>58</v>
      </c>
      <c r="J2889" s="577" t="s">
        <v>48</v>
      </c>
      <c r="K2889" s="577" t="s">
        <v>1468</v>
      </c>
      <c r="M2889" s="571" t="s">
        <v>119</v>
      </c>
      <c r="N2889" s="745">
        <v>65044</v>
      </c>
      <c r="O2889" s="572">
        <v>65044</v>
      </c>
      <c r="P2889" s="541">
        <v>65059</v>
      </c>
      <c r="Q2889" s="533" t="s">
        <v>51</v>
      </c>
    </row>
    <row r="2890" spans="1:17" ht="18">
      <c r="A2890" s="512">
        <f t="shared" si="37"/>
        <v>2043</v>
      </c>
      <c r="B2890" s="660" t="s">
        <v>43</v>
      </c>
      <c r="C2890" s="644" t="s">
        <v>44</v>
      </c>
      <c r="D2890" s="644" t="s">
        <v>45</v>
      </c>
      <c r="E2890" s="670" t="s">
        <v>3239</v>
      </c>
      <c r="F2890" s="577" t="s">
        <v>441</v>
      </c>
      <c r="G2890" s="577">
        <v>9828034096</v>
      </c>
      <c r="I2890" s="577">
        <v>25</v>
      </c>
      <c r="J2890" s="577" t="s">
        <v>48</v>
      </c>
      <c r="K2890" s="577" t="s">
        <v>1468</v>
      </c>
      <c r="M2890" s="571" t="s">
        <v>119</v>
      </c>
      <c r="N2890" s="745">
        <v>65044</v>
      </c>
      <c r="O2890" s="572">
        <v>65044</v>
      </c>
      <c r="P2890" s="541">
        <v>65059</v>
      </c>
      <c r="Q2890" s="533" t="s">
        <v>51</v>
      </c>
    </row>
    <row r="2891" spans="1:17" ht="18">
      <c r="A2891" s="512">
        <f t="shared" si="37"/>
        <v>2044</v>
      </c>
      <c r="B2891" s="660" t="s">
        <v>43</v>
      </c>
      <c r="C2891" s="644" t="s">
        <v>44</v>
      </c>
      <c r="D2891" s="644" t="s">
        <v>45</v>
      </c>
      <c r="E2891" s="670" t="s">
        <v>3240</v>
      </c>
      <c r="F2891" s="577" t="s">
        <v>510</v>
      </c>
      <c r="G2891" s="577">
        <v>9847842072</v>
      </c>
      <c r="I2891" s="577">
        <v>32</v>
      </c>
      <c r="J2891" s="577" t="s">
        <v>48</v>
      </c>
      <c r="K2891" s="577" t="s">
        <v>53</v>
      </c>
      <c r="M2891" s="571" t="s">
        <v>119</v>
      </c>
      <c r="N2891" s="745">
        <v>65044</v>
      </c>
      <c r="O2891" s="572">
        <v>65044</v>
      </c>
      <c r="P2891" s="541">
        <v>65059</v>
      </c>
      <c r="Q2891" s="533" t="s">
        <v>51</v>
      </c>
    </row>
    <row r="2892" spans="1:17" ht="18">
      <c r="A2892" s="512">
        <f t="shared" si="37"/>
        <v>2045</v>
      </c>
      <c r="B2892" s="660" t="s">
        <v>43</v>
      </c>
      <c r="C2892" s="644" t="s">
        <v>44</v>
      </c>
      <c r="D2892" s="644" t="s">
        <v>45</v>
      </c>
      <c r="E2892" s="670" t="s">
        <v>3241</v>
      </c>
      <c r="F2892" s="577" t="s">
        <v>441</v>
      </c>
      <c r="G2892" s="577">
        <v>9848124896</v>
      </c>
      <c r="I2892" s="577">
        <v>33</v>
      </c>
      <c r="J2892" s="577" t="s">
        <v>48</v>
      </c>
      <c r="K2892" s="577" t="s">
        <v>1468</v>
      </c>
      <c r="M2892" s="571" t="s">
        <v>119</v>
      </c>
      <c r="N2892" s="745">
        <v>65044</v>
      </c>
      <c r="O2892" s="572">
        <v>65044</v>
      </c>
      <c r="P2892" s="541">
        <v>65059</v>
      </c>
      <c r="Q2892" s="533" t="s">
        <v>51</v>
      </c>
    </row>
    <row r="2893" spans="1:17" ht="18">
      <c r="A2893" s="512">
        <f t="shared" si="37"/>
        <v>2046</v>
      </c>
      <c r="B2893" s="660" t="s">
        <v>43</v>
      </c>
      <c r="C2893" s="644" t="s">
        <v>44</v>
      </c>
      <c r="D2893" s="644" t="s">
        <v>45</v>
      </c>
      <c r="E2893" s="670" t="s">
        <v>3242</v>
      </c>
      <c r="F2893" s="577" t="s">
        <v>510</v>
      </c>
      <c r="G2893" s="577">
        <v>9812804505</v>
      </c>
      <c r="I2893" s="577">
        <v>21</v>
      </c>
      <c r="J2893" s="577" t="s">
        <v>90</v>
      </c>
      <c r="K2893" s="577" t="s">
        <v>53</v>
      </c>
      <c r="M2893" s="571" t="s">
        <v>119</v>
      </c>
      <c r="N2893" s="745">
        <v>65044</v>
      </c>
      <c r="O2893" s="572">
        <v>65044</v>
      </c>
      <c r="P2893" s="541">
        <v>65059</v>
      </c>
      <c r="Q2893" s="533" t="s">
        <v>51</v>
      </c>
    </row>
    <row r="2894" spans="1:17" ht="18">
      <c r="A2894" s="512">
        <f t="shared" si="37"/>
        <v>2047</v>
      </c>
      <c r="B2894" s="660" t="s">
        <v>43</v>
      </c>
      <c r="C2894" s="644" t="s">
        <v>44</v>
      </c>
      <c r="D2894" s="644" t="s">
        <v>45</v>
      </c>
      <c r="E2894" s="670" t="s">
        <v>3243</v>
      </c>
      <c r="F2894" s="577" t="s">
        <v>497</v>
      </c>
      <c r="G2894" s="577">
        <v>9843681835</v>
      </c>
      <c r="I2894" s="577">
        <v>32</v>
      </c>
      <c r="J2894" s="577" t="s">
        <v>48</v>
      </c>
      <c r="K2894" s="577" t="s">
        <v>1468</v>
      </c>
      <c r="M2894" s="571" t="s">
        <v>119</v>
      </c>
      <c r="N2894" s="745">
        <v>65044</v>
      </c>
      <c r="O2894" s="572">
        <v>65044</v>
      </c>
      <c r="P2894" s="541">
        <v>65059</v>
      </c>
      <c r="Q2894" s="533" t="s">
        <v>51</v>
      </c>
    </row>
    <row r="2895" spans="1:17" ht="18">
      <c r="A2895" s="512">
        <f t="shared" si="37"/>
        <v>2048</v>
      </c>
      <c r="B2895" s="660" t="s">
        <v>43</v>
      </c>
      <c r="C2895" s="644" t="s">
        <v>44</v>
      </c>
      <c r="D2895" s="644" t="s">
        <v>45</v>
      </c>
      <c r="E2895" s="670" t="s">
        <v>3244</v>
      </c>
      <c r="F2895" s="577" t="s">
        <v>497</v>
      </c>
      <c r="G2895" s="577">
        <v>9822858757</v>
      </c>
      <c r="I2895" s="577">
        <v>23</v>
      </c>
      <c r="J2895" s="577" t="s">
        <v>48</v>
      </c>
      <c r="K2895" s="577" t="s">
        <v>1468</v>
      </c>
      <c r="M2895" s="571" t="s">
        <v>119</v>
      </c>
      <c r="N2895" s="745">
        <v>65044</v>
      </c>
      <c r="O2895" s="572">
        <v>65044</v>
      </c>
      <c r="P2895" s="541">
        <v>65059</v>
      </c>
      <c r="Q2895" s="533" t="s">
        <v>51</v>
      </c>
    </row>
    <row r="2896" spans="1:17" ht="18">
      <c r="A2896" s="512">
        <f t="shared" si="37"/>
        <v>2049</v>
      </c>
      <c r="B2896" s="660" t="s">
        <v>43</v>
      </c>
      <c r="C2896" s="644" t="s">
        <v>44</v>
      </c>
      <c r="D2896" s="644" t="s">
        <v>45</v>
      </c>
      <c r="E2896" s="670" t="s">
        <v>3245</v>
      </c>
      <c r="F2896" s="577" t="s">
        <v>510</v>
      </c>
      <c r="G2896" s="577">
        <v>9847865230</v>
      </c>
      <c r="I2896" s="577">
        <v>53</v>
      </c>
      <c r="J2896" s="577" t="s">
        <v>90</v>
      </c>
      <c r="K2896" s="577" t="s">
        <v>1480</v>
      </c>
      <c r="M2896" s="571" t="s">
        <v>119</v>
      </c>
      <c r="N2896" s="745">
        <v>65044</v>
      </c>
      <c r="O2896" s="572">
        <v>65044</v>
      </c>
      <c r="P2896" s="541">
        <v>65059</v>
      </c>
      <c r="Q2896" s="533" t="s">
        <v>51</v>
      </c>
    </row>
    <row r="2897" spans="1:17" ht="18">
      <c r="A2897" s="512">
        <f t="shared" si="37"/>
        <v>2050</v>
      </c>
      <c r="B2897" s="660" t="s">
        <v>43</v>
      </c>
      <c r="C2897" s="644" t="s">
        <v>44</v>
      </c>
      <c r="D2897" s="644" t="s">
        <v>45</v>
      </c>
      <c r="E2897" s="670" t="s">
        <v>3246</v>
      </c>
      <c r="F2897" s="577" t="s">
        <v>1046</v>
      </c>
      <c r="G2897" s="577">
        <v>9841640196</v>
      </c>
      <c r="I2897" s="577">
        <v>52</v>
      </c>
      <c r="J2897" s="577" t="s">
        <v>90</v>
      </c>
      <c r="K2897" s="577" t="s">
        <v>1468</v>
      </c>
      <c r="M2897" s="571" t="s">
        <v>119</v>
      </c>
      <c r="N2897" s="745">
        <v>65044</v>
      </c>
      <c r="O2897" s="572">
        <v>65044</v>
      </c>
      <c r="P2897" s="541">
        <v>65059</v>
      </c>
      <c r="Q2897" s="533" t="s">
        <v>51</v>
      </c>
    </row>
    <row r="2898" spans="1:17" ht="18">
      <c r="A2898" s="512">
        <f t="shared" ref="A2898:A2961" si="38">A2897+1</f>
        <v>2051</v>
      </c>
      <c r="B2898" s="660" t="s">
        <v>43</v>
      </c>
      <c r="C2898" s="644" t="s">
        <v>44</v>
      </c>
      <c r="D2898" s="644" t="s">
        <v>45</v>
      </c>
      <c r="E2898" s="670" t="s">
        <v>3247</v>
      </c>
      <c r="F2898" s="577" t="s">
        <v>124</v>
      </c>
      <c r="G2898" s="577">
        <v>9847823285</v>
      </c>
      <c r="I2898" s="577">
        <v>78</v>
      </c>
      <c r="J2898" s="577" t="s">
        <v>90</v>
      </c>
      <c r="K2898" s="577" t="s">
        <v>1468</v>
      </c>
      <c r="M2898" s="571" t="s">
        <v>119</v>
      </c>
      <c r="N2898" s="745">
        <v>65044</v>
      </c>
      <c r="O2898" s="572">
        <v>65044</v>
      </c>
      <c r="P2898" s="541">
        <v>65059</v>
      </c>
      <c r="Q2898" s="533" t="s">
        <v>51</v>
      </c>
    </row>
    <row r="2899" spans="1:17" ht="18">
      <c r="A2899" s="512">
        <f t="shared" si="38"/>
        <v>2052</v>
      </c>
      <c r="B2899" s="660" t="s">
        <v>43</v>
      </c>
      <c r="C2899" s="644" t="s">
        <v>44</v>
      </c>
      <c r="D2899" s="644" t="s">
        <v>45</v>
      </c>
      <c r="E2899" s="670" t="s">
        <v>3248</v>
      </c>
      <c r="F2899" s="577" t="s">
        <v>488</v>
      </c>
      <c r="G2899" s="577">
        <v>9847978025</v>
      </c>
      <c r="I2899" s="577">
        <v>48</v>
      </c>
      <c r="J2899" s="577" t="s">
        <v>48</v>
      </c>
      <c r="K2899" s="577" t="s">
        <v>1480</v>
      </c>
      <c r="M2899" s="571" t="s">
        <v>119</v>
      </c>
      <c r="N2899" s="745">
        <v>65044</v>
      </c>
      <c r="O2899" s="572">
        <v>65044</v>
      </c>
      <c r="P2899" s="541">
        <v>65059</v>
      </c>
      <c r="Q2899" s="533" t="s">
        <v>51</v>
      </c>
    </row>
    <row r="2900" spans="1:17" ht="18">
      <c r="A2900" s="512">
        <f t="shared" si="38"/>
        <v>2053</v>
      </c>
      <c r="B2900" s="660" t="s">
        <v>43</v>
      </c>
      <c r="C2900" s="644" t="s">
        <v>44</v>
      </c>
      <c r="D2900" s="644" t="s">
        <v>45</v>
      </c>
      <c r="E2900" s="670" t="s">
        <v>3249</v>
      </c>
      <c r="F2900" s="577" t="s">
        <v>730</v>
      </c>
      <c r="G2900" s="577">
        <v>9810987189</v>
      </c>
      <c r="I2900" s="577">
        <v>37</v>
      </c>
      <c r="J2900" s="577" t="s">
        <v>48</v>
      </c>
      <c r="K2900" s="577" t="s">
        <v>1480</v>
      </c>
      <c r="M2900" s="571" t="s">
        <v>119</v>
      </c>
      <c r="N2900" s="745">
        <v>65044</v>
      </c>
      <c r="O2900" s="572">
        <v>65044</v>
      </c>
      <c r="P2900" s="541">
        <v>65059</v>
      </c>
      <c r="Q2900" s="533" t="s">
        <v>51</v>
      </c>
    </row>
    <row r="2901" spans="1:17" ht="18">
      <c r="A2901" s="512">
        <f t="shared" si="38"/>
        <v>2054</v>
      </c>
      <c r="B2901" s="660" t="s">
        <v>43</v>
      </c>
      <c r="C2901" s="644" t="s">
        <v>44</v>
      </c>
      <c r="D2901" s="644" t="s">
        <v>45</v>
      </c>
      <c r="E2901" s="670" t="s">
        <v>3250</v>
      </c>
      <c r="F2901" s="577" t="s">
        <v>1204</v>
      </c>
      <c r="G2901" s="577">
        <v>9844906858</v>
      </c>
      <c r="I2901" s="577">
        <v>32</v>
      </c>
      <c r="J2901" s="577" t="s">
        <v>90</v>
      </c>
      <c r="K2901" s="577" t="s">
        <v>53</v>
      </c>
      <c r="M2901" s="571" t="s">
        <v>119</v>
      </c>
      <c r="N2901" s="745">
        <v>65044</v>
      </c>
      <c r="O2901" s="572">
        <v>65044</v>
      </c>
      <c r="P2901" s="541">
        <v>65059</v>
      </c>
      <c r="Q2901" s="533" t="s">
        <v>51</v>
      </c>
    </row>
    <row r="2902" spans="1:17" ht="18">
      <c r="A2902" s="512">
        <f t="shared" si="38"/>
        <v>2055</v>
      </c>
      <c r="B2902" s="660" t="s">
        <v>43</v>
      </c>
      <c r="C2902" s="644" t="s">
        <v>44</v>
      </c>
      <c r="D2902" s="644" t="s">
        <v>45</v>
      </c>
      <c r="E2902" s="670" t="s">
        <v>3251</v>
      </c>
      <c r="F2902" s="577" t="s">
        <v>441</v>
      </c>
      <c r="G2902" s="577">
        <v>9848652550</v>
      </c>
      <c r="I2902" s="577">
        <v>42</v>
      </c>
      <c r="J2902" s="577" t="s">
        <v>48</v>
      </c>
      <c r="K2902" s="577" t="s">
        <v>1480</v>
      </c>
      <c r="M2902" s="571" t="s">
        <v>119</v>
      </c>
      <c r="N2902" s="745">
        <v>65044</v>
      </c>
      <c r="O2902" s="572">
        <v>65044</v>
      </c>
      <c r="P2902" s="541">
        <v>65059</v>
      </c>
      <c r="Q2902" s="533" t="s">
        <v>51</v>
      </c>
    </row>
    <row r="2903" spans="1:17" ht="18">
      <c r="A2903" s="512">
        <f t="shared" si="38"/>
        <v>2056</v>
      </c>
      <c r="B2903" s="660" t="s">
        <v>43</v>
      </c>
      <c r="C2903" s="644" t="s">
        <v>44</v>
      </c>
      <c r="D2903" s="644" t="s">
        <v>45</v>
      </c>
      <c r="E2903" s="670" t="s">
        <v>3252</v>
      </c>
      <c r="F2903" s="577" t="s">
        <v>529</v>
      </c>
      <c r="G2903" s="577">
        <v>9857825925</v>
      </c>
      <c r="I2903" s="577">
        <v>26</v>
      </c>
      <c r="J2903" s="577" t="s">
        <v>90</v>
      </c>
      <c r="K2903" s="577" t="s">
        <v>1480</v>
      </c>
      <c r="M2903" s="571" t="s">
        <v>119</v>
      </c>
      <c r="N2903" s="745">
        <v>65044</v>
      </c>
      <c r="O2903" s="572">
        <v>65044</v>
      </c>
      <c r="P2903" s="541">
        <v>65059</v>
      </c>
      <c r="Q2903" s="533" t="s">
        <v>51</v>
      </c>
    </row>
    <row r="2904" spans="1:17" ht="18">
      <c r="A2904" s="512">
        <f t="shared" si="38"/>
        <v>2057</v>
      </c>
      <c r="B2904" s="660" t="s">
        <v>43</v>
      </c>
      <c r="C2904" s="644" t="s">
        <v>44</v>
      </c>
      <c r="D2904" s="644" t="s">
        <v>45</v>
      </c>
      <c r="E2904" s="670" t="s">
        <v>3253</v>
      </c>
      <c r="F2904" s="577" t="s">
        <v>124</v>
      </c>
      <c r="G2904" s="577">
        <v>9829552037</v>
      </c>
      <c r="I2904" s="577">
        <v>22</v>
      </c>
      <c r="J2904" s="577" t="s">
        <v>90</v>
      </c>
      <c r="K2904" s="577" t="s">
        <v>1480</v>
      </c>
      <c r="M2904" s="571" t="s">
        <v>119</v>
      </c>
      <c r="N2904" s="745">
        <v>65044</v>
      </c>
      <c r="O2904" s="572">
        <v>65044</v>
      </c>
      <c r="P2904" s="541">
        <v>65059</v>
      </c>
      <c r="Q2904" s="533" t="s">
        <v>51</v>
      </c>
    </row>
    <row r="2905" spans="1:17" ht="18">
      <c r="A2905" s="512">
        <f t="shared" si="38"/>
        <v>2058</v>
      </c>
      <c r="B2905" s="660" t="s">
        <v>43</v>
      </c>
      <c r="C2905" s="644" t="s">
        <v>44</v>
      </c>
      <c r="D2905" s="644" t="s">
        <v>45</v>
      </c>
      <c r="E2905" s="670" t="s">
        <v>3254</v>
      </c>
      <c r="F2905" s="577" t="s">
        <v>557</v>
      </c>
      <c r="G2905" s="577">
        <v>9847860365</v>
      </c>
      <c r="I2905" s="577">
        <v>32</v>
      </c>
      <c r="J2905" s="577" t="s">
        <v>90</v>
      </c>
      <c r="K2905" s="577" t="s">
        <v>1480</v>
      </c>
      <c r="M2905" s="571" t="s">
        <v>119</v>
      </c>
      <c r="N2905" s="745">
        <v>65044</v>
      </c>
      <c r="O2905" s="572">
        <v>65044</v>
      </c>
      <c r="P2905" s="541">
        <v>65059</v>
      </c>
      <c r="Q2905" s="533" t="s">
        <v>51</v>
      </c>
    </row>
    <row r="2906" spans="1:17" ht="18">
      <c r="A2906" s="512">
        <f t="shared" si="38"/>
        <v>2059</v>
      </c>
      <c r="B2906" s="660" t="s">
        <v>43</v>
      </c>
      <c r="C2906" s="644" t="s">
        <v>44</v>
      </c>
      <c r="D2906" s="644" t="s">
        <v>45</v>
      </c>
      <c r="E2906" s="670" t="s">
        <v>3255</v>
      </c>
      <c r="F2906" s="577" t="s">
        <v>730</v>
      </c>
      <c r="G2906" s="577">
        <v>9843406572</v>
      </c>
      <c r="I2906" s="577">
        <v>40</v>
      </c>
      <c r="J2906" s="577" t="s">
        <v>90</v>
      </c>
      <c r="K2906" s="577" t="s">
        <v>53</v>
      </c>
      <c r="M2906" s="571" t="s">
        <v>119</v>
      </c>
      <c r="N2906" s="745">
        <v>65044</v>
      </c>
      <c r="O2906" s="572">
        <v>65044</v>
      </c>
      <c r="P2906" s="541">
        <v>65059</v>
      </c>
      <c r="Q2906" s="533" t="s">
        <v>51</v>
      </c>
    </row>
    <row r="2907" spans="1:17" ht="18">
      <c r="A2907" s="512">
        <f t="shared" si="38"/>
        <v>2060</v>
      </c>
      <c r="B2907" s="660" t="s">
        <v>43</v>
      </c>
      <c r="C2907" s="644" t="s">
        <v>44</v>
      </c>
      <c r="D2907" s="644" t="s">
        <v>45</v>
      </c>
      <c r="E2907" s="670" t="s">
        <v>3256</v>
      </c>
      <c r="F2907" s="577" t="s">
        <v>441</v>
      </c>
      <c r="G2907" s="577">
        <v>9866828328</v>
      </c>
      <c r="I2907" s="577">
        <v>25</v>
      </c>
      <c r="J2907" s="577" t="s">
        <v>90</v>
      </c>
      <c r="K2907" s="577" t="s">
        <v>1468</v>
      </c>
      <c r="M2907" s="571" t="s">
        <v>119</v>
      </c>
      <c r="N2907" s="745">
        <v>65044</v>
      </c>
      <c r="O2907" s="572">
        <v>65044</v>
      </c>
      <c r="P2907" s="541">
        <v>65059</v>
      </c>
      <c r="Q2907" s="533" t="s">
        <v>51</v>
      </c>
    </row>
    <row r="2908" spans="1:17" ht="18">
      <c r="A2908" s="512">
        <f t="shared" si="38"/>
        <v>2061</v>
      </c>
      <c r="B2908" s="660" t="s">
        <v>43</v>
      </c>
      <c r="C2908" s="644" t="s">
        <v>44</v>
      </c>
      <c r="D2908" s="644" t="s">
        <v>45</v>
      </c>
      <c r="E2908" s="670" t="s">
        <v>3257</v>
      </c>
      <c r="F2908" s="577" t="s">
        <v>415</v>
      </c>
      <c r="G2908" s="577">
        <v>9810887089</v>
      </c>
      <c r="I2908" s="577">
        <v>59</v>
      </c>
      <c r="J2908" s="577" t="s">
        <v>48</v>
      </c>
      <c r="K2908" s="577" t="s">
        <v>3289</v>
      </c>
      <c r="M2908" s="571" t="s">
        <v>119</v>
      </c>
      <c r="N2908" s="745">
        <v>65044</v>
      </c>
      <c r="O2908" s="572">
        <v>65044</v>
      </c>
      <c r="P2908" s="541">
        <v>65059</v>
      </c>
      <c r="Q2908" s="533" t="s">
        <v>51</v>
      </c>
    </row>
    <row r="2909" spans="1:17" ht="18">
      <c r="A2909" s="512">
        <f t="shared" si="38"/>
        <v>2062</v>
      </c>
      <c r="B2909" s="660" t="s">
        <v>43</v>
      </c>
      <c r="C2909" s="644" t="s">
        <v>44</v>
      </c>
      <c r="D2909" s="644" t="s">
        <v>45</v>
      </c>
      <c r="E2909" s="670" t="s">
        <v>3258</v>
      </c>
      <c r="F2909" s="577" t="s">
        <v>1204</v>
      </c>
      <c r="G2909" s="577">
        <v>9843843902</v>
      </c>
      <c r="I2909" s="577">
        <v>27</v>
      </c>
      <c r="J2909" s="577" t="s">
        <v>90</v>
      </c>
      <c r="K2909" s="577" t="s">
        <v>53</v>
      </c>
      <c r="M2909" s="571" t="s">
        <v>119</v>
      </c>
      <c r="N2909" s="745">
        <v>65044</v>
      </c>
      <c r="O2909" s="572">
        <v>65044</v>
      </c>
      <c r="P2909" s="541">
        <v>65059</v>
      </c>
      <c r="Q2909" s="533" t="s">
        <v>51</v>
      </c>
    </row>
    <row r="2910" spans="1:17" ht="18">
      <c r="A2910" s="512">
        <f t="shared" si="38"/>
        <v>2063</v>
      </c>
      <c r="B2910" s="660" t="s">
        <v>43</v>
      </c>
      <c r="C2910" s="644" t="s">
        <v>44</v>
      </c>
      <c r="D2910" s="644" t="s">
        <v>45</v>
      </c>
      <c r="E2910" s="670" t="s">
        <v>3259</v>
      </c>
      <c r="F2910" s="577" t="s">
        <v>730</v>
      </c>
      <c r="G2910" s="577">
        <v>9809822763</v>
      </c>
      <c r="I2910" s="577">
        <v>20</v>
      </c>
      <c r="J2910" s="577" t="s">
        <v>48</v>
      </c>
      <c r="K2910" s="577" t="s">
        <v>53</v>
      </c>
      <c r="M2910" s="571" t="s">
        <v>119</v>
      </c>
      <c r="N2910" s="745">
        <v>65044</v>
      </c>
      <c r="O2910" s="572">
        <v>65044</v>
      </c>
      <c r="P2910" s="541">
        <v>65059</v>
      </c>
      <c r="Q2910" s="533" t="s">
        <v>51</v>
      </c>
    </row>
    <row r="2911" spans="1:17" ht="18">
      <c r="A2911" s="512">
        <f t="shared" si="38"/>
        <v>2064</v>
      </c>
      <c r="B2911" s="660" t="s">
        <v>43</v>
      </c>
      <c r="C2911" s="644" t="s">
        <v>44</v>
      </c>
      <c r="D2911" s="644" t="s">
        <v>45</v>
      </c>
      <c r="E2911" s="670" t="s">
        <v>3260</v>
      </c>
      <c r="F2911" s="577" t="s">
        <v>730</v>
      </c>
      <c r="G2911" s="577">
        <v>9809822763</v>
      </c>
      <c r="I2911" s="577">
        <v>16</v>
      </c>
      <c r="J2911" s="577" t="s">
        <v>90</v>
      </c>
      <c r="K2911" s="577" t="s">
        <v>53</v>
      </c>
      <c r="M2911" s="571" t="s">
        <v>119</v>
      </c>
      <c r="N2911" s="745">
        <v>65044</v>
      </c>
      <c r="O2911" s="572">
        <v>65044</v>
      </c>
      <c r="P2911" s="541">
        <v>65059</v>
      </c>
      <c r="Q2911" s="533" t="s">
        <v>51</v>
      </c>
    </row>
    <row r="2912" spans="1:17" ht="18">
      <c r="A2912" s="512">
        <f t="shared" si="38"/>
        <v>2065</v>
      </c>
      <c r="B2912" s="660" t="s">
        <v>43</v>
      </c>
      <c r="C2912" s="644" t="s">
        <v>44</v>
      </c>
      <c r="D2912" s="644" t="s">
        <v>45</v>
      </c>
      <c r="E2912" s="670" t="s">
        <v>3261</v>
      </c>
      <c r="F2912" s="577" t="s">
        <v>730</v>
      </c>
      <c r="G2912" s="577">
        <v>9809822763</v>
      </c>
      <c r="I2912" s="577">
        <v>8</v>
      </c>
      <c r="J2912" s="577" t="s">
        <v>48</v>
      </c>
      <c r="K2912" s="577" t="s">
        <v>53</v>
      </c>
      <c r="M2912" s="571" t="s">
        <v>119</v>
      </c>
      <c r="N2912" s="745">
        <v>65044</v>
      </c>
      <c r="O2912" s="572">
        <v>65044</v>
      </c>
      <c r="P2912" s="541">
        <v>65059</v>
      </c>
      <c r="Q2912" s="533" t="s">
        <v>51</v>
      </c>
    </row>
    <row r="2913" spans="1:17" ht="18">
      <c r="A2913" s="512">
        <f t="shared" si="38"/>
        <v>2066</v>
      </c>
      <c r="B2913" s="660" t="s">
        <v>43</v>
      </c>
      <c r="C2913" s="644" t="s">
        <v>44</v>
      </c>
      <c r="D2913" s="644" t="s">
        <v>45</v>
      </c>
      <c r="E2913" s="670" t="s">
        <v>3262</v>
      </c>
      <c r="F2913" s="577" t="s">
        <v>441</v>
      </c>
      <c r="G2913" s="577">
        <v>9868663656</v>
      </c>
      <c r="I2913" s="577">
        <v>23</v>
      </c>
      <c r="J2913" s="577" t="s">
        <v>48</v>
      </c>
      <c r="K2913" s="577" t="s">
        <v>1468</v>
      </c>
      <c r="M2913" s="571" t="s">
        <v>119</v>
      </c>
      <c r="N2913" s="745">
        <v>65044</v>
      </c>
      <c r="O2913" s="572">
        <v>65044</v>
      </c>
      <c r="P2913" s="541">
        <v>65059</v>
      </c>
      <c r="Q2913" s="533" t="s">
        <v>51</v>
      </c>
    </row>
    <row r="2914" spans="1:17" ht="18">
      <c r="A2914" s="512">
        <f t="shared" si="38"/>
        <v>2067</v>
      </c>
      <c r="B2914" s="660" t="s">
        <v>43</v>
      </c>
      <c r="C2914" s="644" t="s">
        <v>44</v>
      </c>
      <c r="D2914" s="644" t="s">
        <v>45</v>
      </c>
      <c r="E2914" s="670" t="s">
        <v>3263</v>
      </c>
      <c r="F2914" s="577" t="s">
        <v>529</v>
      </c>
      <c r="G2914" s="577">
        <v>9857890107</v>
      </c>
      <c r="I2914" s="577">
        <v>24</v>
      </c>
      <c r="J2914" s="577" t="s">
        <v>48</v>
      </c>
      <c r="K2914" s="577" t="s">
        <v>3289</v>
      </c>
      <c r="M2914" s="571" t="s">
        <v>119</v>
      </c>
      <c r="N2914" s="745">
        <v>65044</v>
      </c>
      <c r="O2914" s="572">
        <v>65044</v>
      </c>
      <c r="P2914" s="541">
        <v>65059</v>
      </c>
      <c r="Q2914" s="533" t="s">
        <v>51</v>
      </c>
    </row>
    <row r="2915" spans="1:17" ht="18">
      <c r="A2915" s="512">
        <f t="shared" si="38"/>
        <v>2068</v>
      </c>
      <c r="B2915" s="660" t="s">
        <v>43</v>
      </c>
      <c r="C2915" s="644" t="s">
        <v>44</v>
      </c>
      <c r="D2915" s="644" t="s">
        <v>45</v>
      </c>
      <c r="E2915" s="670" t="s">
        <v>3264</v>
      </c>
      <c r="F2915" s="577" t="s">
        <v>1008</v>
      </c>
      <c r="G2915" s="577">
        <v>9868372533</v>
      </c>
      <c r="I2915" s="577">
        <v>30</v>
      </c>
      <c r="J2915" s="577" t="s">
        <v>48</v>
      </c>
      <c r="K2915" s="577" t="s">
        <v>53</v>
      </c>
      <c r="M2915" s="571" t="s">
        <v>119</v>
      </c>
      <c r="N2915" s="745">
        <v>65044</v>
      </c>
      <c r="O2915" s="572">
        <v>65044</v>
      </c>
      <c r="P2915" s="541">
        <v>65059</v>
      </c>
      <c r="Q2915" s="533" t="s">
        <v>51</v>
      </c>
    </row>
    <row r="2916" spans="1:17" ht="18">
      <c r="A2916" s="512">
        <f t="shared" si="38"/>
        <v>2069</v>
      </c>
      <c r="B2916" s="660" t="s">
        <v>43</v>
      </c>
      <c r="C2916" s="644" t="s">
        <v>44</v>
      </c>
      <c r="D2916" s="644" t="s">
        <v>45</v>
      </c>
      <c r="E2916" s="670" t="s">
        <v>3265</v>
      </c>
      <c r="F2916" s="577" t="s">
        <v>502</v>
      </c>
      <c r="G2916" s="577">
        <v>9844934220</v>
      </c>
      <c r="I2916" s="577">
        <v>27</v>
      </c>
      <c r="J2916" s="577" t="s">
        <v>48</v>
      </c>
      <c r="K2916" s="577" t="s">
        <v>53</v>
      </c>
      <c r="M2916" s="571" t="s">
        <v>119</v>
      </c>
      <c r="N2916" s="745">
        <v>65044</v>
      </c>
      <c r="O2916" s="572">
        <v>65044</v>
      </c>
      <c r="P2916" s="541">
        <v>65059</v>
      </c>
      <c r="Q2916" s="533" t="s">
        <v>51</v>
      </c>
    </row>
    <row r="2917" spans="1:17" ht="18">
      <c r="A2917" s="512">
        <f t="shared" si="38"/>
        <v>2070</v>
      </c>
      <c r="B2917" s="660" t="s">
        <v>43</v>
      </c>
      <c r="C2917" s="644" t="s">
        <v>44</v>
      </c>
      <c r="D2917" s="644" t="s">
        <v>45</v>
      </c>
      <c r="E2917" s="670" t="s">
        <v>3266</v>
      </c>
      <c r="F2917" s="577" t="s">
        <v>441</v>
      </c>
      <c r="G2917" s="577">
        <v>9866843394</v>
      </c>
      <c r="I2917" s="577">
        <v>22</v>
      </c>
      <c r="J2917" s="577" t="s">
        <v>90</v>
      </c>
      <c r="K2917" s="577" t="s">
        <v>53</v>
      </c>
      <c r="M2917" s="571" t="s">
        <v>119</v>
      </c>
      <c r="N2917" s="745">
        <v>65044</v>
      </c>
      <c r="O2917" s="572">
        <v>65044</v>
      </c>
      <c r="P2917" s="541">
        <v>65059</v>
      </c>
      <c r="Q2917" s="533" t="s">
        <v>51</v>
      </c>
    </row>
    <row r="2918" spans="1:17" ht="18">
      <c r="A2918" s="512">
        <f t="shared" si="38"/>
        <v>2071</v>
      </c>
      <c r="B2918" s="660" t="s">
        <v>43</v>
      </c>
      <c r="C2918" s="644" t="s">
        <v>44</v>
      </c>
      <c r="D2918" s="644" t="s">
        <v>45</v>
      </c>
      <c r="E2918" s="670" t="s">
        <v>3267</v>
      </c>
      <c r="F2918" s="577" t="s">
        <v>730</v>
      </c>
      <c r="G2918" s="577">
        <v>9847832367</v>
      </c>
      <c r="I2918" s="577">
        <v>65</v>
      </c>
      <c r="J2918" s="577" t="s">
        <v>48</v>
      </c>
      <c r="K2918" s="577" t="s">
        <v>53</v>
      </c>
      <c r="M2918" s="571" t="s">
        <v>119</v>
      </c>
      <c r="N2918" s="745">
        <v>65044</v>
      </c>
      <c r="O2918" s="572">
        <v>65044</v>
      </c>
      <c r="P2918" s="541">
        <v>65059</v>
      </c>
      <c r="Q2918" s="533" t="s">
        <v>51</v>
      </c>
    </row>
    <row r="2919" spans="1:17" ht="18">
      <c r="A2919" s="512">
        <f t="shared" si="38"/>
        <v>2072</v>
      </c>
      <c r="B2919" s="660" t="s">
        <v>43</v>
      </c>
      <c r="C2919" s="644" t="s">
        <v>44</v>
      </c>
      <c r="D2919" s="644" t="s">
        <v>45</v>
      </c>
      <c r="E2919" s="670" t="s">
        <v>3268</v>
      </c>
      <c r="F2919" s="577" t="s">
        <v>1046</v>
      </c>
      <c r="G2919" s="577">
        <v>9812496419</v>
      </c>
      <c r="I2919" s="577">
        <v>25</v>
      </c>
      <c r="J2919" s="577" t="s">
        <v>48</v>
      </c>
      <c r="K2919" s="577" t="s">
        <v>53</v>
      </c>
      <c r="M2919" s="571" t="s">
        <v>119</v>
      </c>
      <c r="N2919" s="745">
        <v>65044</v>
      </c>
      <c r="O2919" s="572">
        <v>65044</v>
      </c>
      <c r="P2919" s="541">
        <v>65059</v>
      </c>
      <c r="Q2919" s="533" t="s">
        <v>51</v>
      </c>
    </row>
    <row r="2920" spans="1:17" ht="18">
      <c r="A2920" s="512">
        <f t="shared" si="38"/>
        <v>2073</v>
      </c>
      <c r="B2920" s="660" t="s">
        <v>43</v>
      </c>
      <c r="C2920" s="644" t="s">
        <v>44</v>
      </c>
      <c r="D2920" s="644" t="s">
        <v>45</v>
      </c>
      <c r="E2920" s="670" t="s">
        <v>3269</v>
      </c>
      <c r="F2920" s="577" t="s">
        <v>617</v>
      </c>
      <c r="G2920" s="577">
        <v>9848423482</v>
      </c>
      <c r="I2920" s="577">
        <v>53</v>
      </c>
      <c r="J2920" s="577" t="s">
        <v>48</v>
      </c>
      <c r="K2920" s="577" t="s">
        <v>1468</v>
      </c>
      <c r="M2920" s="571" t="s">
        <v>119</v>
      </c>
      <c r="N2920" s="745">
        <v>65044</v>
      </c>
      <c r="O2920" s="572">
        <v>65044</v>
      </c>
      <c r="P2920" s="541">
        <v>65059</v>
      </c>
      <c r="Q2920" s="533" t="s">
        <v>51</v>
      </c>
    </row>
    <row r="2921" spans="1:17" ht="18">
      <c r="A2921" s="512">
        <f t="shared" si="38"/>
        <v>2074</v>
      </c>
      <c r="B2921" s="660" t="s">
        <v>43</v>
      </c>
      <c r="C2921" s="644" t="s">
        <v>44</v>
      </c>
      <c r="D2921" s="644" t="s">
        <v>45</v>
      </c>
      <c r="E2921" s="670" t="s">
        <v>3270</v>
      </c>
      <c r="F2921" s="577" t="s">
        <v>491</v>
      </c>
      <c r="G2921" s="577">
        <v>9801347929</v>
      </c>
      <c r="I2921" s="577">
        <v>35</v>
      </c>
      <c r="J2921" s="577" t="s">
        <v>90</v>
      </c>
      <c r="K2921" s="577" t="s">
        <v>53</v>
      </c>
      <c r="M2921" s="571" t="s">
        <v>119</v>
      </c>
      <c r="N2921" s="745">
        <v>65044</v>
      </c>
      <c r="O2921" s="572">
        <v>65044</v>
      </c>
      <c r="P2921" s="541">
        <v>65059</v>
      </c>
      <c r="Q2921" s="533" t="s">
        <v>51</v>
      </c>
    </row>
    <row r="2922" spans="1:17" ht="18">
      <c r="A2922" s="512">
        <f t="shared" si="38"/>
        <v>2075</v>
      </c>
      <c r="B2922" s="660" t="s">
        <v>43</v>
      </c>
      <c r="C2922" s="644" t="s">
        <v>44</v>
      </c>
      <c r="D2922" s="644" t="s">
        <v>45</v>
      </c>
      <c r="E2922" s="670" t="s">
        <v>3271</v>
      </c>
      <c r="F2922" s="577" t="s">
        <v>491</v>
      </c>
      <c r="G2922" s="577">
        <v>9847100938</v>
      </c>
      <c r="I2922" s="577">
        <v>35</v>
      </c>
      <c r="J2922" s="577" t="s">
        <v>48</v>
      </c>
      <c r="K2922" s="577" t="s">
        <v>1480</v>
      </c>
      <c r="M2922" s="571" t="s">
        <v>119</v>
      </c>
      <c r="N2922" s="745">
        <v>65044</v>
      </c>
      <c r="O2922" s="572">
        <v>65044</v>
      </c>
      <c r="P2922" s="541">
        <v>65059</v>
      </c>
      <c r="Q2922" s="533" t="s">
        <v>51</v>
      </c>
    </row>
    <row r="2923" spans="1:17" ht="18">
      <c r="A2923" s="512">
        <f t="shared" si="38"/>
        <v>2076</v>
      </c>
      <c r="B2923" s="660" t="s">
        <v>43</v>
      </c>
      <c r="C2923" s="644" t="s">
        <v>44</v>
      </c>
      <c r="D2923" s="644" t="s">
        <v>45</v>
      </c>
      <c r="E2923" s="670" t="s">
        <v>3272</v>
      </c>
      <c r="F2923" s="577" t="s">
        <v>441</v>
      </c>
      <c r="G2923" s="577">
        <v>9847888089</v>
      </c>
      <c r="I2923" s="577">
        <v>59</v>
      </c>
      <c r="J2923" s="577" t="s">
        <v>48</v>
      </c>
      <c r="K2923" s="577" t="s">
        <v>1468</v>
      </c>
      <c r="M2923" s="571" t="s">
        <v>119</v>
      </c>
      <c r="N2923" s="745">
        <v>65044</v>
      </c>
      <c r="O2923" s="572">
        <v>65044</v>
      </c>
      <c r="P2923" s="541">
        <v>65059</v>
      </c>
      <c r="Q2923" s="533" t="s">
        <v>51</v>
      </c>
    </row>
    <row r="2924" spans="1:17" ht="18">
      <c r="A2924" s="512">
        <f t="shared" si="38"/>
        <v>2077</v>
      </c>
      <c r="B2924" s="660" t="s">
        <v>43</v>
      </c>
      <c r="C2924" s="644" t="s">
        <v>44</v>
      </c>
      <c r="D2924" s="644" t="s">
        <v>45</v>
      </c>
      <c r="E2924" s="670" t="s">
        <v>3273</v>
      </c>
      <c r="F2924" s="577" t="s">
        <v>512</v>
      </c>
      <c r="G2924" s="577">
        <v>9803131049</v>
      </c>
      <c r="I2924" s="577">
        <v>47</v>
      </c>
      <c r="J2924" s="577" t="s">
        <v>48</v>
      </c>
      <c r="K2924" s="577" t="s">
        <v>1468</v>
      </c>
      <c r="M2924" s="571" t="s">
        <v>119</v>
      </c>
      <c r="N2924" s="745">
        <v>65044</v>
      </c>
      <c r="O2924" s="572">
        <v>65044</v>
      </c>
      <c r="P2924" s="541">
        <v>65059</v>
      </c>
      <c r="Q2924" s="533" t="s">
        <v>51</v>
      </c>
    </row>
    <row r="2925" spans="1:17" ht="18">
      <c r="A2925" s="512">
        <f t="shared" si="38"/>
        <v>2078</v>
      </c>
      <c r="B2925" s="660" t="s">
        <v>43</v>
      </c>
      <c r="C2925" s="644" t="s">
        <v>44</v>
      </c>
      <c r="D2925" s="644" t="s">
        <v>45</v>
      </c>
      <c r="E2925" s="670" t="s">
        <v>3274</v>
      </c>
      <c r="F2925" s="577" t="s">
        <v>491</v>
      </c>
      <c r="G2925" s="577">
        <v>9844988333</v>
      </c>
      <c r="I2925" s="577">
        <v>50</v>
      </c>
      <c r="J2925" s="577" t="s">
        <v>90</v>
      </c>
      <c r="K2925" s="577" t="s">
        <v>1468</v>
      </c>
      <c r="M2925" s="571" t="s">
        <v>119</v>
      </c>
      <c r="N2925" s="745">
        <v>65044</v>
      </c>
      <c r="O2925" s="572">
        <v>65044</v>
      </c>
      <c r="P2925" s="541">
        <v>65059</v>
      </c>
      <c r="Q2925" s="533" t="s">
        <v>51</v>
      </c>
    </row>
    <row r="2926" spans="1:17" ht="18">
      <c r="A2926" s="512">
        <f t="shared" si="38"/>
        <v>2079</v>
      </c>
      <c r="B2926" s="660" t="s">
        <v>43</v>
      </c>
      <c r="C2926" s="644" t="s">
        <v>44</v>
      </c>
      <c r="D2926" s="644" t="s">
        <v>45</v>
      </c>
      <c r="E2926" s="670" t="s">
        <v>3275</v>
      </c>
      <c r="F2926" s="577" t="s">
        <v>491</v>
      </c>
      <c r="G2926" s="577">
        <v>9847831522</v>
      </c>
      <c r="I2926" s="577">
        <v>32</v>
      </c>
      <c r="J2926" s="577" t="s">
        <v>48</v>
      </c>
      <c r="K2926" s="577" t="s">
        <v>1480</v>
      </c>
      <c r="M2926" s="571" t="s">
        <v>119</v>
      </c>
      <c r="N2926" s="745">
        <v>65044</v>
      </c>
      <c r="O2926" s="572">
        <v>65044</v>
      </c>
      <c r="P2926" s="541">
        <v>65059</v>
      </c>
      <c r="Q2926" s="533" t="s">
        <v>51</v>
      </c>
    </row>
    <row r="2927" spans="1:17" ht="18">
      <c r="A2927" s="512">
        <f t="shared" si="38"/>
        <v>2080</v>
      </c>
      <c r="B2927" s="660" t="s">
        <v>43</v>
      </c>
      <c r="C2927" s="644" t="s">
        <v>44</v>
      </c>
      <c r="D2927" s="644" t="s">
        <v>45</v>
      </c>
      <c r="E2927" s="670" t="s">
        <v>3276</v>
      </c>
      <c r="F2927" s="577" t="s">
        <v>491</v>
      </c>
      <c r="G2927" s="577">
        <v>9801347929</v>
      </c>
      <c r="I2927" s="577">
        <v>63</v>
      </c>
      <c r="J2927" s="577" t="s">
        <v>90</v>
      </c>
      <c r="K2927" s="577" t="s">
        <v>53</v>
      </c>
      <c r="M2927" s="571" t="s">
        <v>119</v>
      </c>
      <c r="N2927" s="745">
        <v>65044</v>
      </c>
      <c r="O2927" s="572">
        <v>65044</v>
      </c>
      <c r="P2927" s="541">
        <v>65059</v>
      </c>
      <c r="Q2927" s="533" t="s">
        <v>51</v>
      </c>
    </row>
    <row r="2928" spans="1:17" ht="18">
      <c r="A2928" s="512">
        <f t="shared" si="38"/>
        <v>2081</v>
      </c>
      <c r="B2928" s="660" t="s">
        <v>43</v>
      </c>
      <c r="C2928" s="644" t="s">
        <v>44</v>
      </c>
      <c r="D2928" s="644" t="s">
        <v>45</v>
      </c>
      <c r="E2928" s="670" t="s">
        <v>2560</v>
      </c>
      <c r="F2928" s="577" t="s">
        <v>124</v>
      </c>
      <c r="G2928" s="577">
        <v>9844988046</v>
      </c>
      <c r="I2928" s="577">
        <v>51</v>
      </c>
      <c r="J2928" s="577" t="s">
        <v>90</v>
      </c>
      <c r="K2928" s="577" t="s">
        <v>1468</v>
      </c>
      <c r="M2928" s="571" t="s">
        <v>119</v>
      </c>
      <c r="N2928" s="745">
        <v>65044</v>
      </c>
      <c r="O2928" s="572">
        <v>65044</v>
      </c>
      <c r="P2928" s="541">
        <v>65059</v>
      </c>
      <c r="Q2928" s="533" t="s">
        <v>51</v>
      </c>
    </row>
    <row r="2929" spans="1:17" ht="18">
      <c r="A2929" s="512">
        <f t="shared" si="38"/>
        <v>2082</v>
      </c>
      <c r="B2929" s="660" t="s">
        <v>43</v>
      </c>
      <c r="C2929" s="644" t="s">
        <v>44</v>
      </c>
      <c r="D2929" s="644" t="s">
        <v>45</v>
      </c>
      <c r="E2929" s="670" t="s">
        <v>3028</v>
      </c>
      <c r="F2929" s="577" t="s">
        <v>730</v>
      </c>
      <c r="G2929" s="577">
        <v>9844953938</v>
      </c>
      <c r="I2929" s="577">
        <v>27</v>
      </c>
      <c r="J2929" s="577" t="s">
        <v>48</v>
      </c>
      <c r="K2929" s="577" t="s">
        <v>1480</v>
      </c>
      <c r="M2929" s="571" t="s">
        <v>119</v>
      </c>
      <c r="N2929" s="745">
        <v>65044</v>
      </c>
      <c r="O2929" s="572">
        <v>65044</v>
      </c>
      <c r="P2929" s="541">
        <v>65059</v>
      </c>
      <c r="Q2929" s="533" t="s">
        <v>51</v>
      </c>
    </row>
    <row r="2930" spans="1:17" ht="18">
      <c r="A2930" s="512">
        <f t="shared" si="38"/>
        <v>2083</v>
      </c>
      <c r="B2930" s="660" t="s">
        <v>43</v>
      </c>
      <c r="C2930" s="644" t="s">
        <v>44</v>
      </c>
      <c r="D2930" s="644" t="s">
        <v>45</v>
      </c>
      <c r="E2930" s="670" t="s">
        <v>3277</v>
      </c>
      <c r="F2930" s="577" t="s">
        <v>510</v>
      </c>
      <c r="G2930" s="577">
        <v>9841539996</v>
      </c>
      <c r="I2930" s="577">
        <v>22</v>
      </c>
      <c r="J2930" s="577" t="s">
        <v>90</v>
      </c>
      <c r="K2930" s="577" t="s">
        <v>1468</v>
      </c>
      <c r="M2930" s="571" t="s">
        <v>119</v>
      </c>
      <c r="N2930" s="745">
        <v>65044</v>
      </c>
      <c r="O2930" s="572">
        <v>65044</v>
      </c>
      <c r="P2930" s="541">
        <v>65059</v>
      </c>
      <c r="Q2930" s="533" t="s">
        <v>51</v>
      </c>
    </row>
    <row r="2931" spans="1:17" ht="18">
      <c r="A2931" s="512">
        <f t="shared" si="38"/>
        <v>2084</v>
      </c>
      <c r="B2931" s="660" t="s">
        <v>43</v>
      </c>
      <c r="C2931" s="644" t="s">
        <v>44</v>
      </c>
      <c r="D2931" s="644" t="s">
        <v>45</v>
      </c>
      <c r="E2931" s="670" t="s">
        <v>3278</v>
      </c>
      <c r="F2931" s="577" t="s">
        <v>730</v>
      </c>
      <c r="G2931" s="577">
        <v>9847891034</v>
      </c>
      <c r="I2931" s="577">
        <v>62</v>
      </c>
      <c r="J2931" s="577" t="s">
        <v>48</v>
      </c>
      <c r="K2931" s="577" t="s">
        <v>53</v>
      </c>
      <c r="M2931" s="571" t="s">
        <v>119</v>
      </c>
      <c r="N2931" s="745">
        <v>65044</v>
      </c>
      <c r="O2931" s="572">
        <v>65044</v>
      </c>
      <c r="P2931" s="541">
        <v>65059</v>
      </c>
      <c r="Q2931" s="533" t="s">
        <v>51</v>
      </c>
    </row>
    <row r="2932" spans="1:17" ht="18">
      <c r="A2932" s="512">
        <f t="shared" si="38"/>
        <v>2085</v>
      </c>
      <c r="B2932" s="660" t="s">
        <v>43</v>
      </c>
      <c r="C2932" s="644" t="s">
        <v>44</v>
      </c>
      <c r="D2932" s="644" t="s">
        <v>45</v>
      </c>
      <c r="E2932" s="670" t="s">
        <v>3279</v>
      </c>
      <c r="F2932" s="577" t="s">
        <v>124</v>
      </c>
      <c r="G2932" s="577">
        <v>9847990339</v>
      </c>
      <c r="I2932" s="577">
        <v>46</v>
      </c>
      <c r="J2932" s="577" t="s">
        <v>90</v>
      </c>
      <c r="K2932" s="577" t="s">
        <v>1480</v>
      </c>
      <c r="M2932" s="571" t="s">
        <v>119</v>
      </c>
      <c r="N2932" s="745">
        <v>65044</v>
      </c>
      <c r="O2932" s="572">
        <v>65044</v>
      </c>
      <c r="P2932" s="541">
        <v>65059</v>
      </c>
      <c r="Q2932" s="533" t="s">
        <v>51</v>
      </c>
    </row>
    <row r="2933" spans="1:17" ht="18">
      <c r="A2933" s="512">
        <f t="shared" si="38"/>
        <v>2086</v>
      </c>
      <c r="B2933" s="660" t="s">
        <v>43</v>
      </c>
      <c r="C2933" s="644" t="s">
        <v>44</v>
      </c>
      <c r="D2933" s="644" t="s">
        <v>45</v>
      </c>
      <c r="E2933" s="670" t="s">
        <v>3280</v>
      </c>
      <c r="F2933" s="577" t="s">
        <v>730</v>
      </c>
      <c r="G2933" s="577">
        <v>9810989679</v>
      </c>
      <c r="I2933" s="577">
        <v>44</v>
      </c>
      <c r="J2933" s="577" t="s">
        <v>90</v>
      </c>
      <c r="K2933" s="577" t="s">
        <v>53</v>
      </c>
      <c r="M2933" s="571" t="s">
        <v>119</v>
      </c>
      <c r="N2933" s="745">
        <v>65044</v>
      </c>
      <c r="O2933" s="572">
        <v>65044</v>
      </c>
      <c r="P2933" s="541">
        <v>65059</v>
      </c>
      <c r="Q2933" s="533" t="s">
        <v>51</v>
      </c>
    </row>
    <row r="2934" spans="1:17" ht="18">
      <c r="A2934" s="512">
        <f t="shared" si="38"/>
        <v>2087</v>
      </c>
      <c r="B2934" s="660" t="s">
        <v>43</v>
      </c>
      <c r="C2934" s="644" t="s">
        <v>44</v>
      </c>
      <c r="D2934" s="644" t="s">
        <v>45</v>
      </c>
      <c r="E2934" s="670" t="s">
        <v>3281</v>
      </c>
      <c r="F2934" s="577" t="s">
        <v>529</v>
      </c>
      <c r="G2934" s="577">
        <v>9847828222</v>
      </c>
      <c r="I2934" s="577">
        <v>71</v>
      </c>
      <c r="J2934" s="577" t="s">
        <v>48</v>
      </c>
      <c r="K2934" s="577" t="s">
        <v>1468</v>
      </c>
      <c r="M2934" s="571" t="s">
        <v>119</v>
      </c>
      <c r="N2934" s="745">
        <v>65044</v>
      </c>
      <c r="O2934" s="572">
        <v>65044</v>
      </c>
      <c r="P2934" s="541">
        <v>65059</v>
      </c>
      <c r="Q2934" s="533" t="s">
        <v>51</v>
      </c>
    </row>
    <row r="2935" spans="1:17" ht="18">
      <c r="A2935" s="512">
        <f t="shared" si="38"/>
        <v>2088</v>
      </c>
      <c r="B2935" s="660" t="s">
        <v>43</v>
      </c>
      <c r="C2935" s="644" t="s">
        <v>44</v>
      </c>
      <c r="D2935" s="644" t="s">
        <v>45</v>
      </c>
      <c r="E2935" s="670" t="s">
        <v>3282</v>
      </c>
      <c r="F2935" s="577" t="s">
        <v>502</v>
      </c>
      <c r="G2935" s="577">
        <v>9860495753</v>
      </c>
      <c r="I2935" s="577">
        <v>4</v>
      </c>
      <c r="J2935" s="577" t="s">
        <v>90</v>
      </c>
      <c r="K2935" s="577" t="s">
        <v>53</v>
      </c>
      <c r="M2935" s="571" t="s">
        <v>119</v>
      </c>
      <c r="N2935" s="745">
        <v>65044</v>
      </c>
      <c r="O2935" s="572">
        <v>65044</v>
      </c>
      <c r="P2935" s="541">
        <v>65059</v>
      </c>
      <c r="Q2935" s="533" t="s">
        <v>51</v>
      </c>
    </row>
    <row r="2936" spans="1:17" ht="18">
      <c r="A2936" s="512">
        <f t="shared" si="38"/>
        <v>2089</v>
      </c>
      <c r="B2936" s="660" t="s">
        <v>43</v>
      </c>
      <c r="C2936" s="644" t="s">
        <v>44</v>
      </c>
      <c r="D2936" s="644" t="s">
        <v>45</v>
      </c>
      <c r="E2936" s="670" t="s">
        <v>3283</v>
      </c>
      <c r="F2936" s="577" t="s">
        <v>441</v>
      </c>
      <c r="G2936" s="577">
        <v>9810890141</v>
      </c>
      <c r="I2936" s="577">
        <v>43</v>
      </c>
      <c r="J2936" s="577" t="s">
        <v>48</v>
      </c>
      <c r="K2936" s="577" t="s">
        <v>1468</v>
      </c>
      <c r="M2936" s="571" t="s">
        <v>119</v>
      </c>
      <c r="N2936" s="745">
        <v>65044</v>
      </c>
      <c r="O2936" s="572">
        <v>65044</v>
      </c>
      <c r="P2936" s="541">
        <v>65059</v>
      </c>
      <c r="Q2936" s="533" t="s">
        <v>51</v>
      </c>
    </row>
    <row r="2937" spans="1:17" ht="18">
      <c r="A2937" s="512">
        <f t="shared" si="38"/>
        <v>2090</v>
      </c>
      <c r="B2937" s="660" t="s">
        <v>43</v>
      </c>
      <c r="C2937" s="644" t="s">
        <v>44</v>
      </c>
      <c r="D2937" s="644" t="s">
        <v>45</v>
      </c>
      <c r="E2937" s="670" t="s">
        <v>3284</v>
      </c>
      <c r="F2937" s="577" t="s">
        <v>598</v>
      </c>
      <c r="G2937" s="577">
        <v>9847947467</v>
      </c>
      <c r="I2937" s="577">
        <v>78</v>
      </c>
      <c r="J2937" s="577" t="s">
        <v>90</v>
      </c>
      <c r="K2937" s="577" t="s">
        <v>1468</v>
      </c>
      <c r="M2937" s="571" t="s">
        <v>119</v>
      </c>
      <c r="N2937" s="745">
        <v>65044</v>
      </c>
      <c r="O2937" s="572">
        <v>65044</v>
      </c>
      <c r="P2937" s="541">
        <v>65059</v>
      </c>
      <c r="Q2937" s="533" t="s">
        <v>51</v>
      </c>
    </row>
    <row r="2938" spans="1:17" ht="18">
      <c r="A2938" s="512">
        <f t="shared" si="38"/>
        <v>2091</v>
      </c>
      <c r="B2938" s="660" t="s">
        <v>43</v>
      </c>
      <c r="C2938" s="644" t="s">
        <v>44</v>
      </c>
      <c r="D2938" s="644" t="s">
        <v>45</v>
      </c>
      <c r="E2938" s="670" t="s">
        <v>3285</v>
      </c>
      <c r="F2938" s="577" t="s">
        <v>1008</v>
      </c>
      <c r="G2938" s="577">
        <v>9857820021</v>
      </c>
      <c r="I2938" s="577">
        <v>48</v>
      </c>
      <c r="J2938" s="577" t="s">
        <v>90</v>
      </c>
      <c r="K2938" s="577" t="s">
        <v>1468</v>
      </c>
      <c r="M2938" s="571" t="s">
        <v>119</v>
      </c>
      <c r="N2938" s="745">
        <v>65044</v>
      </c>
      <c r="O2938" s="572">
        <v>65044</v>
      </c>
      <c r="P2938" s="541">
        <v>65059</v>
      </c>
      <c r="Q2938" s="533" t="s">
        <v>51</v>
      </c>
    </row>
    <row r="2939" spans="1:17" ht="18">
      <c r="A2939" s="512">
        <f t="shared" si="38"/>
        <v>2092</v>
      </c>
      <c r="B2939" s="660" t="s">
        <v>43</v>
      </c>
      <c r="C2939" s="644" t="s">
        <v>44</v>
      </c>
      <c r="D2939" s="644" t="s">
        <v>45</v>
      </c>
      <c r="E2939" s="670" t="s">
        <v>3286</v>
      </c>
      <c r="F2939" s="577" t="s">
        <v>617</v>
      </c>
      <c r="G2939" s="577">
        <v>9848423482</v>
      </c>
      <c r="I2939" s="577">
        <v>46</v>
      </c>
      <c r="J2939" s="577" t="s">
        <v>90</v>
      </c>
      <c r="K2939" s="577" t="s">
        <v>1468</v>
      </c>
      <c r="M2939" s="571" t="s">
        <v>119</v>
      </c>
      <c r="N2939" s="745">
        <v>65044</v>
      </c>
      <c r="O2939" s="572">
        <v>65044</v>
      </c>
      <c r="P2939" s="541">
        <v>65059</v>
      </c>
      <c r="Q2939" s="533" t="s">
        <v>51</v>
      </c>
    </row>
    <row r="2940" spans="1:17" ht="18">
      <c r="A2940" s="512">
        <f t="shared" si="38"/>
        <v>2093</v>
      </c>
      <c r="B2940" s="660" t="s">
        <v>43</v>
      </c>
      <c r="C2940" s="644" t="s">
        <v>44</v>
      </c>
      <c r="D2940" s="644" t="s">
        <v>45</v>
      </c>
      <c r="E2940" s="670" t="s">
        <v>3287</v>
      </c>
      <c r="F2940" s="577" t="s">
        <v>502</v>
      </c>
      <c r="G2940" s="577">
        <v>9868215155</v>
      </c>
      <c r="I2940" s="577">
        <v>40</v>
      </c>
      <c r="J2940" s="577" t="s">
        <v>48</v>
      </c>
      <c r="K2940" s="577" t="s">
        <v>1480</v>
      </c>
      <c r="M2940" s="571" t="s">
        <v>119</v>
      </c>
      <c r="N2940" s="745">
        <v>65044</v>
      </c>
      <c r="O2940" s="572">
        <v>65044</v>
      </c>
      <c r="P2940" s="541">
        <v>65059</v>
      </c>
      <c r="Q2940" s="533" t="s">
        <v>51</v>
      </c>
    </row>
    <row r="2941" spans="1:17" ht="18">
      <c r="A2941" s="512">
        <f t="shared" si="38"/>
        <v>2094</v>
      </c>
      <c r="B2941" s="660" t="s">
        <v>43</v>
      </c>
      <c r="C2941" s="644" t="s">
        <v>44</v>
      </c>
      <c r="D2941" s="644" t="s">
        <v>45</v>
      </c>
      <c r="E2941" s="670" t="s">
        <v>3288</v>
      </c>
      <c r="F2941" s="577" t="s">
        <v>529</v>
      </c>
      <c r="G2941" s="577">
        <v>9847828222</v>
      </c>
      <c r="I2941" s="577">
        <v>35</v>
      </c>
      <c r="J2941" s="577" t="s">
        <v>48</v>
      </c>
      <c r="K2941" s="577" t="s">
        <v>1468</v>
      </c>
      <c r="M2941" s="571" t="s">
        <v>119</v>
      </c>
      <c r="N2941" s="745">
        <v>65044</v>
      </c>
      <c r="O2941" s="572">
        <v>65044</v>
      </c>
      <c r="P2941" s="541">
        <v>65059</v>
      </c>
      <c r="Q2941" s="533" t="s">
        <v>51</v>
      </c>
    </row>
    <row r="2942" spans="1:17" ht="18">
      <c r="A2942" s="512">
        <f t="shared" si="38"/>
        <v>2095</v>
      </c>
      <c r="B2942" s="660" t="s">
        <v>43</v>
      </c>
      <c r="C2942" s="644" t="s">
        <v>44</v>
      </c>
      <c r="D2942" s="644" t="s">
        <v>45</v>
      </c>
      <c r="E2942" s="644" t="s">
        <v>3313</v>
      </c>
      <c r="F2942" s="577" t="s">
        <v>502</v>
      </c>
      <c r="G2942" s="577">
        <v>9812822760</v>
      </c>
      <c r="I2942" s="577">
        <v>30</v>
      </c>
      <c r="J2942" s="577" t="s">
        <v>90</v>
      </c>
      <c r="K2942" s="577" t="s">
        <v>1468</v>
      </c>
      <c r="M2942" s="571" t="s">
        <v>119</v>
      </c>
      <c r="N2942" s="767">
        <v>65045</v>
      </c>
      <c r="O2942" s="680">
        <v>65045</v>
      </c>
      <c r="P2942" s="496">
        <v>65060</v>
      </c>
      <c r="Q2942" s="491" t="s">
        <v>51</v>
      </c>
    </row>
    <row r="2943" spans="1:17" ht="18">
      <c r="A2943" s="512">
        <f t="shared" si="38"/>
        <v>2096</v>
      </c>
      <c r="B2943" s="660" t="s">
        <v>43</v>
      </c>
      <c r="C2943" s="644" t="s">
        <v>44</v>
      </c>
      <c r="D2943" s="644" t="s">
        <v>45</v>
      </c>
      <c r="E2943" s="644" t="s">
        <v>3342</v>
      </c>
      <c r="F2943" s="577" t="s">
        <v>124</v>
      </c>
      <c r="G2943" s="577">
        <v>9847835624</v>
      </c>
      <c r="I2943" s="577">
        <v>39</v>
      </c>
      <c r="J2943" s="577" t="s">
        <v>48</v>
      </c>
      <c r="K2943" s="577" t="s">
        <v>1468</v>
      </c>
      <c r="M2943" s="571" t="s">
        <v>119</v>
      </c>
      <c r="N2943" s="767">
        <v>65045</v>
      </c>
      <c r="O2943" s="680">
        <v>65045</v>
      </c>
      <c r="P2943" s="496">
        <v>65060</v>
      </c>
      <c r="Q2943" s="491" t="s">
        <v>51</v>
      </c>
    </row>
    <row r="2944" spans="1:17" ht="18">
      <c r="A2944" s="512">
        <f t="shared" si="38"/>
        <v>2097</v>
      </c>
      <c r="B2944" s="660" t="s">
        <v>43</v>
      </c>
      <c r="C2944" s="644" t="s">
        <v>44</v>
      </c>
      <c r="D2944" s="644" t="s">
        <v>45</v>
      </c>
      <c r="E2944" s="644" t="s">
        <v>3316</v>
      </c>
      <c r="F2944" s="577" t="s">
        <v>502</v>
      </c>
      <c r="G2944" s="577">
        <v>9863226750</v>
      </c>
      <c r="I2944" s="577">
        <v>22</v>
      </c>
      <c r="J2944" s="577" t="s">
        <v>90</v>
      </c>
      <c r="K2944" s="577" t="s">
        <v>1480</v>
      </c>
      <c r="M2944" s="571" t="s">
        <v>119</v>
      </c>
      <c r="N2944" s="767">
        <v>65045</v>
      </c>
      <c r="O2944" s="680">
        <v>65045</v>
      </c>
      <c r="P2944" s="496">
        <v>65060</v>
      </c>
      <c r="Q2944" s="491" t="s">
        <v>51</v>
      </c>
    </row>
    <row r="2945" spans="1:17" ht="18">
      <c r="A2945" s="512">
        <f t="shared" si="38"/>
        <v>2098</v>
      </c>
      <c r="B2945" s="660" t="s">
        <v>43</v>
      </c>
      <c r="C2945" s="644" t="s">
        <v>44</v>
      </c>
      <c r="D2945" s="644" t="s">
        <v>45</v>
      </c>
      <c r="E2945" s="644" t="s">
        <v>3306</v>
      </c>
      <c r="F2945" s="577" t="s">
        <v>502</v>
      </c>
      <c r="G2945" s="577">
        <v>9824506106</v>
      </c>
      <c r="I2945" s="577">
        <v>60</v>
      </c>
      <c r="J2945" s="577" t="s">
        <v>48</v>
      </c>
      <c r="K2945" s="577" t="s">
        <v>1468</v>
      </c>
      <c r="M2945" s="571" t="s">
        <v>119</v>
      </c>
      <c r="N2945" s="767">
        <v>65045</v>
      </c>
      <c r="O2945" s="680">
        <v>65045</v>
      </c>
      <c r="P2945" s="496">
        <v>65060</v>
      </c>
      <c r="Q2945" s="491" t="s">
        <v>51</v>
      </c>
    </row>
    <row r="2946" spans="1:17" ht="18">
      <c r="A2946" s="512">
        <f t="shared" si="38"/>
        <v>2099</v>
      </c>
      <c r="B2946" s="660" t="s">
        <v>43</v>
      </c>
      <c r="C2946" s="644" t="s">
        <v>44</v>
      </c>
      <c r="D2946" s="644" t="s">
        <v>45</v>
      </c>
      <c r="E2946" s="644" t="s">
        <v>3296</v>
      </c>
      <c r="F2946" s="577" t="s">
        <v>512</v>
      </c>
      <c r="G2946" s="577">
        <v>9809784668</v>
      </c>
      <c r="I2946" s="577">
        <v>24</v>
      </c>
      <c r="J2946" s="577" t="s">
        <v>48</v>
      </c>
      <c r="K2946" s="577" t="s">
        <v>1468</v>
      </c>
      <c r="M2946" s="571" t="s">
        <v>119</v>
      </c>
      <c r="N2946" s="767">
        <v>65045</v>
      </c>
      <c r="O2946" s="680">
        <v>65045</v>
      </c>
      <c r="P2946" s="496">
        <v>65060</v>
      </c>
      <c r="Q2946" s="491" t="s">
        <v>51</v>
      </c>
    </row>
    <row r="2947" spans="1:17" ht="18">
      <c r="A2947" s="512">
        <f t="shared" si="38"/>
        <v>2100</v>
      </c>
      <c r="B2947" s="660" t="s">
        <v>43</v>
      </c>
      <c r="C2947" s="644" t="s">
        <v>44</v>
      </c>
      <c r="D2947" s="644" t="s">
        <v>45</v>
      </c>
      <c r="E2947" s="644" t="s">
        <v>3365</v>
      </c>
      <c r="F2947" s="577" t="s">
        <v>1008</v>
      </c>
      <c r="G2947" s="577">
        <v>9809501207</v>
      </c>
      <c r="I2947" s="577">
        <v>28</v>
      </c>
      <c r="J2947" s="577" t="s">
        <v>48</v>
      </c>
      <c r="K2947" s="577" t="s">
        <v>1480</v>
      </c>
      <c r="M2947" s="571" t="s">
        <v>119</v>
      </c>
      <c r="N2947" s="767">
        <v>65045</v>
      </c>
      <c r="O2947" s="680">
        <v>65045</v>
      </c>
      <c r="P2947" s="496">
        <v>65060</v>
      </c>
      <c r="Q2947" s="491" t="s">
        <v>51</v>
      </c>
    </row>
    <row r="2948" spans="1:17" ht="18">
      <c r="A2948" s="512">
        <f t="shared" si="38"/>
        <v>2101</v>
      </c>
      <c r="B2948" s="660" t="s">
        <v>43</v>
      </c>
      <c r="C2948" s="644" t="s">
        <v>44</v>
      </c>
      <c r="D2948" s="644" t="s">
        <v>45</v>
      </c>
      <c r="E2948" s="644" t="s">
        <v>3303</v>
      </c>
      <c r="F2948" s="577" t="s">
        <v>598</v>
      </c>
      <c r="G2948" s="577">
        <v>9863117553</v>
      </c>
      <c r="I2948" s="577">
        <v>71</v>
      </c>
      <c r="J2948" s="577" t="s">
        <v>90</v>
      </c>
      <c r="K2948" s="577" t="s">
        <v>1468</v>
      </c>
      <c r="M2948" s="571" t="s">
        <v>119</v>
      </c>
      <c r="N2948" s="767">
        <v>65045</v>
      </c>
      <c r="O2948" s="680">
        <v>65045</v>
      </c>
      <c r="P2948" s="496">
        <v>65060</v>
      </c>
      <c r="Q2948" s="491" t="s">
        <v>51</v>
      </c>
    </row>
    <row r="2949" spans="1:17" ht="18">
      <c r="A2949" s="512">
        <f t="shared" si="38"/>
        <v>2102</v>
      </c>
      <c r="B2949" s="660" t="s">
        <v>43</v>
      </c>
      <c r="C2949" s="644" t="s">
        <v>44</v>
      </c>
      <c r="D2949" s="644" t="s">
        <v>45</v>
      </c>
      <c r="E2949" s="670" t="s">
        <v>3307</v>
      </c>
      <c r="F2949" s="577" t="s">
        <v>502</v>
      </c>
      <c r="G2949" s="577">
        <v>9847824904</v>
      </c>
      <c r="I2949" s="577">
        <v>70</v>
      </c>
      <c r="J2949" s="577" t="s">
        <v>48</v>
      </c>
      <c r="K2949" s="577" t="s">
        <v>1480</v>
      </c>
      <c r="M2949" s="571" t="s">
        <v>119</v>
      </c>
      <c r="N2949" s="767">
        <v>65045</v>
      </c>
      <c r="O2949" s="680">
        <v>65045</v>
      </c>
      <c r="P2949" s="496">
        <v>65060</v>
      </c>
      <c r="Q2949" s="491" t="s">
        <v>51</v>
      </c>
    </row>
    <row r="2950" spans="1:17" ht="18">
      <c r="A2950" s="512">
        <f t="shared" si="38"/>
        <v>2103</v>
      </c>
      <c r="B2950" s="660" t="s">
        <v>43</v>
      </c>
      <c r="C2950" s="644" t="s">
        <v>44</v>
      </c>
      <c r="D2950" s="644" t="s">
        <v>45</v>
      </c>
      <c r="E2950" s="670" t="s">
        <v>3343</v>
      </c>
      <c r="F2950" s="577" t="s">
        <v>124</v>
      </c>
      <c r="G2950" s="577">
        <v>9866917957</v>
      </c>
      <c r="I2950" s="577">
        <v>42</v>
      </c>
      <c r="J2950" s="577" t="s">
        <v>48</v>
      </c>
      <c r="K2950" s="577" t="s">
        <v>1468</v>
      </c>
      <c r="M2950" s="571" t="s">
        <v>119</v>
      </c>
      <c r="N2950" s="767">
        <v>65045</v>
      </c>
      <c r="O2950" s="680">
        <v>65045</v>
      </c>
      <c r="P2950" s="496">
        <v>65060</v>
      </c>
      <c r="Q2950" s="491" t="s">
        <v>51</v>
      </c>
    </row>
    <row r="2951" spans="1:17" ht="18">
      <c r="A2951" s="512">
        <f t="shared" si="38"/>
        <v>2104</v>
      </c>
      <c r="B2951" s="660" t="s">
        <v>43</v>
      </c>
      <c r="C2951" s="644" t="s">
        <v>44</v>
      </c>
      <c r="D2951" s="644" t="s">
        <v>45</v>
      </c>
      <c r="E2951" s="644" t="s">
        <v>3326</v>
      </c>
      <c r="F2951" s="577" t="s">
        <v>491</v>
      </c>
      <c r="G2951" s="577">
        <v>9844929201</v>
      </c>
      <c r="I2951" s="577">
        <v>68</v>
      </c>
      <c r="J2951" s="577" t="s">
        <v>90</v>
      </c>
      <c r="K2951" s="577" t="s">
        <v>1468</v>
      </c>
      <c r="M2951" s="571" t="s">
        <v>119</v>
      </c>
      <c r="N2951" s="767">
        <v>65045</v>
      </c>
      <c r="O2951" s="680">
        <v>65045</v>
      </c>
      <c r="P2951" s="496">
        <v>65060</v>
      </c>
      <c r="Q2951" s="491" t="s">
        <v>51</v>
      </c>
    </row>
    <row r="2952" spans="1:17" ht="18">
      <c r="A2952" s="512">
        <f t="shared" si="38"/>
        <v>2105</v>
      </c>
      <c r="B2952" s="660" t="s">
        <v>43</v>
      </c>
      <c r="C2952" s="644" t="s">
        <v>44</v>
      </c>
      <c r="D2952" s="644" t="s">
        <v>45</v>
      </c>
      <c r="E2952" s="644" t="s">
        <v>3332</v>
      </c>
      <c r="F2952" s="577" t="s">
        <v>441</v>
      </c>
      <c r="G2952" s="577">
        <v>9868083551</v>
      </c>
      <c r="I2952" s="577">
        <v>38</v>
      </c>
      <c r="J2952" s="577" t="s">
        <v>48</v>
      </c>
      <c r="K2952" s="577" t="s">
        <v>1468</v>
      </c>
      <c r="M2952" s="571" t="s">
        <v>119</v>
      </c>
      <c r="N2952" s="767">
        <v>65045</v>
      </c>
      <c r="O2952" s="680">
        <v>65045</v>
      </c>
      <c r="P2952" s="496">
        <v>65060</v>
      </c>
      <c r="Q2952" s="491" t="s">
        <v>51</v>
      </c>
    </row>
    <row r="2953" spans="1:17" ht="18">
      <c r="A2953" s="512">
        <f t="shared" si="38"/>
        <v>2106</v>
      </c>
      <c r="B2953" s="660" t="s">
        <v>43</v>
      </c>
      <c r="C2953" s="644" t="s">
        <v>44</v>
      </c>
      <c r="D2953" s="644" t="s">
        <v>45</v>
      </c>
      <c r="E2953" s="644" t="s">
        <v>3327</v>
      </c>
      <c r="F2953" s="577" t="s">
        <v>491</v>
      </c>
      <c r="G2953" s="577">
        <v>9802407886</v>
      </c>
      <c r="I2953" s="577">
        <v>37</v>
      </c>
      <c r="J2953" s="577" t="s">
        <v>90</v>
      </c>
      <c r="K2953" s="577" t="s">
        <v>1459</v>
      </c>
      <c r="M2953" s="571" t="s">
        <v>119</v>
      </c>
      <c r="N2953" s="767">
        <v>65045</v>
      </c>
      <c r="O2953" s="680">
        <v>65045</v>
      </c>
      <c r="P2953" s="496">
        <v>65060</v>
      </c>
      <c r="Q2953" s="491" t="s">
        <v>51</v>
      </c>
    </row>
    <row r="2954" spans="1:17" ht="18">
      <c r="A2954" s="512">
        <f t="shared" si="38"/>
        <v>2107</v>
      </c>
      <c r="B2954" s="660" t="s">
        <v>43</v>
      </c>
      <c r="C2954" s="644" t="s">
        <v>44</v>
      </c>
      <c r="D2954" s="644" t="s">
        <v>45</v>
      </c>
      <c r="E2954" s="670" t="s">
        <v>3314</v>
      </c>
      <c r="F2954" s="577" t="s">
        <v>502</v>
      </c>
      <c r="G2954" s="577">
        <v>9843738403</v>
      </c>
      <c r="I2954" s="577">
        <v>45</v>
      </c>
      <c r="J2954" s="577" t="s">
        <v>90</v>
      </c>
      <c r="K2954" s="577" t="s">
        <v>1468</v>
      </c>
      <c r="M2954" s="571" t="s">
        <v>119</v>
      </c>
      <c r="N2954" s="767">
        <v>65045</v>
      </c>
      <c r="O2954" s="680">
        <v>65045</v>
      </c>
      <c r="P2954" s="496">
        <v>65060</v>
      </c>
      <c r="Q2954" s="491" t="s">
        <v>51</v>
      </c>
    </row>
    <row r="2955" spans="1:17" ht="18">
      <c r="A2955" s="512">
        <f t="shared" si="38"/>
        <v>2108</v>
      </c>
      <c r="B2955" s="660" t="s">
        <v>43</v>
      </c>
      <c r="C2955" s="644" t="s">
        <v>44</v>
      </c>
      <c r="D2955" s="644" t="s">
        <v>45</v>
      </c>
      <c r="E2955" s="644" t="s">
        <v>3315</v>
      </c>
      <c r="F2955" s="577" t="s">
        <v>502</v>
      </c>
      <c r="G2955" s="577">
        <v>9857820640</v>
      </c>
      <c r="I2955" s="577">
        <v>63</v>
      </c>
      <c r="J2955" s="577" t="s">
        <v>90</v>
      </c>
      <c r="K2955" s="577" t="s">
        <v>1468</v>
      </c>
      <c r="M2955" s="571" t="s">
        <v>119</v>
      </c>
      <c r="N2955" s="767">
        <v>65045</v>
      </c>
      <c r="O2955" s="680">
        <v>65045</v>
      </c>
      <c r="P2955" s="496">
        <v>65060</v>
      </c>
      <c r="Q2955" s="491" t="s">
        <v>51</v>
      </c>
    </row>
    <row r="2956" spans="1:17" ht="18">
      <c r="A2956" s="512">
        <f t="shared" si="38"/>
        <v>2109</v>
      </c>
      <c r="B2956" s="660" t="s">
        <v>43</v>
      </c>
      <c r="C2956" s="644" t="s">
        <v>44</v>
      </c>
      <c r="D2956" s="644" t="s">
        <v>45</v>
      </c>
      <c r="E2956" s="670" t="s">
        <v>3340</v>
      </c>
      <c r="F2956" s="577" t="s">
        <v>529</v>
      </c>
      <c r="G2956" s="577">
        <v>9857825035</v>
      </c>
      <c r="I2956" s="577">
        <v>48</v>
      </c>
      <c r="J2956" s="577" t="s">
        <v>90</v>
      </c>
      <c r="K2956" s="577" t="s">
        <v>1468</v>
      </c>
      <c r="M2956" s="571" t="s">
        <v>119</v>
      </c>
      <c r="N2956" s="767">
        <v>65045</v>
      </c>
      <c r="O2956" s="680">
        <v>65045</v>
      </c>
      <c r="P2956" s="496">
        <v>65060</v>
      </c>
      <c r="Q2956" s="491" t="s">
        <v>51</v>
      </c>
    </row>
    <row r="2957" spans="1:17" ht="18">
      <c r="A2957" s="512">
        <f t="shared" si="38"/>
        <v>2110</v>
      </c>
      <c r="B2957" s="660" t="s">
        <v>43</v>
      </c>
      <c r="C2957" s="644" t="s">
        <v>44</v>
      </c>
      <c r="D2957" s="644" t="s">
        <v>45</v>
      </c>
      <c r="E2957" s="644" t="s">
        <v>3348</v>
      </c>
      <c r="F2957" s="577" t="s">
        <v>124</v>
      </c>
      <c r="G2957" s="577">
        <v>9809811189</v>
      </c>
      <c r="I2957" s="577">
        <v>33</v>
      </c>
      <c r="J2957" s="577" t="s">
        <v>90</v>
      </c>
      <c r="K2957" s="577" t="s">
        <v>1468</v>
      </c>
      <c r="M2957" s="571" t="s">
        <v>119</v>
      </c>
      <c r="N2957" s="767">
        <v>65045</v>
      </c>
      <c r="O2957" s="680">
        <v>65045</v>
      </c>
      <c r="P2957" s="496">
        <v>65060</v>
      </c>
      <c r="Q2957" s="491" t="s">
        <v>51</v>
      </c>
    </row>
    <row r="2958" spans="1:17" ht="18">
      <c r="A2958" s="512">
        <f t="shared" si="38"/>
        <v>2111</v>
      </c>
      <c r="B2958" s="660" t="s">
        <v>43</v>
      </c>
      <c r="C2958" s="644" t="s">
        <v>44</v>
      </c>
      <c r="D2958" s="644" t="s">
        <v>45</v>
      </c>
      <c r="E2958" s="644" t="s">
        <v>3361</v>
      </c>
      <c r="F2958" s="577" t="s">
        <v>730</v>
      </c>
      <c r="G2958" s="577">
        <v>9864927904</v>
      </c>
      <c r="I2958" s="577">
        <v>76</v>
      </c>
      <c r="J2958" s="577" t="s">
        <v>48</v>
      </c>
      <c r="K2958" s="577" t="s">
        <v>1480</v>
      </c>
      <c r="M2958" s="571" t="s">
        <v>119</v>
      </c>
      <c r="N2958" s="767">
        <v>65045</v>
      </c>
      <c r="O2958" s="680">
        <v>65045</v>
      </c>
      <c r="P2958" s="496">
        <v>65060</v>
      </c>
      <c r="Q2958" s="491" t="s">
        <v>51</v>
      </c>
    </row>
    <row r="2959" spans="1:17" ht="18">
      <c r="A2959" s="512">
        <f t="shared" si="38"/>
        <v>2112</v>
      </c>
      <c r="B2959" s="660" t="s">
        <v>43</v>
      </c>
      <c r="C2959" s="644" t="s">
        <v>44</v>
      </c>
      <c r="D2959" s="644" t="s">
        <v>45</v>
      </c>
      <c r="E2959" s="644" t="s">
        <v>3351</v>
      </c>
      <c r="F2959" s="577" t="s">
        <v>791</v>
      </c>
      <c r="G2959" s="577">
        <v>9841727504</v>
      </c>
      <c r="I2959" s="577">
        <v>28</v>
      </c>
      <c r="J2959" s="577" t="s">
        <v>48</v>
      </c>
      <c r="K2959" s="577" t="s">
        <v>1468</v>
      </c>
      <c r="M2959" s="571" t="s">
        <v>119</v>
      </c>
      <c r="N2959" s="767">
        <v>65045</v>
      </c>
      <c r="O2959" s="680">
        <v>65045</v>
      </c>
      <c r="P2959" s="496">
        <v>65060</v>
      </c>
      <c r="Q2959" s="491" t="s">
        <v>51</v>
      </c>
    </row>
    <row r="2960" spans="1:17" ht="18">
      <c r="A2960" s="512">
        <f t="shared" si="38"/>
        <v>2113</v>
      </c>
      <c r="B2960" s="660" t="s">
        <v>43</v>
      </c>
      <c r="C2960" s="644" t="s">
        <v>44</v>
      </c>
      <c r="D2960" s="644" t="s">
        <v>45</v>
      </c>
      <c r="E2960" s="644" t="s">
        <v>3298</v>
      </c>
      <c r="F2960" s="577" t="s">
        <v>598</v>
      </c>
      <c r="G2960" s="577">
        <v>9857822261</v>
      </c>
      <c r="I2960" s="577">
        <v>43</v>
      </c>
      <c r="J2960" s="577" t="s">
        <v>48</v>
      </c>
      <c r="K2960" s="577" t="s">
        <v>1468</v>
      </c>
      <c r="M2960" s="571" t="s">
        <v>119</v>
      </c>
      <c r="N2960" s="767">
        <v>65045</v>
      </c>
      <c r="O2960" s="680">
        <v>65045</v>
      </c>
      <c r="P2960" s="496">
        <v>65060</v>
      </c>
      <c r="Q2960" s="491" t="s">
        <v>51</v>
      </c>
    </row>
    <row r="2961" spans="1:17" ht="18">
      <c r="A2961" s="512">
        <f t="shared" si="38"/>
        <v>2114</v>
      </c>
      <c r="B2961" s="660" t="s">
        <v>43</v>
      </c>
      <c r="C2961" s="644" t="s">
        <v>44</v>
      </c>
      <c r="D2961" s="644" t="s">
        <v>45</v>
      </c>
      <c r="E2961" s="644" t="s">
        <v>3362</v>
      </c>
      <c r="F2961" s="577" t="s">
        <v>730</v>
      </c>
      <c r="G2961" s="577">
        <v>9857823692</v>
      </c>
      <c r="I2961" s="577">
        <v>59</v>
      </c>
      <c r="J2961" s="577" t="s">
        <v>48</v>
      </c>
      <c r="K2961" s="577" t="s">
        <v>1480</v>
      </c>
      <c r="M2961" s="571" t="s">
        <v>119</v>
      </c>
      <c r="N2961" s="767">
        <v>65045</v>
      </c>
      <c r="O2961" s="680">
        <v>65045</v>
      </c>
      <c r="P2961" s="496">
        <v>65060</v>
      </c>
      <c r="Q2961" s="491" t="s">
        <v>51</v>
      </c>
    </row>
    <row r="2962" spans="1:17" ht="18">
      <c r="A2962" s="512">
        <f t="shared" ref="A2962:A3025" si="39">A2961+1</f>
        <v>2115</v>
      </c>
      <c r="B2962" s="660" t="s">
        <v>43</v>
      </c>
      <c r="C2962" s="644" t="s">
        <v>44</v>
      </c>
      <c r="D2962" s="644" t="s">
        <v>45</v>
      </c>
      <c r="E2962" s="644" t="s">
        <v>3364</v>
      </c>
      <c r="F2962" s="577" t="s">
        <v>730</v>
      </c>
      <c r="G2962" s="577">
        <v>9847824525</v>
      </c>
      <c r="I2962" s="577">
        <v>64</v>
      </c>
      <c r="J2962" s="577" t="s">
        <v>90</v>
      </c>
      <c r="K2962" s="577" t="s">
        <v>1468</v>
      </c>
      <c r="M2962" s="571" t="s">
        <v>119</v>
      </c>
      <c r="N2962" s="767">
        <v>65045</v>
      </c>
      <c r="O2962" s="680">
        <v>65045</v>
      </c>
      <c r="P2962" s="496">
        <v>65060</v>
      </c>
      <c r="Q2962" s="491" t="s">
        <v>51</v>
      </c>
    </row>
    <row r="2963" spans="1:17" ht="18">
      <c r="A2963" s="512">
        <f t="shared" si="39"/>
        <v>2116</v>
      </c>
      <c r="B2963" s="660" t="s">
        <v>43</v>
      </c>
      <c r="C2963" s="644" t="s">
        <v>44</v>
      </c>
      <c r="D2963" s="644" t="s">
        <v>45</v>
      </c>
      <c r="E2963" s="644" t="s">
        <v>3317</v>
      </c>
      <c r="F2963" s="577" t="s">
        <v>502</v>
      </c>
      <c r="G2963" s="577">
        <v>9847831077</v>
      </c>
      <c r="I2963" s="577">
        <v>65</v>
      </c>
      <c r="J2963" s="577" t="s">
        <v>90</v>
      </c>
      <c r="K2963" s="577" t="s">
        <v>1480</v>
      </c>
      <c r="M2963" s="571" t="s">
        <v>119</v>
      </c>
      <c r="N2963" s="767">
        <v>65045</v>
      </c>
      <c r="O2963" s="680">
        <v>65045</v>
      </c>
      <c r="P2963" s="496">
        <v>65060</v>
      </c>
      <c r="Q2963" s="491" t="s">
        <v>51</v>
      </c>
    </row>
    <row r="2964" spans="1:17" ht="18">
      <c r="A2964" s="512">
        <f t="shared" si="39"/>
        <v>2117</v>
      </c>
      <c r="B2964" s="660" t="s">
        <v>43</v>
      </c>
      <c r="C2964" s="644" t="s">
        <v>44</v>
      </c>
      <c r="D2964" s="644" t="s">
        <v>45</v>
      </c>
      <c r="E2964" s="644" t="s">
        <v>3321</v>
      </c>
      <c r="F2964" s="577" t="s">
        <v>491</v>
      </c>
      <c r="G2964" s="577">
        <v>9847909399</v>
      </c>
      <c r="I2964" s="577">
        <v>37</v>
      </c>
      <c r="J2964" s="577" t="s">
        <v>48</v>
      </c>
      <c r="K2964" s="577" t="s">
        <v>1468</v>
      </c>
      <c r="M2964" s="571" t="s">
        <v>119</v>
      </c>
      <c r="N2964" s="767">
        <v>65045</v>
      </c>
      <c r="O2964" s="680">
        <v>65045</v>
      </c>
      <c r="P2964" s="496">
        <v>65060</v>
      </c>
      <c r="Q2964" s="491" t="s">
        <v>51</v>
      </c>
    </row>
    <row r="2965" spans="1:17" ht="18">
      <c r="A2965" s="512">
        <f t="shared" si="39"/>
        <v>2118</v>
      </c>
      <c r="B2965" s="660" t="s">
        <v>43</v>
      </c>
      <c r="C2965" s="644" t="s">
        <v>44</v>
      </c>
      <c r="D2965" s="644" t="s">
        <v>45</v>
      </c>
      <c r="E2965" s="644" t="s">
        <v>3333</v>
      </c>
      <c r="F2965" s="577" t="s">
        <v>441</v>
      </c>
      <c r="G2965" s="577">
        <v>9847831922</v>
      </c>
      <c r="I2965" s="577">
        <v>47</v>
      </c>
      <c r="J2965" s="577" t="s">
        <v>48</v>
      </c>
      <c r="K2965" s="577" t="s">
        <v>1468</v>
      </c>
      <c r="M2965" s="571" t="s">
        <v>119</v>
      </c>
      <c r="N2965" s="767">
        <v>65045</v>
      </c>
      <c r="O2965" s="680">
        <v>65045</v>
      </c>
      <c r="P2965" s="496">
        <v>65060</v>
      </c>
      <c r="Q2965" s="491" t="s">
        <v>51</v>
      </c>
    </row>
    <row r="2966" spans="1:17" ht="18">
      <c r="A2966" s="512">
        <f t="shared" si="39"/>
        <v>2119</v>
      </c>
      <c r="B2966" s="660" t="s">
        <v>43</v>
      </c>
      <c r="C2966" s="644" t="s">
        <v>44</v>
      </c>
      <c r="D2966" s="644" t="s">
        <v>45</v>
      </c>
      <c r="E2966" s="670" t="s">
        <v>3344</v>
      </c>
      <c r="F2966" s="577" t="s">
        <v>124</v>
      </c>
      <c r="G2966" s="577">
        <v>9806254086</v>
      </c>
      <c r="I2966" s="577">
        <v>57</v>
      </c>
      <c r="J2966" s="577" t="s">
        <v>48</v>
      </c>
      <c r="K2966" s="577" t="s">
        <v>1468</v>
      </c>
      <c r="M2966" s="571" t="s">
        <v>119</v>
      </c>
      <c r="N2966" s="767">
        <v>65045</v>
      </c>
      <c r="O2966" s="680">
        <v>65045</v>
      </c>
      <c r="P2966" s="496">
        <v>65060</v>
      </c>
      <c r="Q2966" s="491" t="s">
        <v>51</v>
      </c>
    </row>
    <row r="2967" spans="1:17" ht="18">
      <c r="A2967" s="512">
        <f t="shared" si="39"/>
        <v>2120</v>
      </c>
      <c r="B2967" s="660" t="s">
        <v>43</v>
      </c>
      <c r="C2967" s="644" t="s">
        <v>44</v>
      </c>
      <c r="D2967" s="644" t="s">
        <v>45</v>
      </c>
      <c r="E2967" s="644" t="s">
        <v>3352</v>
      </c>
      <c r="F2967" s="577" t="s">
        <v>791</v>
      </c>
      <c r="G2967" s="577">
        <v>9822904771</v>
      </c>
      <c r="I2967" s="577">
        <v>52</v>
      </c>
      <c r="J2967" s="577" t="s">
        <v>48</v>
      </c>
      <c r="K2967" s="577" t="s">
        <v>1468</v>
      </c>
      <c r="M2967" s="571" t="s">
        <v>119</v>
      </c>
      <c r="N2967" s="767">
        <v>65045</v>
      </c>
      <c r="O2967" s="680">
        <v>65045</v>
      </c>
      <c r="P2967" s="496">
        <v>65060</v>
      </c>
      <c r="Q2967" s="491" t="s">
        <v>51</v>
      </c>
    </row>
    <row r="2968" spans="1:17" ht="18">
      <c r="A2968" s="512">
        <f t="shared" si="39"/>
        <v>2121</v>
      </c>
      <c r="B2968" s="660" t="s">
        <v>43</v>
      </c>
      <c r="C2968" s="644" t="s">
        <v>44</v>
      </c>
      <c r="D2968" s="644" t="s">
        <v>45</v>
      </c>
      <c r="E2968" s="644" t="s">
        <v>3299</v>
      </c>
      <c r="F2968" s="577" t="s">
        <v>598</v>
      </c>
      <c r="G2968" s="577">
        <v>9810809123</v>
      </c>
      <c r="I2968" s="577">
        <v>46</v>
      </c>
      <c r="J2968" s="577" t="s">
        <v>48</v>
      </c>
      <c r="K2968" s="577" t="s">
        <v>1468</v>
      </c>
      <c r="M2968" s="571" t="s">
        <v>119</v>
      </c>
      <c r="N2968" s="767">
        <v>65045</v>
      </c>
      <c r="O2968" s="680">
        <v>65045</v>
      </c>
      <c r="P2968" s="496">
        <v>65060</v>
      </c>
      <c r="Q2968" s="491" t="s">
        <v>51</v>
      </c>
    </row>
    <row r="2969" spans="1:17" ht="18">
      <c r="A2969" s="512">
        <f t="shared" si="39"/>
        <v>2122</v>
      </c>
      <c r="B2969" s="660" t="s">
        <v>43</v>
      </c>
      <c r="C2969" s="644" t="s">
        <v>44</v>
      </c>
      <c r="D2969" s="644" t="s">
        <v>45</v>
      </c>
      <c r="E2969" s="670" t="s">
        <v>3186</v>
      </c>
      <c r="F2969" s="577" t="s">
        <v>1046</v>
      </c>
      <c r="G2969" s="577">
        <v>9844940366</v>
      </c>
      <c r="I2969" s="577">
        <v>65</v>
      </c>
      <c r="J2969" s="577" t="s">
        <v>48</v>
      </c>
      <c r="K2969" s="577" t="s">
        <v>1468</v>
      </c>
      <c r="M2969" s="571" t="s">
        <v>119</v>
      </c>
      <c r="N2969" s="767">
        <v>65045</v>
      </c>
      <c r="O2969" s="680">
        <v>65045</v>
      </c>
      <c r="P2969" s="496">
        <v>65060</v>
      </c>
      <c r="Q2969" s="491" t="s">
        <v>51</v>
      </c>
    </row>
    <row r="2970" spans="1:17" ht="18">
      <c r="A2970" s="512">
        <f t="shared" si="39"/>
        <v>2123</v>
      </c>
      <c r="B2970" s="660" t="s">
        <v>43</v>
      </c>
      <c r="C2970" s="644" t="s">
        <v>44</v>
      </c>
      <c r="D2970" s="644" t="s">
        <v>45</v>
      </c>
      <c r="E2970" s="644" t="s">
        <v>3354</v>
      </c>
      <c r="F2970" s="577" t="s">
        <v>1009</v>
      </c>
      <c r="G2970" s="577">
        <v>9806276061</v>
      </c>
      <c r="I2970" s="577">
        <v>60</v>
      </c>
      <c r="J2970" s="577" t="s">
        <v>48</v>
      </c>
      <c r="K2970" s="577" t="s">
        <v>1468</v>
      </c>
      <c r="M2970" s="571" t="s">
        <v>119</v>
      </c>
      <c r="N2970" s="767">
        <v>65045</v>
      </c>
      <c r="O2970" s="680">
        <v>65045</v>
      </c>
      <c r="P2970" s="496">
        <v>65060</v>
      </c>
      <c r="Q2970" s="491" t="s">
        <v>51</v>
      </c>
    </row>
    <row r="2971" spans="1:17" ht="18">
      <c r="A2971" s="512">
        <f t="shared" si="39"/>
        <v>2124</v>
      </c>
      <c r="B2971" s="660" t="s">
        <v>43</v>
      </c>
      <c r="C2971" s="644" t="s">
        <v>44</v>
      </c>
      <c r="D2971" s="644" t="s">
        <v>45</v>
      </c>
      <c r="E2971" s="644" t="s">
        <v>3305</v>
      </c>
      <c r="F2971" s="577" t="s">
        <v>598</v>
      </c>
      <c r="G2971" s="577">
        <v>9844975152</v>
      </c>
      <c r="I2971" s="577">
        <v>62</v>
      </c>
      <c r="J2971" s="577" t="s">
        <v>90</v>
      </c>
      <c r="K2971" s="577" t="s">
        <v>1480</v>
      </c>
      <c r="M2971" s="571" t="s">
        <v>119</v>
      </c>
      <c r="N2971" s="767">
        <v>65045</v>
      </c>
      <c r="O2971" s="680">
        <v>65045</v>
      </c>
      <c r="P2971" s="496">
        <v>65060</v>
      </c>
      <c r="Q2971" s="491" t="s">
        <v>51</v>
      </c>
    </row>
    <row r="2972" spans="1:17" ht="18">
      <c r="A2972" s="512">
        <f t="shared" si="39"/>
        <v>2125</v>
      </c>
      <c r="B2972" s="660" t="s">
        <v>43</v>
      </c>
      <c r="C2972" s="644" t="s">
        <v>44</v>
      </c>
      <c r="D2972" s="644" t="s">
        <v>45</v>
      </c>
      <c r="E2972" s="644" t="s">
        <v>1746</v>
      </c>
      <c r="F2972" s="577" t="s">
        <v>598</v>
      </c>
      <c r="G2972" s="577">
        <v>9863117553</v>
      </c>
      <c r="I2972" s="577">
        <v>35</v>
      </c>
      <c r="J2972" s="577" t="s">
        <v>90</v>
      </c>
      <c r="K2972" s="577" t="s">
        <v>1468</v>
      </c>
      <c r="M2972" s="571" t="s">
        <v>119</v>
      </c>
      <c r="N2972" s="767">
        <v>65045</v>
      </c>
      <c r="O2972" s="680">
        <v>65045</v>
      </c>
      <c r="P2972" s="496">
        <v>65060</v>
      </c>
      <c r="Q2972" s="491" t="s">
        <v>51</v>
      </c>
    </row>
    <row r="2973" spans="1:17" ht="18">
      <c r="A2973" s="512">
        <f t="shared" si="39"/>
        <v>2126</v>
      </c>
      <c r="B2973" s="660" t="s">
        <v>43</v>
      </c>
      <c r="C2973" s="644" t="s">
        <v>44</v>
      </c>
      <c r="D2973" s="644" t="s">
        <v>45</v>
      </c>
      <c r="E2973" s="644" t="s">
        <v>3334</v>
      </c>
      <c r="F2973" s="577" t="s">
        <v>441</v>
      </c>
      <c r="G2973" s="577">
        <v>9847835349</v>
      </c>
      <c r="I2973" s="577">
        <v>23</v>
      </c>
      <c r="J2973" s="577" t="s">
        <v>48</v>
      </c>
      <c r="K2973" s="577" t="s">
        <v>1468</v>
      </c>
      <c r="M2973" s="571" t="s">
        <v>119</v>
      </c>
      <c r="N2973" s="767">
        <v>65045</v>
      </c>
      <c r="O2973" s="680">
        <v>65045</v>
      </c>
      <c r="P2973" s="496">
        <v>65060</v>
      </c>
      <c r="Q2973" s="491" t="s">
        <v>51</v>
      </c>
    </row>
    <row r="2974" spans="1:17" ht="18">
      <c r="A2974" s="512">
        <f t="shared" si="39"/>
        <v>2127</v>
      </c>
      <c r="B2974" s="660" t="s">
        <v>43</v>
      </c>
      <c r="C2974" s="644" t="s">
        <v>44</v>
      </c>
      <c r="D2974" s="644" t="s">
        <v>45</v>
      </c>
      <c r="E2974" s="644" t="s">
        <v>3345</v>
      </c>
      <c r="F2974" s="577" t="s">
        <v>124</v>
      </c>
      <c r="G2974" s="577">
        <v>9829534758</v>
      </c>
      <c r="I2974" s="577">
        <v>52</v>
      </c>
      <c r="J2974" s="577" t="s">
        <v>48</v>
      </c>
      <c r="K2974" s="577" t="s">
        <v>1468</v>
      </c>
      <c r="M2974" s="571" t="s">
        <v>119</v>
      </c>
      <c r="N2974" s="767">
        <v>65045</v>
      </c>
      <c r="O2974" s="680">
        <v>65045</v>
      </c>
      <c r="P2974" s="496">
        <v>65060</v>
      </c>
      <c r="Q2974" s="491" t="s">
        <v>51</v>
      </c>
    </row>
    <row r="2975" spans="1:17" ht="18">
      <c r="A2975" s="512">
        <f t="shared" si="39"/>
        <v>2128</v>
      </c>
      <c r="B2975" s="660" t="s">
        <v>43</v>
      </c>
      <c r="C2975" s="644" t="s">
        <v>44</v>
      </c>
      <c r="D2975" s="644" t="s">
        <v>45</v>
      </c>
      <c r="E2975" s="644" t="s">
        <v>3356</v>
      </c>
      <c r="F2975" s="577" t="s">
        <v>1046</v>
      </c>
      <c r="G2975" s="577">
        <v>9847884146</v>
      </c>
      <c r="I2975" s="577">
        <v>65</v>
      </c>
      <c r="J2975" s="577" t="s">
        <v>48</v>
      </c>
      <c r="K2975" s="577" t="s">
        <v>1468</v>
      </c>
      <c r="M2975" s="571" t="s">
        <v>119</v>
      </c>
      <c r="N2975" s="767">
        <v>65045</v>
      </c>
      <c r="O2975" s="680">
        <v>65045</v>
      </c>
      <c r="P2975" s="496">
        <v>65060</v>
      </c>
      <c r="Q2975" s="491" t="s">
        <v>51</v>
      </c>
    </row>
    <row r="2976" spans="1:17" ht="18">
      <c r="A2976" s="512">
        <f t="shared" si="39"/>
        <v>2129</v>
      </c>
      <c r="B2976" s="660" t="s">
        <v>43</v>
      </c>
      <c r="C2976" s="644" t="s">
        <v>44</v>
      </c>
      <c r="D2976" s="644" t="s">
        <v>45</v>
      </c>
      <c r="E2976" s="644" t="s">
        <v>3358</v>
      </c>
      <c r="F2976" s="577" t="s">
        <v>1046</v>
      </c>
      <c r="G2976" s="577">
        <v>9844940366</v>
      </c>
      <c r="I2976" s="577">
        <v>62</v>
      </c>
      <c r="J2976" s="577" t="s">
        <v>90</v>
      </c>
      <c r="K2976" s="577" t="s">
        <v>1468</v>
      </c>
      <c r="M2976" s="571" t="s">
        <v>119</v>
      </c>
      <c r="N2976" s="767">
        <v>65045</v>
      </c>
      <c r="O2976" s="680">
        <v>65045</v>
      </c>
      <c r="P2976" s="496">
        <v>65060</v>
      </c>
      <c r="Q2976" s="491" t="s">
        <v>51</v>
      </c>
    </row>
    <row r="2977" spans="1:17" ht="18">
      <c r="A2977" s="512">
        <f t="shared" si="39"/>
        <v>2130</v>
      </c>
      <c r="B2977" s="660" t="s">
        <v>43</v>
      </c>
      <c r="C2977" s="644" t="s">
        <v>44</v>
      </c>
      <c r="D2977" s="644" t="s">
        <v>45</v>
      </c>
      <c r="E2977" s="644" t="s">
        <v>3359</v>
      </c>
      <c r="F2977" s="577" t="s">
        <v>1046</v>
      </c>
      <c r="G2977" s="577">
        <v>9822817753</v>
      </c>
      <c r="I2977" s="577">
        <v>40</v>
      </c>
      <c r="J2977" s="577" t="s">
        <v>90</v>
      </c>
      <c r="K2977" s="577" t="s">
        <v>1468</v>
      </c>
      <c r="M2977" s="571" t="s">
        <v>119</v>
      </c>
      <c r="N2977" s="767">
        <v>65045</v>
      </c>
      <c r="O2977" s="680">
        <v>65045</v>
      </c>
      <c r="P2977" s="496">
        <v>65060</v>
      </c>
      <c r="Q2977" s="491" t="s">
        <v>51</v>
      </c>
    </row>
    <row r="2978" spans="1:17" ht="18">
      <c r="A2978" s="512">
        <f t="shared" si="39"/>
        <v>2131</v>
      </c>
      <c r="B2978" s="660" t="s">
        <v>43</v>
      </c>
      <c r="C2978" s="644" t="s">
        <v>44</v>
      </c>
      <c r="D2978" s="644" t="s">
        <v>45</v>
      </c>
      <c r="E2978" s="644" t="s">
        <v>3353</v>
      </c>
      <c r="F2978" s="577" t="s">
        <v>791</v>
      </c>
      <c r="G2978" s="577">
        <v>9847835355</v>
      </c>
      <c r="I2978" s="577">
        <v>67</v>
      </c>
      <c r="J2978" s="577" t="s">
        <v>90</v>
      </c>
      <c r="K2978" s="577" t="s">
        <v>1468</v>
      </c>
      <c r="M2978" s="571" t="s">
        <v>119</v>
      </c>
      <c r="N2978" s="767">
        <v>65045</v>
      </c>
      <c r="O2978" s="680">
        <v>65045</v>
      </c>
      <c r="P2978" s="496">
        <v>65060</v>
      </c>
      <c r="Q2978" s="491" t="s">
        <v>51</v>
      </c>
    </row>
    <row r="2979" spans="1:17" ht="18">
      <c r="A2979" s="512">
        <f t="shared" si="39"/>
        <v>2132</v>
      </c>
      <c r="B2979" s="660" t="s">
        <v>43</v>
      </c>
      <c r="C2979" s="644" t="s">
        <v>44</v>
      </c>
      <c r="D2979" s="644" t="s">
        <v>45</v>
      </c>
      <c r="E2979" s="644" t="s">
        <v>3349</v>
      </c>
      <c r="F2979" s="577" t="s">
        <v>124</v>
      </c>
      <c r="G2979" s="577">
        <v>9868655565</v>
      </c>
      <c r="I2979" s="577">
        <v>15</v>
      </c>
      <c r="J2979" s="577" t="s">
        <v>90</v>
      </c>
      <c r="K2979" s="577" t="s">
        <v>1468</v>
      </c>
      <c r="M2979" s="571" t="s">
        <v>119</v>
      </c>
      <c r="N2979" s="767">
        <v>65045</v>
      </c>
      <c r="O2979" s="680">
        <v>65045</v>
      </c>
      <c r="P2979" s="496">
        <v>65060</v>
      </c>
      <c r="Q2979" s="491" t="s">
        <v>51</v>
      </c>
    </row>
    <row r="2980" spans="1:17" ht="18">
      <c r="A2980" s="512">
        <f t="shared" si="39"/>
        <v>2133</v>
      </c>
      <c r="B2980" s="660" t="s">
        <v>43</v>
      </c>
      <c r="C2980" s="644" t="s">
        <v>44</v>
      </c>
      <c r="D2980" s="644" t="s">
        <v>45</v>
      </c>
      <c r="E2980" s="670" t="s">
        <v>3300</v>
      </c>
      <c r="F2980" s="577" t="s">
        <v>598</v>
      </c>
      <c r="G2980" s="577">
        <v>9810980158</v>
      </c>
      <c r="I2980" s="577">
        <v>75</v>
      </c>
      <c r="J2980" s="577" t="s">
        <v>48</v>
      </c>
      <c r="K2980" s="577" t="s">
        <v>1468</v>
      </c>
      <c r="M2980" s="571" t="s">
        <v>119</v>
      </c>
      <c r="N2980" s="767">
        <v>65045</v>
      </c>
      <c r="O2980" s="680">
        <v>65045</v>
      </c>
      <c r="P2980" s="496">
        <v>65060</v>
      </c>
      <c r="Q2980" s="491" t="s">
        <v>51</v>
      </c>
    </row>
    <row r="2981" spans="1:17" ht="18">
      <c r="A2981" s="512">
        <f t="shared" si="39"/>
        <v>2134</v>
      </c>
      <c r="B2981" s="660" t="s">
        <v>43</v>
      </c>
      <c r="C2981" s="644" t="s">
        <v>44</v>
      </c>
      <c r="D2981" s="644" t="s">
        <v>45</v>
      </c>
      <c r="E2981" s="630" t="s">
        <v>3553</v>
      </c>
      <c r="F2981" s="423" t="s">
        <v>497</v>
      </c>
      <c r="G2981" s="597">
        <v>9829512844</v>
      </c>
      <c r="H2981" s="422"/>
      <c r="I2981" s="423">
        <v>78</v>
      </c>
      <c r="J2981" s="597" t="s">
        <v>48</v>
      </c>
      <c r="K2981" s="597" t="s">
        <v>1763</v>
      </c>
      <c r="L2981" s="423"/>
      <c r="M2981" s="597" t="s">
        <v>3291</v>
      </c>
      <c r="N2981" s="726">
        <v>65045</v>
      </c>
      <c r="O2981" s="476">
        <v>65045</v>
      </c>
      <c r="P2981" s="476">
        <v>65047</v>
      </c>
      <c r="Q2981" s="422" t="s">
        <v>940</v>
      </c>
    </row>
    <row r="2982" spans="1:17" ht="18">
      <c r="A2982" s="512">
        <f t="shared" si="39"/>
        <v>2135</v>
      </c>
      <c r="B2982" s="660" t="s">
        <v>43</v>
      </c>
      <c r="C2982" s="644" t="s">
        <v>44</v>
      </c>
      <c r="D2982" s="644" t="s">
        <v>45</v>
      </c>
      <c r="E2982" s="670" t="s">
        <v>1704</v>
      </c>
      <c r="F2982" s="577" t="s">
        <v>491</v>
      </c>
      <c r="G2982" s="577">
        <v>9844978367</v>
      </c>
      <c r="I2982" s="577">
        <v>71</v>
      </c>
      <c r="J2982" s="577" t="s">
        <v>90</v>
      </c>
      <c r="K2982" s="577" t="s">
        <v>1468</v>
      </c>
      <c r="M2982" s="571" t="s">
        <v>119</v>
      </c>
      <c r="N2982" s="767">
        <v>65045</v>
      </c>
      <c r="O2982" s="680">
        <v>65045</v>
      </c>
      <c r="P2982" s="496">
        <v>65060</v>
      </c>
      <c r="Q2982" s="491" t="s">
        <v>51</v>
      </c>
    </row>
    <row r="2983" spans="1:17" ht="18">
      <c r="A2983" s="512">
        <f t="shared" si="39"/>
        <v>2136</v>
      </c>
      <c r="B2983" s="660" t="s">
        <v>43</v>
      </c>
      <c r="C2983" s="644" t="s">
        <v>44</v>
      </c>
      <c r="D2983" s="644" t="s">
        <v>45</v>
      </c>
      <c r="E2983" s="644" t="s">
        <v>3337</v>
      </c>
      <c r="F2983" s="577" t="s">
        <v>441</v>
      </c>
      <c r="G2983" s="577">
        <v>9822852376</v>
      </c>
      <c r="I2983" s="577">
        <v>27</v>
      </c>
      <c r="J2983" s="577" t="s">
        <v>90</v>
      </c>
      <c r="K2983" s="577" t="s">
        <v>1468</v>
      </c>
      <c r="M2983" s="571" t="s">
        <v>119</v>
      </c>
      <c r="N2983" s="767">
        <v>65045</v>
      </c>
      <c r="O2983" s="680">
        <v>65045</v>
      </c>
      <c r="P2983" s="496">
        <v>65060</v>
      </c>
      <c r="Q2983" s="491" t="s">
        <v>51</v>
      </c>
    </row>
    <row r="2984" spans="1:17" ht="18">
      <c r="A2984" s="512">
        <f t="shared" si="39"/>
        <v>2137</v>
      </c>
      <c r="B2984" s="660" t="s">
        <v>43</v>
      </c>
      <c r="C2984" s="644" t="s">
        <v>44</v>
      </c>
      <c r="D2984" s="644" t="s">
        <v>45</v>
      </c>
      <c r="E2984" s="644" t="s">
        <v>3328</v>
      </c>
      <c r="F2984" s="577" t="s">
        <v>491</v>
      </c>
      <c r="G2984" s="577">
        <v>9868103593</v>
      </c>
      <c r="I2984" s="577">
        <v>65</v>
      </c>
      <c r="J2984" s="577" t="s">
        <v>90</v>
      </c>
      <c r="K2984" s="577" t="s">
        <v>1468</v>
      </c>
      <c r="M2984" s="571" t="s">
        <v>119</v>
      </c>
      <c r="N2984" s="767">
        <v>65045</v>
      </c>
      <c r="O2984" s="680">
        <v>65045</v>
      </c>
      <c r="P2984" s="496">
        <v>65060</v>
      </c>
      <c r="Q2984" s="491" t="s">
        <v>51</v>
      </c>
    </row>
    <row r="2985" spans="1:17" ht="18">
      <c r="A2985" s="512">
        <f t="shared" si="39"/>
        <v>2138</v>
      </c>
      <c r="B2985" s="660" t="s">
        <v>43</v>
      </c>
      <c r="C2985" s="644" t="s">
        <v>44</v>
      </c>
      <c r="D2985" s="644" t="s">
        <v>45</v>
      </c>
      <c r="E2985" s="644" t="s">
        <v>3304</v>
      </c>
      <c r="F2985" s="577" t="s">
        <v>598</v>
      </c>
      <c r="G2985" s="577">
        <v>9810975714</v>
      </c>
      <c r="I2985" s="577">
        <v>37</v>
      </c>
      <c r="J2985" s="577" t="s">
        <v>90</v>
      </c>
      <c r="K2985" s="577" t="s">
        <v>1468</v>
      </c>
      <c r="M2985" s="571" t="s">
        <v>119</v>
      </c>
      <c r="N2985" s="767">
        <v>65045</v>
      </c>
      <c r="O2985" s="680">
        <v>65045</v>
      </c>
      <c r="P2985" s="496">
        <v>65060</v>
      </c>
      <c r="Q2985" s="491" t="s">
        <v>51</v>
      </c>
    </row>
    <row r="2986" spans="1:17" ht="18">
      <c r="A2986" s="512">
        <f t="shared" si="39"/>
        <v>2139</v>
      </c>
      <c r="B2986" s="660" t="s">
        <v>43</v>
      </c>
      <c r="C2986" s="644" t="s">
        <v>44</v>
      </c>
      <c r="D2986" s="644" t="s">
        <v>45</v>
      </c>
      <c r="E2986" s="670" t="s">
        <v>3322</v>
      </c>
      <c r="F2986" s="577" t="s">
        <v>491</v>
      </c>
      <c r="G2986" s="577">
        <v>9810939650</v>
      </c>
      <c r="I2986" s="577">
        <v>46</v>
      </c>
      <c r="J2986" s="577" t="s">
        <v>48</v>
      </c>
      <c r="K2986" s="577" t="s">
        <v>1468</v>
      </c>
      <c r="M2986" s="571" t="s">
        <v>119</v>
      </c>
      <c r="N2986" s="767">
        <v>65045</v>
      </c>
      <c r="O2986" s="680">
        <v>65045</v>
      </c>
      <c r="P2986" s="496">
        <v>65060</v>
      </c>
      <c r="Q2986" s="491" t="s">
        <v>51</v>
      </c>
    </row>
    <row r="2987" spans="1:17" ht="18">
      <c r="A2987" s="512">
        <f t="shared" si="39"/>
        <v>2140</v>
      </c>
      <c r="B2987" s="660" t="s">
        <v>43</v>
      </c>
      <c r="C2987" s="644" t="s">
        <v>44</v>
      </c>
      <c r="D2987" s="644" t="s">
        <v>45</v>
      </c>
      <c r="E2987" s="644" t="s">
        <v>3234</v>
      </c>
      <c r="F2987" s="577" t="s">
        <v>491</v>
      </c>
      <c r="G2987" s="577">
        <v>9847861226</v>
      </c>
      <c r="I2987" s="577">
        <v>40</v>
      </c>
      <c r="J2987" s="577" t="s">
        <v>90</v>
      </c>
      <c r="K2987" s="577" t="s">
        <v>1480</v>
      </c>
      <c r="M2987" s="571" t="s">
        <v>119</v>
      </c>
      <c r="N2987" s="767">
        <v>65045</v>
      </c>
      <c r="O2987" s="680">
        <v>65045</v>
      </c>
      <c r="P2987" s="496">
        <v>65060</v>
      </c>
      <c r="Q2987" s="491" t="s">
        <v>51</v>
      </c>
    </row>
    <row r="2988" spans="1:17" ht="18">
      <c r="A2988" s="512">
        <f t="shared" si="39"/>
        <v>2141</v>
      </c>
      <c r="B2988" s="660" t="s">
        <v>43</v>
      </c>
      <c r="C2988" s="644" t="s">
        <v>44</v>
      </c>
      <c r="D2988" s="644" t="s">
        <v>45</v>
      </c>
      <c r="E2988" s="644" t="s">
        <v>3335</v>
      </c>
      <c r="F2988" s="577" t="s">
        <v>441</v>
      </c>
      <c r="G2988" s="577">
        <v>9847835382</v>
      </c>
      <c r="I2988" s="577">
        <v>46</v>
      </c>
      <c r="J2988" s="577" t="s">
        <v>48</v>
      </c>
      <c r="K2988" s="577" t="s">
        <v>1468</v>
      </c>
      <c r="M2988" s="571" t="s">
        <v>119</v>
      </c>
      <c r="N2988" s="767">
        <v>65045</v>
      </c>
      <c r="O2988" s="680">
        <v>65045</v>
      </c>
      <c r="P2988" s="496">
        <v>65060</v>
      </c>
      <c r="Q2988" s="491" t="s">
        <v>51</v>
      </c>
    </row>
    <row r="2989" spans="1:17" ht="18">
      <c r="A2989" s="512">
        <f t="shared" si="39"/>
        <v>2142</v>
      </c>
      <c r="B2989" s="660" t="s">
        <v>43</v>
      </c>
      <c r="C2989" s="644" t="s">
        <v>44</v>
      </c>
      <c r="D2989" s="644" t="s">
        <v>45</v>
      </c>
      <c r="E2989" s="670" t="s">
        <v>3336</v>
      </c>
      <c r="F2989" s="577" t="s">
        <v>441</v>
      </c>
      <c r="G2989" s="577">
        <v>9810889502</v>
      </c>
      <c r="I2989" s="577">
        <v>34</v>
      </c>
      <c r="J2989" s="577" t="s">
        <v>48</v>
      </c>
      <c r="K2989" s="577" t="s">
        <v>1468</v>
      </c>
      <c r="M2989" s="571" t="s">
        <v>119</v>
      </c>
      <c r="N2989" s="767">
        <v>65045</v>
      </c>
      <c r="O2989" s="680">
        <v>65045</v>
      </c>
      <c r="P2989" s="496">
        <v>65060</v>
      </c>
      <c r="Q2989" s="491" t="s">
        <v>51</v>
      </c>
    </row>
    <row r="2990" spans="1:17" ht="18">
      <c r="A2990" s="512">
        <f t="shared" si="39"/>
        <v>2143</v>
      </c>
      <c r="B2990" s="660" t="s">
        <v>43</v>
      </c>
      <c r="C2990" s="644" t="s">
        <v>44</v>
      </c>
      <c r="D2990" s="644" t="s">
        <v>45</v>
      </c>
      <c r="E2990" s="644" t="s">
        <v>3366</v>
      </c>
      <c r="F2990" s="577" t="s">
        <v>1008</v>
      </c>
      <c r="G2990" s="577">
        <v>9847945452</v>
      </c>
      <c r="I2990" s="577">
        <v>66</v>
      </c>
      <c r="J2990" s="577" t="s">
        <v>90</v>
      </c>
      <c r="K2990" s="577" t="s">
        <v>1468</v>
      </c>
      <c r="M2990" s="571" t="s">
        <v>119</v>
      </c>
      <c r="N2990" s="767">
        <v>65045</v>
      </c>
      <c r="O2990" s="680">
        <v>65045</v>
      </c>
      <c r="P2990" s="496">
        <v>65060</v>
      </c>
      <c r="Q2990" s="491" t="s">
        <v>51</v>
      </c>
    </row>
    <row r="2991" spans="1:17" ht="18">
      <c r="A2991" s="512">
        <f t="shared" si="39"/>
        <v>2144</v>
      </c>
      <c r="B2991" s="660" t="s">
        <v>43</v>
      </c>
      <c r="C2991" s="644" t="s">
        <v>44</v>
      </c>
      <c r="D2991" s="644" t="s">
        <v>45</v>
      </c>
      <c r="E2991" s="644" t="s">
        <v>3324</v>
      </c>
      <c r="F2991" s="577" t="s">
        <v>491</v>
      </c>
      <c r="G2991" s="577">
        <v>9866649362</v>
      </c>
      <c r="I2991" s="577">
        <v>42</v>
      </c>
      <c r="J2991" s="577" t="s">
        <v>48</v>
      </c>
      <c r="K2991" s="577" t="s">
        <v>1468</v>
      </c>
      <c r="M2991" s="571" t="s">
        <v>119</v>
      </c>
      <c r="N2991" s="767">
        <v>65045</v>
      </c>
      <c r="O2991" s="680">
        <v>65045</v>
      </c>
      <c r="P2991" s="496">
        <v>65060</v>
      </c>
      <c r="Q2991" s="491" t="s">
        <v>51</v>
      </c>
    </row>
    <row r="2992" spans="1:17" ht="18">
      <c r="A2992" s="512">
        <f t="shared" si="39"/>
        <v>2145</v>
      </c>
      <c r="B2992" s="660" t="s">
        <v>43</v>
      </c>
      <c r="C2992" s="644" t="s">
        <v>44</v>
      </c>
      <c r="D2992" s="644" t="s">
        <v>45</v>
      </c>
      <c r="E2992" s="644" t="s">
        <v>3309</v>
      </c>
      <c r="F2992" s="577" t="s">
        <v>502</v>
      </c>
      <c r="G2992" s="577">
        <v>9804908332</v>
      </c>
      <c r="I2992" s="577">
        <v>12</v>
      </c>
      <c r="J2992" s="577" t="s">
        <v>48</v>
      </c>
      <c r="K2992" s="577" t="s">
        <v>1468</v>
      </c>
      <c r="M2992" s="571" t="s">
        <v>119</v>
      </c>
      <c r="N2992" s="767">
        <v>65045</v>
      </c>
      <c r="O2992" s="680">
        <v>65045</v>
      </c>
      <c r="P2992" s="496">
        <v>65060</v>
      </c>
      <c r="Q2992" s="491" t="s">
        <v>51</v>
      </c>
    </row>
    <row r="2993" spans="1:17" ht="18">
      <c r="A2993" s="512">
        <f t="shared" si="39"/>
        <v>2146</v>
      </c>
      <c r="B2993" s="660" t="s">
        <v>43</v>
      </c>
      <c r="C2993" s="644" t="s">
        <v>44</v>
      </c>
      <c r="D2993" s="644" t="s">
        <v>45</v>
      </c>
      <c r="E2993" s="644" t="s">
        <v>2026</v>
      </c>
      <c r="F2993" s="577" t="s">
        <v>441</v>
      </c>
      <c r="G2993" s="577">
        <v>9857864483</v>
      </c>
      <c r="I2993" s="577">
        <v>28</v>
      </c>
      <c r="J2993" s="577" t="s">
        <v>48</v>
      </c>
      <c r="K2993" s="577" t="s">
        <v>1468</v>
      </c>
      <c r="M2993" s="571" t="s">
        <v>119</v>
      </c>
      <c r="N2993" s="767">
        <v>65045</v>
      </c>
      <c r="O2993" s="680">
        <v>65045</v>
      </c>
      <c r="P2993" s="496">
        <v>65060</v>
      </c>
      <c r="Q2993" s="491" t="s">
        <v>51</v>
      </c>
    </row>
    <row r="2994" spans="1:17" ht="18">
      <c r="A2994" s="512">
        <f t="shared" si="39"/>
        <v>2147</v>
      </c>
      <c r="B2994" s="660" t="s">
        <v>43</v>
      </c>
      <c r="C2994" s="644" t="s">
        <v>44</v>
      </c>
      <c r="D2994" s="644" t="s">
        <v>45</v>
      </c>
      <c r="E2994" s="644" t="s">
        <v>3310</v>
      </c>
      <c r="F2994" s="577" t="s">
        <v>502</v>
      </c>
      <c r="G2994" s="577">
        <v>9840090730</v>
      </c>
      <c r="I2994" s="577">
        <v>27</v>
      </c>
      <c r="J2994" s="577" t="s">
        <v>48</v>
      </c>
      <c r="K2994" s="577" t="s">
        <v>1468</v>
      </c>
      <c r="M2994" s="571" t="s">
        <v>119</v>
      </c>
      <c r="N2994" s="767">
        <v>65045</v>
      </c>
      <c r="O2994" s="680">
        <v>65045</v>
      </c>
      <c r="P2994" s="496">
        <v>65060</v>
      </c>
      <c r="Q2994" s="491" t="s">
        <v>51</v>
      </c>
    </row>
    <row r="2995" spans="1:17" ht="18">
      <c r="A2995" s="512">
        <f t="shared" si="39"/>
        <v>2148</v>
      </c>
      <c r="B2995" s="660" t="s">
        <v>43</v>
      </c>
      <c r="C2995" s="644" t="s">
        <v>44</v>
      </c>
      <c r="D2995" s="644" t="s">
        <v>45</v>
      </c>
      <c r="E2995" s="644" t="s">
        <v>3338</v>
      </c>
      <c r="F2995" s="577" t="s">
        <v>441</v>
      </c>
      <c r="G2995" s="577">
        <v>9843982269</v>
      </c>
      <c r="I2995" s="577">
        <v>32</v>
      </c>
      <c r="J2995" s="577" t="s">
        <v>90</v>
      </c>
      <c r="K2995" s="577" t="s">
        <v>1468</v>
      </c>
      <c r="M2995" s="571" t="s">
        <v>119</v>
      </c>
      <c r="N2995" s="767">
        <v>65045</v>
      </c>
      <c r="O2995" s="680">
        <v>65045</v>
      </c>
      <c r="P2995" s="496">
        <v>65060</v>
      </c>
      <c r="Q2995" s="491" t="s">
        <v>51</v>
      </c>
    </row>
    <row r="2996" spans="1:17" ht="18">
      <c r="A2996" s="512">
        <f t="shared" si="39"/>
        <v>2149</v>
      </c>
      <c r="B2996" s="660" t="s">
        <v>43</v>
      </c>
      <c r="C2996" s="644" t="s">
        <v>44</v>
      </c>
      <c r="D2996" s="644" t="s">
        <v>45</v>
      </c>
      <c r="E2996" s="644" t="s">
        <v>3323</v>
      </c>
      <c r="F2996" s="577" t="s">
        <v>491</v>
      </c>
      <c r="G2996" s="577">
        <v>9847823281</v>
      </c>
      <c r="I2996" s="577">
        <v>1</v>
      </c>
      <c r="J2996" s="577" t="s">
        <v>48</v>
      </c>
      <c r="K2996" s="577" t="s">
        <v>1480</v>
      </c>
      <c r="M2996" s="571" t="s">
        <v>119</v>
      </c>
      <c r="N2996" s="767">
        <v>65045</v>
      </c>
      <c r="O2996" s="680">
        <v>65045</v>
      </c>
      <c r="P2996" s="496">
        <v>65060</v>
      </c>
      <c r="Q2996" s="491" t="s">
        <v>51</v>
      </c>
    </row>
    <row r="2997" spans="1:17" ht="18">
      <c r="A2997" s="512">
        <f t="shared" si="39"/>
        <v>2150</v>
      </c>
      <c r="B2997" s="658" t="s">
        <v>43</v>
      </c>
      <c r="C2997" s="630" t="s">
        <v>44</v>
      </c>
      <c r="D2997" s="630" t="s">
        <v>45</v>
      </c>
      <c r="E2997" s="630" t="s">
        <v>3372</v>
      </c>
      <c r="F2997" s="597" t="s">
        <v>791</v>
      </c>
      <c r="G2997" s="423"/>
      <c r="H2997" s="422"/>
      <c r="I2997" s="597">
        <v>45</v>
      </c>
      <c r="J2997" s="597" t="s">
        <v>90</v>
      </c>
      <c r="K2997" s="423"/>
      <c r="L2997" s="423"/>
      <c r="M2997" s="597" t="s">
        <v>2651</v>
      </c>
      <c r="N2997" s="768">
        <v>65045</v>
      </c>
      <c r="O2997" s="681">
        <v>65045</v>
      </c>
      <c r="P2997" s="476">
        <v>65046</v>
      </c>
      <c r="Q2997" s="422" t="s">
        <v>940</v>
      </c>
    </row>
    <row r="2998" spans="1:17" ht="18">
      <c r="A2998" s="512">
        <f t="shared" si="39"/>
        <v>2151</v>
      </c>
      <c r="B2998" s="660" t="s">
        <v>43</v>
      </c>
      <c r="C2998" s="644" t="s">
        <v>44</v>
      </c>
      <c r="D2998" s="644" t="s">
        <v>45</v>
      </c>
      <c r="E2998" s="670" t="s">
        <v>3301</v>
      </c>
      <c r="F2998" s="577" t="s">
        <v>598</v>
      </c>
      <c r="G2998" s="577">
        <v>9808188731</v>
      </c>
      <c r="I2998" s="577">
        <v>40</v>
      </c>
      <c r="J2998" s="577" t="s">
        <v>48</v>
      </c>
      <c r="K2998" s="577" t="s">
        <v>1459</v>
      </c>
      <c r="M2998" s="571" t="s">
        <v>119</v>
      </c>
      <c r="N2998" s="767">
        <v>65045</v>
      </c>
      <c r="O2998" s="680">
        <v>65045</v>
      </c>
      <c r="P2998" s="496">
        <v>65060</v>
      </c>
      <c r="Q2998" s="491" t="s">
        <v>51</v>
      </c>
    </row>
    <row r="2999" spans="1:17" ht="18">
      <c r="A2999" s="512">
        <f t="shared" si="39"/>
        <v>2152</v>
      </c>
      <c r="B2999" s="660" t="s">
        <v>43</v>
      </c>
      <c r="C2999" s="644" t="s">
        <v>44</v>
      </c>
      <c r="D2999" s="644" t="s">
        <v>45</v>
      </c>
      <c r="E2999" s="644" t="s">
        <v>3318</v>
      </c>
      <c r="F2999" s="577" t="s">
        <v>502</v>
      </c>
      <c r="G2999" s="577">
        <v>9804908332</v>
      </c>
      <c r="I2999" s="577">
        <v>17</v>
      </c>
      <c r="J2999" s="577" t="s">
        <v>90</v>
      </c>
      <c r="K2999" s="577" t="s">
        <v>1468</v>
      </c>
      <c r="M2999" s="571" t="s">
        <v>119</v>
      </c>
      <c r="N2999" s="767">
        <v>65045</v>
      </c>
      <c r="O2999" s="680">
        <v>65045</v>
      </c>
      <c r="P2999" s="496">
        <v>65060</v>
      </c>
      <c r="Q2999" s="491" t="s">
        <v>51</v>
      </c>
    </row>
    <row r="3000" spans="1:17" ht="18">
      <c r="A3000" s="512">
        <f t="shared" si="39"/>
        <v>2153</v>
      </c>
      <c r="B3000" s="660" t="s">
        <v>43</v>
      </c>
      <c r="C3000" s="644" t="s">
        <v>44</v>
      </c>
      <c r="D3000" s="644" t="s">
        <v>45</v>
      </c>
      <c r="E3000" s="644" t="s">
        <v>3319</v>
      </c>
      <c r="F3000" s="577" t="s">
        <v>502</v>
      </c>
      <c r="G3000" s="577">
        <v>9804908332</v>
      </c>
      <c r="I3000" s="577">
        <v>15</v>
      </c>
      <c r="J3000" s="577" t="s">
        <v>90</v>
      </c>
      <c r="K3000" s="577" t="s">
        <v>1468</v>
      </c>
      <c r="M3000" s="571" t="s">
        <v>119</v>
      </c>
      <c r="N3000" s="767">
        <v>65045</v>
      </c>
      <c r="O3000" s="680">
        <v>65045</v>
      </c>
      <c r="P3000" s="496">
        <v>65060</v>
      </c>
      <c r="Q3000" s="491" t="s">
        <v>51</v>
      </c>
    </row>
    <row r="3001" spans="1:17" ht="18">
      <c r="A3001" s="512">
        <f t="shared" si="39"/>
        <v>2154</v>
      </c>
      <c r="B3001" s="660" t="s">
        <v>43</v>
      </c>
      <c r="C3001" s="644" t="s">
        <v>44</v>
      </c>
      <c r="D3001" s="644" t="s">
        <v>45</v>
      </c>
      <c r="E3001" s="644" t="s">
        <v>3363</v>
      </c>
      <c r="F3001" s="577" t="s">
        <v>730</v>
      </c>
      <c r="G3001" s="577">
        <v>9847824525</v>
      </c>
      <c r="I3001" s="577">
        <v>44</v>
      </c>
      <c r="J3001" s="577" t="s">
        <v>48</v>
      </c>
      <c r="K3001" s="577" t="s">
        <v>1468</v>
      </c>
      <c r="M3001" s="571" t="s">
        <v>119</v>
      </c>
      <c r="N3001" s="767">
        <v>65045</v>
      </c>
      <c r="O3001" s="680">
        <v>65045</v>
      </c>
      <c r="P3001" s="496">
        <v>65060</v>
      </c>
      <c r="Q3001" s="491" t="s">
        <v>51</v>
      </c>
    </row>
    <row r="3002" spans="1:17" ht="18">
      <c r="A3002" s="512">
        <f t="shared" si="39"/>
        <v>2155</v>
      </c>
      <c r="B3002" s="660" t="s">
        <v>43</v>
      </c>
      <c r="C3002" s="644" t="s">
        <v>44</v>
      </c>
      <c r="D3002" s="644" t="s">
        <v>45</v>
      </c>
      <c r="E3002" s="644" t="s">
        <v>3311</v>
      </c>
      <c r="F3002" s="577" t="s">
        <v>502</v>
      </c>
      <c r="G3002" s="577">
        <v>9857820640</v>
      </c>
      <c r="I3002" s="577">
        <v>66</v>
      </c>
      <c r="J3002" s="577" t="s">
        <v>48</v>
      </c>
      <c r="K3002" s="577" t="s">
        <v>1468</v>
      </c>
      <c r="M3002" s="571" t="s">
        <v>119</v>
      </c>
      <c r="N3002" s="767">
        <v>65045</v>
      </c>
      <c r="O3002" s="680">
        <v>65045</v>
      </c>
      <c r="P3002" s="496">
        <v>65060</v>
      </c>
      <c r="Q3002" s="491" t="s">
        <v>51</v>
      </c>
    </row>
    <row r="3003" spans="1:17" ht="18">
      <c r="A3003" s="512">
        <f t="shared" si="39"/>
        <v>2156</v>
      </c>
      <c r="B3003" s="660" t="s">
        <v>43</v>
      </c>
      <c r="C3003" s="644" t="s">
        <v>44</v>
      </c>
      <c r="D3003" s="644" t="s">
        <v>45</v>
      </c>
      <c r="E3003" s="644" t="s">
        <v>3346</v>
      </c>
      <c r="F3003" s="577" t="s">
        <v>124</v>
      </c>
      <c r="G3003" s="577">
        <v>9809507360</v>
      </c>
      <c r="I3003" s="577">
        <v>47</v>
      </c>
      <c r="J3003" s="577" t="s">
        <v>48</v>
      </c>
      <c r="K3003" s="577" t="s">
        <v>1468</v>
      </c>
      <c r="M3003" s="571" t="s">
        <v>119</v>
      </c>
      <c r="N3003" s="767">
        <v>65045</v>
      </c>
      <c r="O3003" s="680">
        <v>65045</v>
      </c>
      <c r="P3003" s="496">
        <v>65060</v>
      </c>
      <c r="Q3003" s="491" t="s">
        <v>51</v>
      </c>
    </row>
    <row r="3004" spans="1:17" ht="18">
      <c r="A3004" s="512">
        <f t="shared" si="39"/>
        <v>2157</v>
      </c>
      <c r="B3004" s="660" t="s">
        <v>43</v>
      </c>
      <c r="C3004" s="644" t="s">
        <v>44</v>
      </c>
      <c r="D3004" s="644" t="s">
        <v>45</v>
      </c>
      <c r="E3004" s="644" t="s">
        <v>3325</v>
      </c>
      <c r="F3004" s="577" t="s">
        <v>491</v>
      </c>
      <c r="G3004" s="577">
        <v>9857821445</v>
      </c>
      <c r="I3004" s="577">
        <v>51</v>
      </c>
      <c r="J3004" s="577" t="s">
        <v>48</v>
      </c>
      <c r="K3004" s="577" t="s">
        <v>1468</v>
      </c>
      <c r="M3004" s="571" t="s">
        <v>119</v>
      </c>
      <c r="N3004" s="767">
        <v>65045</v>
      </c>
      <c r="O3004" s="680">
        <v>65045</v>
      </c>
      <c r="P3004" s="496">
        <v>65060</v>
      </c>
      <c r="Q3004" s="491" t="s">
        <v>51</v>
      </c>
    </row>
    <row r="3005" spans="1:17" ht="18">
      <c r="A3005" s="512">
        <f t="shared" si="39"/>
        <v>2158</v>
      </c>
      <c r="B3005" s="660" t="s">
        <v>43</v>
      </c>
      <c r="C3005" s="644" t="s">
        <v>44</v>
      </c>
      <c r="D3005" s="644" t="s">
        <v>45</v>
      </c>
      <c r="E3005" s="644" t="s">
        <v>3357</v>
      </c>
      <c r="F3005" s="577" t="s">
        <v>1046</v>
      </c>
      <c r="G3005" s="577">
        <v>9806254157</v>
      </c>
      <c r="I3005" s="577">
        <v>65</v>
      </c>
      <c r="J3005" s="577" t="s">
        <v>48</v>
      </c>
      <c r="K3005" s="577" t="s">
        <v>1459</v>
      </c>
      <c r="M3005" s="571" t="s">
        <v>119</v>
      </c>
      <c r="N3005" s="767">
        <v>65045</v>
      </c>
      <c r="O3005" s="680">
        <v>65045</v>
      </c>
      <c r="P3005" s="496">
        <v>65060</v>
      </c>
      <c r="Q3005" s="491" t="s">
        <v>51</v>
      </c>
    </row>
    <row r="3006" spans="1:17" ht="18">
      <c r="A3006" s="512">
        <f t="shared" si="39"/>
        <v>2159</v>
      </c>
      <c r="B3006" s="660" t="s">
        <v>43</v>
      </c>
      <c r="C3006" s="644" t="s">
        <v>44</v>
      </c>
      <c r="D3006" s="644" t="s">
        <v>45</v>
      </c>
      <c r="E3006" s="644" t="s">
        <v>3339</v>
      </c>
      <c r="F3006" s="577" t="s">
        <v>441</v>
      </c>
      <c r="G3006" s="577">
        <v>9847835382</v>
      </c>
      <c r="I3006" s="577">
        <v>42</v>
      </c>
      <c r="J3006" s="577" t="s">
        <v>90</v>
      </c>
      <c r="K3006" s="577" t="s">
        <v>1468</v>
      </c>
      <c r="M3006" s="571" t="s">
        <v>119</v>
      </c>
      <c r="N3006" s="767">
        <v>65045</v>
      </c>
      <c r="O3006" s="680">
        <v>65045</v>
      </c>
      <c r="P3006" s="496">
        <v>65060</v>
      </c>
      <c r="Q3006" s="491" t="s">
        <v>51</v>
      </c>
    </row>
    <row r="3007" spans="1:17" ht="18">
      <c r="A3007" s="512">
        <f t="shared" si="39"/>
        <v>2160</v>
      </c>
      <c r="B3007" s="660" t="s">
        <v>43</v>
      </c>
      <c r="C3007" s="644" t="s">
        <v>44</v>
      </c>
      <c r="D3007" s="644" t="s">
        <v>45</v>
      </c>
      <c r="E3007" s="644" t="s">
        <v>3330</v>
      </c>
      <c r="F3007" s="577" t="s">
        <v>491</v>
      </c>
      <c r="G3007" s="577">
        <v>9844929201</v>
      </c>
      <c r="I3007" s="577">
        <v>42</v>
      </c>
      <c r="J3007" s="577" t="s">
        <v>90</v>
      </c>
      <c r="K3007" s="577" t="s">
        <v>1468</v>
      </c>
      <c r="M3007" s="571" t="s">
        <v>119</v>
      </c>
      <c r="N3007" s="767">
        <v>65045</v>
      </c>
      <c r="O3007" s="680">
        <v>65045</v>
      </c>
      <c r="P3007" s="496">
        <v>65060</v>
      </c>
      <c r="Q3007" s="491" t="s">
        <v>51</v>
      </c>
    </row>
    <row r="3008" spans="1:17" ht="18">
      <c r="A3008" s="512">
        <f t="shared" si="39"/>
        <v>2161</v>
      </c>
      <c r="B3008" s="660" t="s">
        <v>43</v>
      </c>
      <c r="C3008" s="644" t="s">
        <v>44</v>
      </c>
      <c r="D3008" s="644" t="s">
        <v>45</v>
      </c>
      <c r="E3008" s="644" t="s">
        <v>3329</v>
      </c>
      <c r="F3008" s="577" t="s">
        <v>491</v>
      </c>
      <c r="G3008" s="577">
        <v>9842500802</v>
      </c>
      <c r="I3008" s="577">
        <v>33</v>
      </c>
      <c r="J3008" s="577" t="s">
        <v>90</v>
      </c>
      <c r="K3008" s="577" t="s">
        <v>1480</v>
      </c>
      <c r="M3008" s="571" t="s">
        <v>119</v>
      </c>
      <c r="N3008" s="767">
        <v>65045</v>
      </c>
      <c r="O3008" s="680">
        <v>65045</v>
      </c>
      <c r="P3008" s="496">
        <v>65060</v>
      </c>
      <c r="Q3008" s="491" t="s">
        <v>51</v>
      </c>
    </row>
    <row r="3009" spans="1:17" ht="18">
      <c r="A3009" s="512">
        <f t="shared" si="39"/>
        <v>2162</v>
      </c>
      <c r="B3009" s="660" t="s">
        <v>43</v>
      </c>
      <c r="C3009" s="644" t="s">
        <v>44</v>
      </c>
      <c r="D3009" s="644" t="s">
        <v>45</v>
      </c>
      <c r="E3009" s="644" t="s">
        <v>3360</v>
      </c>
      <c r="F3009" s="577" t="s">
        <v>1046</v>
      </c>
      <c r="G3009" s="577">
        <v>9809544049</v>
      </c>
      <c r="I3009" s="577">
        <v>26</v>
      </c>
      <c r="J3009" s="577" t="s">
        <v>90</v>
      </c>
      <c r="K3009" s="577" t="s">
        <v>1468</v>
      </c>
      <c r="M3009" s="571" t="s">
        <v>119</v>
      </c>
      <c r="N3009" s="767">
        <v>65045</v>
      </c>
      <c r="O3009" s="680">
        <v>65045</v>
      </c>
      <c r="P3009" s="496">
        <v>65060</v>
      </c>
      <c r="Q3009" s="491" t="s">
        <v>51</v>
      </c>
    </row>
    <row r="3010" spans="1:17" ht="18">
      <c r="A3010" s="512">
        <f t="shared" si="39"/>
        <v>2163</v>
      </c>
      <c r="B3010" s="660" t="s">
        <v>43</v>
      </c>
      <c r="C3010" s="644" t="s">
        <v>44</v>
      </c>
      <c r="D3010" s="644" t="s">
        <v>45</v>
      </c>
      <c r="E3010" s="644" t="s">
        <v>3312</v>
      </c>
      <c r="F3010" s="577" t="s">
        <v>502</v>
      </c>
      <c r="G3010" s="577">
        <v>9856011028</v>
      </c>
      <c r="I3010" s="577">
        <v>29</v>
      </c>
      <c r="J3010" s="577" t="s">
        <v>48</v>
      </c>
      <c r="K3010" s="577" t="s">
        <v>1468</v>
      </c>
      <c r="M3010" s="571" t="s">
        <v>119</v>
      </c>
      <c r="N3010" s="767">
        <v>65045</v>
      </c>
      <c r="O3010" s="680">
        <v>65045</v>
      </c>
      <c r="P3010" s="496">
        <v>65060</v>
      </c>
      <c r="Q3010" s="491" t="s">
        <v>51</v>
      </c>
    </row>
    <row r="3011" spans="1:17" ht="18">
      <c r="A3011" s="512">
        <f t="shared" si="39"/>
        <v>2164</v>
      </c>
      <c r="B3011" s="658" t="s">
        <v>43</v>
      </c>
      <c r="C3011" s="630" t="s">
        <v>44</v>
      </c>
      <c r="D3011" s="630" t="s">
        <v>45</v>
      </c>
      <c r="E3011" s="630" t="s">
        <v>3367</v>
      </c>
      <c r="F3011" s="597" t="s">
        <v>529</v>
      </c>
      <c r="G3011" s="597">
        <v>9849886031</v>
      </c>
      <c r="H3011" s="422"/>
      <c r="I3011" s="597">
        <v>30</v>
      </c>
      <c r="J3011" s="597" t="s">
        <v>90</v>
      </c>
      <c r="K3011" s="423"/>
      <c r="L3011" s="423"/>
      <c r="M3011" s="597" t="s">
        <v>119</v>
      </c>
      <c r="N3011" s="768">
        <v>65045</v>
      </c>
      <c r="O3011" s="681">
        <v>65045</v>
      </c>
      <c r="P3011" s="476">
        <v>65045</v>
      </c>
      <c r="Q3011" s="422" t="s">
        <v>940</v>
      </c>
    </row>
    <row r="3012" spans="1:17" ht="18">
      <c r="A3012" s="512">
        <f t="shared" si="39"/>
        <v>2165</v>
      </c>
      <c r="B3012" s="660" t="s">
        <v>43</v>
      </c>
      <c r="C3012" s="644" t="s">
        <v>44</v>
      </c>
      <c r="D3012" s="644" t="s">
        <v>45</v>
      </c>
      <c r="E3012" s="644" t="s">
        <v>3341</v>
      </c>
      <c r="F3012" s="577" t="s">
        <v>529</v>
      </c>
      <c r="G3012" s="577">
        <v>9809510425</v>
      </c>
      <c r="I3012" s="577">
        <v>57</v>
      </c>
      <c r="J3012" s="577" t="s">
        <v>90</v>
      </c>
      <c r="K3012" s="577" t="s">
        <v>1468</v>
      </c>
      <c r="M3012" s="571" t="s">
        <v>119</v>
      </c>
      <c r="N3012" s="767">
        <v>65045</v>
      </c>
      <c r="O3012" s="680">
        <v>65045</v>
      </c>
      <c r="P3012" s="496">
        <v>65060</v>
      </c>
      <c r="Q3012" s="491" t="s">
        <v>51</v>
      </c>
    </row>
    <row r="3013" spans="1:17" ht="18">
      <c r="A3013" s="512">
        <f t="shared" si="39"/>
        <v>2166</v>
      </c>
      <c r="B3013" s="660" t="s">
        <v>43</v>
      </c>
      <c r="C3013" s="644" t="s">
        <v>44</v>
      </c>
      <c r="D3013" s="644" t="s">
        <v>45</v>
      </c>
      <c r="E3013" s="644" t="s">
        <v>3308</v>
      </c>
      <c r="F3013" s="577" t="s">
        <v>502</v>
      </c>
      <c r="G3013" s="577">
        <v>9809817911</v>
      </c>
      <c r="I3013" s="577">
        <v>21</v>
      </c>
      <c r="J3013" s="577" t="s">
        <v>48</v>
      </c>
      <c r="K3013" s="577" t="s">
        <v>1480</v>
      </c>
      <c r="M3013" s="571" t="s">
        <v>119</v>
      </c>
      <c r="N3013" s="767">
        <v>65045</v>
      </c>
      <c r="O3013" s="680">
        <v>65045</v>
      </c>
      <c r="P3013" s="496">
        <v>65060</v>
      </c>
      <c r="Q3013" s="491" t="s">
        <v>51</v>
      </c>
    </row>
    <row r="3014" spans="1:17" ht="18">
      <c r="A3014" s="512">
        <f t="shared" si="39"/>
        <v>2167</v>
      </c>
      <c r="B3014" s="660" t="s">
        <v>43</v>
      </c>
      <c r="C3014" s="644" t="s">
        <v>44</v>
      </c>
      <c r="D3014" s="644" t="s">
        <v>45</v>
      </c>
      <c r="E3014" s="670" t="s">
        <v>2770</v>
      </c>
      <c r="F3014" s="577" t="s">
        <v>1046</v>
      </c>
      <c r="G3014" s="577">
        <v>9812874142</v>
      </c>
      <c r="I3014" s="577">
        <v>60</v>
      </c>
      <c r="J3014" s="577" t="s">
        <v>90</v>
      </c>
      <c r="K3014" s="577" t="s">
        <v>1468</v>
      </c>
      <c r="M3014" s="571" t="s">
        <v>119</v>
      </c>
      <c r="N3014" s="767">
        <v>65045</v>
      </c>
      <c r="O3014" s="680">
        <v>65045</v>
      </c>
      <c r="P3014" s="496">
        <v>65060</v>
      </c>
      <c r="Q3014" s="491" t="s">
        <v>51</v>
      </c>
    </row>
    <row r="3015" spans="1:17" ht="18">
      <c r="A3015" s="512">
        <f t="shared" si="39"/>
        <v>2168</v>
      </c>
      <c r="B3015" s="660" t="s">
        <v>43</v>
      </c>
      <c r="C3015" s="644" t="s">
        <v>44</v>
      </c>
      <c r="D3015" s="644" t="s">
        <v>45</v>
      </c>
      <c r="E3015" s="670" t="s">
        <v>3350</v>
      </c>
      <c r="F3015" s="577" t="s">
        <v>124</v>
      </c>
      <c r="G3015" s="577">
        <v>9806210810</v>
      </c>
      <c r="I3015" s="577">
        <v>49</v>
      </c>
      <c r="J3015" s="577" t="s">
        <v>90</v>
      </c>
      <c r="K3015" s="577" t="s">
        <v>1468</v>
      </c>
      <c r="M3015" s="571" t="s">
        <v>119</v>
      </c>
      <c r="N3015" s="767">
        <v>65045</v>
      </c>
      <c r="O3015" s="680">
        <v>65045</v>
      </c>
      <c r="P3015" s="496">
        <v>65060</v>
      </c>
      <c r="Q3015" s="491" t="s">
        <v>51</v>
      </c>
    </row>
    <row r="3016" spans="1:17" ht="18">
      <c r="A3016" s="512">
        <f t="shared" si="39"/>
        <v>2169</v>
      </c>
      <c r="B3016" s="660" t="s">
        <v>43</v>
      </c>
      <c r="C3016" s="644" t="s">
        <v>44</v>
      </c>
      <c r="D3016" s="644" t="s">
        <v>45</v>
      </c>
      <c r="E3016" s="644" t="s">
        <v>3347</v>
      </c>
      <c r="F3016" s="577" t="s">
        <v>124</v>
      </c>
      <c r="G3016" s="577">
        <v>9844967937</v>
      </c>
      <c r="I3016" s="577">
        <v>35</v>
      </c>
      <c r="J3016" s="577" t="s">
        <v>48</v>
      </c>
      <c r="K3016" s="577" t="s">
        <v>1468</v>
      </c>
      <c r="M3016" s="571" t="s">
        <v>119</v>
      </c>
      <c r="N3016" s="767">
        <v>65045</v>
      </c>
      <c r="O3016" s="680">
        <v>65045</v>
      </c>
      <c r="P3016" s="496">
        <v>65060</v>
      </c>
      <c r="Q3016" s="491" t="s">
        <v>51</v>
      </c>
    </row>
    <row r="3017" spans="1:17" ht="18">
      <c r="A3017" s="512">
        <f t="shared" si="39"/>
        <v>2170</v>
      </c>
      <c r="B3017" s="660" t="s">
        <v>43</v>
      </c>
      <c r="C3017" s="644" t="s">
        <v>44</v>
      </c>
      <c r="D3017" s="644" t="s">
        <v>45</v>
      </c>
      <c r="E3017" s="644" t="s">
        <v>3355</v>
      </c>
      <c r="F3017" s="577" t="s">
        <v>1009</v>
      </c>
      <c r="G3017" s="577">
        <v>986435990</v>
      </c>
      <c r="I3017" s="577">
        <v>50</v>
      </c>
      <c r="J3017" s="577" t="s">
        <v>48</v>
      </c>
      <c r="K3017" s="577" t="s">
        <v>1468</v>
      </c>
      <c r="M3017" s="571" t="s">
        <v>119</v>
      </c>
      <c r="N3017" s="767">
        <v>65045</v>
      </c>
      <c r="O3017" s="680">
        <v>65045</v>
      </c>
      <c r="P3017" s="496">
        <v>65060</v>
      </c>
      <c r="Q3017" s="491" t="s">
        <v>51</v>
      </c>
    </row>
    <row r="3018" spans="1:17" ht="18">
      <c r="A3018" s="512">
        <f t="shared" si="39"/>
        <v>2171</v>
      </c>
      <c r="B3018" s="660" t="s">
        <v>43</v>
      </c>
      <c r="C3018" s="644" t="s">
        <v>44</v>
      </c>
      <c r="D3018" s="644" t="s">
        <v>45</v>
      </c>
      <c r="E3018" s="644" t="s">
        <v>3297</v>
      </c>
      <c r="F3018" s="577" t="s">
        <v>512</v>
      </c>
      <c r="G3018" s="577">
        <v>9866854190</v>
      </c>
      <c r="I3018" s="577">
        <v>52</v>
      </c>
      <c r="J3018" s="577" t="s">
        <v>90</v>
      </c>
      <c r="K3018" s="577" t="s">
        <v>1468</v>
      </c>
      <c r="M3018" s="571" t="s">
        <v>119</v>
      </c>
      <c r="N3018" s="767">
        <v>65045</v>
      </c>
      <c r="O3018" s="680">
        <v>65045</v>
      </c>
      <c r="P3018" s="496">
        <v>65060</v>
      </c>
      <c r="Q3018" s="491" t="s">
        <v>51</v>
      </c>
    </row>
    <row r="3019" spans="1:17" ht="18">
      <c r="A3019" s="512">
        <f t="shared" si="39"/>
        <v>2172</v>
      </c>
      <c r="B3019" s="660" t="s">
        <v>43</v>
      </c>
      <c r="C3019" s="644" t="s">
        <v>44</v>
      </c>
      <c r="D3019" s="644" t="s">
        <v>45</v>
      </c>
      <c r="E3019" s="644" t="s">
        <v>3331</v>
      </c>
      <c r="F3019" s="577" t="s">
        <v>491</v>
      </c>
      <c r="G3019" s="577">
        <v>9866941504</v>
      </c>
      <c r="I3019" s="577">
        <v>38</v>
      </c>
      <c r="J3019" s="577" t="s">
        <v>90</v>
      </c>
      <c r="K3019" s="577" t="s">
        <v>1468</v>
      </c>
      <c r="M3019" s="571" t="s">
        <v>119</v>
      </c>
      <c r="N3019" s="767">
        <v>65045</v>
      </c>
      <c r="O3019" s="680">
        <v>65045</v>
      </c>
      <c r="P3019" s="496">
        <v>65060</v>
      </c>
      <c r="Q3019" s="491" t="s">
        <v>51</v>
      </c>
    </row>
    <row r="3020" spans="1:17" ht="18">
      <c r="A3020" s="512">
        <f t="shared" si="39"/>
        <v>2173</v>
      </c>
      <c r="B3020" s="660" t="s">
        <v>43</v>
      </c>
      <c r="C3020" s="644" t="s">
        <v>44</v>
      </c>
      <c r="D3020" s="644" t="s">
        <v>45</v>
      </c>
      <c r="E3020" s="644" t="s">
        <v>3302</v>
      </c>
      <c r="F3020" s="577" t="s">
        <v>598</v>
      </c>
      <c r="G3020" s="577">
        <v>9847827151</v>
      </c>
      <c r="I3020" s="577">
        <v>50</v>
      </c>
      <c r="J3020" s="577" t="s">
        <v>48</v>
      </c>
      <c r="K3020" s="577" t="s">
        <v>1468</v>
      </c>
      <c r="M3020" s="571" t="s">
        <v>119</v>
      </c>
      <c r="N3020" s="767">
        <v>65045</v>
      </c>
      <c r="O3020" s="680">
        <v>65045</v>
      </c>
      <c r="P3020" s="496">
        <v>65060</v>
      </c>
      <c r="Q3020" s="491" t="s">
        <v>51</v>
      </c>
    </row>
    <row r="3021" spans="1:17" ht="18">
      <c r="A3021" s="512">
        <f t="shared" si="39"/>
        <v>2174</v>
      </c>
      <c r="B3021" s="660" t="s">
        <v>43</v>
      </c>
      <c r="C3021" s="644" t="s">
        <v>44</v>
      </c>
      <c r="D3021" s="644" t="s">
        <v>45</v>
      </c>
      <c r="E3021" s="670" t="s">
        <v>3320</v>
      </c>
      <c r="F3021" s="577" t="s">
        <v>502</v>
      </c>
      <c r="G3021" s="577">
        <v>9847837700</v>
      </c>
      <c r="I3021" s="577">
        <v>42</v>
      </c>
      <c r="J3021" s="577" t="s">
        <v>90</v>
      </c>
      <c r="K3021" s="577" t="s">
        <v>1468</v>
      </c>
      <c r="M3021" s="571" t="s">
        <v>119</v>
      </c>
      <c r="N3021" s="767">
        <v>65045</v>
      </c>
      <c r="O3021" s="680">
        <v>65045</v>
      </c>
      <c r="P3021" s="496">
        <v>65060</v>
      </c>
      <c r="Q3021" s="491" t="s">
        <v>51</v>
      </c>
    </row>
    <row r="3022" spans="1:17" ht="18">
      <c r="A3022" s="512">
        <f t="shared" si="39"/>
        <v>2175</v>
      </c>
      <c r="B3022" s="660" t="s">
        <v>43</v>
      </c>
      <c r="C3022" s="644" t="s">
        <v>44</v>
      </c>
      <c r="D3022" s="644" t="s">
        <v>45</v>
      </c>
      <c r="E3022" s="644" t="s">
        <v>3412</v>
      </c>
      <c r="F3022" s="644" t="s">
        <v>1009</v>
      </c>
      <c r="G3022" s="577">
        <v>9848346018</v>
      </c>
      <c r="I3022" s="577">
        <v>69</v>
      </c>
      <c r="J3022" s="577" t="s">
        <v>90</v>
      </c>
      <c r="K3022" s="577" t="s">
        <v>1468</v>
      </c>
      <c r="L3022" s="577"/>
      <c r="M3022" s="571" t="s">
        <v>119</v>
      </c>
      <c r="N3022" s="767">
        <v>65046</v>
      </c>
      <c r="O3022" s="680">
        <v>65046</v>
      </c>
      <c r="P3022" s="541">
        <v>65061</v>
      </c>
      <c r="Q3022" s="533" t="s">
        <v>51</v>
      </c>
    </row>
    <row r="3023" spans="1:17" ht="18">
      <c r="A3023" s="512">
        <f t="shared" si="39"/>
        <v>2176</v>
      </c>
      <c r="B3023" s="660" t="s">
        <v>43</v>
      </c>
      <c r="C3023" s="644" t="s">
        <v>44</v>
      </c>
      <c r="D3023" s="644" t="s">
        <v>45</v>
      </c>
      <c r="E3023" s="644" t="s">
        <v>3425</v>
      </c>
      <c r="F3023" s="644" t="s">
        <v>1008</v>
      </c>
      <c r="G3023" s="577">
        <v>9806239900</v>
      </c>
      <c r="I3023" s="577">
        <v>48</v>
      </c>
      <c r="J3023" s="577" t="s">
        <v>48</v>
      </c>
      <c r="K3023" s="577" t="s">
        <v>53</v>
      </c>
      <c r="L3023" s="577"/>
      <c r="M3023" s="571" t="s">
        <v>119</v>
      </c>
      <c r="N3023" s="767">
        <v>65046</v>
      </c>
      <c r="O3023" s="680">
        <v>65046</v>
      </c>
      <c r="P3023" s="541">
        <v>65061</v>
      </c>
      <c r="Q3023" s="533" t="s">
        <v>51</v>
      </c>
    </row>
    <row r="3024" spans="1:17" ht="18">
      <c r="A3024" s="512">
        <f t="shared" si="39"/>
        <v>2177</v>
      </c>
      <c r="B3024" s="660" t="s">
        <v>43</v>
      </c>
      <c r="C3024" s="644" t="s">
        <v>44</v>
      </c>
      <c r="D3024" s="644" t="s">
        <v>45</v>
      </c>
      <c r="E3024" s="644" t="s">
        <v>3407</v>
      </c>
      <c r="F3024" s="644" t="s">
        <v>124</v>
      </c>
      <c r="G3024" s="577">
        <v>9863118950</v>
      </c>
      <c r="I3024" s="577">
        <v>60</v>
      </c>
      <c r="J3024" s="577" t="s">
        <v>48</v>
      </c>
      <c r="K3024" s="577" t="s">
        <v>1468</v>
      </c>
      <c r="L3024" s="577"/>
      <c r="M3024" s="571" t="s">
        <v>119</v>
      </c>
      <c r="N3024" s="767">
        <v>65046</v>
      </c>
      <c r="O3024" s="680">
        <v>65046</v>
      </c>
      <c r="P3024" s="541">
        <v>65061</v>
      </c>
      <c r="Q3024" s="533" t="s">
        <v>51</v>
      </c>
    </row>
    <row r="3025" spans="1:17" ht="18">
      <c r="A3025" s="512">
        <f t="shared" si="39"/>
        <v>2178</v>
      </c>
      <c r="B3025" s="660" t="s">
        <v>43</v>
      </c>
      <c r="C3025" s="644" t="s">
        <v>44</v>
      </c>
      <c r="D3025" s="644" t="s">
        <v>45</v>
      </c>
      <c r="E3025" s="644" t="s">
        <v>3408</v>
      </c>
      <c r="F3025" s="644" t="s">
        <v>124</v>
      </c>
      <c r="G3025" s="577">
        <v>9863118950</v>
      </c>
      <c r="I3025" s="577">
        <v>27</v>
      </c>
      <c r="J3025" s="577" t="s">
        <v>48</v>
      </c>
      <c r="K3025" s="577" t="s">
        <v>1468</v>
      </c>
      <c r="L3025" s="577"/>
      <c r="M3025" s="571" t="s">
        <v>119</v>
      </c>
      <c r="N3025" s="767">
        <v>65046</v>
      </c>
      <c r="O3025" s="680">
        <v>65046</v>
      </c>
      <c r="P3025" s="541">
        <v>65061</v>
      </c>
      <c r="Q3025" s="533" t="s">
        <v>51</v>
      </c>
    </row>
    <row r="3026" spans="1:17" ht="18">
      <c r="A3026" s="512">
        <f t="shared" ref="A3026:A3089" si="40">A3025+1</f>
        <v>2179</v>
      </c>
      <c r="B3026" s="660" t="s">
        <v>43</v>
      </c>
      <c r="C3026" s="644" t="s">
        <v>44</v>
      </c>
      <c r="D3026" s="644" t="s">
        <v>45</v>
      </c>
      <c r="E3026" s="1015" t="s">
        <v>3417</v>
      </c>
      <c r="F3026" s="644" t="s">
        <v>1046</v>
      </c>
      <c r="G3026" s="998">
        <v>9823643831</v>
      </c>
      <c r="I3026" s="577">
        <v>29</v>
      </c>
      <c r="J3026" s="577" t="s">
        <v>90</v>
      </c>
      <c r="K3026" s="577" t="s">
        <v>1468</v>
      </c>
      <c r="L3026" s="577"/>
      <c r="M3026" s="571" t="s">
        <v>119</v>
      </c>
      <c r="N3026" s="767">
        <v>65046</v>
      </c>
      <c r="O3026" s="680">
        <v>65046</v>
      </c>
      <c r="P3026" s="541">
        <v>65061</v>
      </c>
      <c r="Q3026" s="533" t="s">
        <v>51</v>
      </c>
    </row>
    <row r="3027" spans="1:17" ht="18">
      <c r="A3027" s="512">
        <f t="shared" si="40"/>
        <v>2180</v>
      </c>
      <c r="B3027" s="1125" t="s">
        <v>43</v>
      </c>
      <c r="C3027" s="1109" t="s">
        <v>44</v>
      </c>
      <c r="D3027" s="1109" t="s">
        <v>45</v>
      </c>
      <c r="E3027" s="1108" t="s">
        <v>4454</v>
      </c>
      <c r="F3027" s="1109" t="s">
        <v>502</v>
      </c>
      <c r="G3027" s="1110">
        <v>9806257030</v>
      </c>
      <c r="H3027" s="1116"/>
      <c r="I3027" s="641">
        <v>62</v>
      </c>
      <c r="J3027" s="641" t="s">
        <v>48</v>
      </c>
      <c r="K3027" s="641"/>
      <c r="L3027" s="641"/>
      <c r="M3027" s="641" t="s">
        <v>4449</v>
      </c>
      <c r="N3027" s="1112">
        <v>65046</v>
      </c>
      <c r="O3027" s="1113">
        <v>65046</v>
      </c>
      <c r="P3027" s="1126">
        <v>65070</v>
      </c>
      <c r="Q3027" s="1116" t="s">
        <v>51</v>
      </c>
    </row>
    <row r="3028" spans="1:17" ht="18">
      <c r="A3028" s="512">
        <f t="shared" si="40"/>
        <v>2181</v>
      </c>
      <c r="B3028" s="660" t="s">
        <v>43</v>
      </c>
      <c r="C3028" s="644" t="s">
        <v>44</v>
      </c>
      <c r="D3028" s="644" t="s">
        <v>45</v>
      </c>
      <c r="E3028" s="651" t="s">
        <v>3388</v>
      </c>
      <c r="F3028" s="644" t="s">
        <v>491</v>
      </c>
      <c r="G3028" s="577">
        <v>9849431096</v>
      </c>
      <c r="I3028" s="577">
        <v>61</v>
      </c>
      <c r="J3028" s="577" t="s">
        <v>90</v>
      </c>
      <c r="K3028" s="577" t="s">
        <v>1468</v>
      </c>
      <c r="L3028" s="577"/>
      <c r="M3028" s="571" t="s">
        <v>119</v>
      </c>
      <c r="N3028" s="767">
        <v>65046</v>
      </c>
      <c r="O3028" s="680">
        <v>65046</v>
      </c>
      <c r="P3028" s="541">
        <v>65061</v>
      </c>
      <c r="Q3028" s="533" t="s">
        <v>51</v>
      </c>
    </row>
    <row r="3029" spans="1:17" ht="18">
      <c r="A3029" s="512">
        <f t="shared" si="40"/>
        <v>2182</v>
      </c>
      <c r="B3029" s="660" t="s">
        <v>43</v>
      </c>
      <c r="C3029" s="644" t="s">
        <v>44</v>
      </c>
      <c r="D3029" s="644" t="s">
        <v>45</v>
      </c>
      <c r="E3029" s="644" t="s">
        <v>3582</v>
      </c>
      <c r="F3029" s="644" t="s">
        <v>617</v>
      </c>
      <c r="G3029" s="577">
        <v>9867416363</v>
      </c>
      <c r="I3029" s="577">
        <v>60</v>
      </c>
      <c r="J3029" s="577" t="s">
        <v>48</v>
      </c>
      <c r="K3029" s="577" t="s">
        <v>53</v>
      </c>
      <c r="L3029" s="571"/>
      <c r="M3029" s="682" t="s">
        <v>119</v>
      </c>
      <c r="N3029" s="767">
        <v>65046</v>
      </c>
      <c r="O3029" s="680">
        <v>65046</v>
      </c>
      <c r="P3029" s="541">
        <v>65061</v>
      </c>
      <c r="Q3029" s="533" t="s">
        <v>51</v>
      </c>
    </row>
    <row r="3030" spans="1:17" ht="18">
      <c r="A3030" s="512">
        <f t="shared" si="40"/>
        <v>2183</v>
      </c>
      <c r="B3030" s="660" t="s">
        <v>43</v>
      </c>
      <c r="C3030" s="644" t="s">
        <v>44</v>
      </c>
      <c r="D3030" s="644" t="s">
        <v>45</v>
      </c>
      <c r="E3030" s="644" t="s">
        <v>3583</v>
      </c>
      <c r="F3030" s="644" t="s">
        <v>497</v>
      </c>
      <c r="G3030" s="577">
        <v>9867416363</v>
      </c>
      <c r="I3030" s="577">
        <v>35</v>
      </c>
      <c r="J3030" s="577" t="s">
        <v>90</v>
      </c>
      <c r="K3030" s="577" t="s">
        <v>53</v>
      </c>
      <c r="L3030" s="571"/>
      <c r="M3030" s="682" t="s">
        <v>119</v>
      </c>
      <c r="N3030" s="767">
        <v>65046</v>
      </c>
      <c r="O3030" s="680">
        <v>65046</v>
      </c>
      <c r="P3030" s="541">
        <v>65061</v>
      </c>
      <c r="Q3030" s="533" t="s">
        <v>51</v>
      </c>
    </row>
    <row r="3031" spans="1:17" ht="18">
      <c r="A3031" s="512">
        <f t="shared" si="40"/>
        <v>2184</v>
      </c>
      <c r="B3031" s="660" t="s">
        <v>43</v>
      </c>
      <c r="C3031" s="644" t="s">
        <v>44</v>
      </c>
      <c r="D3031" s="644" t="s">
        <v>45</v>
      </c>
      <c r="E3031" s="644" t="s">
        <v>3584</v>
      </c>
      <c r="F3031" s="644" t="s">
        <v>730</v>
      </c>
      <c r="G3031" s="577">
        <v>9865603911</v>
      </c>
      <c r="I3031" s="577">
        <v>19</v>
      </c>
      <c r="J3031" s="577" t="s">
        <v>90</v>
      </c>
      <c r="K3031" s="577" t="s">
        <v>53</v>
      </c>
      <c r="L3031" s="571"/>
      <c r="M3031" s="682" t="s">
        <v>119</v>
      </c>
      <c r="N3031" s="767">
        <v>65046</v>
      </c>
      <c r="O3031" s="680">
        <v>65046</v>
      </c>
      <c r="P3031" s="541">
        <v>65061</v>
      </c>
      <c r="Q3031" s="533" t="s">
        <v>51</v>
      </c>
    </row>
    <row r="3032" spans="1:17" ht="18">
      <c r="A3032" s="512">
        <f t="shared" si="40"/>
        <v>2185</v>
      </c>
      <c r="B3032" s="660" t="s">
        <v>43</v>
      </c>
      <c r="C3032" s="644" t="s">
        <v>44</v>
      </c>
      <c r="D3032" s="644" t="s">
        <v>45</v>
      </c>
      <c r="E3032" s="644" t="s">
        <v>3403</v>
      </c>
      <c r="F3032" s="644" t="s">
        <v>529</v>
      </c>
      <c r="G3032" s="577">
        <v>9806254102</v>
      </c>
      <c r="I3032" s="577">
        <v>47</v>
      </c>
      <c r="J3032" s="577" t="s">
        <v>48</v>
      </c>
      <c r="K3032" s="577" t="s">
        <v>1480</v>
      </c>
      <c r="L3032" s="577"/>
      <c r="M3032" s="571" t="s">
        <v>119</v>
      </c>
      <c r="N3032" s="767">
        <v>65046</v>
      </c>
      <c r="O3032" s="680">
        <v>65046</v>
      </c>
      <c r="P3032" s="541">
        <v>65061</v>
      </c>
      <c r="Q3032" s="533" t="s">
        <v>51</v>
      </c>
    </row>
    <row r="3033" spans="1:17" ht="18">
      <c r="A3033" s="512">
        <f t="shared" si="40"/>
        <v>2186</v>
      </c>
      <c r="B3033" s="660" t="s">
        <v>43</v>
      </c>
      <c r="C3033" s="644" t="s">
        <v>44</v>
      </c>
      <c r="D3033" s="644" t="s">
        <v>45</v>
      </c>
      <c r="E3033" s="644" t="s">
        <v>3414</v>
      </c>
      <c r="F3033" s="644" t="s">
        <v>1046</v>
      </c>
      <c r="G3033" s="577">
        <v>9847884271</v>
      </c>
      <c r="I3033" s="577">
        <v>19</v>
      </c>
      <c r="J3033" s="577" t="s">
        <v>48</v>
      </c>
      <c r="K3033" s="577" t="s">
        <v>53</v>
      </c>
      <c r="L3033" s="577"/>
      <c r="M3033" s="571" t="s">
        <v>119</v>
      </c>
      <c r="N3033" s="767">
        <v>65046</v>
      </c>
      <c r="O3033" s="680">
        <v>65046</v>
      </c>
      <c r="P3033" s="541">
        <v>65061</v>
      </c>
      <c r="Q3033" s="533" t="s">
        <v>51</v>
      </c>
    </row>
    <row r="3034" spans="1:17" ht="18">
      <c r="A3034" s="512">
        <f t="shared" si="40"/>
        <v>2187</v>
      </c>
      <c r="B3034" s="660" t="s">
        <v>43</v>
      </c>
      <c r="C3034" s="644" t="s">
        <v>44</v>
      </c>
      <c r="D3034" s="644" t="s">
        <v>45</v>
      </c>
      <c r="E3034" s="644" t="s">
        <v>3398</v>
      </c>
      <c r="F3034" s="644" t="s">
        <v>441</v>
      </c>
      <c r="G3034" s="577">
        <v>9844975152</v>
      </c>
      <c r="I3034" s="577">
        <v>35</v>
      </c>
      <c r="J3034" s="577" t="s">
        <v>48</v>
      </c>
      <c r="K3034" s="577" t="s">
        <v>1480</v>
      </c>
      <c r="L3034" s="577"/>
      <c r="M3034" s="571" t="s">
        <v>119</v>
      </c>
      <c r="N3034" s="767">
        <v>65046</v>
      </c>
      <c r="O3034" s="680">
        <v>65046</v>
      </c>
      <c r="P3034" s="541">
        <v>65061</v>
      </c>
      <c r="Q3034" s="533" t="s">
        <v>51</v>
      </c>
    </row>
    <row r="3035" spans="1:17" ht="18">
      <c r="A3035" s="512">
        <f t="shared" si="40"/>
        <v>2188</v>
      </c>
      <c r="B3035" s="660" t="s">
        <v>43</v>
      </c>
      <c r="C3035" s="644" t="s">
        <v>44</v>
      </c>
      <c r="D3035" s="644" t="s">
        <v>45</v>
      </c>
      <c r="E3035" s="644" t="s">
        <v>3394</v>
      </c>
      <c r="F3035" s="644" t="s">
        <v>441</v>
      </c>
      <c r="G3035" s="577">
        <v>9847853228</v>
      </c>
      <c r="I3035" s="577">
        <v>37</v>
      </c>
      <c r="J3035" s="577" t="s">
        <v>48</v>
      </c>
      <c r="K3035" s="577" t="s">
        <v>1468</v>
      </c>
      <c r="L3035" s="577"/>
      <c r="M3035" s="571" t="s">
        <v>119</v>
      </c>
      <c r="N3035" s="767">
        <v>65046</v>
      </c>
      <c r="O3035" s="680">
        <v>65046</v>
      </c>
      <c r="P3035" s="541">
        <v>65061</v>
      </c>
      <c r="Q3035" s="533" t="s">
        <v>51</v>
      </c>
    </row>
    <row r="3036" spans="1:17" ht="18">
      <c r="A3036" s="512">
        <f t="shared" si="40"/>
        <v>2189</v>
      </c>
      <c r="B3036" s="660" t="s">
        <v>43</v>
      </c>
      <c r="C3036" s="644" t="s">
        <v>44</v>
      </c>
      <c r="D3036" s="644" t="s">
        <v>45</v>
      </c>
      <c r="E3036" s="651" t="s">
        <v>3401</v>
      </c>
      <c r="F3036" s="644" t="s">
        <v>441</v>
      </c>
      <c r="G3036" s="577">
        <v>9847835994</v>
      </c>
      <c r="I3036" s="577">
        <v>33</v>
      </c>
      <c r="J3036" s="577" t="s">
        <v>90</v>
      </c>
      <c r="K3036" s="577" t="s">
        <v>1468</v>
      </c>
      <c r="L3036" s="577"/>
      <c r="M3036" s="571" t="s">
        <v>119</v>
      </c>
      <c r="N3036" s="767">
        <v>65046</v>
      </c>
      <c r="O3036" s="680">
        <v>65046</v>
      </c>
      <c r="P3036" s="541">
        <v>65061</v>
      </c>
      <c r="Q3036" s="533" t="s">
        <v>51</v>
      </c>
    </row>
    <row r="3037" spans="1:17" ht="18">
      <c r="A3037" s="512">
        <f t="shared" si="40"/>
        <v>2190</v>
      </c>
      <c r="B3037" s="660" t="s">
        <v>43</v>
      </c>
      <c r="C3037" s="644" t="s">
        <v>44</v>
      </c>
      <c r="D3037" s="644" t="s">
        <v>45</v>
      </c>
      <c r="E3037" s="644" t="s">
        <v>3585</v>
      </c>
      <c r="F3037" s="644" t="s">
        <v>617</v>
      </c>
      <c r="G3037" s="577">
        <v>9863150644</v>
      </c>
      <c r="I3037" s="577">
        <v>45</v>
      </c>
      <c r="J3037" s="577" t="s">
        <v>90</v>
      </c>
      <c r="K3037" s="577" t="s">
        <v>53</v>
      </c>
      <c r="L3037" s="571"/>
      <c r="M3037" s="682" t="s">
        <v>119</v>
      </c>
      <c r="N3037" s="767">
        <v>65046</v>
      </c>
      <c r="O3037" s="680">
        <v>65046</v>
      </c>
      <c r="P3037" s="541">
        <v>65061</v>
      </c>
      <c r="Q3037" s="533" t="s">
        <v>51</v>
      </c>
    </row>
    <row r="3038" spans="1:17" ht="18">
      <c r="A3038" s="512">
        <f t="shared" si="40"/>
        <v>2191</v>
      </c>
      <c r="B3038" s="660" t="s">
        <v>43</v>
      </c>
      <c r="C3038" s="644" t="s">
        <v>44</v>
      </c>
      <c r="D3038" s="644" t="s">
        <v>45</v>
      </c>
      <c r="E3038" s="651" t="s">
        <v>1909</v>
      </c>
      <c r="F3038" s="644" t="s">
        <v>502</v>
      </c>
      <c r="G3038" s="577">
        <v>9847830711</v>
      </c>
      <c r="I3038" s="577">
        <v>35</v>
      </c>
      <c r="J3038" s="577" t="s">
        <v>90</v>
      </c>
      <c r="K3038" s="577" t="s">
        <v>1480</v>
      </c>
      <c r="L3038" s="577"/>
      <c r="M3038" s="571" t="s">
        <v>119</v>
      </c>
      <c r="N3038" s="767">
        <v>65046</v>
      </c>
      <c r="O3038" s="680">
        <v>65046</v>
      </c>
      <c r="P3038" s="541">
        <v>65061</v>
      </c>
      <c r="Q3038" s="533" t="s">
        <v>51</v>
      </c>
    </row>
    <row r="3039" spans="1:17" ht="18">
      <c r="A3039" s="512">
        <f t="shared" si="40"/>
        <v>2192</v>
      </c>
      <c r="B3039" s="660" t="s">
        <v>43</v>
      </c>
      <c r="C3039" s="644" t="s">
        <v>44</v>
      </c>
      <c r="D3039" s="644" t="s">
        <v>45</v>
      </c>
      <c r="E3039" s="644" t="s">
        <v>3586</v>
      </c>
      <c r="F3039" s="644" t="s">
        <v>1008</v>
      </c>
      <c r="G3039" s="577">
        <v>9806247682</v>
      </c>
      <c r="I3039" s="577">
        <v>30</v>
      </c>
      <c r="J3039" s="577" t="s">
        <v>90</v>
      </c>
      <c r="K3039" s="577" t="s">
        <v>53</v>
      </c>
      <c r="L3039" s="571"/>
      <c r="M3039" s="682" t="s">
        <v>119</v>
      </c>
      <c r="N3039" s="767">
        <v>65046</v>
      </c>
      <c r="O3039" s="680">
        <v>65046</v>
      </c>
      <c r="P3039" s="541">
        <v>65061</v>
      </c>
      <c r="Q3039" s="533" t="s">
        <v>51</v>
      </c>
    </row>
    <row r="3040" spans="1:17" ht="18">
      <c r="A3040" s="512">
        <f t="shared" si="40"/>
        <v>2193</v>
      </c>
      <c r="B3040" s="660" t="s">
        <v>43</v>
      </c>
      <c r="C3040" s="644" t="s">
        <v>44</v>
      </c>
      <c r="D3040" s="644" t="s">
        <v>45</v>
      </c>
      <c r="E3040" s="644" t="s">
        <v>3404</v>
      </c>
      <c r="F3040" s="644" t="s">
        <v>529</v>
      </c>
      <c r="G3040" s="577">
        <v>9809776874</v>
      </c>
      <c r="I3040" s="577">
        <v>35</v>
      </c>
      <c r="J3040" s="577" t="s">
        <v>48</v>
      </c>
      <c r="K3040" s="577" t="s">
        <v>1480</v>
      </c>
      <c r="L3040" s="577"/>
      <c r="M3040" s="571" t="s">
        <v>119</v>
      </c>
      <c r="N3040" s="767">
        <v>65046</v>
      </c>
      <c r="O3040" s="680">
        <v>65046</v>
      </c>
      <c r="P3040" s="541">
        <v>65061</v>
      </c>
      <c r="Q3040" s="533" t="s">
        <v>51</v>
      </c>
    </row>
    <row r="3041" spans="1:17" ht="18">
      <c r="A3041" s="512">
        <f t="shared" si="40"/>
        <v>2194</v>
      </c>
      <c r="B3041" s="660" t="s">
        <v>43</v>
      </c>
      <c r="C3041" s="644" t="s">
        <v>44</v>
      </c>
      <c r="D3041" s="644" t="s">
        <v>45</v>
      </c>
      <c r="E3041" s="644" t="s">
        <v>3428</v>
      </c>
      <c r="F3041" s="644" t="s">
        <v>1008</v>
      </c>
      <c r="G3041" s="577">
        <v>9847830030</v>
      </c>
      <c r="I3041" s="577">
        <v>28</v>
      </c>
      <c r="J3041" s="577" t="s">
        <v>90</v>
      </c>
      <c r="K3041" s="577" t="s">
        <v>1480</v>
      </c>
      <c r="L3041" s="577"/>
      <c r="M3041" s="571" t="s">
        <v>119</v>
      </c>
      <c r="N3041" s="767">
        <v>65046</v>
      </c>
      <c r="O3041" s="680">
        <v>65046</v>
      </c>
      <c r="P3041" s="541">
        <v>65061</v>
      </c>
      <c r="Q3041" s="533" t="s">
        <v>51</v>
      </c>
    </row>
    <row r="3042" spans="1:17" ht="18">
      <c r="A3042" s="512">
        <f t="shared" si="40"/>
        <v>2195</v>
      </c>
      <c r="B3042" s="660" t="s">
        <v>43</v>
      </c>
      <c r="C3042" s="644" t="s">
        <v>44</v>
      </c>
      <c r="D3042" s="644" t="s">
        <v>45</v>
      </c>
      <c r="E3042" s="644" t="s">
        <v>3427</v>
      </c>
      <c r="F3042" s="644" t="s">
        <v>1008</v>
      </c>
      <c r="G3042" s="577">
        <v>9809798261</v>
      </c>
      <c r="I3042" s="577">
        <v>28</v>
      </c>
      <c r="J3042" s="577" t="s">
        <v>90</v>
      </c>
      <c r="K3042" s="577" t="s">
        <v>53</v>
      </c>
      <c r="L3042" s="577"/>
      <c r="M3042" s="571" t="s">
        <v>119</v>
      </c>
      <c r="N3042" s="767">
        <v>65046</v>
      </c>
      <c r="O3042" s="680">
        <v>65046</v>
      </c>
      <c r="P3042" s="541">
        <v>65061</v>
      </c>
      <c r="Q3042" s="533" t="s">
        <v>51</v>
      </c>
    </row>
    <row r="3043" spans="1:17" ht="18">
      <c r="A3043" s="512">
        <f t="shared" si="40"/>
        <v>2196</v>
      </c>
      <c r="B3043" s="660" t="s">
        <v>43</v>
      </c>
      <c r="C3043" s="644" t="s">
        <v>44</v>
      </c>
      <c r="D3043" s="644" t="s">
        <v>45</v>
      </c>
      <c r="E3043" s="651" t="s">
        <v>3351</v>
      </c>
      <c r="F3043" s="644" t="s">
        <v>497</v>
      </c>
      <c r="G3043" s="577">
        <v>9847818806</v>
      </c>
      <c r="I3043" s="577">
        <v>28</v>
      </c>
      <c r="J3043" s="577" t="s">
        <v>48</v>
      </c>
      <c r="K3043" s="577" t="s">
        <v>1468</v>
      </c>
      <c r="L3043" s="577"/>
      <c r="M3043" s="571" t="s">
        <v>119</v>
      </c>
      <c r="N3043" s="767">
        <v>65046</v>
      </c>
      <c r="O3043" s="680">
        <v>65046</v>
      </c>
      <c r="P3043" s="541">
        <v>65061</v>
      </c>
      <c r="Q3043" s="533" t="s">
        <v>51</v>
      </c>
    </row>
    <row r="3044" spans="1:17" ht="18">
      <c r="A3044" s="512">
        <f t="shared" si="40"/>
        <v>2197</v>
      </c>
      <c r="B3044" s="660" t="s">
        <v>43</v>
      </c>
      <c r="C3044" s="644" t="s">
        <v>44</v>
      </c>
      <c r="D3044" s="644" t="s">
        <v>45</v>
      </c>
      <c r="E3044" s="644" t="s">
        <v>3410</v>
      </c>
      <c r="F3044" s="644" t="s">
        <v>791</v>
      </c>
      <c r="G3044" s="577">
        <v>9808886878</v>
      </c>
      <c r="I3044" s="577">
        <v>30</v>
      </c>
      <c r="J3044" s="577" t="s">
        <v>48</v>
      </c>
      <c r="K3044" s="577" t="s">
        <v>1468</v>
      </c>
      <c r="L3044" s="577"/>
      <c r="M3044" s="571" t="s">
        <v>119</v>
      </c>
      <c r="N3044" s="767">
        <v>65046</v>
      </c>
      <c r="O3044" s="680">
        <v>65046</v>
      </c>
      <c r="P3044" s="541">
        <v>65061</v>
      </c>
      <c r="Q3044" s="533" t="s">
        <v>51</v>
      </c>
    </row>
    <row r="3045" spans="1:17" ht="18">
      <c r="A3045" s="512">
        <f t="shared" si="40"/>
        <v>2198</v>
      </c>
      <c r="B3045" s="660" t="s">
        <v>43</v>
      </c>
      <c r="C3045" s="644" t="s">
        <v>44</v>
      </c>
      <c r="D3045" s="644" t="s">
        <v>45</v>
      </c>
      <c r="E3045" s="644" t="s">
        <v>3402</v>
      </c>
      <c r="F3045" s="644" t="s">
        <v>441</v>
      </c>
      <c r="G3045" s="577">
        <v>9847937809</v>
      </c>
      <c r="I3045" s="577">
        <v>41</v>
      </c>
      <c r="J3045" s="577" t="s">
        <v>90</v>
      </c>
      <c r="K3045" s="577" t="s">
        <v>1480</v>
      </c>
      <c r="L3045" s="577"/>
      <c r="M3045" s="571" t="s">
        <v>119</v>
      </c>
      <c r="N3045" s="767">
        <v>65046</v>
      </c>
      <c r="O3045" s="680">
        <v>65046</v>
      </c>
      <c r="P3045" s="541">
        <v>65061</v>
      </c>
      <c r="Q3045" s="533" t="s">
        <v>51</v>
      </c>
    </row>
    <row r="3046" spans="1:17" ht="18">
      <c r="A3046" s="512">
        <f t="shared" si="40"/>
        <v>2199</v>
      </c>
      <c r="B3046" s="660" t="s">
        <v>43</v>
      </c>
      <c r="C3046" s="644" t="s">
        <v>44</v>
      </c>
      <c r="D3046" s="644" t="s">
        <v>45</v>
      </c>
      <c r="E3046" s="644" t="s">
        <v>3405</v>
      </c>
      <c r="F3046" s="644" t="s">
        <v>529</v>
      </c>
      <c r="G3046" s="577">
        <v>9864806810</v>
      </c>
      <c r="I3046" s="577">
        <v>50</v>
      </c>
      <c r="J3046" s="577" t="s">
        <v>90</v>
      </c>
      <c r="K3046" s="577" t="s">
        <v>1468</v>
      </c>
      <c r="L3046" s="577"/>
      <c r="M3046" s="571" t="s">
        <v>119</v>
      </c>
      <c r="N3046" s="767">
        <v>65046</v>
      </c>
      <c r="O3046" s="680">
        <v>65046</v>
      </c>
      <c r="P3046" s="541">
        <v>65061</v>
      </c>
      <c r="Q3046" s="533" t="s">
        <v>51</v>
      </c>
    </row>
    <row r="3047" spans="1:17" ht="18">
      <c r="A3047" s="512">
        <f t="shared" si="40"/>
        <v>2200</v>
      </c>
      <c r="B3047" s="660" t="s">
        <v>43</v>
      </c>
      <c r="C3047" s="644" t="s">
        <v>44</v>
      </c>
      <c r="D3047" s="644" t="s">
        <v>45</v>
      </c>
      <c r="E3047" s="644" t="s">
        <v>3384</v>
      </c>
      <c r="F3047" s="644" t="s">
        <v>491</v>
      </c>
      <c r="G3047" s="577">
        <v>9812874978</v>
      </c>
      <c r="I3047" s="577">
        <v>19</v>
      </c>
      <c r="J3047" s="577" t="s">
        <v>48</v>
      </c>
      <c r="K3047" s="577" t="s">
        <v>1480</v>
      </c>
      <c r="L3047" s="577"/>
      <c r="M3047" s="571" t="s">
        <v>119</v>
      </c>
      <c r="N3047" s="767">
        <v>65046</v>
      </c>
      <c r="O3047" s="680">
        <v>65046</v>
      </c>
      <c r="P3047" s="541">
        <v>65061</v>
      </c>
      <c r="Q3047" s="533" t="s">
        <v>51</v>
      </c>
    </row>
    <row r="3048" spans="1:17" ht="18">
      <c r="A3048" s="512">
        <f t="shared" si="40"/>
        <v>2201</v>
      </c>
      <c r="B3048" s="660" t="s">
        <v>43</v>
      </c>
      <c r="C3048" s="644" t="s">
        <v>44</v>
      </c>
      <c r="D3048" s="644" t="s">
        <v>45</v>
      </c>
      <c r="E3048" s="644" t="s">
        <v>3385</v>
      </c>
      <c r="F3048" s="644" t="s">
        <v>491</v>
      </c>
      <c r="G3048" s="577">
        <v>9858030142</v>
      </c>
      <c r="I3048" s="577">
        <v>47</v>
      </c>
      <c r="J3048" s="577" t="s">
        <v>48</v>
      </c>
      <c r="K3048" s="577" t="s">
        <v>1480</v>
      </c>
      <c r="L3048" s="577"/>
      <c r="M3048" s="571" t="s">
        <v>119</v>
      </c>
      <c r="N3048" s="767">
        <v>65046</v>
      </c>
      <c r="O3048" s="680">
        <v>65046</v>
      </c>
      <c r="P3048" s="541">
        <v>65061</v>
      </c>
      <c r="Q3048" s="533" t="s">
        <v>51</v>
      </c>
    </row>
    <row r="3049" spans="1:17" ht="18">
      <c r="A3049" s="512">
        <f t="shared" si="40"/>
        <v>2202</v>
      </c>
      <c r="B3049" s="660" t="s">
        <v>43</v>
      </c>
      <c r="C3049" s="644" t="s">
        <v>44</v>
      </c>
      <c r="D3049" s="644" t="s">
        <v>45</v>
      </c>
      <c r="E3049" s="644" t="s">
        <v>3421</v>
      </c>
      <c r="F3049" s="644" t="s">
        <v>497</v>
      </c>
      <c r="G3049" s="577">
        <v>9857832512</v>
      </c>
      <c r="I3049" s="577">
        <v>69</v>
      </c>
      <c r="J3049" s="577" t="s">
        <v>48</v>
      </c>
      <c r="K3049" s="577" t="s">
        <v>1480</v>
      </c>
      <c r="L3049" s="577"/>
      <c r="M3049" s="571" t="s">
        <v>119</v>
      </c>
      <c r="N3049" s="767">
        <v>65046</v>
      </c>
      <c r="O3049" s="680">
        <v>65046</v>
      </c>
      <c r="P3049" s="541">
        <v>65061</v>
      </c>
      <c r="Q3049" s="533" t="s">
        <v>51</v>
      </c>
    </row>
    <row r="3050" spans="1:17" ht="18">
      <c r="A3050" s="512">
        <f t="shared" si="40"/>
        <v>2203</v>
      </c>
      <c r="B3050" s="660" t="s">
        <v>43</v>
      </c>
      <c r="C3050" s="644" t="s">
        <v>44</v>
      </c>
      <c r="D3050" s="644" t="s">
        <v>45</v>
      </c>
      <c r="E3050" s="644" t="s">
        <v>3409</v>
      </c>
      <c r="F3050" s="644" t="s">
        <v>124</v>
      </c>
      <c r="G3050" s="577">
        <v>9863118950</v>
      </c>
      <c r="I3050" s="577">
        <v>40</v>
      </c>
      <c r="J3050" s="577" t="s">
        <v>90</v>
      </c>
      <c r="K3050" s="577" t="s">
        <v>1468</v>
      </c>
      <c r="L3050" s="577"/>
      <c r="M3050" s="571" t="s">
        <v>119</v>
      </c>
      <c r="N3050" s="767">
        <v>65046</v>
      </c>
      <c r="O3050" s="680">
        <v>65046</v>
      </c>
      <c r="P3050" s="541">
        <v>65061</v>
      </c>
      <c r="Q3050" s="533" t="s">
        <v>51</v>
      </c>
    </row>
    <row r="3051" spans="1:17" ht="18">
      <c r="A3051" s="512">
        <f t="shared" si="40"/>
        <v>2204</v>
      </c>
      <c r="B3051" s="660" t="s">
        <v>43</v>
      </c>
      <c r="C3051" s="644" t="s">
        <v>44</v>
      </c>
      <c r="D3051" s="644" t="s">
        <v>45</v>
      </c>
      <c r="E3051" s="644" t="s">
        <v>3383</v>
      </c>
      <c r="F3051" s="644" t="s">
        <v>491</v>
      </c>
      <c r="G3051" s="577">
        <v>9851204365</v>
      </c>
      <c r="I3051" s="577">
        <v>32</v>
      </c>
      <c r="J3051" s="577" t="s">
        <v>48</v>
      </c>
      <c r="K3051" s="577" t="s">
        <v>1468</v>
      </c>
      <c r="L3051" s="577"/>
      <c r="M3051" s="571" t="s">
        <v>119</v>
      </c>
      <c r="N3051" s="767">
        <v>65046</v>
      </c>
      <c r="O3051" s="680">
        <v>65046</v>
      </c>
      <c r="P3051" s="541">
        <v>65061</v>
      </c>
      <c r="Q3051" s="533" t="s">
        <v>51</v>
      </c>
    </row>
    <row r="3052" spans="1:17" ht="18">
      <c r="A3052" s="512">
        <f t="shared" si="40"/>
        <v>2205</v>
      </c>
      <c r="B3052" s="660" t="s">
        <v>43</v>
      </c>
      <c r="C3052" s="644" t="s">
        <v>44</v>
      </c>
      <c r="D3052" s="644" t="s">
        <v>45</v>
      </c>
      <c r="E3052" s="644" t="s">
        <v>3587</v>
      </c>
      <c r="F3052" s="644" t="s">
        <v>598</v>
      </c>
      <c r="G3052" s="577">
        <v>9868612836</v>
      </c>
      <c r="I3052" s="577">
        <v>31</v>
      </c>
      <c r="J3052" s="577" t="s">
        <v>48</v>
      </c>
      <c r="K3052" s="577" t="s">
        <v>53</v>
      </c>
      <c r="L3052" s="571"/>
      <c r="M3052" s="682" t="s">
        <v>119</v>
      </c>
      <c r="N3052" s="767">
        <v>65046</v>
      </c>
      <c r="O3052" s="680">
        <v>65046</v>
      </c>
      <c r="P3052" s="541">
        <v>65061</v>
      </c>
      <c r="Q3052" s="533" t="s">
        <v>51</v>
      </c>
    </row>
    <row r="3053" spans="1:17" ht="18">
      <c r="A3053" s="512">
        <f t="shared" si="40"/>
        <v>2206</v>
      </c>
      <c r="B3053" s="660" t="s">
        <v>43</v>
      </c>
      <c r="C3053" s="644" t="s">
        <v>44</v>
      </c>
      <c r="D3053" s="644" t="s">
        <v>45</v>
      </c>
      <c r="E3053" s="644" t="s">
        <v>3415</v>
      </c>
      <c r="F3053" s="644" t="s">
        <v>1046</v>
      </c>
      <c r="G3053" s="577">
        <v>9810956541</v>
      </c>
      <c r="I3053" s="577">
        <v>37</v>
      </c>
      <c r="J3053" s="577" t="s">
        <v>48</v>
      </c>
      <c r="K3053" s="577" t="s">
        <v>1468</v>
      </c>
      <c r="L3053" s="577"/>
      <c r="M3053" s="571" t="s">
        <v>119</v>
      </c>
      <c r="N3053" s="767">
        <v>65046</v>
      </c>
      <c r="O3053" s="680">
        <v>65046</v>
      </c>
      <c r="P3053" s="541">
        <v>65061</v>
      </c>
      <c r="Q3053" s="533" t="s">
        <v>51</v>
      </c>
    </row>
    <row r="3054" spans="1:17" ht="18">
      <c r="A3054" s="512">
        <f t="shared" si="40"/>
        <v>2207</v>
      </c>
      <c r="B3054" s="660" t="s">
        <v>43</v>
      </c>
      <c r="C3054" s="644" t="s">
        <v>44</v>
      </c>
      <c r="D3054" s="644" t="s">
        <v>45</v>
      </c>
      <c r="E3054" s="644" t="s">
        <v>3588</v>
      </c>
      <c r="F3054" s="644" t="s">
        <v>441</v>
      </c>
      <c r="G3054" s="577">
        <v>9847864790</v>
      </c>
      <c r="I3054" s="577">
        <v>32</v>
      </c>
      <c r="J3054" s="577" t="s">
        <v>48</v>
      </c>
      <c r="K3054" s="577" t="s">
        <v>53</v>
      </c>
      <c r="L3054" s="571"/>
      <c r="M3054" s="682" t="s">
        <v>119</v>
      </c>
      <c r="N3054" s="767">
        <v>65046</v>
      </c>
      <c r="O3054" s="680">
        <v>65046</v>
      </c>
      <c r="P3054" s="541">
        <v>65061</v>
      </c>
      <c r="Q3054" s="533" t="s">
        <v>51</v>
      </c>
    </row>
    <row r="3055" spans="1:17" ht="18">
      <c r="A3055" s="512">
        <f t="shared" si="40"/>
        <v>2208</v>
      </c>
      <c r="B3055" s="660" t="s">
        <v>43</v>
      </c>
      <c r="C3055" s="644" t="s">
        <v>44</v>
      </c>
      <c r="D3055" s="651" t="s">
        <v>45</v>
      </c>
      <c r="E3055" s="644" t="s">
        <v>3589</v>
      </c>
      <c r="F3055" s="644" t="s">
        <v>1008</v>
      </c>
      <c r="G3055" s="577">
        <v>9806247682</v>
      </c>
      <c r="I3055" s="577">
        <v>38</v>
      </c>
      <c r="J3055" s="577" t="s">
        <v>48</v>
      </c>
      <c r="K3055" s="577" t="s">
        <v>53</v>
      </c>
      <c r="L3055" s="571"/>
      <c r="M3055" s="682" t="s">
        <v>119</v>
      </c>
      <c r="N3055" s="767">
        <v>65046</v>
      </c>
      <c r="O3055" s="680">
        <v>65046</v>
      </c>
      <c r="P3055" s="541">
        <v>65061</v>
      </c>
      <c r="Q3055" s="533" t="s">
        <v>51</v>
      </c>
    </row>
    <row r="3056" spans="1:17" ht="18">
      <c r="A3056" s="512">
        <f t="shared" si="40"/>
        <v>2209</v>
      </c>
      <c r="B3056" s="660" t="s">
        <v>43</v>
      </c>
      <c r="C3056" s="644" t="s">
        <v>44</v>
      </c>
      <c r="D3056" s="644" t="s">
        <v>45</v>
      </c>
      <c r="E3056" s="644" t="s">
        <v>3413</v>
      </c>
      <c r="F3056" s="644" t="s">
        <v>1009</v>
      </c>
      <c r="G3056" s="577">
        <v>9847833756</v>
      </c>
      <c r="I3056" s="577">
        <v>52</v>
      </c>
      <c r="J3056" s="577" t="s">
        <v>90</v>
      </c>
      <c r="K3056" s="577" t="s">
        <v>1468</v>
      </c>
      <c r="L3056" s="577"/>
      <c r="M3056" s="571" t="s">
        <v>119</v>
      </c>
      <c r="N3056" s="767">
        <v>65046</v>
      </c>
      <c r="O3056" s="680">
        <v>65046</v>
      </c>
      <c r="P3056" s="541">
        <v>65061</v>
      </c>
      <c r="Q3056" s="533" t="s">
        <v>51</v>
      </c>
    </row>
    <row r="3057" spans="1:17" ht="18">
      <c r="A3057" s="512">
        <f t="shared" si="40"/>
        <v>2210</v>
      </c>
      <c r="B3057" s="660" t="s">
        <v>43</v>
      </c>
      <c r="C3057" s="644" t="s">
        <v>44</v>
      </c>
      <c r="D3057" s="644" t="s">
        <v>45</v>
      </c>
      <c r="E3057" s="644" t="s">
        <v>3416</v>
      </c>
      <c r="F3057" s="644" t="s">
        <v>1046</v>
      </c>
      <c r="G3057" s="577">
        <v>9861825151</v>
      </c>
      <c r="I3057" s="577">
        <v>42</v>
      </c>
      <c r="J3057" s="577" t="s">
        <v>48</v>
      </c>
      <c r="K3057" s="577" t="s">
        <v>1480</v>
      </c>
      <c r="L3057" s="577"/>
      <c r="M3057" s="571" t="s">
        <v>119</v>
      </c>
      <c r="N3057" s="767">
        <v>65046</v>
      </c>
      <c r="O3057" s="680">
        <v>65046</v>
      </c>
      <c r="P3057" s="541">
        <v>65061</v>
      </c>
      <c r="Q3057" s="533" t="s">
        <v>51</v>
      </c>
    </row>
    <row r="3058" spans="1:17" ht="18">
      <c r="A3058" s="512">
        <f t="shared" si="40"/>
        <v>2211</v>
      </c>
      <c r="B3058" s="660" t="s">
        <v>43</v>
      </c>
      <c r="C3058" s="644" t="s">
        <v>44</v>
      </c>
      <c r="D3058" s="644" t="s">
        <v>45</v>
      </c>
      <c r="E3058" s="651" t="s">
        <v>3395</v>
      </c>
      <c r="F3058" s="644" t="s">
        <v>441</v>
      </c>
      <c r="G3058" s="577">
        <v>9847906008</v>
      </c>
      <c r="I3058" s="577">
        <v>30</v>
      </c>
      <c r="J3058" s="577" t="s">
        <v>48</v>
      </c>
      <c r="K3058" s="577" t="s">
        <v>53</v>
      </c>
      <c r="L3058" s="577"/>
      <c r="M3058" s="571" t="s">
        <v>119</v>
      </c>
      <c r="N3058" s="767">
        <v>65046</v>
      </c>
      <c r="O3058" s="680">
        <v>65046</v>
      </c>
      <c r="P3058" s="541">
        <v>65061</v>
      </c>
      <c r="Q3058" s="533" t="s">
        <v>51</v>
      </c>
    </row>
    <row r="3059" spans="1:17" ht="18">
      <c r="A3059" s="512">
        <f t="shared" si="40"/>
        <v>2212</v>
      </c>
      <c r="B3059" s="660" t="s">
        <v>43</v>
      </c>
      <c r="C3059" s="644" t="s">
        <v>44</v>
      </c>
      <c r="D3059" s="644" t="s">
        <v>45</v>
      </c>
      <c r="E3059" s="644" t="s">
        <v>3381</v>
      </c>
      <c r="F3059" s="644" t="s">
        <v>502</v>
      </c>
      <c r="G3059" s="577">
        <v>9857820738</v>
      </c>
      <c r="I3059" s="577">
        <v>75</v>
      </c>
      <c r="J3059" s="577" t="s">
        <v>48</v>
      </c>
      <c r="K3059" s="577" t="s">
        <v>1480</v>
      </c>
      <c r="L3059" s="577"/>
      <c r="M3059" s="571" t="s">
        <v>119</v>
      </c>
      <c r="N3059" s="767">
        <v>65046</v>
      </c>
      <c r="O3059" s="680">
        <v>65046</v>
      </c>
      <c r="P3059" s="541">
        <v>65061</v>
      </c>
      <c r="Q3059" s="533" t="s">
        <v>51</v>
      </c>
    </row>
    <row r="3060" spans="1:17" ht="18">
      <c r="A3060" s="512">
        <f t="shared" si="40"/>
        <v>2213</v>
      </c>
      <c r="B3060" s="660" t="s">
        <v>43</v>
      </c>
      <c r="C3060" s="644" t="s">
        <v>44</v>
      </c>
      <c r="D3060" s="644" t="s">
        <v>45</v>
      </c>
      <c r="E3060" s="644" t="s">
        <v>3389</v>
      </c>
      <c r="F3060" s="644" t="s">
        <v>491</v>
      </c>
      <c r="G3060" s="577">
        <v>9869326031</v>
      </c>
      <c r="I3060" s="577">
        <v>42</v>
      </c>
      <c r="J3060" s="577" t="s">
        <v>90</v>
      </c>
      <c r="K3060" s="577" t="s">
        <v>1480</v>
      </c>
      <c r="L3060" s="577"/>
      <c r="M3060" s="571" t="s">
        <v>119</v>
      </c>
      <c r="N3060" s="767">
        <v>65046</v>
      </c>
      <c r="O3060" s="680">
        <v>65046</v>
      </c>
      <c r="P3060" s="541">
        <v>65061</v>
      </c>
      <c r="Q3060" s="533" t="s">
        <v>51</v>
      </c>
    </row>
    <row r="3061" spans="1:17" ht="18">
      <c r="A3061" s="512">
        <f t="shared" si="40"/>
        <v>2214</v>
      </c>
      <c r="B3061" s="658" t="s">
        <v>43</v>
      </c>
      <c r="C3061" s="630" t="s">
        <v>44</v>
      </c>
      <c r="D3061" s="630" t="s">
        <v>45</v>
      </c>
      <c r="E3061" s="630" t="s">
        <v>3429</v>
      </c>
      <c r="F3061" s="630" t="s">
        <v>1008</v>
      </c>
      <c r="G3061" s="597">
        <v>9809755391</v>
      </c>
      <c r="H3061" s="422"/>
      <c r="I3061" s="597">
        <v>51</v>
      </c>
      <c r="J3061" s="597" t="s">
        <v>90</v>
      </c>
      <c r="K3061" s="597" t="s">
        <v>1480</v>
      </c>
      <c r="L3061" s="597"/>
      <c r="M3061" s="597" t="s">
        <v>119</v>
      </c>
      <c r="N3061" s="768">
        <v>65046</v>
      </c>
      <c r="O3061" s="681">
        <v>65046</v>
      </c>
      <c r="P3061" s="476">
        <v>65017</v>
      </c>
      <c r="Q3061" s="422" t="s">
        <v>940</v>
      </c>
    </row>
    <row r="3062" spans="1:17" ht="18">
      <c r="A3062" s="512">
        <f t="shared" si="40"/>
        <v>2215</v>
      </c>
      <c r="B3062" s="660" t="s">
        <v>43</v>
      </c>
      <c r="C3062" s="644" t="s">
        <v>44</v>
      </c>
      <c r="D3062" s="644" t="s">
        <v>45</v>
      </c>
      <c r="E3062" s="644" t="s">
        <v>3590</v>
      </c>
      <c r="F3062" s="644" t="s">
        <v>510</v>
      </c>
      <c r="G3062" s="577">
        <v>9844983249</v>
      </c>
      <c r="I3062" s="577">
        <v>30</v>
      </c>
      <c r="J3062" s="577" t="s">
        <v>48</v>
      </c>
      <c r="K3062" s="577" t="s">
        <v>53</v>
      </c>
      <c r="L3062" s="571"/>
      <c r="M3062" s="682" t="s">
        <v>119</v>
      </c>
      <c r="N3062" s="767">
        <v>65046</v>
      </c>
      <c r="O3062" s="680">
        <v>65046</v>
      </c>
      <c r="P3062" s="541">
        <v>65061</v>
      </c>
      <c r="Q3062" s="533" t="s">
        <v>51</v>
      </c>
    </row>
    <row r="3063" spans="1:17" ht="18">
      <c r="A3063" s="512">
        <f t="shared" si="40"/>
        <v>2216</v>
      </c>
      <c r="B3063" s="660" t="s">
        <v>43</v>
      </c>
      <c r="C3063" s="644" t="s">
        <v>44</v>
      </c>
      <c r="D3063" s="644" t="s">
        <v>45</v>
      </c>
      <c r="E3063" s="644" t="s">
        <v>3396</v>
      </c>
      <c r="F3063" s="644" t="s">
        <v>441</v>
      </c>
      <c r="G3063" s="577">
        <v>9868428048</v>
      </c>
      <c r="I3063" s="577">
        <v>22</v>
      </c>
      <c r="J3063" s="577" t="s">
        <v>48</v>
      </c>
      <c r="K3063" s="577" t="s">
        <v>1468</v>
      </c>
      <c r="L3063" s="577"/>
      <c r="M3063" s="571" t="s">
        <v>119</v>
      </c>
      <c r="N3063" s="767">
        <v>65046</v>
      </c>
      <c r="O3063" s="680">
        <v>65046</v>
      </c>
      <c r="P3063" s="541">
        <v>65061</v>
      </c>
      <c r="Q3063" s="533" t="s">
        <v>51</v>
      </c>
    </row>
    <row r="3064" spans="1:17" ht="18">
      <c r="A3064" s="512">
        <f t="shared" si="40"/>
        <v>2217</v>
      </c>
      <c r="B3064" s="660" t="s">
        <v>43</v>
      </c>
      <c r="C3064" s="644" t="s">
        <v>44</v>
      </c>
      <c r="D3064" s="644" t="s">
        <v>45</v>
      </c>
      <c r="E3064" s="644" t="s">
        <v>3418</v>
      </c>
      <c r="F3064" s="644" t="s">
        <v>1046</v>
      </c>
      <c r="G3064" s="577">
        <v>9847978855</v>
      </c>
      <c r="I3064" s="577">
        <v>44</v>
      </c>
      <c r="J3064" s="577" t="s">
        <v>90</v>
      </c>
      <c r="K3064" s="577" t="s">
        <v>1468</v>
      </c>
      <c r="L3064" s="577"/>
      <c r="M3064" s="571" t="s">
        <v>119</v>
      </c>
      <c r="N3064" s="767">
        <v>65046</v>
      </c>
      <c r="O3064" s="680">
        <v>65046</v>
      </c>
      <c r="P3064" s="541">
        <v>65061</v>
      </c>
      <c r="Q3064" s="533" t="s">
        <v>51</v>
      </c>
    </row>
    <row r="3065" spans="1:17" ht="18">
      <c r="A3065" s="512">
        <f t="shared" si="40"/>
        <v>2218</v>
      </c>
      <c r="B3065" s="660" t="s">
        <v>43</v>
      </c>
      <c r="C3065" s="644" t="s">
        <v>44</v>
      </c>
      <c r="D3065" s="644" t="s">
        <v>45</v>
      </c>
      <c r="E3065" s="644" t="s">
        <v>3591</v>
      </c>
      <c r="F3065" s="644" t="s">
        <v>441</v>
      </c>
      <c r="G3065" s="577">
        <v>9860012110</v>
      </c>
      <c r="I3065" s="577">
        <v>27</v>
      </c>
      <c r="J3065" s="577" t="s">
        <v>90</v>
      </c>
      <c r="K3065" s="577" t="s">
        <v>53</v>
      </c>
      <c r="L3065" s="571"/>
      <c r="M3065" s="682" t="s">
        <v>119</v>
      </c>
      <c r="N3065" s="767">
        <v>65046</v>
      </c>
      <c r="O3065" s="680">
        <v>65046</v>
      </c>
      <c r="P3065" s="541">
        <v>65061</v>
      </c>
      <c r="Q3065" s="533" t="s">
        <v>51</v>
      </c>
    </row>
    <row r="3066" spans="1:17" ht="18">
      <c r="A3066" s="512">
        <f t="shared" si="40"/>
        <v>2219</v>
      </c>
      <c r="B3066" s="660" t="s">
        <v>43</v>
      </c>
      <c r="C3066" s="644" t="s">
        <v>44</v>
      </c>
      <c r="D3066" s="644" t="s">
        <v>45</v>
      </c>
      <c r="E3066" s="651" t="s">
        <v>3426</v>
      </c>
      <c r="F3066" s="644" t="s">
        <v>1008</v>
      </c>
      <c r="G3066" s="577">
        <v>9866832316</v>
      </c>
      <c r="I3066" s="577">
        <v>56</v>
      </c>
      <c r="J3066" s="577" t="s">
        <v>48</v>
      </c>
      <c r="K3066" s="577" t="s">
        <v>53</v>
      </c>
      <c r="L3066" s="577"/>
      <c r="M3066" s="571" t="s">
        <v>119</v>
      </c>
      <c r="N3066" s="767">
        <v>65046</v>
      </c>
      <c r="O3066" s="680">
        <v>65046</v>
      </c>
      <c r="P3066" s="541">
        <v>65061</v>
      </c>
      <c r="Q3066" s="533" t="s">
        <v>51</v>
      </c>
    </row>
    <row r="3067" spans="1:17" ht="18">
      <c r="A3067" s="512">
        <f t="shared" si="40"/>
        <v>2220</v>
      </c>
      <c r="B3067" s="658" t="s">
        <v>43</v>
      </c>
      <c r="C3067" s="630" t="s">
        <v>44</v>
      </c>
      <c r="D3067" s="630" t="s">
        <v>45</v>
      </c>
      <c r="E3067" s="630" t="s">
        <v>3397</v>
      </c>
      <c r="F3067" s="630" t="s">
        <v>441</v>
      </c>
      <c r="G3067" s="597">
        <v>9812892247</v>
      </c>
      <c r="H3067" s="422"/>
      <c r="I3067" s="597">
        <v>42</v>
      </c>
      <c r="J3067" s="597" t="s">
        <v>48</v>
      </c>
      <c r="K3067" s="597" t="s">
        <v>1468</v>
      </c>
      <c r="L3067" s="597"/>
      <c r="M3067" s="597" t="s">
        <v>119</v>
      </c>
      <c r="N3067" s="768">
        <v>65046</v>
      </c>
      <c r="O3067" s="681">
        <v>65046</v>
      </c>
      <c r="P3067" s="476">
        <v>65060</v>
      </c>
      <c r="Q3067" s="422" t="s">
        <v>940</v>
      </c>
    </row>
    <row r="3068" spans="1:17" ht="18">
      <c r="A3068" s="512">
        <f t="shared" si="40"/>
        <v>2221</v>
      </c>
      <c r="B3068" s="660" t="s">
        <v>43</v>
      </c>
      <c r="C3068" s="644" t="s">
        <v>44</v>
      </c>
      <c r="D3068" s="644" t="s">
        <v>45</v>
      </c>
      <c r="E3068" s="644" t="s">
        <v>3380</v>
      </c>
      <c r="F3068" s="644" t="s">
        <v>598</v>
      </c>
      <c r="G3068" s="577">
        <v>9849133878</v>
      </c>
      <c r="I3068" s="577">
        <v>23</v>
      </c>
      <c r="J3068" s="577" t="s">
        <v>90</v>
      </c>
      <c r="K3068" s="577" t="s">
        <v>1480</v>
      </c>
      <c r="L3068" s="577"/>
      <c r="M3068" s="571" t="s">
        <v>119</v>
      </c>
      <c r="N3068" s="767">
        <v>65046</v>
      </c>
      <c r="O3068" s="680">
        <v>65046</v>
      </c>
      <c r="P3068" s="541">
        <v>65061</v>
      </c>
      <c r="Q3068" s="533" t="s">
        <v>51</v>
      </c>
    </row>
    <row r="3069" spans="1:17" ht="18">
      <c r="A3069" s="512">
        <f t="shared" si="40"/>
        <v>2222</v>
      </c>
      <c r="B3069" s="660" t="s">
        <v>43</v>
      </c>
      <c r="C3069" s="644" t="s">
        <v>44</v>
      </c>
      <c r="D3069" s="644" t="s">
        <v>45</v>
      </c>
      <c r="E3069" s="644" t="s">
        <v>3390</v>
      </c>
      <c r="F3069" s="644" t="s">
        <v>491</v>
      </c>
      <c r="G3069" s="577">
        <v>9849120791</v>
      </c>
      <c r="I3069" s="577">
        <v>35</v>
      </c>
      <c r="J3069" s="577" t="s">
        <v>90</v>
      </c>
      <c r="K3069" s="577" t="s">
        <v>1480</v>
      </c>
      <c r="L3069" s="577"/>
      <c r="M3069" s="571" t="s">
        <v>119</v>
      </c>
      <c r="N3069" s="767">
        <v>65046</v>
      </c>
      <c r="O3069" s="680">
        <v>65046</v>
      </c>
      <c r="P3069" s="541">
        <v>65061</v>
      </c>
      <c r="Q3069" s="533" t="s">
        <v>51</v>
      </c>
    </row>
    <row r="3070" spans="1:17" ht="18">
      <c r="A3070" s="512">
        <f t="shared" si="40"/>
        <v>2223</v>
      </c>
      <c r="B3070" s="660" t="s">
        <v>43</v>
      </c>
      <c r="C3070" s="644" t="s">
        <v>44</v>
      </c>
      <c r="D3070" s="644" t="s">
        <v>45</v>
      </c>
      <c r="E3070" s="644" t="s">
        <v>3399</v>
      </c>
      <c r="F3070" s="644" t="s">
        <v>441</v>
      </c>
      <c r="G3070" s="577">
        <v>9847948224</v>
      </c>
      <c r="I3070" s="577">
        <v>54</v>
      </c>
      <c r="J3070" s="577" t="s">
        <v>48</v>
      </c>
      <c r="K3070" s="577" t="s">
        <v>1480</v>
      </c>
      <c r="L3070" s="577"/>
      <c r="M3070" s="571" t="s">
        <v>119</v>
      </c>
      <c r="N3070" s="767">
        <v>65046</v>
      </c>
      <c r="O3070" s="680">
        <v>65046</v>
      </c>
      <c r="P3070" s="541">
        <v>65061</v>
      </c>
      <c r="Q3070" s="533" t="s">
        <v>51</v>
      </c>
    </row>
    <row r="3071" spans="1:17" ht="18">
      <c r="A3071" s="512">
        <f t="shared" si="40"/>
        <v>2224</v>
      </c>
      <c r="B3071" s="660" t="s">
        <v>43</v>
      </c>
      <c r="C3071" s="644" t="s">
        <v>44</v>
      </c>
      <c r="D3071" s="644" t="s">
        <v>45</v>
      </c>
      <c r="E3071" s="644" t="s">
        <v>3376</v>
      </c>
      <c r="F3071" s="644" t="s">
        <v>636</v>
      </c>
      <c r="G3071" s="577">
        <v>9809826157</v>
      </c>
      <c r="I3071" s="577">
        <v>50</v>
      </c>
      <c r="J3071" s="577" t="s">
        <v>90</v>
      </c>
      <c r="K3071" s="577" t="s">
        <v>1468</v>
      </c>
      <c r="L3071" s="577"/>
      <c r="M3071" s="571" t="s">
        <v>119</v>
      </c>
      <c r="N3071" s="767">
        <v>65046</v>
      </c>
      <c r="O3071" s="680">
        <v>65046</v>
      </c>
      <c r="P3071" s="541">
        <v>65061</v>
      </c>
      <c r="Q3071" s="533" t="s">
        <v>51</v>
      </c>
    </row>
    <row r="3072" spans="1:17" ht="18">
      <c r="A3072" s="512">
        <f t="shared" si="40"/>
        <v>2225</v>
      </c>
      <c r="B3072" s="660" t="s">
        <v>43</v>
      </c>
      <c r="C3072" s="644" t="s">
        <v>44</v>
      </c>
      <c r="D3072" s="644" t="s">
        <v>45</v>
      </c>
      <c r="E3072" s="644" t="s">
        <v>3382</v>
      </c>
      <c r="F3072" s="644" t="s">
        <v>502</v>
      </c>
      <c r="G3072" s="577">
        <v>9806246073</v>
      </c>
      <c r="I3072" s="577">
        <v>47</v>
      </c>
      <c r="J3072" s="577" t="s">
        <v>90</v>
      </c>
      <c r="K3072" s="577" t="s">
        <v>53</v>
      </c>
      <c r="L3072" s="577"/>
      <c r="M3072" s="571" t="s">
        <v>119</v>
      </c>
      <c r="N3072" s="767">
        <v>65046</v>
      </c>
      <c r="O3072" s="680">
        <v>65046</v>
      </c>
      <c r="P3072" s="541">
        <v>65061</v>
      </c>
      <c r="Q3072" s="533" t="s">
        <v>51</v>
      </c>
    </row>
    <row r="3073" spans="1:17" ht="18">
      <c r="A3073" s="512">
        <f t="shared" si="40"/>
        <v>2226</v>
      </c>
      <c r="B3073" s="660" t="s">
        <v>43</v>
      </c>
      <c r="C3073" s="644" t="s">
        <v>44</v>
      </c>
      <c r="D3073" s="644" t="s">
        <v>45</v>
      </c>
      <c r="E3073" s="651" t="s">
        <v>3377</v>
      </c>
      <c r="F3073" s="644" t="s">
        <v>512</v>
      </c>
      <c r="G3073" s="577">
        <v>9809751595</v>
      </c>
      <c r="I3073" s="577">
        <v>31</v>
      </c>
      <c r="J3073" s="577" t="s">
        <v>48</v>
      </c>
      <c r="K3073" s="577" t="s">
        <v>1468</v>
      </c>
      <c r="L3073" s="577"/>
      <c r="M3073" s="571" t="s">
        <v>119</v>
      </c>
      <c r="N3073" s="767">
        <v>65046</v>
      </c>
      <c r="O3073" s="680">
        <v>65046</v>
      </c>
      <c r="P3073" s="541">
        <v>65061</v>
      </c>
      <c r="Q3073" s="533" t="s">
        <v>51</v>
      </c>
    </row>
    <row r="3074" spans="1:17" ht="18">
      <c r="A3074" s="512">
        <f t="shared" si="40"/>
        <v>2227</v>
      </c>
      <c r="B3074" s="660" t="s">
        <v>43</v>
      </c>
      <c r="C3074" s="644" t="s">
        <v>44</v>
      </c>
      <c r="D3074" s="644" t="s">
        <v>45</v>
      </c>
      <c r="E3074" s="651" t="s">
        <v>3393</v>
      </c>
      <c r="F3074" s="644" t="s">
        <v>491</v>
      </c>
      <c r="G3074" s="577">
        <v>9847990204</v>
      </c>
      <c r="I3074" s="577">
        <v>32</v>
      </c>
      <c r="J3074" s="577" t="s">
        <v>90</v>
      </c>
      <c r="K3074" s="577" t="s">
        <v>1468</v>
      </c>
      <c r="L3074" s="577"/>
      <c r="M3074" s="571" t="s">
        <v>119</v>
      </c>
      <c r="N3074" s="767">
        <v>65046</v>
      </c>
      <c r="O3074" s="680">
        <v>65046</v>
      </c>
      <c r="P3074" s="541">
        <v>65061</v>
      </c>
      <c r="Q3074" s="533" t="s">
        <v>51</v>
      </c>
    </row>
    <row r="3075" spans="1:17" ht="18">
      <c r="A3075" s="512">
        <f t="shared" si="40"/>
        <v>2228</v>
      </c>
      <c r="B3075" s="660" t="s">
        <v>43</v>
      </c>
      <c r="C3075" s="644" t="s">
        <v>44</v>
      </c>
      <c r="D3075" s="644" t="s">
        <v>45</v>
      </c>
      <c r="E3075" s="644" t="s">
        <v>3379</v>
      </c>
      <c r="F3075" s="644" t="s">
        <v>598</v>
      </c>
      <c r="G3075" s="577">
        <v>9866902678</v>
      </c>
      <c r="I3075" s="577">
        <v>70</v>
      </c>
      <c r="J3075" s="577" t="s">
        <v>48</v>
      </c>
      <c r="K3075" s="577" t="s">
        <v>1480</v>
      </c>
      <c r="L3075" s="577"/>
      <c r="M3075" s="571" t="s">
        <v>119</v>
      </c>
      <c r="N3075" s="767">
        <v>65046</v>
      </c>
      <c r="O3075" s="680">
        <v>65046</v>
      </c>
      <c r="P3075" s="541">
        <v>65061</v>
      </c>
      <c r="Q3075" s="533" t="s">
        <v>51</v>
      </c>
    </row>
    <row r="3076" spans="1:17" ht="18">
      <c r="A3076" s="512">
        <f t="shared" si="40"/>
        <v>2229</v>
      </c>
      <c r="B3076" s="660" t="s">
        <v>43</v>
      </c>
      <c r="C3076" s="644" t="s">
        <v>44</v>
      </c>
      <c r="D3076" s="644" t="s">
        <v>45</v>
      </c>
      <c r="E3076" s="644" t="s">
        <v>3386</v>
      </c>
      <c r="F3076" s="644" t="s">
        <v>491</v>
      </c>
      <c r="G3076" s="577">
        <v>9858024326</v>
      </c>
      <c r="I3076" s="577">
        <v>44</v>
      </c>
      <c r="J3076" s="577" t="s">
        <v>48</v>
      </c>
      <c r="K3076" s="577" t="s">
        <v>1480</v>
      </c>
      <c r="L3076" s="577"/>
      <c r="M3076" s="571" t="s">
        <v>119</v>
      </c>
      <c r="N3076" s="767">
        <v>65046</v>
      </c>
      <c r="O3076" s="680">
        <v>65046</v>
      </c>
      <c r="P3076" s="541">
        <v>65061</v>
      </c>
      <c r="Q3076" s="533" t="s">
        <v>51</v>
      </c>
    </row>
    <row r="3077" spans="1:17" ht="18">
      <c r="A3077" s="512">
        <f t="shared" si="40"/>
        <v>2230</v>
      </c>
      <c r="B3077" s="660" t="s">
        <v>43</v>
      </c>
      <c r="C3077" s="644" t="s">
        <v>44</v>
      </c>
      <c r="D3077" s="644" t="s">
        <v>45</v>
      </c>
      <c r="E3077" s="644" t="s">
        <v>3391</v>
      </c>
      <c r="F3077" s="644" t="s">
        <v>491</v>
      </c>
      <c r="G3077" s="577">
        <v>9811224170</v>
      </c>
      <c r="I3077" s="577">
        <v>36</v>
      </c>
      <c r="J3077" s="577" t="s">
        <v>90</v>
      </c>
      <c r="K3077" s="577" t="s">
        <v>1480</v>
      </c>
      <c r="L3077" s="577"/>
      <c r="M3077" s="571" t="s">
        <v>119</v>
      </c>
      <c r="N3077" s="767">
        <v>65046</v>
      </c>
      <c r="O3077" s="680">
        <v>65046</v>
      </c>
      <c r="P3077" s="541">
        <v>65061</v>
      </c>
      <c r="Q3077" s="533" t="s">
        <v>51</v>
      </c>
    </row>
    <row r="3078" spans="1:17" ht="18">
      <c r="A3078" s="512">
        <f t="shared" si="40"/>
        <v>2231</v>
      </c>
      <c r="B3078" s="660" t="s">
        <v>43</v>
      </c>
      <c r="C3078" s="644" t="s">
        <v>44</v>
      </c>
      <c r="D3078" s="644" t="s">
        <v>45</v>
      </c>
      <c r="E3078" s="644" t="s">
        <v>3375</v>
      </c>
      <c r="F3078" s="644" t="s">
        <v>636</v>
      </c>
      <c r="G3078" s="577">
        <v>9813251553</v>
      </c>
      <c r="I3078" s="577">
        <v>60</v>
      </c>
      <c r="J3078" s="577" t="s">
        <v>48</v>
      </c>
      <c r="K3078" s="577" t="s">
        <v>1480</v>
      </c>
      <c r="L3078" s="577"/>
      <c r="M3078" s="571" t="s">
        <v>119</v>
      </c>
      <c r="N3078" s="767">
        <v>65046</v>
      </c>
      <c r="O3078" s="680">
        <v>65046</v>
      </c>
      <c r="P3078" s="541">
        <v>65061</v>
      </c>
      <c r="Q3078" s="533" t="s">
        <v>51</v>
      </c>
    </row>
    <row r="3079" spans="1:17" ht="18">
      <c r="A3079" s="512">
        <f t="shared" si="40"/>
        <v>2232</v>
      </c>
      <c r="B3079" s="660" t="s">
        <v>43</v>
      </c>
      <c r="C3079" s="644" t="s">
        <v>44</v>
      </c>
      <c r="D3079" s="644" t="s">
        <v>45</v>
      </c>
      <c r="E3079" s="644" t="s">
        <v>3592</v>
      </c>
      <c r="F3079" s="644" t="s">
        <v>497</v>
      </c>
      <c r="G3079" s="577">
        <v>9847847208</v>
      </c>
      <c r="I3079" s="577">
        <v>35</v>
      </c>
      <c r="J3079" s="577" t="s">
        <v>48</v>
      </c>
      <c r="K3079" s="577" t="s">
        <v>53</v>
      </c>
      <c r="L3079" s="571"/>
      <c r="M3079" s="682" t="s">
        <v>119</v>
      </c>
      <c r="N3079" s="767">
        <v>65046</v>
      </c>
      <c r="O3079" s="680">
        <v>65046</v>
      </c>
      <c r="P3079" s="541">
        <v>65061</v>
      </c>
      <c r="Q3079" s="533" t="s">
        <v>51</v>
      </c>
    </row>
    <row r="3080" spans="1:17" ht="18">
      <c r="A3080" s="512">
        <f t="shared" si="40"/>
        <v>2233</v>
      </c>
      <c r="B3080" s="660" t="s">
        <v>43</v>
      </c>
      <c r="C3080" s="644" t="s">
        <v>44</v>
      </c>
      <c r="D3080" s="651" t="s">
        <v>45</v>
      </c>
      <c r="E3080" s="644" t="s">
        <v>1575</v>
      </c>
      <c r="F3080" s="644" t="s">
        <v>617</v>
      </c>
      <c r="G3080" s="577">
        <v>9860498870</v>
      </c>
      <c r="I3080" s="577">
        <v>29</v>
      </c>
      <c r="J3080" s="577" t="s">
        <v>48</v>
      </c>
      <c r="K3080" s="577" t="s">
        <v>53</v>
      </c>
      <c r="L3080" s="571"/>
      <c r="M3080" s="682" t="s">
        <v>119</v>
      </c>
      <c r="N3080" s="767">
        <v>65046</v>
      </c>
      <c r="O3080" s="680">
        <v>65046</v>
      </c>
      <c r="P3080" s="541">
        <v>65061</v>
      </c>
      <c r="Q3080" s="533" t="s">
        <v>51</v>
      </c>
    </row>
    <row r="3081" spans="1:17" ht="18">
      <c r="A3081" s="512">
        <f t="shared" si="40"/>
        <v>2234</v>
      </c>
      <c r="B3081" s="660" t="s">
        <v>43</v>
      </c>
      <c r="C3081" s="644" t="s">
        <v>44</v>
      </c>
      <c r="D3081" s="644" t="s">
        <v>45</v>
      </c>
      <c r="E3081" s="644" t="s">
        <v>3400</v>
      </c>
      <c r="F3081" s="644" t="s">
        <v>441</v>
      </c>
      <c r="G3081" s="577">
        <v>9847948224</v>
      </c>
      <c r="I3081" s="577">
        <v>48</v>
      </c>
      <c r="J3081" s="577" t="s">
        <v>48</v>
      </c>
      <c r="K3081" s="577" t="s">
        <v>1480</v>
      </c>
      <c r="L3081" s="577"/>
      <c r="M3081" s="571" t="s">
        <v>119</v>
      </c>
      <c r="N3081" s="767">
        <v>65046</v>
      </c>
      <c r="O3081" s="680">
        <v>65046</v>
      </c>
      <c r="P3081" s="541">
        <v>65061</v>
      </c>
      <c r="Q3081" s="533" t="s">
        <v>51</v>
      </c>
    </row>
    <row r="3082" spans="1:17" ht="18">
      <c r="A3082" s="512">
        <f t="shared" si="40"/>
        <v>2235</v>
      </c>
      <c r="B3082" s="660" t="s">
        <v>43</v>
      </c>
      <c r="C3082" s="644" t="s">
        <v>44</v>
      </c>
      <c r="D3082" s="644" t="s">
        <v>45</v>
      </c>
      <c r="E3082" s="644" t="s">
        <v>3411</v>
      </c>
      <c r="F3082" s="644" t="s">
        <v>791</v>
      </c>
      <c r="G3082" s="577">
        <v>9847834772</v>
      </c>
      <c r="I3082" s="577">
        <v>55</v>
      </c>
      <c r="J3082" s="577" t="s">
        <v>90</v>
      </c>
      <c r="K3082" s="577" t="s">
        <v>1468</v>
      </c>
      <c r="L3082" s="577"/>
      <c r="M3082" s="571" t="s">
        <v>119</v>
      </c>
      <c r="N3082" s="767">
        <v>65046</v>
      </c>
      <c r="O3082" s="680">
        <v>65046</v>
      </c>
      <c r="P3082" s="541">
        <v>65061</v>
      </c>
      <c r="Q3082" s="533" t="s">
        <v>51</v>
      </c>
    </row>
    <row r="3083" spans="1:17" ht="18">
      <c r="A3083" s="512">
        <f t="shared" si="40"/>
        <v>2236</v>
      </c>
      <c r="B3083" s="660" t="s">
        <v>43</v>
      </c>
      <c r="C3083" s="644" t="s">
        <v>44</v>
      </c>
      <c r="D3083" s="644" t="s">
        <v>45</v>
      </c>
      <c r="E3083" s="644" t="s">
        <v>3431</v>
      </c>
      <c r="F3083" s="644" t="s">
        <v>1204</v>
      </c>
      <c r="G3083" s="577">
        <v>9860976612</v>
      </c>
      <c r="I3083" s="577">
        <v>52</v>
      </c>
      <c r="J3083" s="577" t="s">
        <v>90</v>
      </c>
      <c r="K3083" s="577" t="s">
        <v>1468</v>
      </c>
      <c r="L3083" s="577"/>
      <c r="M3083" s="571" t="s">
        <v>119</v>
      </c>
      <c r="N3083" s="767">
        <v>65046</v>
      </c>
      <c r="O3083" s="680">
        <v>65046</v>
      </c>
      <c r="P3083" s="541">
        <v>65061</v>
      </c>
      <c r="Q3083" s="533" t="s">
        <v>51</v>
      </c>
    </row>
    <row r="3084" spans="1:17" ht="18">
      <c r="A3084" s="512">
        <f t="shared" si="40"/>
        <v>2237</v>
      </c>
      <c r="B3084" s="660" t="s">
        <v>43</v>
      </c>
      <c r="C3084" s="644" t="s">
        <v>44</v>
      </c>
      <c r="D3084" s="644" t="s">
        <v>45</v>
      </c>
      <c r="E3084" s="644" t="s">
        <v>3430</v>
      </c>
      <c r="F3084" s="644" t="s">
        <v>1204</v>
      </c>
      <c r="G3084" s="577">
        <v>9866901595</v>
      </c>
      <c r="I3084" s="577">
        <v>66</v>
      </c>
      <c r="J3084" s="577" t="s">
        <v>48</v>
      </c>
      <c r="K3084" s="577" t="s">
        <v>1468</v>
      </c>
      <c r="L3084" s="577"/>
      <c r="M3084" s="571" t="s">
        <v>119</v>
      </c>
      <c r="N3084" s="767">
        <v>65046</v>
      </c>
      <c r="O3084" s="680">
        <v>65046</v>
      </c>
      <c r="P3084" s="541">
        <v>65061</v>
      </c>
      <c r="Q3084" s="533" t="s">
        <v>51</v>
      </c>
    </row>
    <row r="3085" spans="1:17" ht="18">
      <c r="A3085" s="512">
        <f t="shared" si="40"/>
        <v>2238</v>
      </c>
      <c r="B3085" s="660" t="s">
        <v>43</v>
      </c>
      <c r="C3085" s="644" t="s">
        <v>44</v>
      </c>
      <c r="D3085" s="644" t="s">
        <v>45</v>
      </c>
      <c r="E3085" s="644" t="s">
        <v>3387</v>
      </c>
      <c r="F3085" s="644" t="s">
        <v>491</v>
      </c>
      <c r="G3085" s="577">
        <v>9847985200</v>
      </c>
      <c r="I3085" s="577">
        <v>16</v>
      </c>
      <c r="J3085" s="577" t="s">
        <v>48</v>
      </c>
      <c r="K3085" s="577" t="s">
        <v>53</v>
      </c>
      <c r="L3085" s="577"/>
      <c r="M3085" s="571" t="s">
        <v>119</v>
      </c>
      <c r="N3085" s="767">
        <v>65046</v>
      </c>
      <c r="O3085" s="680">
        <v>65046</v>
      </c>
      <c r="P3085" s="541">
        <v>65061</v>
      </c>
      <c r="Q3085" s="533" t="s">
        <v>51</v>
      </c>
    </row>
    <row r="3086" spans="1:17" ht="18">
      <c r="A3086" s="512">
        <f t="shared" si="40"/>
        <v>2239</v>
      </c>
      <c r="B3086" s="660" t="s">
        <v>43</v>
      </c>
      <c r="C3086" s="644" t="s">
        <v>44</v>
      </c>
      <c r="D3086" s="644" t="s">
        <v>45</v>
      </c>
      <c r="E3086" s="644" t="s">
        <v>3420</v>
      </c>
      <c r="F3086" s="644" t="s">
        <v>617</v>
      </c>
      <c r="G3086" s="577">
        <v>9862722157</v>
      </c>
      <c r="I3086" s="577">
        <v>23</v>
      </c>
      <c r="J3086" s="577" t="s">
        <v>48</v>
      </c>
      <c r="K3086" s="577" t="s">
        <v>53</v>
      </c>
      <c r="L3086" s="577"/>
      <c r="M3086" s="571" t="s">
        <v>119</v>
      </c>
      <c r="N3086" s="767">
        <v>65046</v>
      </c>
      <c r="O3086" s="680">
        <v>65046</v>
      </c>
      <c r="P3086" s="541">
        <v>65061</v>
      </c>
      <c r="Q3086" s="533" t="s">
        <v>51</v>
      </c>
    </row>
    <row r="3087" spans="1:17" ht="18">
      <c r="A3087" s="512">
        <f t="shared" si="40"/>
        <v>2240</v>
      </c>
      <c r="B3087" s="660" t="s">
        <v>43</v>
      </c>
      <c r="C3087" s="644" t="s">
        <v>44</v>
      </c>
      <c r="D3087" s="644" t="s">
        <v>45</v>
      </c>
      <c r="E3087" s="644" t="s">
        <v>3593</v>
      </c>
      <c r="F3087" s="644" t="s">
        <v>1008</v>
      </c>
      <c r="G3087" s="577">
        <v>9806247682</v>
      </c>
      <c r="I3087" s="577">
        <v>22</v>
      </c>
      <c r="J3087" s="577" t="s">
        <v>90</v>
      </c>
      <c r="K3087" s="577" t="s">
        <v>53</v>
      </c>
      <c r="L3087" s="571"/>
      <c r="M3087" s="682" t="s">
        <v>119</v>
      </c>
      <c r="N3087" s="767">
        <v>65046</v>
      </c>
      <c r="O3087" s="680">
        <v>65046</v>
      </c>
      <c r="P3087" s="541">
        <v>65061</v>
      </c>
      <c r="Q3087" s="533" t="s">
        <v>51</v>
      </c>
    </row>
    <row r="3088" spans="1:17" ht="18">
      <c r="A3088" s="512">
        <f t="shared" si="40"/>
        <v>2241</v>
      </c>
      <c r="B3088" s="660" t="s">
        <v>43</v>
      </c>
      <c r="C3088" s="644" t="s">
        <v>44</v>
      </c>
      <c r="D3088" s="644" t="s">
        <v>45</v>
      </c>
      <c r="E3088" s="644" t="s">
        <v>3422</v>
      </c>
      <c r="F3088" s="644" t="s">
        <v>497</v>
      </c>
      <c r="G3088" s="577">
        <v>9829529266</v>
      </c>
      <c r="I3088" s="577">
        <v>70</v>
      </c>
      <c r="J3088" s="577" t="s">
        <v>48</v>
      </c>
      <c r="K3088" s="577" t="s">
        <v>1468</v>
      </c>
      <c r="L3088" s="577"/>
      <c r="M3088" s="571" t="s">
        <v>119</v>
      </c>
      <c r="N3088" s="767">
        <v>65046</v>
      </c>
      <c r="O3088" s="680">
        <v>65046</v>
      </c>
      <c r="P3088" s="541">
        <v>65061</v>
      </c>
      <c r="Q3088" s="533" t="s">
        <v>51</v>
      </c>
    </row>
    <row r="3089" spans="1:17" ht="18">
      <c r="A3089" s="512">
        <f t="shared" si="40"/>
        <v>2242</v>
      </c>
      <c r="B3089" s="660" t="s">
        <v>43</v>
      </c>
      <c r="C3089" s="644" t="s">
        <v>44</v>
      </c>
      <c r="D3089" s="644" t="s">
        <v>45</v>
      </c>
      <c r="E3089" s="644" t="s">
        <v>3594</v>
      </c>
      <c r="F3089" s="644" t="s">
        <v>502</v>
      </c>
      <c r="G3089" s="577">
        <v>9857820677</v>
      </c>
      <c r="I3089" s="577">
        <v>63</v>
      </c>
      <c r="J3089" s="577" t="s">
        <v>48</v>
      </c>
      <c r="K3089" s="577" t="s">
        <v>53</v>
      </c>
      <c r="L3089" s="571"/>
      <c r="M3089" s="682" t="s">
        <v>119</v>
      </c>
      <c r="N3089" s="767">
        <v>65046</v>
      </c>
      <c r="O3089" s="680">
        <v>65046</v>
      </c>
      <c r="P3089" s="541">
        <v>65061</v>
      </c>
      <c r="Q3089" s="533" t="s">
        <v>51</v>
      </c>
    </row>
    <row r="3090" spans="1:17" ht="18">
      <c r="A3090" s="512">
        <f t="shared" ref="A3090:A3153" si="41">A3089+1</f>
        <v>2243</v>
      </c>
      <c r="B3090" s="660" t="s">
        <v>43</v>
      </c>
      <c r="C3090" s="644" t="s">
        <v>44</v>
      </c>
      <c r="D3090" s="644" t="s">
        <v>45</v>
      </c>
      <c r="E3090" s="644" t="s">
        <v>3392</v>
      </c>
      <c r="F3090" s="644" t="s">
        <v>491</v>
      </c>
      <c r="G3090" s="577">
        <v>9858030142</v>
      </c>
      <c r="I3090" s="577">
        <v>42</v>
      </c>
      <c r="J3090" s="577" t="s">
        <v>90</v>
      </c>
      <c r="K3090" s="577" t="s">
        <v>1480</v>
      </c>
      <c r="L3090" s="577"/>
      <c r="M3090" s="571" t="s">
        <v>119</v>
      </c>
      <c r="N3090" s="767">
        <v>65046</v>
      </c>
      <c r="O3090" s="680">
        <v>65046</v>
      </c>
      <c r="P3090" s="541">
        <v>65061</v>
      </c>
      <c r="Q3090" s="533" t="s">
        <v>51</v>
      </c>
    </row>
    <row r="3091" spans="1:17" ht="18">
      <c r="A3091" s="512">
        <f t="shared" si="41"/>
        <v>2244</v>
      </c>
      <c r="B3091" s="660" t="s">
        <v>43</v>
      </c>
      <c r="C3091" s="644" t="s">
        <v>44</v>
      </c>
      <c r="D3091" s="644" t="s">
        <v>45</v>
      </c>
      <c r="E3091" s="644" t="s">
        <v>3595</v>
      </c>
      <c r="F3091" s="644" t="s">
        <v>488</v>
      </c>
      <c r="G3091" s="577">
        <v>9869736992</v>
      </c>
      <c r="I3091" s="577">
        <v>28</v>
      </c>
      <c r="J3091" s="577" t="s">
        <v>48</v>
      </c>
      <c r="K3091" s="577" t="s">
        <v>53</v>
      </c>
      <c r="L3091" s="571"/>
      <c r="M3091" s="682" t="s">
        <v>119</v>
      </c>
      <c r="N3091" s="767">
        <v>65046</v>
      </c>
      <c r="O3091" s="680">
        <v>65046</v>
      </c>
      <c r="P3091" s="541">
        <v>65061</v>
      </c>
      <c r="Q3091" s="533" t="s">
        <v>51</v>
      </c>
    </row>
    <row r="3092" spans="1:17" ht="18">
      <c r="A3092" s="512">
        <f t="shared" si="41"/>
        <v>2245</v>
      </c>
      <c r="B3092" s="660" t="s">
        <v>43</v>
      </c>
      <c r="C3092" s="644" t="s">
        <v>44</v>
      </c>
      <c r="D3092" s="644" t="s">
        <v>45</v>
      </c>
      <c r="E3092" s="644" t="s">
        <v>3423</v>
      </c>
      <c r="F3092" s="644" t="s">
        <v>497</v>
      </c>
      <c r="G3092" s="577">
        <v>9809747514</v>
      </c>
      <c r="I3092" s="577">
        <v>30</v>
      </c>
      <c r="J3092" s="577" t="s">
        <v>90</v>
      </c>
      <c r="K3092" s="577" t="s">
        <v>1468</v>
      </c>
      <c r="L3092" s="577"/>
      <c r="M3092" s="571" t="s">
        <v>119</v>
      </c>
      <c r="N3092" s="767">
        <v>65046</v>
      </c>
      <c r="O3092" s="680">
        <v>65046</v>
      </c>
      <c r="P3092" s="541">
        <v>65061</v>
      </c>
      <c r="Q3092" s="533" t="s">
        <v>51</v>
      </c>
    </row>
    <row r="3093" spans="1:17" ht="18">
      <c r="A3093" s="512">
        <f t="shared" si="41"/>
        <v>2246</v>
      </c>
      <c r="B3093" s="660" t="s">
        <v>43</v>
      </c>
      <c r="C3093" s="644" t="s">
        <v>44</v>
      </c>
      <c r="D3093" s="644" t="s">
        <v>45</v>
      </c>
      <c r="E3093" s="644" t="s">
        <v>3424</v>
      </c>
      <c r="F3093" s="644" t="s">
        <v>730</v>
      </c>
      <c r="G3093" s="577">
        <v>9809720094</v>
      </c>
      <c r="I3093" s="577">
        <v>38</v>
      </c>
      <c r="J3093" s="577" t="s">
        <v>48</v>
      </c>
      <c r="K3093" s="577" t="s">
        <v>1468</v>
      </c>
      <c r="L3093" s="577"/>
      <c r="M3093" s="571" t="s">
        <v>119</v>
      </c>
      <c r="N3093" s="767">
        <v>65046</v>
      </c>
      <c r="O3093" s="680">
        <v>65046</v>
      </c>
      <c r="P3093" s="541">
        <v>65061</v>
      </c>
      <c r="Q3093" s="533" t="s">
        <v>51</v>
      </c>
    </row>
    <row r="3094" spans="1:17" ht="18">
      <c r="A3094" s="512">
        <f t="shared" si="41"/>
        <v>2247</v>
      </c>
      <c r="B3094" s="660" t="s">
        <v>43</v>
      </c>
      <c r="C3094" s="644" t="s">
        <v>44</v>
      </c>
      <c r="D3094" s="644" t="s">
        <v>45</v>
      </c>
      <c r="E3094" s="651" t="s">
        <v>3406</v>
      </c>
      <c r="F3094" s="644" t="s">
        <v>529</v>
      </c>
      <c r="G3094" s="577"/>
      <c r="I3094" s="577">
        <v>32</v>
      </c>
      <c r="J3094" s="577" t="s">
        <v>90</v>
      </c>
      <c r="K3094" s="577" t="s">
        <v>53</v>
      </c>
      <c r="L3094" s="577"/>
      <c r="M3094" s="571" t="s">
        <v>119</v>
      </c>
      <c r="N3094" s="767">
        <v>65046</v>
      </c>
      <c r="O3094" s="680">
        <v>65046</v>
      </c>
      <c r="P3094" s="541">
        <v>65061</v>
      </c>
      <c r="Q3094" s="533" t="s">
        <v>51</v>
      </c>
    </row>
    <row r="3095" spans="1:17" ht="18">
      <c r="A3095" s="512">
        <f t="shared" si="41"/>
        <v>2248</v>
      </c>
      <c r="B3095" s="660" t="s">
        <v>43</v>
      </c>
      <c r="C3095" s="644" t="s">
        <v>44</v>
      </c>
      <c r="D3095" s="651" t="s">
        <v>45</v>
      </c>
      <c r="E3095" s="644" t="s">
        <v>3596</v>
      </c>
      <c r="F3095" s="644" t="s">
        <v>1204</v>
      </c>
      <c r="G3095" s="577">
        <v>9857827750</v>
      </c>
      <c r="I3095" s="577">
        <v>54</v>
      </c>
      <c r="J3095" s="577" t="s">
        <v>90</v>
      </c>
      <c r="K3095" s="577" t="s">
        <v>53</v>
      </c>
      <c r="L3095" s="571"/>
      <c r="M3095" s="682" t="s">
        <v>119</v>
      </c>
      <c r="N3095" s="767">
        <v>65046</v>
      </c>
      <c r="O3095" s="680">
        <v>65046</v>
      </c>
      <c r="P3095" s="541">
        <v>65061</v>
      </c>
      <c r="Q3095" s="533" t="s">
        <v>51</v>
      </c>
    </row>
    <row r="3096" spans="1:17" ht="18">
      <c r="A3096" s="512">
        <f t="shared" si="41"/>
        <v>2249</v>
      </c>
      <c r="B3096" s="660" t="s">
        <v>43</v>
      </c>
      <c r="C3096" s="644" t="s">
        <v>44</v>
      </c>
      <c r="D3096" s="644" t="s">
        <v>45</v>
      </c>
      <c r="E3096" s="644" t="s">
        <v>3378</v>
      </c>
      <c r="F3096" s="644" t="s">
        <v>512</v>
      </c>
      <c r="G3096" s="577">
        <v>9847845588</v>
      </c>
      <c r="I3096" s="577">
        <v>18</v>
      </c>
      <c r="J3096" s="577" t="s">
        <v>90</v>
      </c>
      <c r="K3096" s="577" t="s">
        <v>1480</v>
      </c>
      <c r="L3096" s="577"/>
      <c r="M3096" s="571" t="s">
        <v>119</v>
      </c>
      <c r="N3096" s="767">
        <v>65046</v>
      </c>
      <c r="O3096" s="680">
        <v>65046</v>
      </c>
      <c r="P3096" s="541">
        <v>65061</v>
      </c>
      <c r="Q3096" s="533" t="s">
        <v>51</v>
      </c>
    </row>
    <row r="3097" spans="1:17" ht="18">
      <c r="A3097" s="512">
        <f t="shared" si="41"/>
        <v>2250</v>
      </c>
      <c r="B3097" s="660" t="s">
        <v>43</v>
      </c>
      <c r="C3097" s="644" t="s">
        <v>44</v>
      </c>
      <c r="D3097" s="644" t="s">
        <v>45</v>
      </c>
      <c r="E3097" s="644" t="s">
        <v>3597</v>
      </c>
      <c r="F3097" s="644" t="s">
        <v>1204</v>
      </c>
      <c r="G3097" s="577">
        <v>9857827750</v>
      </c>
      <c r="I3097" s="577">
        <v>28</v>
      </c>
      <c r="J3097" s="577" t="s">
        <v>48</v>
      </c>
      <c r="K3097" s="577" t="s">
        <v>53</v>
      </c>
      <c r="L3097" s="571"/>
      <c r="M3097" s="682" t="s">
        <v>119</v>
      </c>
      <c r="N3097" s="767">
        <v>65046</v>
      </c>
      <c r="O3097" s="680">
        <v>65046</v>
      </c>
      <c r="P3097" s="541">
        <v>65061</v>
      </c>
      <c r="Q3097" s="533" t="s">
        <v>51</v>
      </c>
    </row>
    <row r="3098" spans="1:17" ht="18">
      <c r="A3098" s="512">
        <f t="shared" si="41"/>
        <v>2251</v>
      </c>
      <c r="B3098" s="660" t="s">
        <v>43</v>
      </c>
      <c r="C3098" s="644" t="s">
        <v>44</v>
      </c>
      <c r="D3098" s="644" t="s">
        <v>45</v>
      </c>
      <c r="E3098" s="644" t="s">
        <v>3598</v>
      </c>
      <c r="F3098" s="644" t="s">
        <v>1008</v>
      </c>
      <c r="G3098" s="577">
        <v>9812591152</v>
      </c>
      <c r="I3098" s="577">
        <v>32</v>
      </c>
      <c r="J3098" s="577" t="s">
        <v>48</v>
      </c>
      <c r="K3098" s="577" t="s">
        <v>53</v>
      </c>
      <c r="L3098" s="571"/>
      <c r="M3098" s="682" t="s">
        <v>119</v>
      </c>
      <c r="N3098" s="767">
        <v>65046</v>
      </c>
      <c r="O3098" s="680">
        <v>65046</v>
      </c>
      <c r="P3098" s="541">
        <v>65061</v>
      </c>
      <c r="Q3098" s="533" t="s">
        <v>51</v>
      </c>
    </row>
    <row r="3099" spans="1:17" ht="18">
      <c r="A3099" s="512">
        <f t="shared" si="41"/>
        <v>2252</v>
      </c>
      <c r="B3099" s="660" t="s">
        <v>43</v>
      </c>
      <c r="C3099" s="644" t="s">
        <v>44</v>
      </c>
      <c r="D3099" s="644" t="s">
        <v>45</v>
      </c>
      <c r="E3099" s="644" t="s">
        <v>3419</v>
      </c>
      <c r="F3099" s="644" t="s">
        <v>1046</v>
      </c>
      <c r="G3099" s="577">
        <v>9847884271</v>
      </c>
      <c r="I3099" s="577">
        <v>40</v>
      </c>
      <c r="J3099" s="577" t="s">
        <v>90</v>
      </c>
      <c r="K3099" s="577" t="s">
        <v>53</v>
      </c>
      <c r="L3099" s="577"/>
      <c r="M3099" s="571" t="s">
        <v>119</v>
      </c>
      <c r="N3099" s="767">
        <v>65046</v>
      </c>
      <c r="O3099" s="680">
        <v>65046</v>
      </c>
      <c r="P3099" s="541">
        <v>65061</v>
      </c>
      <c r="Q3099" s="533" t="s">
        <v>51</v>
      </c>
    </row>
    <row r="3100" spans="1:17" ht="18">
      <c r="A3100" s="512">
        <f t="shared" si="41"/>
        <v>2253</v>
      </c>
      <c r="B3100" s="660" t="s">
        <v>43</v>
      </c>
      <c r="C3100" s="644" t="s">
        <v>44</v>
      </c>
      <c r="D3100" s="644" t="s">
        <v>45</v>
      </c>
      <c r="E3100" s="644" t="s">
        <v>3599</v>
      </c>
      <c r="F3100" s="644" t="s">
        <v>497</v>
      </c>
      <c r="G3100" s="577">
        <v>9844917094</v>
      </c>
      <c r="I3100" s="577">
        <v>40</v>
      </c>
      <c r="J3100" s="577" t="s">
        <v>90</v>
      </c>
      <c r="K3100" s="577" t="s">
        <v>53</v>
      </c>
      <c r="L3100" s="571"/>
      <c r="M3100" s="682" t="s">
        <v>119</v>
      </c>
      <c r="N3100" s="767">
        <v>65046</v>
      </c>
      <c r="O3100" s="680">
        <v>65046</v>
      </c>
      <c r="P3100" s="541">
        <v>65061</v>
      </c>
      <c r="Q3100" s="533" t="s">
        <v>51</v>
      </c>
    </row>
    <row r="3101" spans="1:17" ht="18">
      <c r="A3101" s="512">
        <f t="shared" si="41"/>
        <v>2254</v>
      </c>
      <c r="B3101" s="660" t="s">
        <v>43</v>
      </c>
      <c r="C3101" s="644" t="s">
        <v>44</v>
      </c>
      <c r="D3101" s="644" t="s">
        <v>45</v>
      </c>
      <c r="E3101" s="644" t="s">
        <v>3600</v>
      </c>
      <c r="F3101" s="644" t="s">
        <v>502</v>
      </c>
      <c r="G3101" s="577">
        <v>9863287661</v>
      </c>
      <c r="I3101" s="577">
        <v>25</v>
      </c>
      <c r="J3101" s="577" t="s">
        <v>48</v>
      </c>
      <c r="K3101" s="577" t="s">
        <v>1468</v>
      </c>
      <c r="L3101" s="571"/>
      <c r="M3101" s="683" t="s">
        <v>119</v>
      </c>
      <c r="N3101" s="767">
        <v>65047</v>
      </c>
      <c r="O3101" s="680">
        <v>65047</v>
      </c>
      <c r="P3101" s="496">
        <v>65062</v>
      </c>
      <c r="Q3101" s="491" t="s">
        <v>51</v>
      </c>
    </row>
    <row r="3102" spans="1:17" ht="18">
      <c r="A3102" s="512">
        <f t="shared" si="41"/>
        <v>2255</v>
      </c>
      <c r="B3102" s="660" t="s">
        <v>43</v>
      </c>
      <c r="C3102" s="644" t="s">
        <v>44</v>
      </c>
      <c r="D3102" s="644" t="s">
        <v>45</v>
      </c>
      <c r="E3102" s="644" t="s">
        <v>3601</v>
      </c>
      <c r="F3102" s="644" t="s">
        <v>488</v>
      </c>
      <c r="G3102" s="577">
        <v>9858027344</v>
      </c>
      <c r="I3102" s="577">
        <v>26</v>
      </c>
      <c r="J3102" s="577" t="s">
        <v>48</v>
      </c>
      <c r="K3102" s="577" t="s">
        <v>53</v>
      </c>
      <c r="L3102" s="571"/>
      <c r="M3102" s="683" t="s">
        <v>119</v>
      </c>
      <c r="N3102" s="767">
        <v>65047</v>
      </c>
      <c r="O3102" s="680"/>
      <c r="P3102" s="496">
        <v>65062</v>
      </c>
      <c r="Q3102" s="491" t="s">
        <v>51</v>
      </c>
    </row>
    <row r="3103" spans="1:17" ht="18">
      <c r="A3103" s="512">
        <f t="shared" si="41"/>
        <v>2256</v>
      </c>
      <c r="B3103" s="660" t="s">
        <v>43</v>
      </c>
      <c r="C3103" s="644" t="s">
        <v>44</v>
      </c>
      <c r="D3103" s="651" t="s">
        <v>45</v>
      </c>
      <c r="E3103" s="644" t="s">
        <v>2342</v>
      </c>
      <c r="F3103" s="644" t="s">
        <v>502</v>
      </c>
      <c r="G3103" s="577">
        <v>9857823858</v>
      </c>
      <c r="I3103" s="577">
        <v>39</v>
      </c>
      <c r="J3103" s="577" t="s">
        <v>48</v>
      </c>
      <c r="K3103" s="577" t="s">
        <v>1468</v>
      </c>
      <c r="L3103" s="571"/>
      <c r="M3103" s="683" t="s">
        <v>119</v>
      </c>
      <c r="N3103" s="767">
        <v>65047</v>
      </c>
      <c r="O3103" s="680">
        <v>65047</v>
      </c>
      <c r="P3103" s="496">
        <v>65062</v>
      </c>
      <c r="Q3103" s="491" t="s">
        <v>51</v>
      </c>
    </row>
    <row r="3104" spans="1:17" ht="18">
      <c r="A3104" s="512">
        <f t="shared" si="41"/>
        <v>2257</v>
      </c>
      <c r="B3104" s="660" t="s">
        <v>43</v>
      </c>
      <c r="C3104" s="644" t="s">
        <v>44</v>
      </c>
      <c r="D3104" s="644" t="s">
        <v>45</v>
      </c>
      <c r="E3104" s="644" t="s">
        <v>3602</v>
      </c>
      <c r="F3104" s="644" t="s">
        <v>491</v>
      </c>
      <c r="G3104" s="577">
        <v>9809593769</v>
      </c>
      <c r="I3104" s="577">
        <v>25</v>
      </c>
      <c r="J3104" s="577" t="s">
        <v>90</v>
      </c>
      <c r="K3104" s="577" t="s">
        <v>53</v>
      </c>
      <c r="L3104" s="571"/>
      <c r="M3104" s="683" t="s">
        <v>119</v>
      </c>
      <c r="N3104" s="767">
        <v>65047</v>
      </c>
      <c r="O3104" s="680"/>
      <c r="P3104" s="496">
        <v>65062</v>
      </c>
      <c r="Q3104" s="491" t="s">
        <v>51</v>
      </c>
    </row>
    <row r="3105" spans="1:17" ht="18">
      <c r="A3105" s="512">
        <f t="shared" si="41"/>
        <v>2258</v>
      </c>
      <c r="B3105" s="660" t="s">
        <v>43</v>
      </c>
      <c r="C3105" s="644" t="s">
        <v>44</v>
      </c>
      <c r="D3105" s="644" t="s">
        <v>45</v>
      </c>
      <c r="E3105" s="644" t="s">
        <v>3603</v>
      </c>
      <c r="F3105" s="644" t="s">
        <v>512</v>
      </c>
      <c r="G3105" s="577">
        <v>9847826411</v>
      </c>
      <c r="I3105" s="577">
        <v>42</v>
      </c>
      <c r="J3105" s="577" t="s">
        <v>48</v>
      </c>
      <c r="K3105" s="577" t="s">
        <v>53</v>
      </c>
      <c r="L3105" s="571"/>
      <c r="M3105" s="683" t="s">
        <v>119</v>
      </c>
      <c r="N3105" s="767">
        <v>65047</v>
      </c>
      <c r="O3105" s="680"/>
      <c r="P3105" s="496">
        <v>65062</v>
      </c>
      <c r="Q3105" s="491" t="s">
        <v>51</v>
      </c>
    </row>
    <row r="3106" spans="1:17" ht="18">
      <c r="A3106" s="512">
        <f t="shared" si="41"/>
        <v>2259</v>
      </c>
      <c r="B3106" s="660" t="s">
        <v>43</v>
      </c>
      <c r="C3106" s="644" t="s">
        <v>44</v>
      </c>
      <c r="D3106" s="644" t="s">
        <v>45</v>
      </c>
      <c r="E3106" s="644" t="s">
        <v>3604</v>
      </c>
      <c r="F3106" s="644" t="s">
        <v>730</v>
      </c>
      <c r="G3106" s="577">
        <v>9848109499</v>
      </c>
      <c r="I3106" s="577">
        <v>7</v>
      </c>
      <c r="J3106" s="577" t="s">
        <v>48</v>
      </c>
      <c r="K3106" s="577" t="s">
        <v>53</v>
      </c>
      <c r="L3106" s="571"/>
      <c r="M3106" s="683" t="s">
        <v>119</v>
      </c>
      <c r="N3106" s="767">
        <v>65047</v>
      </c>
      <c r="O3106" s="680"/>
      <c r="P3106" s="496">
        <v>65062</v>
      </c>
      <c r="Q3106" s="491" t="s">
        <v>51</v>
      </c>
    </row>
    <row r="3107" spans="1:17" ht="18">
      <c r="A3107" s="512">
        <f t="shared" si="41"/>
        <v>2260</v>
      </c>
      <c r="B3107" s="660" t="s">
        <v>43</v>
      </c>
      <c r="C3107" s="644" t="s">
        <v>44</v>
      </c>
      <c r="D3107" s="644" t="s">
        <v>45</v>
      </c>
      <c r="E3107" s="644" t="s">
        <v>3605</v>
      </c>
      <c r="F3107" s="644" t="s">
        <v>497</v>
      </c>
      <c r="G3107" s="577">
        <v>9864721699</v>
      </c>
      <c r="I3107" s="577">
        <v>21</v>
      </c>
      <c r="J3107" s="577" t="s">
        <v>90</v>
      </c>
      <c r="K3107" s="577" t="s">
        <v>53</v>
      </c>
      <c r="L3107" s="571"/>
      <c r="M3107" s="683" t="s">
        <v>119</v>
      </c>
      <c r="N3107" s="767">
        <v>65047</v>
      </c>
      <c r="O3107" s="680"/>
      <c r="P3107" s="496">
        <v>65062</v>
      </c>
      <c r="Q3107" s="491" t="s">
        <v>51</v>
      </c>
    </row>
    <row r="3108" spans="1:17" ht="18">
      <c r="A3108" s="512">
        <f t="shared" si="41"/>
        <v>2261</v>
      </c>
      <c r="B3108" s="660" t="s">
        <v>43</v>
      </c>
      <c r="C3108" s="644" t="s">
        <v>44</v>
      </c>
      <c r="D3108" s="644" t="s">
        <v>45</v>
      </c>
      <c r="E3108" s="644" t="s">
        <v>3606</v>
      </c>
      <c r="F3108" s="644" t="s">
        <v>1009</v>
      </c>
      <c r="G3108" s="577">
        <v>9866854504</v>
      </c>
      <c r="I3108" s="577">
        <v>50</v>
      </c>
      <c r="J3108" s="577" t="s">
        <v>48</v>
      </c>
      <c r="K3108" s="577" t="s">
        <v>1480</v>
      </c>
      <c r="L3108" s="571"/>
      <c r="M3108" s="683" t="s">
        <v>119</v>
      </c>
      <c r="N3108" s="767">
        <v>65047</v>
      </c>
      <c r="O3108" s="680">
        <v>65047</v>
      </c>
      <c r="P3108" s="496">
        <v>65062</v>
      </c>
      <c r="Q3108" s="491" t="s">
        <v>51</v>
      </c>
    </row>
    <row r="3109" spans="1:17" ht="18">
      <c r="A3109" s="512">
        <f t="shared" si="41"/>
        <v>2262</v>
      </c>
      <c r="B3109" s="660" t="s">
        <v>43</v>
      </c>
      <c r="C3109" s="644" t="s">
        <v>44</v>
      </c>
      <c r="D3109" s="644" t="s">
        <v>45</v>
      </c>
      <c r="E3109" s="644" t="s">
        <v>3607</v>
      </c>
      <c r="F3109" s="644" t="s">
        <v>502</v>
      </c>
      <c r="G3109" s="577">
        <v>9847890228</v>
      </c>
      <c r="I3109" s="577">
        <v>34</v>
      </c>
      <c r="J3109" s="577" t="s">
        <v>48</v>
      </c>
      <c r="K3109" s="577" t="s">
        <v>1468</v>
      </c>
      <c r="L3109" s="571"/>
      <c r="M3109" s="683" t="s">
        <v>119</v>
      </c>
      <c r="N3109" s="767">
        <v>65047</v>
      </c>
      <c r="O3109" s="680">
        <v>65047</v>
      </c>
      <c r="P3109" s="496">
        <v>65062</v>
      </c>
      <c r="Q3109" s="491" t="s">
        <v>51</v>
      </c>
    </row>
    <row r="3110" spans="1:17" ht="18">
      <c r="A3110" s="512">
        <f t="shared" si="41"/>
        <v>2263</v>
      </c>
      <c r="B3110" s="660" t="s">
        <v>43</v>
      </c>
      <c r="C3110" s="644" t="s">
        <v>44</v>
      </c>
      <c r="D3110" s="644" t="s">
        <v>45</v>
      </c>
      <c r="E3110" s="644" t="s">
        <v>3608</v>
      </c>
      <c r="F3110" s="644" t="s">
        <v>1046</v>
      </c>
      <c r="G3110" s="577">
        <v>9847825373</v>
      </c>
      <c r="I3110" s="577">
        <v>75</v>
      </c>
      <c r="J3110" s="577" t="s">
        <v>90</v>
      </c>
      <c r="K3110" s="577" t="s">
        <v>1480</v>
      </c>
      <c r="L3110" s="571"/>
      <c r="M3110" s="683" t="s">
        <v>119</v>
      </c>
      <c r="N3110" s="767">
        <v>65047</v>
      </c>
      <c r="O3110" s="680">
        <v>65047</v>
      </c>
      <c r="P3110" s="496">
        <v>65062</v>
      </c>
      <c r="Q3110" s="491" t="s">
        <v>51</v>
      </c>
    </row>
    <row r="3111" spans="1:17" ht="18">
      <c r="A3111" s="512">
        <f t="shared" si="41"/>
        <v>2264</v>
      </c>
      <c r="B3111" s="660" t="s">
        <v>43</v>
      </c>
      <c r="C3111" s="644" t="s">
        <v>44</v>
      </c>
      <c r="D3111" s="644" t="s">
        <v>45</v>
      </c>
      <c r="E3111" s="644" t="s">
        <v>3609</v>
      </c>
      <c r="F3111" s="644" t="s">
        <v>502</v>
      </c>
      <c r="G3111" s="577">
        <v>9844911601</v>
      </c>
      <c r="I3111" s="577">
        <v>60</v>
      </c>
      <c r="J3111" s="577" t="s">
        <v>48</v>
      </c>
      <c r="K3111" s="577" t="s">
        <v>1468</v>
      </c>
      <c r="L3111" s="571"/>
      <c r="M3111" s="683" t="s">
        <v>119</v>
      </c>
      <c r="N3111" s="767">
        <v>65047</v>
      </c>
      <c r="O3111" s="680">
        <v>65047</v>
      </c>
      <c r="P3111" s="496">
        <v>65062</v>
      </c>
      <c r="Q3111" s="491" t="s">
        <v>51</v>
      </c>
    </row>
    <row r="3112" spans="1:17" ht="18">
      <c r="A3112" s="512">
        <f t="shared" si="41"/>
        <v>2265</v>
      </c>
      <c r="B3112" s="660" t="s">
        <v>43</v>
      </c>
      <c r="C3112" s="644" t="s">
        <v>44</v>
      </c>
      <c r="D3112" s="644" t="s">
        <v>45</v>
      </c>
      <c r="E3112" s="644" t="s">
        <v>3610</v>
      </c>
      <c r="F3112" s="644" t="s">
        <v>124</v>
      </c>
      <c r="G3112" s="577">
        <v>9843178315</v>
      </c>
      <c r="I3112" s="577">
        <v>28</v>
      </c>
      <c r="J3112" s="577" t="s">
        <v>48</v>
      </c>
      <c r="K3112" s="577" t="s">
        <v>1480</v>
      </c>
      <c r="L3112" s="571"/>
      <c r="M3112" s="683" t="s">
        <v>119</v>
      </c>
      <c r="N3112" s="767">
        <v>65047</v>
      </c>
      <c r="O3112" s="680">
        <v>65047</v>
      </c>
      <c r="P3112" s="496">
        <v>65062</v>
      </c>
      <c r="Q3112" s="491" t="s">
        <v>51</v>
      </c>
    </row>
    <row r="3113" spans="1:17" ht="18">
      <c r="A3113" s="512">
        <f t="shared" si="41"/>
        <v>2266</v>
      </c>
      <c r="B3113" s="660" t="s">
        <v>43</v>
      </c>
      <c r="C3113" s="644" t="s">
        <v>44</v>
      </c>
      <c r="D3113" s="644" t="s">
        <v>45</v>
      </c>
      <c r="E3113" s="644" t="s">
        <v>3611</v>
      </c>
      <c r="F3113" s="644" t="s">
        <v>502</v>
      </c>
      <c r="G3113" s="577">
        <v>9844935845</v>
      </c>
      <c r="I3113" s="577">
        <v>65</v>
      </c>
      <c r="J3113" s="577" t="s">
        <v>48</v>
      </c>
      <c r="K3113" s="577" t="s">
        <v>1468</v>
      </c>
      <c r="L3113" s="571"/>
      <c r="M3113" s="683" t="s">
        <v>119</v>
      </c>
      <c r="N3113" s="767">
        <v>65047</v>
      </c>
      <c r="O3113" s="680">
        <v>65047</v>
      </c>
      <c r="P3113" s="496">
        <v>65062</v>
      </c>
      <c r="Q3113" s="491" t="s">
        <v>51</v>
      </c>
    </row>
    <row r="3114" spans="1:17" ht="18">
      <c r="A3114" s="512">
        <f t="shared" si="41"/>
        <v>2267</v>
      </c>
      <c r="B3114" s="660" t="s">
        <v>43</v>
      </c>
      <c r="C3114" s="644" t="s">
        <v>44</v>
      </c>
      <c r="D3114" s="644" t="s">
        <v>45</v>
      </c>
      <c r="E3114" s="644" t="s">
        <v>3612</v>
      </c>
      <c r="F3114" s="644" t="s">
        <v>502</v>
      </c>
      <c r="G3114" s="577">
        <v>9844924814</v>
      </c>
      <c r="I3114" s="577">
        <v>66</v>
      </c>
      <c r="J3114" s="577" t="s">
        <v>48</v>
      </c>
      <c r="K3114" s="577" t="s">
        <v>1468</v>
      </c>
      <c r="L3114" s="571"/>
      <c r="M3114" s="683" t="s">
        <v>119</v>
      </c>
      <c r="N3114" s="767">
        <v>65047</v>
      </c>
      <c r="O3114" s="680">
        <v>65047</v>
      </c>
      <c r="P3114" s="496">
        <v>65062</v>
      </c>
      <c r="Q3114" s="491" t="s">
        <v>51</v>
      </c>
    </row>
    <row r="3115" spans="1:17" ht="18">
      <c r="A3115" s="512">
        <f t="shared" si="41"/>
        <v>2268</v>
      </c>
      <c r="B3115" s="660" t="s">
        <v>43</v>
      </c>
      <c r="C3115" s="644" t="s">
        <v>44</v>
      </c>
      <c r="D3115" s="644" t="s">
        <v>45</v>
      </c>
      <c r="E3115" s="644" t="s">
        <v>3613</v>
      </c>
      <c r="F3115" s="644" t="s">
        <v>502</v>
      </c>
      <c r="G3115" s="577">
        <v>9847836578</v>
      </c>
      <c r="I3115" s="577">
        <v>53</v>
      </c>
      <c r="J3115" s="577" t="s">
        <v>48</v>
      </c>
      <c r="K3115" s="577" t="s">
        <v>1468</v>
      </c>
      <c r="L3115" s="571"/>
      <c r="M3115" s="683" t="s">
        <v>119</v>
      </c>
      <c r="N3115" s="767">
        <v>65047</v>
      </c>
      <c r="O3115" s="680">
        <v>65047</v>
      </c>
      <c r="P3115" s="496">
        <v>65062</v>
      </c>
      <c r="Q3115" s="491" t="s">
        <v>51</v>
      </c>
    </row>
    <row r="3116" spans="1:17" ht="18">
      <c r="A3116" s="512">
        <f t="shared" si="41"/>
        <v>2269</v>
      </c>
      <c r="B3116" s="660" t="s">
        <v>43</v>
      </c>
      <c r="C3116" s="644" t="s">
        <v>44</v>
      </c>
      <c r="D3116" s="644" t="s">
        <v>45</v>
      </c>
      <c r="E3116" s="644" t="s">
        <v>3614</v>
      </c>
      <c r="F3116" s="644" t="s">
        <v>1008</v>
      </c>
      <c r="G3116" s="577">
        <v>9847832893</v>
      </c>
      <c r="I3116" s="577">
        <v>35</v>
      </c>
      <c r="J3116" s="577" t="s">
        <v>90</v>
      </c>
      <c r="K3116" s="577" t="s">
        <v>53</v>
      </c>
      <c r="L3116" s="571"/>
      <c r="M3116" s="683" t="s">
        <v>119</v>
      </c>
      <c r="N3116" s="767">
        <v>65047</v>
      </c>
      <c r="O3116" s="680"/>
      <c r="P3116" s="496">
        <v>65062</v>
      </c>
      <c r="Q3116" s="491" t="s">
        <v>51</v>
      </c>
    </row>
    <row r="3117" spans="1:17" ht="18">
      <c r="A3117" s="512">
        <f t="shared" si="41"/>
        <v>2270</v>
      </c>
      <c r="B3117" s="660" t="s">
        <v>43</v>
      </c>
      <c r="C3117" s="644" t="s">
        <v>44</v>
      </c>
      <c r="D3117" s="644" t="s">
        <v>45</v>
      </c>
      <c r="E3117" s="644" t="s">
        <v>3615</v>
      </c>
      <c r="F3117" s="644" t="s">
        <v>557</v>
      </c>
      <c r="G3117" s="577">
        <v>9819076304</v>
      </c>
      <c r="I3117" s="577">
        <v>27</v>
      </c>
      <c r="J3117" s="577" t="s">
        <v>48</v>
      </c>
      <c r="K3117" s="577" t="s">
        <v>1480</v>
      </c>
      <c r="L3117" s="571"/>
      <c r="M3117" s="683" t="s">
        <v>119</v>
      </c>
      <c r="N3117" s="767">
        <v>65047</v>
      </c>
      <c r="O3117" s="680">
        <v>65047</v>
      </c>
      <c r="P3117" s="496">
        <v>65062</v>
      </c>
      <c r="Q3117" s="491" t="s">
        <v>51</v>
      </c>
    </row>
    <row r="3118" spans="1:17" ht="18">
      <c r="A3118" s="512">
        <f t="shared" si="41"/>
        <v>2271</v>
      </c>
      <c r="B3118" s="660" t="s">
        <v>43</v>
      </c>
      <c r="C3118" s="644" t="s">
        <v>44</v>
      </c>
      <c r="D3118" s="644" t="s">
        <v>45</v>
      </c>
      <c r="E3118" s="644" t="s">
        <v>3616</v>
      </c>
      <c r="F3118" s="644" t="s">
        <v>502</v>
      </c>
      <c r="G3118" s="577">
        <v>9847945877</v>
      </c>
      <c r="I3118" s="577">
        <v>37</v>
      </c>
      <c r="J3118" s="577" t="s">
        <v>90</v>
      </c>
      <c r="K3118" s="577" t="s">
        <v>1468</v>
      </c>
      <c r="L3118" s="571"/>
      <c r="M3118" s="683" t="s">
        <v>119</v>
      </c>
      <c r="N3118" s="767">
        <v>65047</v>
      </c>
      <c r="O3118" s="680">
        <v>65047</v>
      </c>
      <c r="P3118" s="496">
        <v>65062</v>
      </c>
      <c r="Q3118" s="491" t="s">
        <v>51</v>
      </c>
    </row>
    <row r="3119" spans="1:17" ht="18">
      <c r="A3119" s="512">
        <f t="shared" si="41"/>
        <v>2272</v>
      </c>
      <c r="B3119" s="660" t="s">
        <v>43</v>
      </c>
      <c r="C3119" s="644" t="s">
        <v>44</v>
      </c>
      <c r="D3119" s="644" t="s">
        <v>45</v>
      </c>
      <c r="E3119" s="644" t="s">
        <v>3617</v>
      </c>
      <c r="F3119" s="644" t="s">
        <v>502</v>
      </c>
      <c r="G3119" s="577">
        <v>9866902096</v>
      </c>
      <c r="I3119" s="577">
        <v>45</v>
      </c>
      <c r="J3119" s="577" t="s">
        <v>90</v>
      </c>
      <c r="K3119" s="577" t="s">
        <v>1468</v>
      </c>
      <c r="L3119" s="571"/>
      <c r="M3119" s="683" t="s">
        <v>119</v>
      </c>
      <c r="N3119" s="767">
        <v>65047</v>
      </c>
      <c r="O3119" s="680">
        <v>65047</v>
      </c>
      <c r="P3119" s="496">
        <v>65062</v>
      </c>
      <c r="Q3119" s="491" t="s">
        <v>51</v>
      </c>
    </row>
    <row r="3120" spans="1:17" ht="18">
      <c r="A3120" s="512">
        <f t="shared" si="41"/>
        <v>2273</v>
      </c>
      <c r="B3120" s="660" t="s">
        <v>43</v>
      </c>
      <c r="C3120" s="644" t="s">
        <v>44</v>
      </c>
      <c r="D3120" s="644" t="s">
        <v>45</v>
      </c>
      <c r="E3120" s="644" t="s">
        <v>3618</v>
      </c>
      <c r="F3120" s="644" t="s">
        <v>1046</v>
      </c>
      <c r="G3120" s="577">
        <v>9849704814</v>
      </c>
      <c r="I3120" s="577">
        <v>32</v>
      </c>
      <c r="J3120" s="577" t="s">
        <v>48</v>
      </c>
      <c r="K3120" s="577" t="s">
        <v>345</v>
      </c>
      <c r="L3120" s="571"/>
      <c r="M3120" s="682" t="s">
        <v>119</v>
      </c>
      <c r="N3120" s="767">
        <v>65047</v>
      </c>
      <c r="O3120" s="680">
        <v>65047</v>
      </c>
      <c r="P3120" s="496">
        <v>65062</v>
      </c>
      <c r="Q3120" s="491" t="s">
        <v>51</v>
      </c>
    </row>
    <row r="3121" spans="1:17" ht="18">
      <c r="A3121" s="512">
        <f t="shared" si="41"/>
        <v>2274</v>
      </c>
      <c r="B3121" s="660" t="s">
        <v>43</v>
      </c>
      <c r="C3121" s="644" t="s">
        <v>44</v>
      </c>
      <c r="D3121" s="644" t="s">
        <v>45</v>
      </c>
      <c r="E3121" s="644" t="s">
        <v>3619</v>
      </c>
      <c r="F3121" s="644" t="s">
        <v>1009</v>
      </c>
      <c r="G3121" s="577">
        <v>9809755263</v>
      </c>
      <c r="I3121" s="577">
        <v>66</v>
      </c>
      <c r="J3121" s="577" t="s">
        <v>48</v>
      </c>
      <c r="K3121" s="577" t="s">
        <v>1480</v>
      </c>
      <c r="L3121" s="571"/>
      <c r="M3121" s="683" t="s">
        <v>119</v>
      </c>
      <c r="N3121" s="767">
        <v>65047</v>
      </c>
      <c r="O3121" s="680">
        <v>65047</v>
      </c>
      <c r="P3121" s="496">
        <v>65062</v>
      </c>
      <c r="Q3121" s="491" t="s">
        <v>51</v>
      </c>
    </row>
    <row r="3122" spans="1:17" ht="18">
      <c r="A3122" s="512">
        <f t="shared" si="41"/>
        <v>2275</v>
      </c>
      <c r="B3122" s="660" t="s">
        <v>43</v>
      </c>
      <c r="C3122" s="644" t="s">
        <v>44</v>
      </c>
      <c r="D3122" s="644" t="s">
        <v>45</v>
      </c>
      <c r="E3122" s="644" t="s">
        <v>3620</v>
      </c>
      <c r="F3122" s="644" t="s">
        <v>502</v>
      </c>
      <c r="G3122" s="577">
        <v>9866847479</v>
      </c>
      <c r="I3122" s="577">
        <v>53</v>
      </c>
      <c r="J3122" s="577" t="s">
        <v>48</v>
      </c>
      <c r="K3122" s="577" t="s">
        <v>1480</v>
      </c>
      <c r="L3122" s="571"/>
      <c r="M3122" s="683" t="s">
        <v>119</v>
      </c>
      <c r="N3122" s="767">
        <v>65047</v>
      </c>
      <c r="O3122" s="680">
        <v>65047</v>
      </c>
      <c r="P3122" s="496">
        <v>65062</v>
      </c>
      <c r="Q3122" s="491" t="s">
        <v>51</v>
      </c>
    </row>
    <row r="3123" spans="1:17" ht="18">
      <c r="A3123" s="512">
        <f t="shared" si="41"/>
        <v>2276</v>
      </c>
      <c r="B3123" s="660" t="s">
        <v>43</v>
      </c>
      <c r="C3123" s="644" t="s">
        <v>44</v>
      </c>
      <c r="D3123" s="651" t="s">
        <v>45</v>
      </c>
      <c r="E3123" s="644" t="s">
        <v>3621</v>
      </c>
      <c r="F3123" s="644" t="s">
        <v>502</v>
      </c>
      <c r="G3123" s="577">
        <v>9809888241</v>
      </c>
      <c r="I3123" s="577">
        <v>16</v>
      </c>
      <c r="J3123" s="577" t="s">
        <v>48</v>
      </c>
      <c r="K3123" s="577" t="s">
        <v>1468</v>
      </c>
      <c r="L3123" s="571"/>
      <c r="M3123" s="683" t="s">
        <v>119</v>
      </c>
      <c r="N3123" s="767">
        <v>65047</v>
      </c>
      <c r="O3123" s="680">
        <v>65047</v>
      </c>
      <c r="P3123" s="496">
        <v>65062</v>
      </c>
      <c r="Q3123" s="491" t="s">
        <v>51</v>
      </c>
    </row>
    <row r="3124" spans="1:17" ht="18">
      <c r="A3124" s="512">
        <f t="shared" si="41"/>
        <v>2277</v>
      </c>
      <c r="B3124" s="660" t="s">
        <v>43</v>
      </c>
      <c r="C3124" s="644" t="s">
        <v>44</v>
      </c>
      <c r="D3124" s="651" t="s">
        <v>45</v>
      </c>
      <c r="E3124" s="644" t="s">
        <v>3622</v>
      </c>
      <c r="F3124" s="644" t="s">
        <v>502</v>
      </c>
      <c r="G3124" s="577">
        <v>9857822938</v>
      </c>
      <c r="I3124" s="577">
        <v>30</v>
      </c>
      <c r="J3124" s="577" t="s">
        <v>48</v>
      </c>
      <c r="K3124" s="577" t="s">
        <v>1468</v>
      </c>
      <c r="L3124" s="571"/>
      <c r="M3124" s="683" t="s">
        <v>119</v>
      </c>
      <c r="N3124" s="767">
        <v>65047</v>
      </c>
      <c r="O3124" s="680">
        <v>65047</v>
      </c>
      <c r="P3124" s="496">
        <v>65062</v>
      </c>
      <c r="Q3124" s="491" t="s">
        <v>51</v>
      </c>
    </row>
    <row r="3125" spans="1:17" ht="18">
      <c r="A3125" s="512">
        <f t="shared" si="41"/>
        <v>2278</v>
      </c>
      <c r="B3125" s="660" t="s">
        <v>43</v>
      </c>
      <c r="C3125" s="644" t="s">
        <v>44</v>
      </c>
      <c r="D3125" s="644" t="s">
        <v>45</v>
      </c>
      <c r="E3125" s="630" t="s">
        <v>3745</v>
      </c>
      <c r="F3125" s="423" t="s">
        <v>491</v>
      </c>
      <c r="G3125" s="423"/>
      <c r="H3125" s="422"/>
      <c r="I3125" s="423">
        <v>53</v>
      </c>
      <c r="J3125" s="597" t="s">
        <v>48</v>
      </c>
      <c r="K3125" s="423"/>
      <c r="L3125" s="423"/>
      <c r="M3125" s="423"/>
      <c r="N3125" s="769">
        <v>65047</v>
      </c>
      <c r="O3125" s="686">
        <v>65047</v>
      </c>
      <c r="P3125" s="476">
        <v>65048</v>
      </c>
      <c r="Q3125" s="422" t="s">
        <v>940</v>
      </c>
    </row>
    <row r="3126" spans="1:17" ht="18">
      <c r="A3126" s="512">
        <f t="shared" si="41"/>
        <v>2279</v>
      </c>
      <c r="B3126" s="660" t="s">
        <v>43</v>
      </c>
      <c r="C3126" s="644" t="s">
        <v>44</v>
      </c>
      <c r="D3126" s="644" t="s">
        <v>45</v>
      </c>
      <c r="E3126" s="644" t="s">
        <v>3623</v>
      </c>
      <c r="F3126" s="644" t="s">
        <v>502</v>
      </c>
      <c r="G3126" s="577">
        <v>9868625778</v>
      </c>
      <c r="I3126" s="577">
        <v>30</v>
      </c>
      <c r="J3126" s="577" t="s">
        <v>48</v>
      </c>
      <c r="K3126" s="577" t="s">
        <v>1468</v>
      </c>
      <c r="L3126" s="571"/>
      <c r="M3126" s="683" t="s">
        <v>119</v>
      </c>
      <c r="N3126" s="767">
        <v>65047</v>
      </c>
      <c r="O3126" s="680">
        <v>65047</v>
      </c>
      <c r="P3126" s="496">
        <v>65062</v>
      </c>
      <c r="Q3126" s="491" t="s">
        <v>51</v>
      </c>
    </row>
    <row r="3127" spans="1:17" ht="18">
      <c r="A3127" s="512">
        <f t="shared" si="41"/>
        <v>2280</v>
      </c>
      <c r="B3127" s="660" t="s">
        <v>43</v>
      </c>
      <c r="C3127" s="644" t="s">
        <v>44</v>
      </c>
      <c r="D3127" s="644" t="s">
        <v>45</v>
      </c>
      <c r="E3127" s="644" t="s">
        <v>3624</v>
      </c>
      <c r="F3127" s="644" t="s">
        <v>529</v>
      </c>
      <c r="G3127" s="577"/>
      <c r="I3127" s="577">
        <v>39</v>
      </c>
      <c r="J3127" s="577" t="s">
        <v>90</v>
      </c>
      <c r="K3127" s="577" t="s">
        <v>345</v>
      </c>
      <c r="L3127" s="571"/>
      <c r="M3127" s="682" t="s">
        <v>119</v>
      </c>
      <c r="N3127" s="767">
        <v>65047</v>
      </c>
      <c r="O3127" s="680">
        <v>65047</v>
      </c>
      <c r="P3127" s="496">
        <v>65062</v>
      </c>
      <c r="Q3127" s="491" t="s">
        <v>51</v>
      </c>
    </row>
    <row r="3128" spans="1:17" ht="18">
      <c r="A3128" s="512">
        <f t="shared" si="41"/>
        <v>2281</v>
      </c>
      <c r="B3128" s="660" t="s">
        <v>43</v>
      </c>
      <c r="C3128" s="644" t="s">
        <v>44</v>
      </c>
      <c r="D3128" s="644" t="s">
        <v>45</v>
      </c>
      <c r="E3128" s="644" t="s">
        <v>3625</v>
      </c>
      <c r="F3128" s="644" t="s">
        <v>791</v>
      </c>
      <c r="G3128" s="577">
        <v>9866900444</v>
      </c>
      <c r="I3128" s="577">
        <v>39</v>
      </c>
      <c r="J3128" s="577" t="s">
        <v>90</v>
      </c>
      <c r="K3128" s="577" t="s">
        <v>1480</v>
      </c>
      <c r="L3128" s="571"/>
      <c r="M3128" s="683" t="s">
        <v>119</v>
      </c>
      <c r="N3128" s="767">
        <v>65047</v>
      </c>
      <c r="O3128" s="680">
        <v>65047</v>
      </c>
      <c r="P3128" s="496">
        <v>65062</v>
      </c>
      <c r="Q3128" s="491" t="s">
        <v>51</v>
      </c>
    </row>
    <row r="3129" spans="1:17" ht="18">
      <c r="A3129" s="512">
        <f t="shared" si="41"/>
        <v>2282</v>
      </c>
      <c r="B3129" s="660" t="s">
        <v>43</v>
      </c>
      <c r="C3129" s="644" t="s">
        <v>44</v>
      </c>
      <c r="D3129" s="644" t="s">
        <v>45</v>
      </c>
      <c r="E3129" s="644" t="s">
        <v>3626</v>
      </c>
      <c r="F3129" s="644" t="s">
        <v>502</v>
      </c>
      <c r="G3129" s="577">
        <v>9847830425</v>
      </c>
      <c r="I3129" s="577">
        <v>57</v>
      </c>
      <c r="J3129" s="577" t="s">
        <v>48</v>
      </c>
      <c r="K3129" s="577" t="s">
        <v>1468</v>
      </c>
      <c r="L3129" s="571"/>
      <c r="M3129" s="683" t="s">
        <v>119</v>
      </c>
      <c r="N3129" s="767">
        <v>65047</v>
      </c>
      <c r="O3129" s="680">
        <v>65047</v>
      </c>
      <c r="P3129" s="496">
        <v>65062</v>
      </c>
      <c r="Q3129" s="491" t="s">
        <v>51</v>
      </c>
    </row>
    <row r="3130" spans="1:17" ht="18">
      <c r="A3130" s="512">
        <f t="shared" si="41"/>
        <v>2283</v>
      </c>
      <c r="B3130" s="660" t="s">
        <v>43</v>
      </c>
      <c r="C3130" s="644" t="s">
        <v>44</v>
      </c>
      <c r="D3130" s="644" t="s">
        <v>45</v>
      </c>
      <c r="E3130" s="644" t="s">
        <v>3627</v>
      </c>
      <c r="F3130" s="644" t="s">
        <v>502</v>
      </c>
      <c r="G3130" s="577">
        <v>9851098835</v>
      </c>
      <c r="I3130" s="577">
        <v>24</v>
      </c>
      <c r="J3130" s="577" t="s">
        <v>90</v>
      </c>
      <c r="K3130" s="577" t="s">
        <v>1468</v>
      </c>
      <c r="L3130" s="571"/>
      <c r="M3130" s="683" t="s">
        <v>119</v>
      </c>
      <c r="N3130" s="767">
        <v>65047</v>
      </c>
      <c r="O3130" s="680">
        <v>65047</v>
      </c>
      <c r="P3130" s="496">
        <v>65062</v>
      </c>
      <c r="Q3130" s="491" t="s">
        <v>51</v>
      </c>
    </row>
    <row r="3131" spans="1:17" ht="18">
      <c r="A3131" s="512">
        <f t="shared" si="41"/>
        <v>2284</v>
      </c>
      <c r="B3131" s="660" t="s">
        <v>43</v>
      </c>
      <c r="C3131" s="644" t="s">
        <v>44</v>
      </c>
      <c r="D3131" s="644" t="s">
        <v>45</v>
      </c>
      <c r="E3131" s="644" t="s">
        <v>3628</v>
      </c>
      <c r="F3131" s="644" t="s">
        <v>502</v>
      </c>
      <c r="G3131" s="577">
        <v>9847823529</v>
      </c>
      <c r="I3131" s="577">
        <v>52</v>
      </c>
      <c r="J3131" s="577" t="s">
        <v>90</v>
      </c>
      <c r="K3131" s="577" t="s">
        <v>1468</v>
      </c>
      <c r="L3131" s="571"/>
      <c r="M3131" s="683" t="s">
        <v>119</v>
      </c>
      <c r="N3131" s="767">
        <v>65047</v>
      </c>
      <c r="O3131" s="680">
        <v>65047</v>
      </c>
      <c r="P3131" s="496">
        <v>65062</v>
      </c>
      <c r="Q3131" s="491" t="s">
        <v>51</v>
      </c>
    </row>
    <row r="3132" spans="1:17" ht="18">
      <c r="A3132" s="512">
        <f t="shared" si="41"/>
        <v>2285</v>
      </c>
      <c r="B3132" s="660" t="s">
        <v>43</v>
      </c>
      <c r="C3132" s="644" t="s">
        <v>44</v>
      </c>
      <c r="D3132" s="644" t="s">
        <v>45</v>
      </c>
      <c r="E3132" s="644" t="s">
        <v>3629</v>
      </c>
      <c r="F3132" s="644" t="s">
        <v>502</v>
      </c>
      <c r="G3132" s="577">
        <v>9847993876</v>
      </c>
      <c r="I3132" s="577">
        <v>53</v>
      </c>
      <c r="J3132" s="577" t="s">
        <v>48</v>
      </c>
      <c r="K3132" s="577" t="s">
        <v>1480</v>
      </c>
      <c r="L3132" s="571"/>
      <c r="M3132" s="683" t="s">
        <v>119</v>
      </c>
      <c r="N3132" s="767">
        <v>65047</v>
      </c>
      <c r="O3132" s="680">
        <v>65047</v>
      </c>
      <c r="P3132" s="496">
        <v>65062</v>
      </c>
      <c r="Q3132" s="491" t="s">
        <v>51</v>
      </c>
    </row>
    <row r="3133" spans="1:17" ht="18">
      <c r="A3133" s="512">
        <f t="shared" si="41"/>
        <v>2286</v>
      </c>
      <c r="B3133" s="660" t="s">
        <v>43</v>
      </c>
      <c r="C3133" s="644" t="s">
        <v>44</v>
      </c>
      <c r="D3133" s="644" t="s">
        <v>45</v>
      </c>
      <c r="E3133" s="644" t="s">
        <v>3630</v>
      </c>
      <c r="F3133" s="644" t="s">
        <v>529</v>
      </c>
      <c r="G3133" s="577">
        <v>9857821530</v>
      </c>
      <c r="I3133" s="577">
        <v>43</v>
      </c>
      <c r="J3133" s="577" t="s">
        <v>90</v>
      </c>
      <c r="K3133" s="577" t="s">
        <v>1480</v>
      </c>
      <c r="L3133" s="571"/>
      <c r="M3133" s="683" t="s">
        <v>119</v>
      </c>
      <c r="N3133" s="767">
        <v>65047</v>
      </c>
      <c r="O3133" s="680">
        <v>65047</v>
      </c>
      <c r="P3133" s="496">
        <v>65062</v>
      </c>
      <c r="Q3133" s="491" t="s">
        <v>51</v>
      </c>
    </row>
    <row r="3134" spans="1:17" ht="18">
      <c r="A3134" s="512">
        <f t="shared" si="41"/>
        <v>2287</v>
      </c>
      <c r="B3134" s="660" t="s">
        <v>43</v>
      </c>
      <c r="C3134" s="644" t="s">
        <v>44</v>
      </c>
      <c r="D3134" s="644" t="s">
        <v>45</v>
      </c>
      <c r="E3134" s="644" t="s">
        <v>3631</v>
      </c>
      <c r="F3134" s="644" t="s">
        <v>502</v>
      </c>
      <c r="G3134" s="577">
        <v>9822981343</v>
      </c>
      <c r="I3134" s="577">
        <v>42</v>
      </c>
      <c r="J3134" s="577" t="s">
        <v>90</v>
      </c>
      <c r="K3134" s="577" t="s">
        <v>1468</v>
      </c>
      <c r="L3134" s="571"/>
      <c r="M3134" s="683" t="s">
        <v>119</v>
      </c>
      <c r="N3134" s="767">
        <v>65047</v>
      </c>
      <c r="O3134" s="680">
        <v>65047</v>
      </c>
      <c r="P3134" s="496">
        <v>65062</v>
      </c>
      <c r="Q3134" s="491" t="s">
        <v>51</v>
      </c>
    </row>
    <row r="3135" spans="1:17" ht="18">
      <c r="A3135" s="512">
        <f t="shared" si="41"/>
        <v>2288</v>
      </c>
      <c r="B3135" s="660" t="s">
        <v>43</v>
      </c>
      <c r="C3135" s="644" t="s">
        <v>44</v>
      </c>
      <c r="D3135" s="644" t="s">
        <v>45</v>
      </c>
      <c r="E3135" s="644" t="s">
        <v>3632</v>
      </c>
      <c r="F3135" s="644" t="s">
        <v>557</v>
      </c>
      <c r="G3135" s="577">
        <v>9847885662</v>
      </c>
      <c r="I3135" s="577">
        <v>68</v>
      </c>
      <c r="J3135" s="577" t="s">
        <v>90</v>
      </c>
      <c r="K3135" s="577" t="s">
        <v>1480</v>
      </c>
      <c r="L3135" s="571"/>
      <c r="M3135" s="683" t="s">
        <v>119</v>
      </c>
      <c r="N3135" s="767">
        <v>65047</v>
      </c>
      <c r="O3135" s="680">
        <v>65047</v>
      </c>
      <c r="P3135" s="496">
        <v>65062</v>
      </c>
      <c r="Q3135" s="491" t="s">
        <v>51</v>
      </c>
    </row>
    <row r="3136" spans="1:17" ht="18">
      <c r="A3136" s="512">
        <f t="shared" si="41"/>
        <v>2289</v>
      </c>
      <c r="B3136" s="660" t="s">
        <v>43</v>
      </c>
      <c r="C3136" s="644" t="s">
        <v>44</v>
      </c>
      <c r="D3136" s="644" t="s">
        <v>45</v>
      </c>
      <c r="E3136" s="644" t="s">
        <v>3633</v>
      </c>
      <c r="F3136" s="644" t="s">
        <v>502</v>
      </c>
      <c r="G3136" s="577">
        <v>9847813728</v>
      </c>
      <c r="I3136" s="577">
        <v>66</v>
      </c>
      <c r="J3136" s="577" t="s">
        <v>48</v>
      </c>
      <c r="K3136" s="577" t="s">
        <v>1468</v>
      </c>
      <c r="L3136" s="571"/>
      <c r="M3136" s="683" t="s">
        <v>119</v>
      </c>
      <c r="N3136" s="767">
        <v>65047</v>
      </c>
      <c r="O3136" s="680">
        <v>65047</v>
      </c>
      <c r="P3136" s="496">
        <v>65062</v>
      </c>
      <c r="Q3136" s="491" t="s">
        <v>51</v>
      </c>
    </row>
    <row r="3137" spans="1:17" ht="18">
      <c r="A3137" s="512">
        <f t="shared" si="41"/>
        <v>2290</v>
      </c>
      <c r="B3137" s="660" t="s">
        <v>43</v>
      </c>
      <c r="C3137" s="644" t="s">
        <v>44</v>
      </c>
      <c r="D3137" s="644" t="s">
        <v>45</v>
      </c>
      <c r="E3137" s="644" t="s">
        <v>3634</v>
      </c>
      <c r="F3137" s="644" t="s">
        <v>502</v>
      </c>
      <c r="G3137" s="577">
        <v>9809830606</v>
      </c>
      <c r="I3137" s="577">
        <v>65</v>
      </c>
      <c r="J3137" s="577" t="s">
        <v>90</v>
      </c>
      <c r="K3137" s="577" t="s">
        <v>1468</v>
      </c>
      <c r="L3137" s="571"/>
      <c r="M3137" s="683" t="s">
        <v>119</v>
      </c>
      <c r="N3137" s="767">
        <v>65047</v>
      </c>
      <c r="O3137" s="680">
        <v>65047</v>
      </c>
      <c r="P3137" s="496">
        <v>65062</v>
      </c>
      <c r="Q3137" s="491" t="s">
        <v>51</v>
      </c>
    </row>
    <row r="3138" spans="1:17" ht="18">
      <c r="A3138" s="512">
        <f t="shared" si="41"/>
        <v>2291</v>
      </c>
      <c r="B3138" s="660" t="s">
        <v>43</v>
      </c>
      <c r="C3138" s="644" t="s">
        <v>44</v>
      </c>
      <c r="D3138" s="644" t="s">
        <v>45</v>
      </c>
      <c r="E3138" s="644" t="s">
        <v>3635</v>
      </c>
      <c r="F3138" s="644" t="s">
        <v>512</v>
      </c>
      <c r="G3138" s="577">
        <v>9806290853</v>
      </c>
      <c r="I3138" s="577">
        <v>32</v>
      </c>
      <c r="J3138" s="577" t="s">
        <v>90</v>
      </c>
      <c r="K3138" s="577" t="s">
        <v>1480</v>
      </c>
      <c r="L3138" s="571"/>
      <c r="M3138" s="683" t="s">
        <v>119</v>
      </c>
      <c r="N3138" s="767">
        <v>65047</v>
      </c>
      <c r="O3138" s="680">
        <v>65047</v>
      </c>
      <c r="P3138" s="496">
        <v>65062</v>
      </c>
      <c r="Q3138" s="491" t="s">
        <v>51</v>
      </c>
    </row>
    <row r="3139" spans="1:17" ht="18">
      <c r="A3139" s="512">
        <f t="shared" si="41"/>
        <v>2292</v>
      </c>
      <c r="B3139" s="660" t="s">
        <v>43</v>
      </c>
      <c r="C3139" s="644" t="s">
        <v>44</v>
      </c>
      <c r="D3139" s="644" t="s">
        <v>45</v>
      </c>
      <c r="E3139" s="644" t="s">
        <v>3636</v>
      </c>
      <c r="F3139" s="644" t="s">
        <v>502</v>
      </c>
      <c r="G3139" s="577">
        <v>9847813728</v>
      </c>
      <c r="I3139" s="577">
        <v>65</v>
      </c>
      <c r="J3139" s="577" t="s">
        <v>90</v>
      </c>
      <c r="K3139" s="577" t="s">
        <v>1468</v>
      </c>
      <c r="L3139" s="571"/>
      <c r="M3139" s="683" t="s">
        <v>119</v>
      </c>
      <c r="N3139" s="767">
        <v>65047</v>
      </c>
      <c r="O3139" s="680">
        <v>65047</v>
      </c>
      <c r="P3139" s="496">
        <v>65062</v>
      </c>
      <c r="Q3139" s="491" t="s">
        <v>51</v>
      </c>
    </row>
    <row r="3140" spans="1:17" ht="18">
      <c r="A3140" s="512">
        <f t="shared" si="41"/>
        <v>2293</v>
      </c>
      <c r="B3140" s="660" t="s">
        <v>43</v>
      </c>
      <c r="C3140" s="644" t="s">
        <v>44</v>
      </c>
      <c r="D3140" s="644" t="s">
        <v>45</v>
      </c>
      <c r="E3140" s="644" t="s">
        <v>3637</v>
      </c>
      <c r="F3140" s="644" t="s">
        <v>1046</v>
      </c>
      <c r="G3140" s="577">
        <v>9847849665</v>
      </c>
      <c r="I3140" s="577">
        <v>10</v>
      </c>
      <c r="J3140" s="577" t="s">
        <v>48</v>
      </c>
      <c r="K3140" s="577" t="s">
        <v>53</v>
      </c>
      <c r="L3140" s="571"/>
      <c r="M3140" s="683" t="s">
        <v>119</v>
      </c>
      <c r="N3140" s="767">
        <v>65047</v>
      </c>
      <c r="O3140" s="680"/>
      <c r="P3140" s="496">
        <v>65062</v>
      </c>
      <c r="Q3140" s="491" t="s">
        <v>51</v>
      </c>
    </row>
    <row r="3141" spans="1:17" ht="18">
      <c r="A3141" s="512">
        <f t="shared" si="41"/>
        <v>2294</v>
      </c>
      <c r="B3141" s="660" t="s">
        <v>43</v>
      </c>
      <c r="C3141" s="644" t="s">
        <v>44</v>
      </c>
      <c r="D3141" s="644" t="s">
        <v>45</v>
      </c>
      <c r="E3141" s="644" t="s">
        <v>3638</v>
      </c>
      <c r="F3141" s="644" t="s">
        <v>502</v>
      </c>
      <c r="G3141" s="577">
        <v>9864331005</v>
      </c>
      <c r="I3141" s="577">
        <v>38</v>
      </c>
      <c r="J3141" s="577" t="s">
        <v>48</v>
      </c>
      <c r="K3141" s="577" t="s">
        <v>1468</v>
      </c>
      <c r="L3141" s="571"/>
      <c r="M3141" s="683" t="s">
        <v>119</v>
      </c>
      <c r="N3141" s="767">
        <v>65047</v>
      </c>
      <c r="O3141" s="680">
        <v>65047</v>
      </c>
      <c r="P3141" s="496">
        <v>65062</v>
      </c>
      <c r="Q3141" s="491" t="s">
        <v>51</v>
      </c>
    </row>
    <row r="3142" spans="1:17" ht="18">
      <c r="A3142" s="512">
        <f t="shared" si="41"/>
        <v>2295</v>
      </c>
      <c r="B3142" s="660" t="s">
        <v>43</v>
      </c>
      <c r="C3142" s="644" t="s">
        <v>44</v>
      </c>
      <c r="D3142" s="644" t="s">
        <v>45</v>
      </c>
      <c r="E3142" s="644" t="s">
        <v>3639</v>
      </c>
      <c r="F3142" s="644" t="s">
        <v>441</v>
      </c>
      <c r="G3142" s="577">
        <v>9810883031</v>
      </c>
      <c r="I3142" s="577">
        <v>29</v>
      </c>
      <c r="J3142" s="577" t="s">
        <v>90</v>
      </c>
      <c r="K3142" s="577" t="s">
        <v>1480</v>
      </c>
      <c r="L3142" s="571"/>
      <c r="M3142" s="683" t="s">
        <v>119</v>
      </c>
      <c r="N3142" s="767">
        <v>65047</v>
      </c>
      <c r="O3142" s="680">
        <v>65047</v>
      </c>
      <c r="P3142" s="496">
        <v>65062</v>
      </c>
      <c r="Q3142" s="491" t="s">
        <v>51</v>
      </c>
    </row>
    <row r="3143" spans="1:17" ht="18">
      <c r="A3143" s="512">
        <f t="shared" si="41"/>
        <v>2296</v>
      </c>
      <c r="B3143" s="658" t="s">
        <v>43</v>
      </c>
      <c r="C3143" s="630" t="s">
        <v>44</v>
      </c>
      <c r="D3143" s="630" t="s">
        <v>45</v>
      </c>
      <c r="E3143" s="630" t="s">
        <v>3640</v>
      </c>
      <c r="F3143" s="630" t="s">
        <v>617</v>
      </c>
      <c r="G3143" s="597">
        <v>9847881054</v>
      </c>
      <c r="H3143" s="422"/>
      <c r="I3143" s="597">
        <v>55</v>
      </c>
      <c r="J3143" s="597" t="s">
        <v>48</v>
      </c>
      <c r="K3143" s="597" t="s">
        <v>53</v>
      </c>
      <c r="L3143" s="597"/>
      <c r="M3143" s="684" t="s">
        <v>119</v>
      </c>
      <c r="N3143" s="768">
        <v>65047</v>
      </c>
      <c r="O3143" s="681"/>
      <c r="P3143" s="476">
        <v>65048</v>
      </c>
      <c r="Q3143" s="422" t="s">
        <v>940</v>
      </c>
    </row>
    <row r="3144" spans="1:17" ht="18">
      <c r="A3144" s="512">
        <f t="shared" si="41"/>
        <v>2297</v>
      </c>
      <c r="B3144" s="660" t="s">
        <v>43</v>
      </c>
      <c r="C3144" s="644" t="s">
        <v>44</v>
      </c>
      <c r="D3144" s="651" t="s">
        <v>45</v>
      </c>
      <c r="E3144" s="644" t="s">
        <v>3641</v>
      </c>
      <c r="F3144" s="644" t="s">
        <v>502</v>
      </c>
      <c r="G3144" s="577">
        <v>9864660897</v>
      </c>
      <c r="I3144" s="577">
        <v>38</v>
      </c>
      <c r="J3144" s="577" t="s">
        <v>90</v>
      </c>
      <c r="K3144" s="577" t="s">
        <v>1468</v>
      </c>
      <c r="L3144" s="571"/>
      <c r="M3144" s="683" t="s">
        <v>119</v>
      </c>
      <c r="N3144" s="767">
        <v>65047</v>
      </c>
      <c r="O3144" s="680">
        <v>65047</v>
      </c>
      <c r="P3144" s="496">
        <v>65062</v>
      </c>
      <c r="Q3144" s="491" t="s">
        <v>51</v>
      </c>
    </row>
    <row r="3145" spans="1:17" ht="18">
      <c r="A3145" s="512">
        <f t="shared" si="41"/>
        <v>2298</v>
      </c>
      <c r="B3145" s="660" t="s">
        <v>43</v>
      </c>
      <c r="C3145" s="644" t="s">
        <v>44</v>
      </c>
      <c r="D3145" s="644" t="s">
        <v>45</v>
      </c>
      <c r="E3145" s="644" t="s">
        <v>3642</v>
      </c>
      <c r="F3145" s="644" t="s">
        <v>636</v>
      </c>
      <c r="G3145" s="577">
        <v>9822889578</v>
      </c>
      <c r="I3145" s="577">
        <v>45</v>
      </c>
      <c r="J3145" s="577" t="s">
        <v>90</v>
      </c>
      <c r="K3145" s="577" t="s">
        <v>1480</v>
      </c>
      <c r="L3145" s="571"/>
      <c r="M3145" s="683" t="s">
        <v>119</v>
      </c>
      <c r="N3145" s="767">
        <v>65047</v>
      </c>
      <c r="O3145" s="680">
        <v>65047</v>
      </c>
      <c r="P3145" s="496">
        <v>65062</v>
      </c>
      <c r="Q3145" s="491" t="s">
        <v>51</v>
      </c>
    </row>
    <row r="3146" spans="1:17" ht="18">
      <c r="A3146" s="512">
        <f t="shared" si="41"/>
        <v>2299</v>
      </c>
      <c r="B3146" s="660" t="s">
        <v>43</v>
      </c>
      <c r="C3146" s="644" t="s">
        <v>44</v>
      </c>
      <c r="D3146" s="644" t="s">
        <v>45</v>
      </c>
      <c r="E3146" s="644" t="s">
        <v>3643</v>
      </c>
      <c r="F3146" s="644" t="s">
        <v>791</v>
      </c>
      <c r="G3146" s="577">
        <v>9857860160</v>
      </c>
      <c r="I3146" s="577">
        <v>40</v>
      </c>
      <c r="J3146" s="577" t="s">
        <v>48</v>
      </c>
      <c r="K3146" s="577" t="s">
        <v>1480</v>
      </c>
      <c r="L3146" s="571"/>
      <c r="M3146" s="683" t="s">
        <v>119</v>
      </c>
      <c r="N3146" s="767">
        <v>65047</v>
      </c>
      <c r="O3146" s="680">
        <v>65047</v>
      </c>
      <c r="P3146" s="496">
        <v>65062</v>
      </c>
      <c r="Q3146" s="491" t="s">
        <v>51</v>
      </c>
    </row>
    <row r="3147" spans="1:17" ht="18">
      <c r="A3147" s="512">
        <f t="shared" si="41"/>
        <v>2300</v>
      </c>
      <c r="B3147" s="660" t="s">
        <v>43</v>
      </c>
      <c r="C3147" s="644" t="s">
        <v>44</v>
      </c>
      <c r="D3147" s="644" t="s">
        <v>45</v>
      </c>
      <c r="E3147" s="644" t="s">
        <v>3644</v>
      </c>
      <c r="F3147" s="644" t="s">
        <v>502</v>
      </c>
      <c r="G3147" s="577">
        <v>9843287460</v>
      </c>
      <c r="I3147" s="577">
        <v>36</v>
      </c>
      <c r="J3147" s="577" t="s">
        <v>90</v>
      </c>
      <c r="K3147" s="577" t="s">
        <v>1468</v>
      </c>
      <c r="L3147" s="571"/>
      <c r="M3147" s="683" t="s">
        <v>119</v>
      </c>
      <c r="N3147" s="767">
        <v>65047</v>
      </c>
      <c r="O3147" s="680">
        <v>65047</v>
      </c>
      <c r="P3147" s="496">
        <v>65062</v>
      </c>
      <c r="Q3147" s="491" t="s">
        <v>51</v>
      </c>
    </row>
    <row r="3148" spans="1:17" ht="18">
      <c r="A3148" s="512">
        <f t="shared" si="41"/>
        <v>2301</v>
      </c>
      <c r="B3148" s="660" t="s">
        <v>43</v>
      </c>
      <c r="C3148" s="644" t="s">
        <v>44</v>
      </c>
      <c r="D3148" s="644" t="s">
        <v>45</v>
      </c>
      <c r="E3148" s="644" t="s">
        <v>3645</v>
      </c>
      <c r="F3148" s="644" t="s">
        <v>1204</v>
      </c>
      <c r="G3148" s="577">
        <v>9813776335</v>
      </c>
      <c r="I3148" s="577">
        <v>59</v>
      </c>
      <c r="J3148" s="577" t="s">
        <v>48</v>
      </c>
      <c r="K3148" s="577" t="s">
        <v>1459</v>
      </c>
      <c r="L3148" s="571"/>
      <c r="M3148" s="683" t="s">
        <v>119</v>
      </c>
      <c r="N3148" s="767">
        <v>65047</v>
      </c>
      <c r="O3148" s="680">
        <v>65047</v>
      </c>
      <c r="P3148" s="496">
        <v>65062</v>
      </c>
      <c r="Q3148" s="491" t="s">
        <v>51</v>
      </c>
    </row>
    <row r="3149" spans="1:17" ht="18">
      <c r="A3149" s="512">
        <f t="shared" si="41"/>
        <v>2302</v>
      </c>
      <c r="B3149" s="660" t="s">
        <v>43</v>
      </c>
      <c r="C3149" s="644" t="s">
        <v>44</v>
      </c>
      <c r="D3149" s="644" t="s">
        <v>45</v>
      </c>
      <c r="E3149" s="644" t="s">
        <v>3646</v>
      </c>
      <c r="F3149" s="644" t="s">
        <v>502</v>
      </c>
      <c r="G3149" s="577">
        <v>9805813387</v>
      </c>
      <c r="I3149" s="577">
        <v>35</v>
      </c>
      <c r="J3149" s="577" t="s">
        <v>48</v>
      </c>
      <c r="K3149" s="577" t="s">
        <v>1468</v>
      </c>
      <c r="L3149" s="571"/>
      <c r="M3149" s="683" t="s">
        <v>119</v>
      </c>
      <c r="N3149" s="767">
        <v>65047</v>
      </c>
      <c r="O3149" s="680">
        <v>65047</v>
      </c>
      <c r="P3149" s="496">
        <v>65062</v>
      </c>
      <c r="Q3149" s="491" t="s">
        <v>51</v>
      </c>
    </row>
    <row r="3150" spans="1:17" ht="18">
      <c r="A3150" s="512">
        <f t="shared" si="41"/>
        <v>2303</v>
      </c>
      <c r="B3150" s="660" t="s">
        <v>43</v>
      </c>
      <c r="C3150" s="644" t="s">
        <v>44</v>
      </c>
      <c r="D3150" s="644" t="s">
        <v>45</v>
      </c>
      <c r="E3150" s="644" t="s">
        <v>3647</v>
      </c>
      <c r="F3150" s="644" t="s">
        <v>502</v>
      </c>
      <c r="G3150" s="577">
        <v>9843901052</v>
      </c>
      <c r="I3150" s="577">
        <v>35</v>
      </c>
      <c r="J3150" s="577" t="s">
        <v>90</v>
      </c>
      <c r="K3150" s="577" t="s">
        <v>1468</v>
      </c>
      <c r="L3150" s="571"/>
      <c r="M3150" s="683" t="s">
        <v>119</v>
      </c>
      <c r="N3150" s="767">
        <v>65047</v>
      </c>
      <c r="O3150" s="680">
        <v>65047</v>
      </c>
      <c r="P3150" s="496">
        <v>65062</v>
      </c>
      <c r="Q3150" s="491" t="s">
        <v>51</v>
      </c>
    </row>
    <row r="3151" spans="1:17" ht="18">
      <c r="A3151" s="512">
        <f t="shared" si="41"/>
        <v>2304</v>
      </c>
      <c r="B3151" s="660" t="s">
        <v>43</v>
      </c>
      <c r="C3151" s="644" t="s">
        <v>44</v>
      </c>
      <c r="D3151" s="644" t="s">
        <v>45</v>
      </c>
      <c r="E3151" s="644" t="s">
        <v>3648</v>
      </c>
      <c r="F3151" s="644" t="s">
        <v>502</v>
      </c>
      <c r="G3151" s="577">
        <v>9847940051</v>
      </c>
      <c r="I3151" s="577">
        <v>67</v>
      </c>
      <c r="J3151" s="577" t="s">
        <v>90</v>
      </c>
      <c r="K3151" s="577" t="s">
        <v>1468</v>
      </c>
      <c r="L3151" s="571"/>
      <c r="M3151" s="683" t="s">
        <v>119</v>
      </c>
      <c r="N3151" s="767">
        <v>65047</v>
      </c>
      <c r="O3151" s="680">
        <v>65047</v>
      </c>
      <c r="P3151" s="496">
        <v>65062</v>
      </c>
      <c r="Q3151" s="491" t="s">
        <v>51</v>
      </c>
    </row>
    <row r="3152" spans="1:17" ht="18">
      <c r="A3152" s="512">
        <f t="shared" si="41"/>
        <v>2305</v>
      </c>
      <c r="B3152" s="660" t="s">
        <v>43</v>
      </c>
      <c r="C3152" s="644" t="s">
        <v>44</v>
      </c>
      <c r="D3152" s="644" t="s">
        <v>45</v>
      </c>
      <c r="E3152" s="644" t="s">
        <v>3649</v>
      </c>
      <c r="F3152" s="644" t="s">
        <v>441</v>
      </c>
      <c r="G3152" s="577">
        <v>9868980251</v>
      </c>
      <c r="I3152" s="577">
        <v>41</v>
      </c>
      <c r="J3152" s="577" t="s">
        <v>90</v>
      </c>
      <c r="K3152" s="577" t="s">
        <v>1480</v>
      </c>
      <c r="L3152" s="571"/>
      <c r="M3152" s="683" t="s">
        <v>119</v>
      </c>
      <c r="N3152" s="767">
        <v>65047</v>
      </c>
      <c r="O3152" s="680">
        <v>65047</v>
      </c>
      <c r="P3152" s="496">
        <v>65062</v>
      </c>
      <c r="Q3152" s="491" t="s">
        <v>51</v>
      </c>
    </row>
    <row r="3153" spans="1:17" ht="18">
      <c r="A3153" s="512">
        <f t="shared" si="41"/>
        <v>2306</v>
      </c>
      <c r="B3153" s="660" t="s">
        <v>43</v>
      </c>
      <c r="C3153" s="644" t="s">
        <v>44</v>
      </c>
      <c r="D3153" s="651" t="s">
        <v>45</v>
      </c>
      <c r="E3153" s="644" t="s">
        <v>2394</v>
      </c>
      <c r="F3153" s="644" t="s">
        <v>502</v>
      </c>
      <c r="G3153" s="577">
        <v>9847981659</v>
      </c>
      <c r="I3153" s="577">
        <v>27</v>
      </c>
      <c r="J3153" s="577" t="s">
        <v>90</v>
      </c>
      <c r="K3153" s="577" t="s">
        <v>1468</v>
      </c>
      <c r="L3153" s="571"/>
      <c r="M3153" s="683" t="s">
        <v>119</v>
      </c>
      <c r="N3153" s="767">
        <v>65047</v>
      </c>
      <c r="O3153" s="680">
        <v>65047</v>
      </c>
      <c r="P3153" s="496">
        <v>65062</v>
      </c>
      <c r="Q3153" s="491" t="s">
        <v>51</v>
      </c>
    </row>
    <row r="3154" spans="1:17" ht="18">
      <c r="A3154" s="512">
        <f t="shared" ref="A3154:A3217" si="42">A3153+1</f>
        <v>2307</v>
      </c>
      <c r="B3154" s="660" t="s">
        <v>43</v>
      </c>
      <c r="C3154" s="644" t="s">
        <v>44</v>
      </c>
      <c r="D3154" s="644" t="s">
        <v>45</v>
      </c>
      <c r="E3154" s="644" t="s">
        <v>1467</v>
      </c>
      <c r="F3154" s="644" t="s">
        <v>1009</v>
      </c>
      <c r="G3154" s="577">
        <v>9868632474</v>
      </c>
      <c r="I3154" s="577">
        <v>28</v>
      </c>
      <c r="J3154" s="577" t="s">
        <v>90</v>
      </c>
      <c r="K3154" s="577" t="s">
        <v>1480</v>
      </c>
      <c r="L3154" s="571"/>
      <c r="M3154" s="683" t="s">
        <v>119</v>
      </c>
      <c r="N3154" s="767">
        <v>65047</v>
      </c>
      <c r="O3154" s="680">
        <v>65047</v>
      </c>
      <c r="P3154" s="496">
        <v>65062</v>
      </c>
      <c r="Q3154" s="491" t="s">
        <v>51</v>
      </c>
    </row>
    <row r="3155" spans="1:17" ht="18">
      <c r="A3155" s="512">
        <f t="shared" si="42"/>
        <v>2308</v>
      </c>
      <c r="B3155" s="660" t="s">
        <v>43</v>
      </c>
      <c r="C3155" s="644" t="s">
        <v>44</v>
      </c>
      <c r="D3155" s="644" t="s">
        <v>45</v>
      </c>
      <c r="E3155" s="644" t="s">
        <v>3650</v>
      </c>
      <c r="F3155" s="644" t="s">
        <v>502</v>
      </c>
      <c r="G3155" s="577">
        <v>9809836930</v>
      </c>
      <c r="I3155" s="577">
        <v>45</v>
      </c>
      <c r="J3155" s="577" t="s">
        <v>90</v>
      </c>
      <c r="K3155" s="577" t="s">
        <v>1468</v>
      </c>
      <c r="L3155" s="571"/>
      <c r="M3155" s="683" t="s">
        <v>119</v>
      </c>
      <c r="N3155" s="767">
        <v>65047</v>
      </c>
      <c r="O3155" s="680">
        <v>65047</v>
      </c>
      <c r="P3155" s="496">
        <v>65062</v>
      </c>
      <c r="Q3155" s="491" t="s">
        <v>51</v>
      </c>
    </row>
    <row r="3156" spans="1:17" ht="18">
      <c r="A3156" s="512">
        <f t="shared" si="42"/>
        <v>2309</v>
      </c>
      <c r="B3156" s="660" t="s">
        <v>43</v>
      </c>
      <c r="C3156" s="644" t="s">
        <v>44</v>
      </c>
      <c r="D3156" s="651" t="s">
        <v>45</v>
      </c>
      <c r="E3156" s="644" t="s">
        <v>3651</v>
      </c>
      <c r="F3156" s="644" t="s">
        <v>502</v>
      </c>
      <c r="G3156" s="577">
        <v>9810808706</v>
      </c>
      <c r="I3156" s="577">
        <v>35</v>
      </c>
      <c r="J3156" s="577" t="s">
        <v>90</v>
      </c>
      <c r="K3156" s="577" t="s">
        <v>1468</v>
      </c>
      <c r="L3156" s="571"/>
      <c r="M3156" s="683" t="s">
        <v>119</v>
      </c>
      <c r="N3156" s="767">
        <v>65047</v>
      </c>
      <c r="O3156" s="680">
        <v>65047</v>
      </c>
      <c r="P3156" s="496">
        <v>65062</v>
      </c>
      <c r="Q3156" s="491" t="s">
        <v>51</v>
      </c>
    </row>
    <row r="3157" spans="1:17" ht="18">
      <c r="A3157" s="512">
        <f t="shared" si="42"/>
        <v>2310</v>
      </c>
      <c r="B3157" s="660" t="s">
        <v>43</v>
      </c>
      <c r="C3157" s="644" t="s">
        <v>44</v>
      </c>
      <c r="D3157" s="644" t="s">
        <v>45</v>
      </c>
      <c r="E3157" s="644" t="s">
        <v>3652</v>
      </c>
      <c r="F3157" s="644" t="s">
        <v>502</v>
      </c>
      <c r="G3157" s="577">
        <v>9847993286</v>
      </c>
      <c r="I3157" s="577">
        <v>53</v>
      </c>
      <c r="J3157" s="577" t="s">
        <v>90</v>
      </c>
      <c r="K3157" s="577" t="s">
        <v>1468</v>
      </c>
      <c r="L3157" s="571"/>
      <c r="M3157" s="683" t="s">
        <v>119</v>
      </c>
      <c r="N3157" s="767">
        <v>65047</v>
      </c>
      <c r="O3157" s="680">
        <v>65047</v>
      </c>
      <c r="P3157" s="496">
        <v>65062</v>
      </c>
      <c r="Q3157" s="491" t="s">
        <v>51</v>
      </c>
    </row>
    <row r="3158" spans="1:17" ht="18">
      <c r="A3158" s="512">
        <f t="shared" si="42"/>
        <v>2311</v>
      </c>
      <c r="B3158" s="660" t="s">
        <v>43</v>
      </c>
      <c r="C3158" s="644" t="s">
        <v>44</v>
      </c>
      <c r="D3158" s="644" t="s">
        <v>45</v>
      </c>
      <c r="E3158" s="644" t="s">
        <v>3653</v>
      </c>
      <c r="F3158" s="644" t="s">
        <v>502</v>
      </c>
      <c r="G3158" s="577">
        <v>9847830525</v>
      </c>
      <c r="I3158" s="577">
        <v>47</v>
      </c>
      <c r="J3158" s="577" t="s">
        <v>90</v>
      </c>
      <c r="K3158" s="577" t="s">
        <v>1468</v>
      </c>
      <c r="L3158" s="571"/>
      <c r="M3158" s="683" t="s">
        <v>119</v>
      </c>
      <c r="N3158" s="767">
        <v>65047</v>
      </c>
      <c r="O3158" s="680">
        <v>65047</v>
      </c>
      <c r="P3158" s="496">
        <v>65062</v>
      </c>
      <c r="Q3158" s="491" t="s">
        <v>51</v>
      </c>
    </row>
    <row r="3159" spans="1:17" ht="18">
      <c r="A3159" s="512">
        <f t="shared" si="42"/>
        <v>2312</v>
      </c>
      <c r="B3159" s="660" t="s">
        <v>43</v>
      </c>
      <c r="C3159" s="644" t="s">
        <v>44</v>
      </c>
      <c r="D3159" s="644" t="s">
        <v>45</v>
      </c>
      <c r="E3159" s="644" t="s">
        <v>3654</v>
      </c>
      <c r="F3159" s="644" t="s">
        <v>502</v>
      </c>
      <c r="G3159" s="577">
        <v>9847814634</v>
      </c>
      <c r="I3159" s="577">
        <v>65</v>
      </c>
      <c r="J3159" s="577" t="s">
        <v>48</v>
      </c>
      <c r="K3159" s="577" t="s">
        <v>1468</v>
      </c>
      <c r="L3159" s="571"/>
      <c r="M3159" s="683" t="s">
        <v>119</v>
      </c>
      <c r="N3159" s="767">
        <v>65047</v>
      </c>
      <c r="O3159" s="680">
        <v>65047</v>
      </c>
      <c r="P3159" s="496">
        <v>65062</v>
      </c>
      <c r="Q3159" s="491" t="s">
        <v>51</v>
      </c>
    </row>
    <row r="3160" spans="1:17" ht="18">
      <c r="A3160" s="512">
        <f t="shared" si="42"/>
        <v>2313</v>
      </c>
      <c r="B3160" s="660" t="s">
        <v>43</v>
      </c>
      <c r="C3160" s="644" t="s">
        <v>44</v>
      </c>
      <c r="D3160" s="644" t="s">
        <v>45</v>
      </c>
      <c r="E3160" s="644" t="s">
        <v>3655</v>
      </c>
      <c r="F3160" s="644" t="s">
        <v>730</v>
      </c>
      <c r="G3160" s="577">
        <v>9848109499</v>
      </c>
      <c r="I3160" s="577">
        <v>34</v>
      </c>
      <c r="J3160" s="577" t="s">
        <v>48</v>
      </c>
      <c r="K3160" s="577" t="s">
        <v>53</v>
      </c>
      <c r="L3160" s="571"/>
      <c r="M3160" s="683" t="s">
        <v>119</v>
      </c>
      <c r="N3160" s="767">
        <v>65047</v>
      </c>
      <c r="O3160" s="680"/>
      <c r="P3160" s="496">
        <v>65062</v>
      </c>
      <c r="Q3160" s="491" t="s">
        <v>51</v>
      </c>
    </row>
    <row r="3161" spans="1:17" ht="18">
      <c r="A3161" s="512">
        <f t="shared" si="42"/>
        <v>2314</v>
      </c>
      <c r="B3161" s="660" t="s">
        <v>43</v>
      </c>
      <c r="C3161" s="644" t="s">
        <v>44</v>
      </c>
      <c r="D3161" s="644" t="s">
        <v>45</v>
      </c>
      <c r="E3161" s="644" t="s">
        <v>3656</v>
      </c>
      <c r="F3161" s="644" t="s">
        <v>730</v>
      </c>
      <c r="G3161" s="577">
        <v>9866917289</v>
      </c>
      <c r="I3161" s="577">
        <v>19</v>
      </c>
      <c r="J3161" s="577" t="s">
        <v>48</v>
      </c>
      <c r="K3161" s="577" t="s">
        <v>53</v>
      </c>
      <c r="L3161" s="571"/>
      <c r="M3161" s="683" t="s">
        <v>119</v>
      </c>
      <c r="N3161" s="767">
        <v>65047</v>
      </c>
      <c r="O3161" s="680"/>
      <c r="P3161" s="496">
        <v>65062</v>
      </c>
      <c r="Q3161" s="491" t="s">
        <v>51</v>
      </c>
    </row>
    <row r="3162" spans="1:17" ht="18">
      <c r="A3162" s="512">
        <f t="shared" si="42"/>
        <v>2315</v>
      </c>
      <c r="B3162" s="660" t="s">
        <v>43</v>
      </c>
      <c r="C3162" s="644" t="s">
        <v>44</v>
      </c>
      <c r="D3162" s="644" t="s">
        <v>45</v>
      </c>
      <c r="E3162" s="644" t="s">
        <v>3657</v>
      </c>
      <c r="F3162" s="644" t="s">
        <v>1009</v>
      </c>
      <c r="G3162" s="577">
        <v>9868632474</v>
      </c>
      <c r="I3162" s="577">
        <v>10</v>
      </c>
      <c r="J3162" s="577" t="s">
        <v>48</v>
      </c>
      <c r="K3162" s="577" t="s">
        <v>1480</v>
      </c>
      <c r="L3162" s="571"/>
      <c r="M3162" s="683" t="s">
        <v>119</v>
      </c>
      <c r="N3162" s="767">
        <v>65047</v>
      </c>
      <c r="O3162" s="680">
        <v>65047</v>
      </c>
      <c r="P3162" s="496">
        <v>65062</v>
      </c>
      <c r="Q3162" s="491" t="s">
        <v>51</v>
      </c>
    </row>
    <row r="3163" spans="1:17" ht="18">
      <c r="A3163" s="512">
        <f t="shared" si="42"/>
        <v>2316</v>
      </c>
      <c r="B3163" s="660" t="s">
        <v>43</v>
      </c>
      <c r="C3163" s="644" t="s">
        <v>44</v>
      </c>
      <c r="D3163" s="644" t="s">
        <v>45</v>
      </c>
      <c r="E3163" s="644" t="s">
        <v>3658</v>
      </c>
      <c r="F3163" s="644" t="s">
        <v>502</v>
      </c>
      <c r="G3163" s="577">
        <v>9840416613</v>
      </c>
      <c r="I3163" s="577">
        <v>47</v>
      </c>
      <c r="J3163" s="577" t="s">
        <v>48</v>
      </c>
      <c r="K3163" s="577" t="s">
        <v>1468</v>
      </c>
      <c r="L3163" s="571"/>
      <c r="M3163" s="683" t="s">
        <v>119</v>
      </c>
      <c r="N3163" s="767">
        <v>65047</v>
      </c>
      <c r="O3163" s="680">
        <v>65047</v>
      </c>
      <c r="P3163" s="496">
        <v>65062</v>
      </c>
      <c r="Q3163" s="491" t="s">
        <v>51</v>
      </c>
    </row>
    <row r="3164" spans="1:17" ht="18">
      <c r="A3164" s="512">
        <f t="shared" si="42"/>
        <v>2317</v>
      </c>
      <c r="B3164" s="660" t="s">
        <v>43</v>
      </c>
      <c r="C3164" s="644" t="s">
        <v>44</v>
      </c>
      <c r="D3164" s="644" t="s">
        <v>45</v>
      </c>
      <c r="E3164" s="644" t="s">
        <v>3659</v>
      </c>
      <c r="F3164" s="644" t="s">
        <v>557</v>
      </c>
      <c r="G3164" s="577">
        <v>9840000000</v>
      </c>
      <c r="I3164" s="577">
        <v>37</v>
      </c>
      <c r="J3164" s="577" t="s">
        <v>48</v>
      </c>
      <c r="K3164" s="577" t="s">
        <v>1480</v>
      </c>
      <c r="L3164" s="571"/>
      <c r="M3164" s="683" t="s">
        <v>119</v>
      </c>
      <c r="N3164" s="767">
        <v>65047</v>
      </c>
      <c r="O3164" s="680">
        <v>65047</v>
      </c>
      <c r="P3164" s="496">
        <v>65062</v>
      </c>
      <c r="Q3164" s="491" t="s">
        <v>51</v>
      </c>
    </row>
    <row r="3165" spans="1:17" ht="18">
      <c r="A3165" s="512">
        <f t="shared" si="42"/>
        <v>2318</v>
      </c>
      <c r="B3165" s="660" t="s">
        <v>43</v>
      </c>
      <c r="C3165" s="644" t="s">
        <v>44</v>
      </c>
      <c r="D3165" s="644" t="s">
        <v>45</v>
      </c>
      <c r="E3165" s="644" t="s">
        <v>3660</v>
      </c>
      <c r="F3165" s="644" t="s">
        <v>502</v>
      </c>
      <c r="G3165" s="577">
        <v>9809892809</v>
      </c>
      <c r="I3165" s="577">
        <v>68</v>
      </c>
      <c r="J3165" s="577" t="s">
        <v>90</v>
      </c>
      <c r="K3165" s="577" t="s">
        <v>1468</v>
      </c>
      <c r="L3165" s="571"/>
      <c r="M3165" s="683" t="s">
        <v>119</v>
      </c>
      <c r="N3165" s="767">
        <v>65047</v>
      </c>
      <c r="O3165" s="680">
        <v>65047</v>
      </c>
      <c r="P3165" s="496">
        <v>65062</v>
      </c>
      <c r="Q3165" s="491" t="s">
        <v>51</v>
      </c>
    </row>
    <row r="3166" spans="1:17" ht="18">
      <c r="A3166" s="512">
        <f t="shared" si="42"/>
        <v>2319</v>
      </c>
      <c r="B3166" s="660" t="s">
        <v>43</v>
      </c>
      <c r="C3166" s="644" t="s">
        <v>44</v>
      </c>
      <c r="D3166" s="644" t="s">
        <v>45</v>
      </c>
      <c r="E3166" s="644" t="s">
        <v>3661</v>
      </c>
      <c r="F3166" s="644" t="s">
        <v>502</v>
      </c>
      <c r="G3166" s="577"/>
      <c r="I3166" s="577">
        <v>30</v>
      </c>
      <c r="J3166" s="577" t="s">
        <v>90</v>
      </c>
      <c r="K3166" s="577" t="s">
        <v>53</v>
      </c>
      <c r="L3166" s="571"/>
      <c r="M3166" s="685" t="s">
        <v>119</v>
      </c>
      <c r="N3166" s="767">
        <v>65047</v>
      </c>
      <c r="O3166" s="680">
        <v>65047</v>
      </c>
      <c r="P3166" s="496">
        <v>65062</v>
      </c>
      <c r="Q3166" s="491" t="s">
        <v>51</v>
      </c>
    </row>
    <row r="3167" spans="1:17" ht="18">
      <c r="A3167" s="512">
        <f t="shared" si="42"/>
        <v>2320</v>
      </c>
      <c r="B3167" s="658" t="s">
        <v>43</v>
      </c>
      <c r="C3167" s="630" t="s">
        <v>44</v>
      </c>
      <c r="D3167" s="630" t="s">
        <v>45</v>
      </c>
      <c r="E3167" s="630" t="s">
        <v>3662</v>
      </c>
      <c r="F3167" s="630" t="s">
        <v>617</v>
      </c>
      <c r="G3167" s="597">
        <v>9823168569</v>
      </c>
      <c r="H3167" s="422"/>
      <c r="I3167" s="597">
        <v>30</v>
      </c>
      <c r="J3167" s="597" t="s">
        <v>90</v>
      </c>
      <c r="K3167" s="597" t="s">
        <v>1480</v>
      </c>
      <c r="L3167" s="597"/>
      <c r="M3167" s="684" t="s">
        <v>119</v>
      </c>
      <c r="N3167" s="768">
        <v>65047</v>
      </c>
      <c r="O3167" s="681">
        <v>65047</v>
      </c>
      <c r="P3167" s="476">
        <v>65055</v>
      </c>
      <c r="Q3167" s="422" t="s">
        <v>940</v>
      </c>
    </row>
    <row r="3168" spans="1:17" ht="18">
      <c r="A3168" s="512">
        <f t="shared" si="42"/>
        <v>2321</v>
      </c>
      <c r="B3168" s="660" t="s">
        <v>43</v>
      </c>
      <c r="C3168" s="644" t="s">
        <v>44</v>
      </c>
      <c r="D3168" s="644" t="s">
        <v>45</v>
      </c>
      <c r="E3168" s="644" t="s">
        <v>3663</v>
      </c>
      <c r="F3168" s="644" t="s">
        <v>491</v>
      </c>
      <c r="G3168" s="577">
        <v>9809593769</v>
      </c>
      <c r="I3168" s="577">
        <v>19</v>
      </c>
      <c r="J3168" s="577" t="s">
        <v>48</v>
      </c>
      <c r="K3168" s="577" t="s">
        <v>53</v>
      </c>
      <c r="L3168" s="571"/>
      <c r="M3168" s="683" t="s">
        <v>119</v>
      </c>
      <c r="N3168" s="767">
        <v>65047</v>
      </c>
      <c r="O3168" s="680"/>
      <c r="P3168" s="496">
        <v>65062</v>
      </c>
      <c r="Q3168" s="491" t="s">
        <v>51</v>
      </c>
    </row>
    <row r="3169" spans="1:17" ht="18">
      <c r="A3169" s="512">
        <f t="shared" si="42"/>
        <v>2322</v>
      </c>
      <c r="B3169" s="660" t="s">
        <v>43</v>
      </c>
      <c r="C3169" s="644" t="s">
        <v>44</v>
      </c>
      <c r="D3169" s="644" t="s">
        <v>45</v>
      </c>
      <c r="E3169" s="644" t="s">
        <v>3664</v>
      </c>
      <c r="F3169" s="644" t="s">
        <v>529</v>
      </c>
      <c r="G3169" s="577">
        <v>9868145784</v>
      </c>
      <c r="I3169" s="577">
        <v>34</v>
      </c>
      <c r="J3169" s="577" t="s">
        <v>90</v>
      </c>
      <c r="K3169" s="577" t="s">
        <v>1480</v>
      </c>
      <c r="L3169" s="571"/>
      <c r="M3169" s="683" t="s">
        <v>119</v>
      </c>
      <c r="N3169" s="767">
        <v>65047</v>
      </c>
      <c r="O3169" s="680">
        <v>65047</v>
      </c>
      <c r="P3169" s="496">
        <v>65062</v>
      </c>
      <c r="Q3169" s="491" t="s">
        <v>51</v>
      </c>
    </row>
    <row r="3170" spans="1:17" ht="18">
      <c r="A3170" s="512">
        <f t="shared" si="42"/>
        <v>2323</v>
      </c>
      <c r="B3170" s="660" t="s">
        <v>43</v>
      </c>
      <c r="C3170" s="644" t="s">
        <v>44</v>
      </c>
      <c r="D3170" s="644" t="s">
        <v>45</v>
      </c>
      <c r="E3170" s="644" t="s">
        <v>3665</v>
      </c>
      <c r="F3170" s="644" t="s">
        <v>1008</v>
      </c>
      <c r="G3170" s="577">
        <v>9813098702</v>
      </c>
      <c r="I3170" s="577">
        <v>65</v>
      </c>
      <c r="J3170" s="577" t="s">
        <v>48</v>
      </c>
      <c r="K3170" s="577" t="s">
        <v>1480</v>
      </c>
      <c r="L3170" s="571"/>
      <c r="M3170" s="683" t="s">
        <v>119</v>
      </c>
      <c r="N3170" s="767">
        <v>65047</v>
      </c>
      <c r="O3170" s="680">
        <v>65047</v>
      </c>
      <c r="P3170" s="496">
        <v>65062</v>
      </c>
      <c r="Q3170" s="491" t="s">
        <v>51</v>
      </c>
    </row>
    <row r="3171" spans="1:17" ht="18">
      <c r="A3171" s="512">
        <f t="shared" si="42"/>
        <v>2324</v>
      </c>
      <c r="B3171" s="660" t="s">
        <v>43</v>
      </c>
      <c r="C3171" s="644" t="s">
        <v>44</v>
      </c>
      <c r="D3171" s="644" t="s">
        <v>45</v>
      </c>
      <c r="E3171" s="644" t="s">
        <v>3666</v>
      </c>
      <c r="F3171" s="644" t="s">
        <v>529</v>
      </c>
      <c r="G3171" s="577">
        <v>9840013159</v>
      </c>
      <c r="I3171" s="577">
        <v>59</v>
      </c>
      <c r="J3171" s="577" t="s">
        <v>48</v>
      </c>
      <c r="K3171" s="577" t="s">
        <v>53</v>
      </c>
      <c r="L3171" s="571"/>
      <c r="M3171" s="683" t="s">
        <v>119</v>
      </c>
      <c r="N3171" s="767">
        <v>65047</v>
      </c>
      <c r="O3171" s="680"/>
      <c r="P3171" s="496">
        <v>65062</v>
      </c>
      <c r="Q3171" s="491" t="s">
        <v>51</v>
      </c>
    </row>
    <row r="3172" spans="1:17" ht="18">
      <c r="A3172" s="512">
        <f t="shared" si="42"/>
        <v>2325</v>
      </c>
      <c r="B3172" s="660" t="s">
        <v>43</v>
      </c>
      <c r="C3172" s="644" t="s">
        <v>44</v>
      </c>
      <c r="D3172" s="644" t="s">
        <v>45</v>
      </c>
      <c r="E3172" s="644" t="s">
        <v>3667</v>
      </c>
      <c r="F3172" s="644" t="s">
        <v>502</v>
      </c>
      <c r="G3172" s="577">
        <v>9809503889</v>
      </c>
      <c r="I3172" s="577">
        <v>54</v>
      </c>
      <c r="J3172" s="577" t="s">
        <v>48</v>
      </c>
      <c r="K3172" s="577" t="s">
        <v>1468</v>
      </c>
      <c r="L3172" s="571"/>
      <c r="M3172" s="683" t="s">
        <v>119</v>
      </c>
      <c r="N3172" s="767">
        <v>65047</v>
      </c>
      <c r="O3172" s="680">
        <v>65047</v>
      </c>
      <c r="P3172" s="496">
        <v>65062</v>
      </c>
      <c r="Q3172" s="491" t="s">
        <v>51</v>
      </c>
    </row>
    <row r="3173" spans="1:17" ht="18">
      <c r="A3173" s="512">
        <f t="shared" si="42"/>
        <v>2326</v>
      </c>
      <c r="B3173" s="660" t="s">
        <v>43</v>
      </c>
      <c r="C3173" s="644" t="s">
        <v>44</v>
      </c>
      <c r="D3173" s="644" t="s">
        <v>45</v>
      </c>
      <c r="E3173" s="644" t="s">
        <v>3668</v>
      </c>
      <c r="F3173" s="644" t="s">
        <v>491</v>
      </c>
      <c r="G3173" s="577">
        <v>9847277873</v>
      </c>
      <c r="I3173" s="577">
        <v>29</v>
      </c>
      <c r="J3173" s="577" t="s">
        <v>90</v>
      </c>
      <c r="K3173" s="577" t="s">
        <v>1480</v>
      </c>
      <c r="L3173" s="571"/>
      <c r="M3173" s="683" t="s">
        <v>119</v>
      </c>
      <c r="N3173" s="767">
        <v>65047</v>
      </c>
      <c r="O3173" s="680">
        <v>65047</v>
      </c>
      <c r="P3173" s="496">
        <v>65062</v>
      </c>
      <c r="Q3173" s="491" t="s">
        <v>51</v>
      </c>
    </row>
    <row r="3174" spans="1:17" ht="18">
      <c r="A3174" s="512">
        <f t="shared" si="42"/>
        <v>2327</v>
      </c>
      <c r="B3174" s="660" t="s">
        <v>43</v>
      </c>
      <c r="C3174" s="644" t="s">
        <v>44</v>
      </c>
      <c r="D3174" s="644" t="s">
        <v>45</v>
      </c>
      <c r="E3174" s="644" t="s">
        <v>3669</v>
      </c>
      <c r="F3174" s="644" t="s">
        <v>491</v>
      </c>
      <c r="G3174" s="577">
        <v>9847833943</v>
      </c>
      <c r="I3174" s="577">
        <v>35</v>
      </c>
      <c r="J3174" s="577" t="s">
        <v>48</v>
      </c>
      <c r="K3174" s="577" t="s">
        <v>1480</v>
      </c>
      <c r="L3174" s="571"/>
      <c r="M3174" s="683" t="s">
        <v>119</v>
      </c>
      <c r="N3174" s="767">
        <v>65047</v>
      </c>
      <c r="O3174" s="680">
        <v>65047</v>
      </c>
      <c r="P3174" s="496">
        <v>65062</v>
      </c>
      <c r="Q3174" s="491" t="s">
        <v>51</v>
      </c>
    </row>
    <row r="3175" spans="1:17" ht="18">
      <c r="A3175" s="512">
        <f t="shared" si="42"/>
        <v>2328</v>
      </c>
      <c r="B3175" s="660" t="s">
        <v>43</v>
      </c>
      <c r="C3175" s="644" t="s">
        <v>44</v>
      </c>
      <c r="D3175" s="644" t="s">
        <v>45</v>
      </c>
      <c r="E3175" s="644" t="s">
        <v>3670</v>
      </c>
      <c r="F3175" s="644" t="s">
        <v>617</v>
      </c>
      <c r="G3175" s="577">
        <v>9868612929</v>
      </c>
      <c r="I3175" s="577">
        <v>29</v>
      </c>
      <c r="J3175" s="577" t="s">
        <v>48</v>
      </c>
      <c r="K3175" s="577" t="s">
        <v>53</v>
      </c>
      <c r="L3175" s="571"/>
      <c r="M3175" s="683" t="s">
        <v>119</v>
      </c>
      <c r="N3175" s="767">
        <v>65047</v>
      </c>
      <c r="O3175" s="680"/>
      <c r="P3175" s="496">
        <v>65062</v>
      </c>
      <c r="Q3175" s="491" t="s">
        <v>51</v>
      </c>
    </row>
    <row r="3176" spans="1:17" ht="18">
      <c r="A3176" s="512">
        <f t="shared" si="42"/>
        <v>2329</v>
      </c>
      <c r="B3176" s="660" t="s">
        <v>43</v>
      </c>
      <c r="C3176" s="644" t="s">
        <v>44</v>
      </c>
      <c r="D3176" s="644" t="s">
        <v>45</v>
      </c>
      <c r="E3176" s="644" t="s">
        <v>3671</v>
      </c>
      <c r="F3176" s="644" t="s">
        <v>502</v>
      </c>
      <c r="G3176" s="577">
        <v>9847889429</v>
      </c>
      <c r="I3176" s="577">
        <v>25</v>
      </c>
      <c r="J3176" s="577" t="s">
        <v>90</v>
      </c>
      <c r="K3176" s="577" t="s">
        <v>1468</v>
      </c>
      <c r="L3176" s="571"/>
      <c r="M3176" s="683" t="s">
        <v>119</v>
      </c>
      <c r="N3176" s="767">
        <v>65047</v>
      </c>
      <c r="O3176" s="680">
        <v>65047</v>
      </c>
      <c r="P3176" s="496">
        <v>65062</v>
      </c>
      <c r="Q3176" s="491" t="s">
        <v>51</v>
      </c>
    </row>
    <row r="3177" spans="1:17" ht="18">
      <c r="A3177" s="512">
        <f t="shared" si="42"/>
        <v>2330</v>
      </c>
      <c r="B3177" s="660" t="s">
        <v>43</v>
      </c>
      <c r="C3177" s="644" t="s">
        <v>44</v>
      </c>
      <c r="D3177" s="644" t="s">
        <v>45</v>
      </c>
      <c r="E3177" s="644" t="s">
        <v>3672</v>
      </c>
      <c r="F3177" s="644" t="s">
        <v>1046</v>
      </c>
      <c r="G3177" s="577">
        <v>9844992415</v>
      </c>
      <c r="I3177" s="577">
        <v>28</v>
      </c>
      <c r="J3177" s="577" t="s">
        <v>90</v>
      </c>
      <c r="K3177" s="577" t="s">
        <v>1480</v>
      </c>
      <c r="L3177" s="571"/>
      <c r="M3177" s="683" t="s">
        <v>119</v>
      </c>
      <c r="N3177" s="767">
        <v>65047</v>
      </c>
      <c r="O3177" s="680">
        <v>65047</v>
      </c>
      <c r="P3177" s="496">
        <v>65062</v>
      </c>
      <c r="Q3177" s="491" t="s">
        <v>51</v>
      </c>
    </row>
    <row r="3178" spans="1:17" ht="18">
      <c r="A3178" s="512">
        <f t="shared" si="42"/>
        <v>2331</v>
      </c>
      <c r="B3178" s="660" t="s">
        <v>43</v>
      </c>
      <c r="C3178" s="644" t="s">
        <v>44</v>
      </c>
      <c r="D3178" s="644" t="s">
        <v>45</v>
      </c>
      <c r="E3178" s="644" t="s">
        <v>3673</v>
      </c>
      <c r="F3178" s="644" t="s">
        <v>529</v>
      </c>
      <c r="G3178" s="577">
        <v>9810975097</v>
      </c>
      <c r="I3178" s="577">
        <v>48</v>
      </c>
      <c r="J3178" s="577" t="s">
        <v>90</v>
      </c>
      <c r="K3178" s="577" t="s">
        <v>1480</v>
      </c>
      <c r="L3178" s="571"/>
      <c r="M3178" s="683" t="s">
        <v>119</v>
      </c>
      <c r="N3178" s="767">
        <v>65047</v>
      </c>
      <c r="O3178" s="680">
        <v>65047</v>
      </c>
      <c r="P3178" s="496">
        <v>65062</v>
      </c>
      <c r="Q3178" s="491" t="s">
        <v>51</v>
      </c>
    </row>
    <row r="3179" spans="1:17" ht="18">
      <c r="A3179" s="512">
        <f t="shared" si="42"/>
        <v>2332</v>
      </c>
      <c r="B3179" s="660" t="s">
        <v>43</v>
      </c>
      <c r="C3179" s="644" t="s">
        <v>44</v>
      </c>
      <c r="D3179" s="644" t="s">
        <v>45</v>
      </c>
      <c r="E3179" s="644" t="s">
        <v>3674</v>
      </c>
      <c r="F3179" s="644" t="s">
        <v>502</v>
      </c>
      <c r="G3179" s="577">
        <v>9849896055</v>
      </c>
      <c r="I3179" s="577">
        <v>38</v>
      </c>
      <c r="J3179" s="577" t="s">
        <v>48</v>
      </c>
      <c r="K3179" s="577" t="s">
        <v>1468</v>
      </c>
      <c r="L3179" s="571"/>
      <c r="M3179" s="683" t="s">
        <v>119</v>
      </c>
      <c r="N3179" s="767">
        <v>65047</v>
      </c>
      <c r="O3179" s="680">
        <v>65047</v>
      </c>
      <c r="P3179" s="496">
        <v>65062</v>
      </c>
      <c r="Q3179" s="491" t="s">
        <v>51</v>
      </c>
    </row>
    <row r="3180" spans="1:17" ht="18">
      <c r="A3180" s="512">
        <f t="shared" si="42"/>
        <v>2333</v>
      </c>
      <c r="B3180" s="660" t="s">
        <v>43</v>
      </c>
      <c r="C3180" s="644" t="s">
        <v>44</v>
      </c>
      <c r="D3180" s="644" t="s">
        <v>45</v>
      </c>
      <c r="E3180" s="644" t="s">
        <v>3675</v>
      </c>
      <c r="F3180" s="644" t="s">
        <v>730</v>
      </c>
      <c r="G3180" s="577">
        <v>9810821241</v>
      </c>
      <c r="I3180" s="577">
        <v>70</v>
      </c>
      <c r="J3180" s="577" t="s">
        <v>48</v>
      </c>
      <c r="K3180" s="577" t="s">
        <v>1480</v>
      </c>
      <c r="L3180" s="571"/>
      <c r="M3180" s="683" t="s">
        <v>119</v>
      </c>
      <c r="N3180" s="767">
        <v>65047</v>
      </c>
      <c r="O3180" s="680">
        <v>65047</v>
      </c>
      <c r="P3180" s="496">
        <v>65062</v>
      </c>
      <c r="Q3180" s="491" t="s">
        <v>51</v>
      </c>
    </row>
    <row r="3181" spans="1:17" ht="18">
      <c r="A3181" s="512">
        <f t="shared" si="42"/>
        <v>2334</v>
      </c>
      <c r="B3181" s="660" t="s">
        <v>43</v>
      </c>
      <c r="C3181" s="644" t="s">
        <v>44</v>
      </c>
      <c r="D3181" s="651" t="s">
        <v>45</v>
      </c>
      <c r="E3181" s="644" t="s">
        <v>3676</v>
      </c>
      <c r="F3181" s="644" t="s">
        <v>730</v>
      </c>
      <c r="G3181" s="577">
        <v>9865450197</v>
      </c>
      <c r="I3181" s="577">
        <v>24</v>
      </c>
      <c r="J3181" s="577" t="s">
        <v>90</v>
      </c>
      <c r="K3181" s="577" t="s">
        <v>53</v>
      </c>
      <c r="L3181" s="571"/>
      <c r="M3181" s="683" t="s">
        <v>119</v>
      </c>
      <c r="N3181" s="767">
        <v>65047</v>
      </c>
      <c r="O3181" s="680"/>
      <c r="P3181" s="496">
        <v>65062</v>
      </c>
      <c r="Q3181" s="491" t="s">
        <v>51</v>
      </c>
    </row>
    <row r="3182" spans="1:17" ht="18">
      <c r="A3182" s="512">
        <f t="shared" si="42"/>
        <v>2335</v>
      </c>
      <c r="B3182" s="660" t="s">
        <v>43</v>
      </c>
      <c r="C3182" s="644" t="s">
        <v>44</v>
      </c>
      <c r="D3182" s="644" t="s">
        <v>45</v>
      </c>
      <c r="E3182" s="644" t="s">
        <v>3677</v>
      </c>
      <c r="F3182" s="644" t="s">
        <v>502</v>
      </c>
      <c r="G3182" s="577">
        <v>9847830079</v>
      </c>
      <c r="I3182" s="577">
        <v>34</v>
      </c>
      <c r="J3182" s="577" t="s">
        <v>48</v>
      </c>
      <c r="K3182" s="577" t="s">
        <v>1468</v>
      </c>
      <c r="L3182" s="571"/>
      <c r="M3182" s="683" t="s">
        <v>119</v>
      </c>
      <c r="N3182" s="767">
        <v>65047</v>
      </c>
      <c r="O3182" s="680">
        <v>65047</v>
      </c>
      <c r="P3182" s="496">
        <v>65062</v>
      </c>
      <c r="Q3182" s="491" t="s">
        <v>51</v>
      </c>
    </row>
    <row r="3183" spans="1:17" ht="18">
      <c r="A3183" s="512">
        <f t="shared" si="42"/>
        <v>2336</v>
      </c>
      <c r="B3183" s="660" t="s">
        <v>43</v>
      </c>
      <c r="C3183" s="644" t="s">
        <v>44</v>
      </c>
      <c r="D3183" s="644" t="s">
        <v>45</v>
      </c>
      <c r="E3183" s="644" t="s">
        <v>3678</v>
      </c>
      <c r="F3183" s="644" t="s">
        <v>502</v>
      </c>
      <c r="G3183" s="577">
        <v>9851098835</v>
      </c>
      <c r="I3183" s="577">
        <v>44</v>
      </c>
      <c r="J3183" s="577" t="s">
        <v>48</v>
      </c>
      <c r="K3183" s="577" t="s">
        <v>1468</v>
      </c>
      <c r="L3183" s="571"/>
      <c r="M3183" s="683" t="s">
        <v>119</v>
      </c>
      <c r="N3183" s="767">
        <v>65047</v>
      </c>
      <c r="O3183" s="680">
        <v>65047</v>
      </c>
      <c r="P3183" s="496">
        <v>65062</v>
      </c>
      <c r="Q3183" s="491" t="s">
        <v>51</v>
      </c>
    </row>
    <row r="3184" spans="1:17" ht="18">
      <c r="A3184" s="512">
        <f t="shared" si="42"/>
        <v>2337</v>
      </c>
      <c r="B3184" s="660" t="s">
        <v>43</v>
      </c>
      <c r="C3184" s="644" t="s">
        <v>44</v>
      </c>
      <c r="D3184" s="644" t="s">
        <v>45</v>
      </c>
      <c r="E3184" s="644" t="s">
        <v>3679</v>
      </c>
      <c r="F3184" s="644" t="s">
        <v>502</v>
      </c>
      <c r="G3184" s="577">
        <v>9844967853</v>
      </c>
      <c r="I3184" s="577">
        <v>33</v>
      </c>
      <c r="J3184" s="577" t="s">
        <v>90</v>
      </c>
      <c r="K3184" s="577" t="s">
        <v>1468</v>
      </c>
      <c r="L3184" s="571"/>
      <c r="M3184" s="683" t="s">
        <v>119</v>
      </c>
      <c r="N3184" s="767">
        <v>65047</v>
      </c>
      <c r="O3184" s="680">
        <v>65047</v>
      </c>
      <c r="P3184" s="496">
        <v>65062</v>
      </c>
      <c r="Q3184" s="491" t="s">
        <v>51</v>
      </c>
    </row>
    <row r="3185" spans="1:17" ht="18">
      <c r="A3185" s="512">
        <f t="shared" si="42"/>
        <v>2338</v>
      </c>
      <c r="B3185" s="660" t="s">
        <v>43</v>
      </c>
      <c r="C3185" s="644" t="s">
        <v>44</v>
      </c>
      <c r="D3185" s="644" t="s">
        <v>45</v>
      </c>
      <c r="E3185" s="644" t="s">
        <v>3680</v>
      </c>
      <c r="F3185" s="644" t="s">
        <v>441</v>
      </c>
      <c r="G3185" s="577">
        <v>9847823493</v>
      </c>
      <c r="I3185" s="577">
        <v>50</v>
      </c>
      <c r="J3185" s="577" t="s">
        <v>90</v>
      </c>
      <c r="K3185" s="577" t="s">
        <v>1480</v>
      </c>
      <c r="L3185" s="571"/>
      <c r="M3185" s="683" t="s">
        <v>119</v>
      </c>
      <c r="N3185" s="767">
        <v>65047</v>
      </c>
      <c r="O3185" s="680">
        <v>65047</v>
      </c>
      <c r="P3185" s="496">
        <v>65062</v>
      </c>
      <c r="Q3185" s="491" t="s">
        <v>51</v>
      </c>
    </row>
    <row r="3186" spans="1:17" ht="18">
      <c r="A3186" s="512">
        <f t="shared" si="42"/>
        <v>2339</v>
      </c>
      <c r="B3186" s="660" t="s">
        <v>43</v>
      </c>
      <c r="C3186" s="644" t="s">
        <v>44</v>
      </c>
      <c r="D3186" s="644" t="s">
        <v>45</v>
      </c>
      <c r="E3186" s="644" t="s">
        <v>3681</v>
      </c>
      <c r="F3186" s="644" t="s">
        <v>502</v>
      </c>
      <c r="G3186" s="577">
        <v>9810893667</v>
      </c>
      <c r="I3186" s="577">
        <v>40</v>
      </c>
      <c r="J3186" s="577" t="s">
        <v>90</v>
      </c>
      <c r="K3186" s="577" t="s">
        <v>1468</v>
      </c>
      <c r="L3186" s="571"/>
      <c r="M3186" s="683" t="s">
        <v>119</v>
      </c>
      <c r="N3186" s="767">
        <v>65047</v>
      </c>
      <c r="O3186" s="680">
        <v>65047</v>
      </c>
      <c r="P3186" s="496">
        <v>65062</v>
      </c>
      <c r="Q3186" s="491" t="s">
        <v>51</v>
      </c>
    </row>
    <row r="3187" spans="1:17" ht="18">
      <c r="A3187" s="512">
        <f t="shared" si="42"/>
        <v>2340</v>
      </c>
      <c r="B3187" s="660" t="s">
        <v>43</v>
      </c>
      <c r="C3187" s="644" t="s">
        <v>44</v>
      </c>
      <c r="D3187" s="651" t="s">
        <v>45</v>
      </c>
      <c r="E3187" s="644" t="s">
        <v>3420</v>
      </c>
      <c r="F3187" s="644" t="s">
        <v>791</v>
      </c>
      <c r="G3187" s="577">
        <v>9857825485</v>
      </c>
      <c r="I3187" s="577">
        <v>28</v>
      </c>
      <c r="J3187" s="577" t="s">
        <v>48</v>
      </c>
      <c r="K3187" s="577" t="s">
        <v>53</v>
      </c>
      <c r="L3187" s="571"/>
      <c r="M3187" s="683" t="s">
        <v>119</v>
      </c>
      <c r="N3187" s="767">
        <v>65047</v>
      </c>
      <c r="O3187" s="680"/>
      <c r="P3187" s="496">
        <v>65062</v>
      </c>
      <c r="Q3187" s="491" t="s">
        <v>51</v>
      </c>
    </row>
    <row r="3188" spans="1:17" ht="18">
      <c r="A3188" s="512">
        <f t="shared" si="42"/>
        <v>2341</v>
      </c>
      <c r="B3188" s="660" t="s">
        <v>43</v>
      </c>
      <c r="C3188" s="644" t="s">
        <v>44</v>
      </c>
      <c r="D3188" s="644" t="s">
        <v>45</v>
      </c>
      <c r="E3188" s="644" t="s">
        <v>3682</v>
      </c>
      <c r="F3188" s="644" t="s">
        <v>1008</v>
      </c>
      <c r="G3188" s="577">
        <v>9847830216</v>
      </c>
      <c r="I3188" s="577">
        <v>86</v>
      </c>
      <c r="J3188" s="577" t="s">
        <v>48</v>
      </c>
      <c r="K3188" s="577" t="s">
        <v>53</v>
      </c>
      <c r="L3188" s="571"/>
      <c r="M3188" s="683" t="s">
        <v>119</v>
      </c>
      <c r="N3188" s="767">
        <v>65047</v>
      </c>
      <c r="O3188" s="680"/>
      <c r="P3188" s="496">
        <v>65062</v>
      </c>
      <c r="Q3188" s="491" t="s">
        <v>51</v>
      </c>
    </row>
    <row r="3189" spans="1:17" ht="18">
      <c r="A3189" s="512">
        <f t="shared" si="42"/>
        <v>2342</v>
      </c>
      <c r="B3189" s="660" t="s">
        <v>43</v>
      </c>
      <c r="C3189" s="644" t="s">
        <v>44</v>
      </c>
      <c r="D3189" s="644" t="s">
        <v>45</v>
      </c>
      <c r="E3189" s="644" t="s">
        <v>3683</v>
      </c>
      <c r="F3189" s="644" t="s">
        <v>491</v>
      </c>
      <c r="G3189" s="577">
        <v>9847836253</v>
      </c>
      <c r="I3189" s="577">
        <v>62</v>
      </c>
      <c r="J3189" s="577" t="s">
        <v>48</v>
      </c>
      <c r="K3189" s="577" t="s">
        <v>53</v>
      </c>
      <c r="L3189" s="571"/>
      <c r="M3189" s="683" t="s">
        <v>119</v>
      </c>
      <c r="N3189" s="767">
        <v>65047</v>
      </c>
      <c r="O3189" s="680"/>
      <c r="P3189" s="496">
        <v>65062</v>
      </c>
      <c r="Q3189" s="491" t="s">
        <v>51</v>
      </c>
    </row>
    <row r="3190" spans="1:17" ht="18">
      <c r="A3190" s="512">
        <f t="shared" si="42"/>
        <v>2343</v>
      </c>
      <c r="B3190" s="660" t="s">
        <v>43</v>
      </c>
      <c r="C3190" s="644" t="s">
        <v>44</v>
      </c>
      <c r="D3190" s="644" t="s">
        <v>45</v>
      </c>
      <c r="E3190" s="644" t="s">
        <v>3684</v>
      </c>
      <c r="F3190" s="644" t="s">
        <v>502</v>
      </c>
      <c r="G3190" s="577">
        <v>9847945877</v>
      </c>
      <c r="I3190" s="577">
        <v>8</v>
      </c>
      <c r="J3190" s="577" t="s">
        <v>48</v>
      </c>
      <c r="K3190" s="577" t="s">
        <v>1468</v>
      </c>
      <c r="L3190" s="571"/>
      <c r="M3190" s="683" t="s">
        <v>119</v>
      </c>
      <c r="N3190" s="767">
        <v>65047</v>
      </c>
      <c r="O3190" s="680">
        <v>65047</v>
      </c>
      <c r="P3190" s="496">
        <v>65062</v>
      </c>
      <c r="Q3190" s="491" t="s">
        <v>51</v>
      </c>
    </row>
    <row r="3191" spans="1:17" ht="18">
      <c r="A3191" s="512">
        <f t="shared" si="42"/>
        <v>2344</v>
      </c>
      <c r="B3191" s="660" t="s">
        <v>43</v>
      </c>
      <c r="C3191" s="644" t="s">
        <v>44</v>
      </c>
      <c r="D3191" s="644" t="s">
        <v>45</v>
      </c>
      <c r="E3191" s="644" t="s">
        <v>3685</v>
      </c>
      <c r="F3191" s="644" t="s">
        <v>502</v>
      </c>
      <c r="G3191" s="577">
        <v>9841698687</v>
      </c>
      <c r="I3191" s="577">
        <v>17</v>
      </c>
      <c r="J3191" s="577" t="s">
        <v>48</v>
      </c>
      <c r="K3191" s="577" t="s">
        <v>1468</v>
      </c>
      <c r="L3191" s="571"/>
      <c r="M3191" s="683" t="s">
        <v>119</v>
      </c>
      <c r="N3191" s="767">
        <v>65047</v>
      </c>
      <c r="O3191" s="680">
        <v>65047</v>
      </c>
      <c r="P3191" s="496">
        <v>65062</v>
      </c>
      <c r="Q3191" s="491" t="s">
        <v>51</v>
      </c>
    </row>
    <row r="3192" spans="1:17" ht="18">
      <c r="A3192" s="512">
        <f t="shared" si="42"/>
        <v>2345</v>
      </c>
      <c r="B3192" s="660" t="s">
        <v>43</v>
      </c>
      <c r="C3192" s="644" t="s">
        <v>44</v>
      </c>
      <c r="D3192" s="644" t="s">
        <v>45</v>
      </c>
      <c r="E3192" s="644" t="s">
        <v>3686</v>
      </c>
      <c r="F3192" s="644" t="s">
        <v>730</v>
      </c>
      <c r="G3192" s="577">
        <v>9848109499</v>
      </c>
      <c r="I3192" s="577">
        <v>24</v>
      </c>
      <c r="J3192" s="577" t="s">
        <v>90</v>
      </c>
      <c r="K3192" s="577" t="s">
        <v>53</v>
      </c>
      <c r="L3192" s="571"/>
      <c r="M3192" s="683" t="s">
        <v>119</v>
      </c>
      <c r="N3192" s="767">
        <v>65047</v>
      </c>
      <c r="O3192" s="680"/>
      <c r="P3192" s="496">
        <v>65062</v>
      </c>
      <c r="Q3192" s="491" t="s">
        <v>51</v>
      </c>
    </row>
    <row r="3193" spans="1:17" ht="18">
      <c r="A3193" s="512">
        <f t="shared" si="42"/>
        <v>2346</v>
      </c>
      <c r="B3193" s="660" t="s">
        <v>43</v>
      </c>
      <c r="C3193" s="644" t="s">
        <v>44</v>
      </c>
      <c r="D3193" s="644" t="s">
        <v>45</v>
      </c>
      <c r="E3193" s="644" t="s">
        <v>3687</v>
      </c>
      <c r="F3193" s="644" t="s">
        <v>502</v>
      </c>
      <c r="G3193" s="577">
        <v>9847852482</v>
      </c>
      <c r="I3193" s="577">
        <v>74</v>
      </c>
      <c r="J3193" s="577" t="s">
        <v>48</v>
      </c>
      <c r="K3193" s="577" t="s">
        <v>1468</v>
      </c>
      <c r="L3193" s="571"/>
      <c r="M3193" s="683" t="s">
        <v>119</v>
      </c>
      <c r="N3193" s="767">
        <v>65047</v>
      </c>
      <c r="O3193" s="680">
        <v>65047</v>
      </c>
      <c r="P3193" s="496">
        <v>65062</v>
      </c>
      <c r="Q3193" s="491" t="s">
        <v>51</v>
      </c>
    </row>
    <row r="3194" spans="1:17" ht="18">
      <c r="A3194" s="512">
        <f t="shared" si="42"/>
        <v>2347</v>
      </c>
      <c r="B3194" s="660" t="s">
        <v>43</v>
      </c>
      <c r="C3194" s="644" t="s">
        <v>44</v>
      </c>
      <c r="D3194" s="644" t="s">
        <v>45</v>
      </c>
      <c r="E3194" s="644" t="s">
        <v>3688</v>
      </c>
      <c r="F3194" s="644" t="s">
        <v>502</v>
      </c>
      <c r="G3194" s="577">
        <v>9857825700</v>
      </c>
      <c r="I3194" s="577">
        <v>58</v>
      </c>
      <c r="J3194" s="577" t="s">
        <v>90</v>
      </c>
      <c r="K3194" s="577" t="s">
        <v>1480</v>
      </c>
      <c r="L3194" s="571"/>
      <c r="M3194" s="683" t="s">
        <v>119</v>
      </c>
      <c r="N3194" s="767">
        <v>65047</v>
      </c>
      <c r="O3194" s="680">
        <v>65047</v>
      </c>
      <c r="P3194" s="496">
        <v>65062</v>
      </c>
      <c r="Q3194" s="491" t="s">
        <v>51</v>
      </c>
    </row>
    <row r="3195" spans="1:17" ht="18">
      <c r="A3195" s="512">
        <f t="shared" si="42"/>
        <v>2348</v>
      </c>
      <c r="B3195" s="660" t="s">
        <v>43</v>
      </c>
      <c r="C3195" s="644" t="s">
        <v>44</v>
      </c>
      <c r="D3195" s="644" t="s">
        <v>45</v>
      </c>
      <c r="E3195" s="644" t="s">
        <v>3689</v>
      </c>
      <c r="F3195" s="644" t="s">
        <v>598</v>
      </c>
      <c r="G3195" s="577">
        <v>9844938798</v>
      </c>
      <c r="I3195" s="577">
        <v>25</v>
      </c>
      <c r="J3195" s="577" t="s">
        <v>90</v>
      </c>
      <c r="K3195" s="577" t="s">
        <v>1480</v>
      </c>
      <c r="L3195" s="571"/>
      <c r="M3195" s="683" t="s">
        <v>119</v>
      </c>
      <c r="N3195" s="767">
        <v>65047</v>
      </c>
      <c r="O3195" s="680">
        <v>65047</v>
      </c>
      <c r="P3195" s="496">
        <v>65062</v>
      </c>
      <c r="Q3195" s="491" t="s">
        <v>51</v>
      </c>
    </row>
    <row r="3196" spans="1:17" ht="18">
      <c r="A3196" s="512">
        <f t="shared" si="42"/>
        <v>2349</v>
      </c>
      <c r="B3196" s="660" t="s">
        <v>43</v>
      </c>
      <c r="C3196" s="644" t="s">
        <v>44</v>
      </c>
      <c r="D3196" s="644" t="s">
        <v>45</v>
      </c>
      <c r="E3196" s="644" t="s">
        <v>3690</v>
      </c>
      <c r="F3196" s="644" t="s">
        <v>730</v>
      </c>
      <c r="G3196" s="577">
        <v>9848109499</v>
      </c>
      <c r="I3196" s="577">
        <v>58</v>
      </c>
      <c r="J3196" s="577" t="s">
        <v>48</v>
      </c>
      <c r="K3196" s="577" t="s">
        <v>53</v>
      </c>
      <c r="L3196" s="571"/>
      <c r="M3196" s="683" t="s">
        <v>119</v>
      </c>
      <c r="N3196" s="767">
        <v>65047</v>
      </c>
      <c r="O3196" s="680"/>
      <c r="P3196" s="496">
        <v>65062</v>
      </c>
      <c r="Q3196" s="491" t="s">
        <v>51</v>
      </c>
    </row>
    <row r="3197" spans="1:17" ht="18">
      <c r="A3197" s="512">
        <f t="shared" si="42"/>
        <v>2350</v>
      </c>
      <c r="B3197" s="660" t="s">
        <v>43</v>
      </c>
      <c r="C3197" s="644" t="s">
        <v>44</v>
      </c>
      <c r="D3197" s="644" t="s">
        <v>45</v>
      </c>
      <c r="E3197" s="644" t="s">
        <v>3691</v>
      </c>
      <c r="F3197" s="644" t="s">
        <v>502</v>
      </c>
      <c r="G3197" s="577">
        <v>9847872040</v>
      </c>
      <c r="I3197" s="577">
        <v>33</v>
      </c>
      <c r="J3197" s="577" t="s">
        <v>90</v>
      </c>
      <c r="K3197" s="577" t="s">
        <v>1468</v>
      </c>
      <c r="L3197" s="571"/>
      <c r="M3197" s="683" t="s">
        <v>119</v>
      </c>
      <c r="N3197" s="767">
        <v>65047</v>
      </c>
      <c r="O3197" s="680">
        <v>65047</v>
      </c>
      <c r="P3197" s="496">
        <v>65062</v>
      </c>
      <c r="Q3197" s="491" t="s">
        <v>51</v>
      </c>
    </row>
    <row r="3198" spans="1:17" ht="18">
      <c r="A3198" s="512">
        <f t="shared" si="42"/>
        <v>2351</v>
      </c>
      <c r="B3198" s="660" t="s">
        <v>43</v>
      </c>
      <c r="C3198" s="644" t="s">
        <v>44</v>
      </c>
      <c r="D3198" s="644" t="s">
        <v>45</v>
      </c>
      <c r="E3198" s="644" t="s">
        <v>3692</v>
      </c>
      <c r="F3198" s="644" t="s">
        <v>502</v>
      </c>
      <c r="G3198" s="577">
        <v>9809572117</v>
      </c>
      <c r="I3198" s="577">
        <v>25</v>
      </c>
      <c r="J3198" s="577" t="s">
        <v>90</v>
      </c>
      <c r="K3198" s="577" t="s">
        <v>1480</v>
      </c>
      <c r="L3198" s="571"/>
      <c r="M3198" s="683" t="s">
        <v>119</v>
      </c>
      <c r="N3198" s="767">
        <v>65047</v>
      </c>
      <c r="O3198" s="680">
        <v>65047</v>
      </c>
      <c r="P3198" s="496">
        <v>65062</v>
      </c>
      <c r="Q3198" s="491" t="s">
        <v>51</v>
      </c>
    </row>
    <row r="3199" spans="1:17" ht="18">
      <c r="A3199" s="512">
        <f t="shared" si="42"/>
        <v>2352</v>
      </c>
      <c r="B3199" s="660" t="s">
        <v>43</v>
      </c>
      <c r="C3199" s="644" t="s">
        <v>44</v>
      </c>
      <c r="D3199" s="644" t="s">
        <v>45</v>
      </c>
      <c r="E3199" s="644" t="s">
        <v>3693</v>
      </c>
      <c r="F3199" s="644" t="s">
        <v>791</v>
      </c>
      <c r="G3199" s="577">
        <v>9857825485</v>
      </c>
      <c r="I3199" s="577">
        <v>32</v>
      </c>
      <c r="J3199" s="577" t="s">
        <v>90</v>
      </c>
      <c r="K3199" s="577" t="s">
        <v>53</v>
      </c>
      <c r="L3199" s="571"/>
      <c r="M3199" s="683" t="s">
        <v>119</v>
      </c>
      <c r="N3199" s="767">
        <v>65047</v>
      </c>
      <c r="O3199" s="680"/>
      <c r="P3199" s="496">
        <v>65062</v>
      </c>
      <c r="Q3199" s="491" t="s">
        <v>51</v>
      </c>
    </row>
    <row r="3200" spans="1:17" ht="18">
      <c r="A3200" s="512">
        <f t="shared" si="42"/>
        <v>2353</v>
      </c>
      <c r="B3200" s="660" t="s">
        <v>43</v>
      </c>
      <c r="C3200" s="644" t="s">
        <v>44</v>
      </c>
      <c r="D3200" s="644" t="s">
        <v>45</v>
      </c>
      <c r="E3200" s="644" t="s">
        <v>3694</v>
      </c>
      <c r="F3200" s="644" t="s">
        <v>502</v>
      </c>
      <c r="G3200" s="577">
        <v>9864660897</v>
      </c>
      <c r="I3200" s="577">
        <v>17</v>
      </c>
      <c r="J3200" s="577" t="s">
        <v>48</v>
      </c>
      <c r="K3200" s="577" t="s">
        <v>1468</v>
      </c>
      <c r="L3200" s="571"/>
      <c r="M3200" s="683" t="s">
        <v>119</v>
      </c>
      <c r="N3200" s="767">
        <v>65047</v>
      </c>
      <c r="O3200" s="680">
        <v>65047</v>
      </c>
      <c r="P3200" s="496">
        <v>65062</v>
      </c>
      <c r="Q3200" s="491" t="s">
        <v>51</v>
      </c>
    </row>
    <row r="3201" spans="1:17" ht="18">
      <c r="A3201" s="512">
        <f t="shared" si="42"/>
        <v>2354</v>
      </c>
      <c r="B3201" s="660" t="s">
        <v>43</v>
      </c>
      <c r="C3201" s="644" t="s">
        <v>44</v>
      </c>
      <c r="D3201" s="644" t="s">
        <v>45</v>
      </c>
      <c r="E3201" s="644" t="s">
        <v>3695</v>
      </c>
      <c r="F3201" s="644" t="s">
        <v>491</v>
      </c>
      <c r="G3201" s="577">
        <v>9847884229</v>
      </c>
      <c r="I3201" s="577">
        <v>60</v>
      </c>
      <c r="J3201" s="577" t="s">
        <v>90</v>
      </c>
      <c r="K3201" s="577" t="s">
        <v>1480</v>
      </c>
      <c r="L3201" s="571"/>
      <c r="M3201" s="683" t="s">
        <v>119</v>
      </c>
      <c r="N3201" s="767">
        <v>65047</v>
      </c>
      <c r="O3201" s="680">
        <v>65047</v>
      </c>
      <c r="P3201" s="496">
        <v>65062</v>
      </c>
      <c r="Q3201" s="491" t="s">
        <v>51</v>
      </c>
    </row>
    <row r="3202" spans="1:17" ht="18">
      <c r="A3202" s="512">
        <f t="shared" si="42"/>
        <v>2355</v>
      </c>
      <c r="B3202" s="660" t="s">
        <v>43</v>
      </c>
      <c r="C3202" s="644" t="s">
        <v>44</v>
      </c>
      <c r="D3202" s="644" t="s">
        <v>45</v>
      </c>
      <c r="E3202" s="644" t="s">
        <v>3696</v>
      </c>
      <c r="F3202" s="644" t="s">
        <v>502</v>
      </c>
      <c r="G3202" s="577">
        <v>9861449600</v>
      </c>
      <c r="I3202" s="577">
        <v>20</v>
      </c>
      <c r="J3202" s="577" t="s">
        <v>90</v>
      </c>
      <c r="K3202" s="577" t="s">
        <v>1468</v>
      </c>
      <c r="L3202" s="571"/>
      <c r="M3202" s="683" t="s">
        <v>119</v>
      </c>
      <c r="N3202" s="767">
        <v>65047</v>
      </c>
      <c r="O3202" s="680">
        <v>65047</v>
      </c>
      <c r="P3202" s="496">
        <v>65062</v>
      </c>
      <c r="Q3202" s="491" t="s">
        <v>51</v>
      </c>
    </row>
    <row r="3203" spans="1:17" ht="18">
      <c r="A3203" s="512">
        <f t="shared" si="42"/>
        <v>2356</v>
      </c>
      <c r="B3203" s="660" t="s">
        <v>43</v>
      </c>
      <c r="C3203" s="644" t="s">
        <v>44</v>
      </c>
      <c r="D3203" s="644" t="s">
        <v>45</v>
      </c>
      <c r="E3203" s="644" t="s">
        <v>3697</v>
      </c>
      <c r="F3203" s="644" t="s">
        <v>502</v>
      </c>
      <c r="G3203" s="577">
        <v>9848017525</v>
      </c>
      <c r="I3203" s="577">
        <v>36</v>
      </c>
      <c r="J3203" s="577" t="s">
        <v>48</v>
      </c>
      <c r="K3203" s="577" t="s">
        <v>1468</v>
      </c>
      <c r="L3203" s="571"/>
      <c r="M3203" s="683" t="s">
        <v>119</v>
      </c>
      <c r="N3203" s="767">
        <v>65047</v>
      </c>
      <c r="O3203" s="680">
        <v>65047</v>
      </c>
      <c r="P3203" s="496">
        <v>65062</v>
      </c>
      <c r="Q3203" s="491" t="s">
        <v>51</v>
      </c>
    </row>
    <row r="3204" spans="1:17" ht="18">
      <c r="A3204" s="512">
        <f t="shared" si="42"/>
        <v>2357</v>
      </c>
      <c r="B3204" s="660" t="s">
        <v>43</v>
      </c>
      <c r="C3204" s="644" t="s">
        <v>44</v>
      </c>
      <c r="D3204" s="644" t="s">
        <v>45</v>
      </c>
      <c r="E3204" s="644" t="s">
        <v>3698</v>
      </c>
      <c r="F3204" s="644" t="s">
        <v>491</v>
      </c>
      <c r="G3204" s="577">
        <v>9809516200</v>
      </c>
      <c r="I3204" s="577">
        <v>62</v>
      </c>
      <c r="J3204" s="577" t="s">
        <v>90</v>
      </c>
      <c r="K3204" s="577" t="s">
        <v>1480</v>
      </c>
      <c r="L3204" s="571"/>
      <c r="M3204" s="683" t="s">
        <v>119</v>
      </c>
      <c r="N3204" s="767">
        <v>65047</v>
      </c>
      <c r="O3204" s="680">
        <v>65047</v>
      </c>
      <c r="P3204" s="496">
        <v>65062</v>
      </c>
      <c r="Q3204" s="491" t="s">
        <v>51</v>
      </c>
    </row>
    <row r="3205" spans="1:17" ht="18">
      <c r="A3205" s="512">
        <f t="shared" si="42"/>
        <v>2358</v>
      </c>
      <c r="B3205" s="660" t="s">
        <v>43</v>
      </c>
      <c r="C3205" s="644" t="s">
        <v>44</v>
      </c>
      <c r="D3205" s="644" t="s">
        <v>45</v>
      </c>
      <c r="E3205" s="644" t="s">
        <v>3699</v>
      </c>
      <c r="F3205" s="644" t="s">
        <v>502</v>
      </c>
      <c r="G3205" s="577">
        <v>9864660897</v>
      </c>
      <c r="I3205" s="577">
        <v>9</v>
      </c>
      <c r="J3205" s="577" t="s">
        <v>90</v>
      </c>
      <c r="K3205" s="577" t="s">
        <v>1468</v>
      </c>
      <c r="L3205" s="571"/>
      <c r="M3205" s="683" t="s">
        <v>119</v>
      </c>
      <c r="N3205" s="767">
        <v>65047</v>
      </c>
      <c r="O3205" s="680">
        <v>65047</v>
      </c>
      <c r="P3205" s="496">
        <v>65062</v>
      </c>
      <c r="Q3205" s="491" t="s">
        <v>51</v>
      </c>
    </row>
    <row r="3206" spans="1:17" ht="18">
      <c r="A3206" s="512">
        <f t="shared" si="42"/>
        <v>2359</v>
      </c>
      <c r="B3206" s="660" t="s">
        <v>43</v>
      </c>
      <c r="C3206" s="644" t="s">
        <v>44</v>
      </c>
      <c r="D3206" s="644" t="s">
        <v>45</v>
      </c>
      <c r="E3206" s="644" t="s">
        <v>3700</v>
      </c>
      <c r="F3206" s="644" t="s">
        <v>502</v>
      </c>
      <c r="G3206" s="577">
        <v>9847945877</v>
      </c>
      <c r="I3206" s="577">
        <v>42</v>
      </c>
      <c r="J3206" s="577" t="s">
        <v>48</v>
      </c>
      <c r="K3206" s="577" t="s">
        <v>1468</v>
      </c>
      <c r="L3206" s="571"/>
      <c r="M3206" s="683" t="s">
        <v>119</v>
      </c>
      <c r="N3206" s="767">
        <v>65047</v>
      </c>
      <c r="O3206" s="680">
        <v>65047</v>
      </c>
      <c r="P3206" s="496">
        <v>65062</v>
      </c>
      <c r="Q3206" s="491" t="s">
        <v>51</v>
      </c>
    </row>
    <row r="3207" spans="1:17" ht="18">
      <c r="A3207" s="512">
        <f t="shared" si="42"/>
        <v>2360</v>
      </c>
      <c r="B3207" s="660" t="s">
        <v>43</v>
      </c>
      <c r="C3207" s="644" t="s">
        <v>44</v>
      </c>
      <c r="D3207" s="651" t="s">
        <v>45</v>
      </c>
      <c r="E3207" s="644" t="s">
        <v>3701</v>
      </c>
      <c r="F3207" s="644" t="s">
        <v>502</v>
      </c>
      <c r="G3207" s="577">
        <v>9847833206</v>
      </c>
      <c r="I3207" s="577">
        <v>50</v>
      </c>
      <c r="J3207" s="577" t="s">
        <v>90</v>
      </c>
      <c r="K3207" s="577" t="s">
        <v>1468</v>
      </c>
      <c r="L3207" s="571"/>
      <c r="M3207" s="683" t="s">
        <v>119</v>
      </c>
      <c r="N3207" s="767">
        <v>65047</v>
      </c>
      <c r="O3207" s="680">
        <v>65047</v>
      </c>
      <c r="P3207" s="496">
        <v>65062</v>
      </c>
      <c r="Q3207" s="491" t="s">
        <v>51</v>
      </c>
    </row>
    <row r="3208" spans="1:17" ht="18">
      <c r="A3208" s="512">
        <f t="shared" si="42"/>
        <v>2361</v>
      </c>
      <c r="B3208" s="660" t="s">
        <v>43</v>
      </c>
      <c r="C3208" s="644" t="s">
        <v>44</v>
      </c>
      <c r="D3208" s="644" t="s">
        <v>45</v>
      </c>
      <c r="E3208" s="644" t="s">
        <v>3702</v>
      </c>
      <c r="F3208" s="644" t="s">
        <v>502</v>
      </c>
      <c r="G3208" s="577">
        <v>9847910916</v>
      </c>
      <c r="I3208" s="577">
        <v>50</v>
      </c>
      <c r="J3208" s="577" t="s">
        <v>48</v>
      </c>
      <c r="K3208" s="577" t="s">
        <v>1468</v>
      </c>
      <c r="L3208" s="571"/>
      <c r="M3208" s="683" t="s">
        <v>119</v>
      </c>
      <c r="N3208" s="767">
        <v>65047</v>
      </c>
      <c r="O3208" s="680">
        <v>65047</v>
      </c>
      <c r="P3208" s="496">
        <v>65062</v>
      </c>
      <c r="Q3208" s="491" t="s">
        <v>51</v>
      </c>
    </row>
    <row r="3209" spans="1:17" ht="18">
      <c r="A3209" s="512">
        <f t="shared" si="42"/>
        <v>2362</v>
      </c>
      <c r="B3209" s="660" t="s">
        <v>43</v>
      </c>
      <c r="C3209" s="644" t="s">
        <v>44</v>
      </c>
      <c r="D3209" s="644" t="s">
        <v>45</v>
      </c>
      <c r="E3209" s="644" t="s">
        <v>3703</v>
      </c>
      <c r="F3209" s="644" t="s">
        <v>502</v>
      </c>
      <c r="G3209" s="577">
        <v>9868115089</v>
      </c>
      <c r="I3209" s="577">
        <v>48</v>
      </c>
      <c r="J3209" s="577" t="s">
        <v>48</v>
      </c>
      <c r="K3209" s="577" t="s">
        <v>1468</v>
      </c>
      <c r="L3209" s="571"/>
      <c r="M3209" s="683" t="s">
        <v>119</v>
      </c>
      <c r="N3209" s="767">
        <v>65047</v>
      </c>
      <c r="O3209" s="680">
        <v>65047</v>
      </c>
      <c r="P3209" s="496">
        <v>65062</v>
      </c>
      <c r="Q3209" s="491" t="s">
        <v>51</v>
      </c>
    </row>
    <row r="3210" spans="1:17" ht="18">
      <c r="A3210" s="512">
        <f t="shared" si="42"/>
        <v>2363</v>
      </c>
      <c r="B3210" s="660" t="s">
        <v>43</v>
      </c>
      <c r="C3210" s="644" t="s">
        <v>44</v>
      </c>
      <c r="D3210" s="644" t="s">
        <v>45</v>
      </c>
      <c r="E3210" s="644" t="s">
        <v>3704</v>
      </c>
      <c r="F3210" s="644" t="s">
        <v>502</v>
      </c>
      <c r="G3210" s="577">
        <v>9847956027</v>
      </c>
      <c r="I3210" s="577">
        <v>33</v>
      </c>
      <c r="J3210" s="577" t="s">
        <v>48</v>
      </c>
      <c r="K3210" s="577" t="s">
        <v>1468</v>
      </c>
      <c r="L3210" s="571"/>
      <c r="M3210" s="683" t="s">
        <v>119</v>
      </c>
      <c r="N3210" s="767">
        <v>65047</v>
      </c>
      <c r="O3210" s="680">
        <v>65047</v>
      </c>
      <c r="P3210" s="496">
        <v>65062</v>
      </c>
      <c r="Q3210" s="491" t="s">
        <v>51</v>
      </c>
    </row>
    <row r="3211" spans="1:17" ht="18">
      <c r="A3211" s="512">
        <f t="shared" si="42"/>
        <v>2364</v>
      </c>
      <c r="B3211" s="660" t="s">
        <v>43</v>
      </c>
      <c r="C3211" s="644" t="s">
        <v>44</v>
      </c>
      <c r="D3211" s="644" t="s">
        <v>45</v>
      </c>
      <c r="E3211" s="644" t="s">
        <v>3705</v>
      </c>
      <c r="F3211" s="644" t="s">
        <v>1008</v>
      </c>
      <c r="G3211" s="577">
        <v>9848129070</v>
      </c>
      <c r="I3211" s="577">
        <v>25</v>
      </c>
      <c r="J3211" s="577" t="s">
        <v>90</v>
      </c>
      <c r="K3211" s="577" t="s">
        <v>53</v>
      </c>
      <c r="L3211" s="571"/>
      <c r="M3211" s="683" t="s">
        <v>119</v>
      </c>
      <c r="N3211" s="767">
        <v>65047</v>
      </c>
      <c r="O3211" s="680"/>
      <c r="P3211" s="496">
        <v>65062</v>
      </c>
      <c r="Q3211" s="491" t="s">
        <v>51</v>
      </c>
    </row>
    <row r="3212" spans="1:17" ht="18">
      <c r="A3212" s="512">
        <f t="shared" si="42"/>
        <v>2365</v>
      </c>
      <c r="B3212" s="660" t="s">
        <v>43</v>
      </c>
      <c r="C3212" s="644" t="s">
        <v>44</v>
      </c>
      <c r="D3212" s="644" t="s">
        <v>45</v>
      </c>
      <c r="E3212" s="644" t="s">
        <v>3706</v>
      </c>
      <c r="F3212" s="644" t="s">
        <v>636</v>
      </c>
      <c r="G3212" s="577">
        <v>9864794482</v>
      </c>
      <c r="I3212" s="577">
        <v>31</v>
      </c>
      <c r="J3212" s="577" t="s">
        <v>90</v>
      </c>
      <c r="K3212" s="577" t="s">
        <v>53</v>
      </c>
      <c r="L3212" s="571"/>
      <c r="M3212" s="683" t="s">
        <v>119</v>
      </c>
      <c r="N3212" s="767">
        <v>65047</v>
      </c>
      <c r="O3212" s="680"/>
      <c r="P3212" s="496">
        <v>65062</v>
      </c>
      <c r="Q3212" s="491" t="s">
        <v>51</v>
      </c>
    </row>
    <row r="3213" spans="1:17" ht="18">
      <c r="A3213" s="512">
        <f t="shared" si="42"/>
        <v>2366</v>
      </c>
      <c r="B3213" s="660" t="s">
        <v>43</v>
      </c>
      <c r="C3213" s="644" t="s">
        <v>44</v>
      </c>
      <c r="D3213" s="644" t="s">
        <v>45</v>
      </c>
      <c r="E3213" s="644" t="s">
        <v>3707</v>
      </c>
      <c r="F3213" s="644" t="s">
        <v>491</v>
      </c>
      <c r="G3213" s="577">
        <v>9847911111</v>
      </c>
      <c r="I3213" s="577">
        <v>35</v>
      </c>
      <c r="J3213" s="577" t="s">
        <v>90</v>
      </c>
      <c r="K3213" s="577" t="s">
        <v>1480</v>
      </c>
      <c r="L3213" s="571"/>
      <c r="M3213" s="683" t="s">
        <v>119</v>
      </c>
      <c r="N3213" s="767">
        <v>65047</v>
      </c>
      <c r="O3213" s="680">
        <v>65047</v>
      </c>
      <c r="P3213" s="496">
        <v>65062</v>
      </c>
      <c r="Q3213" s="491" t="s">
        <v>51</v>
      </c>
    </row>
    <row r="3214" spans="1:17" ht="18">
      <c r="A3214" s="512">
        <f t="shared" si="42"/>
        <v>2367</v>
      </c>
      <c r="B3214" s="660" t="s">
        <v>43</v>
      </c>
      <c r="C3214" s="644" t="s">
        <v>44</v>
      </c>
      <c r="D3214" s="644" t="s">
        <v>45</v>
      </c>
      <c r="E3214" s="644" t="s">
        <v>3708</v>
      </c>
      <c r="F3214" s="644" t="s">
        <v>491</v>
      </c>
      <c r="G3214" s="577">
        <v>9850000000</v>
      </c>
      <c r="I3214" s="577">
        <v>43</v>
      </c>
      <c r="J3214" s="577" t="s">
        <v>48</v>
      </c>
      <c r="K3214" s="577" t="s">
        <v>1480</v>
      </c>
      <c r="L3214" s="571"/>
      <c r="M3214" s="683" t="s">
        <v>119</v>
      </c>
      <c r="N3214" s="767">
        <v>65047</v>
      </c>
      <c r="O3214" s="680">
        <v>65047</v>
      </c>
      <c r="P3214" s="496">
        <v>65062</v>
      </c>
      <c r="Q3214" s="491" t="s">
        <v>51</v>
      </c>
    </row>
    <row r="3215" spans="1:17" ht="18">
      <c r="A3215" s="512">
        <f t="shared" si="42"/>
        <v>2368</v>
      </c>
      <c r="B3215" s="660" t="s">
        <v>43</v>
      </c>
      <c r="C3215" s="644" t="s">
        <v>44</v>
      </c>
      <c r="D3215" s="644" t="s">
        <v>45</v>
      </c>
      <c r="E3215" s="644" t="s">
        <v>3709</v>
      </c>
      <c r="F3215" s="644" t="s">
        <v>491</v>
      </c>
      <c r="G3215" s="577">
        <v>9847831032</v>
      </c>
      <c r="I3215" s="577">
        <v>18</v>
      </c>
      <c r="J3215" s="577" t="s">
        <v>90</v>
      </c>
      <c r="K3215" s="577" t="s">
        <v>1468</v>
      </c>
      <c r="L3215" s="571"/>
      <c r="M3215" s="685" t="s">
        <v>119</v>
      </c>
      <c r="N3215" s="767">
        <v>65048</v>
      </c>
      <c r="O3215" s="680">
        <v>65048</v>
      </c>
      <c r="P3215" s="541">
        <v>65063</v>
      </c>
      <c r="Q3215" s="533" t="s">
        <v>51</v>
      </c>
    </row>
    <row r="3216" spans="1:17" ht="18">
      <c r="A3216" s="512">
        <f t="shared" si="42"/>
        <v>2369</v>
      </c>
      <c r="B3216" s="660" t="s">
        <v>43</v>
      </c>
      <c r="C3216" s="644" t="s">
        <v>44</v>
      </c>
      <c r="D3216" s="651" t="s">
        <v>45</v>
      </c>
      <c r="E3216" s="644" t="s">
        <v>3710</v>
      </c>
      <c r="F3216" s="644" t="s">
        <v>502</v>
      </c>
      <c r="G3216" s="577">
        <v>9857820623</v>
      </c>
      <c r="I3216" s="577">
        <v>17</v>
      </c>
      <c r="J3216" s="577" t="s">
        <v>90</v>
      </c>
      <c r="K3216" s="577" t="s">
        <v>1468</v>
      </c>
      <c r="L3216" s="571"/>
      <c r="M3216" s="685" t="s">
        <v>119</v>
      </c>
      <c r="N3216" s="767">
        <v>65048</v>
      </c>
      <c r="O3216" s="680">
        <v>65048</v>
      </c>
      <c r="P3216" s="541">
        <v>65063</v>
      </c>
      <c r="Q3216" s="533" t="s">
        <v>51</v>
      </c>
    </row>
    <row r="3217" spans="1:17" ht="18">
      <c r="A3217" s="512">
        <f t="shared" si="42"/>
        <v>2370</v>
      </c>
      <c r="B3217" s="660" t="s">
        <v>43</v>
      </c>
      <c r="C3217" s="644" t="s">
        <v>44</v>
      </c>
      <c r="D3217" s="644" t="s">
        <v>45</v>
      </c>
      <c r="E3217" s="644" t="s">
        <v>3711</v>
      </c>
      <c r="F3217" s="644" t="s">
        <v>502</v>
      </c>
      <c r="G3217" s="577"/>
      <c r="I3217" s="577">
        <v>47</v>
      </c>
      <c r="J3217" s="577" t="s">
        <v>48</v>
      </c>
      <c r="K3217" s="577" t="s">
        <v>53</v>
      </c>
      <c r="L3217" s="571"/>
      <c r="M3217" s="685" t="s">
        <v>119</v>
      </c>
      <c r="N3217" s="767">
        <v>65048</v>
      </c>
      <c r="O3217" s="680">
        <v>65048</v>
      </c>
      <c r="P3217" s="541">
        <v>65063</v>
      </c>
      <c r="Q3217" s="533" t="s">
        <v>51</v>
      </c>
    </row>
    <row r="3218" spans="1:17" ht="18">
      <c r="A3218" s="512">
        <f t="shared" ref="A3218:A3281" si="43">A3217+1</f>
        <v>2371</v>
      </c>
      <c r="B3218" s="660" t="s">
        <v>43</v>
      </c>
      <c r="C3218" s="644" t="s">
        <v>44</v>
      </c>
      <c r="D3218" s="644" t="s">
        <v>45</v>
      </c>
      <c r="E3218" s="644" t="s">
        <v>3712</v>
      </c>
      <c r="F3218" s="644" t="s">
        <v>441</v>
      </c>
      <c r="G3218" s="577">
        <v>9868663656</v>
      </c>
      <c r="I3218" s="577">
        <v>54</v>
      </c>
      <c r="J3218" s="577" t="s">
        <v>48</v>
      </c>
      <c r="K3218" s="577" t="s">
        <v>1468</v>
      </c>
      <c r="L3218" s="571"/>
      <c r="M3218" s="685" t="s">
        <v>119</v>
      </c>
      <c r="N3218" s="767">
        <v>65048</v>
      </c>
      <c r="O3218" s="680">
        <v>65048</v>
      </c>
      <c r="P3218" s="541">
        <v>65063</v>
      </c>
      <c r="Q3218" s="533" t="s">
        <v>51</v>
      </c>
    </row>
    <row r="3219" spans="1:17" ht="18">
      <c r="A3219" s="512">
        <f t="shared" si="43"/>
        <v>2372</v>
      </c>
      <c r="B3219" s="660" t="s">
        <v>43</v>
      </c>
      <c r="C3219" s="644" t="s">
        <v>44</v>
      </c>
      <c r="D3219" s="644" t="s">
        <v>45</v>
      </c>
      <c r="E3219" s="644" t="s">
        <v>3713</v>
      </c>
      <c r="F3219" s="644" t="s">
        <v>441</v>
      </c>
      <c r="G3219" s="577">
        <v>9809826528</v>
      </c>
      <c r="I3219" s="577">
        <v>28</v>
      </c>
      <c r="J3219" s="577" t="s">
        <v>90</v>
      </c>
      <c r="K3219" s="577" t="s">
        <v>1468</v>
      </c>
      <c r="L3219" s="571"/>
      <c r="M3219" s="685" t="s">
        <v>119</v>
      </c>
      <c r="N3219" s="767">
        <v>65048</v>
      </c>
      <c r="O3219" s="680">
        <v>65048</v>
      </c>
      <c r="P3219" s="541">
        <v>65063</v>
      </c>
      <c r="Q3219" s="533" t="s">
        <v>51</v>
      </c>
    </row>
    <row r="3220" spans="1:17" ht="18">
      <c r="A3220" s="512">
        <f t="shared" si="43"/>
        <v>2373</v>
      </c>
      <c r="B3220" s="660" t="s">
        <v>43</v>
      </c>
      <c r="C3220" s="644" t="s">
        <v>44</v>
      </c>
      <c r="D3220" s="644" t="s">
        <v>45</v>
      </c>
      <c r="E3220" s="644" t="s">
        <v>3714</v>
      </c>
      <c r="F3220" s="644" t="s">
        <v>529</v>
      </c>
      <c r="G3220" s="577">
        <v>9813156687</v>
      </c>
      <c r="I3220" s="577">
        <v>48</v>
      </c>
      <c r="J3220" s="577" t="s">
        <v>48</v>
      </c>
      <c r="K3220" s="577" t="s">
        <v>1468</v>
      </c>
      <c r="L3220" s="571"/>
      <c r="M3220" s="685" t="s">
        <v>119</v>
      </c>
      <c r="N3220" s="767">
        <v>65048</v>
      </c>
      <c r="O3220" s="680">
        <v>65048</v>
      </c>
      <c r="P3220" s="541">
        <v>65063</v>
      </c>
      <c r="Q3220" s="533" t="s">
        <v>51</v>
      </c>
    </row>
    <row r="3221" spans="1:17" ht="18">
      <c r="A3221" s="512">
        <f t="shared" si="43"/>
        <v>2374</v>
      </c>
      <c r="B3221" s="660" t="s">
        <v>43</v>
      </c>
      <c r="C3221" s="644" t="s">
        <v>44</v>
      </c>
      <c r="D3221" s="644" t="s">
        <v>45</v>
      </c>
      <c r="E3221" s="644" t="s">
        <v>3715</v>
      </c>
      <c r="F3221" s="644" t="s">
        <v>491</v>
      </c>
      <c r="G3221" s="577">
        <v>9847855166</v>
      </c>
      <c r="I3221" s="577">
        <v>67</v>
      </c>
      <c r="J3221" s="577" t="s">
        <v>90</v>
      </c>
      <c r="K3221" s="577" t="s">
        <v>1468</v>
      </c>
      <c r="L3221" s="571"/>
      <c r="M3221" s="685" t="s">
        <v>119</v>
      </c>
      <c r="N3221" s="767">
        <v>65048</v>
      </c>
      <c r="O3221" s="680">
        <v>65048</v>
      </c>
      <c r="P3221" s="541">
        <v>65063</v>
      </c>
      <c r="Q3221" s="533" t="s">
        <v>51</v>
      </c>
    </row>
    <row r="3222" spans="1:17" ht="18">
      <c r="A3222" s="512">
        <f t="shared" si="43"/>
        <v>2375</v>
      </c>
      <c r="B3222" s="660" t="s">
        <v>43</v>
      </c>
      <c r="C3222" s="644" t="s">
        <v>44</v>
      </c>
      <c r="D3222" s="644" t="s">
        <v>45</v>
      </c>
      <c r="E3222" s="644" t="s">
        <v>3716</v>
      </c>
      <c r="F3222" s="644" t="s">
        <v>1008</v>
      </c>
      <c r="G3222" s="577">
        <v>9841395208</v>
      </c>
      <c r="I3222" s="577">
        <v>39</v>
      </c>
      <c r="J3222" s="577" t="s">
        <v>48</v>
      </c>
      <c r="K3222" s="577" t="s">
        <v>1468</v>
      </c>
      <c r="L3222" s="571"/>
      <c r="M3222" s="685" t="s">
        <v>119</v>
      </c>
      <c r="N3222" s="767">
        <v>65048</v>
      </c>
      <c r="O3222" s="680">
        <v>65048</v>
      </c>
      <c r="P3222" s="541">
        <v>65063</v>
      </c>
      <c r="Q3222" s="533" t="s">
        <v>51</v>
      </c>
    </row>
    <row r="3223" spans="1:17" ht="18">
      <c r="A3223" s="512">
        <f t="shared" si="43"/>
        <v>2376</v>
      </c>
      <c r="B3223" s="660" t="s">
        <v>43</v>
      </c>
      <c r="C3223" s="644" t="s">
        <v>44</v>
      </c>
      <c r="D3223" s="651" t="s">
        <v>45</v>
      </c>
      <c r="E3223" s="644" t="s">
        <v>1702</v>
      </c>
      <c r="F3223" s="644" t="s">
        <v>502</v>
      </c>
      <c r="G3223" s="577">
        <v>9848021244</v>
      </c>
      <c r="I3223" s="577">
        <v>53</v>
      </c>
      <c r="J3223" s="577" t="s">
        <v>90</v>
      </c>
      <c r="K3223" s="577" t="s">
        <v>345</v>
      </c>
      <c r="L3223" s="571"/>
      <c r="M3223" s="685" t="s">
        <v>119</v>
      </c>
      <c r="N3223" s="767">
        <v>65048</v>
      </c>
      <c r="O3223" s="680">
        <v>65048</v>
      </c>
      <c r="P3223" s="541">
        <v>65063</v>
      </c>
      <c r="Q3223" s="533" t="s">
        <v>51</v>
      </c>
    </row>
    <row r="3224" spans="1:17" ht="18">
      <c r="A3224" s="512">
        <f t="shared" si="43"/>
        <v>2377</v>
      </c>
      <c r="B3224" s="660" t="s">
        <v>43</v>
      </c>
      <c r="C3224" s="644" t="s">
        <v>44</v>
      </c>
      <c r="D3224" s="651" t="s">
        <v>45</v>
      </c>
      <c r="E3224" s="644" t="s">
        <v>2888</v>
      </c>
      <c r="F3224" s="644" t="s">
        <v>1009</v>
      </c>
      <c r="G3224" s="577">
        <v>9857820232</v>
      </c>
      <c r="I3224" s="577">
        <v>75</v>
      </c>
      <c r="J3224" s="577" t="s">
        <v>48</v>
      </c>
      <c r="K3224" s="577" t="s">
        <v>1468</v>
      </c>
      <c r="L3224" s="571"/>
      <c r="M3224" s="685" t="s">
        <v>119</v>
      </c>
      <c r="N3224" s="767">
        <v>65048</v>
      </c>
      <c r="O3224" s="680">
        <v>65048</v>
      </c>
      <c r="P3224" s="541">
        <v>65063</v>
      </c>
      <c r="Q3224" s="533" t="s">
        <v>51</v>
      </c>
    </row>
    <row r="3225" spans="1:17" ht="18">
      <c r="A3225" s="512">
        <f t="shared" si="43"/>
        <v>2378</v>
      </c>
      <c r="B3225" s="660" t="s">
        <v>43</v>
      </c>
      <c r="C3225" s="644" t="s">
        <v>44</v>
      </c>
      <c r="D3225" s="644" t="s">
        <v>45</v>
      </c>
      <c r="E3225" s="644" t="s">
        <v>3717</v>
      </c>
      <c r="F3225" s="644" t="s">
        <v>598</v>
      </c>
      <c r="G3225" s="577">
        <v>9868920330</v>
      </c>
      <c r="I3225" s="577">
        <v>33</v>
      </c>
      <c r="J3225" s="577" t="s">
        <v>90</v>
      </c>
      <c r="K3225" s="577" t="s">
        <v>1468</v>
      </c>
      <c r="L3225" s="571"/>
      <c r="M3225" s="685" t="s">
        <v>119</v>
      </c>
      <c r="N3225" s="767">
        <v>65048</v>
      </c>
      <c r="O3225" s="680">
        <v>65048</v>
      </c>
      <c r="P3225" s="541">
        <v>65063</v>
      </c>
      <c r="Q3225" s="533" t="s">
        <v>51</v>
      </c>
    </row>
    <row r="3226" spans="1:17" ht="18">
      <c r="A3226" s="512">
        <f t="shared" si="43"/>
        <v>2379</v>
      </c>
      <c r="B3226" s="660" t="s">
        <v>43</v>
      </c>
      <c r="C3226" s="644" t="s">
        <v>44</v>
      </c>
      <c r="D3226" s="651" t="s">
        <v>45</v>
      </c>
      <c r="E3226" s="644" t="s">
        <v>3622</v>
      </c>
      <c r="F3226" s="644" t="s">
        <v>441</v>
      </c>
      <c r="G3226" s="577">
        <v>9810803495</v>
      </c>
      <c r="I3226" s="577">
        <v>20</v>
      </c>
      <c r="J3226" s="577" t="s">
        <v>48</v>
      </c>
      <c r="K3226" s="577" t="s">
        <v>1468</v>
      </c>
      <c r="L3226" s="571"/>
      <c r="M3226" s="685" t="s">
        <v>119</v>
      </c>
      <c r="N3226" s="767">
        <v>65048</v>
      </c>
      <c r="O3226" s="680">
        <v>65048</v>
      </c>
      <c r="P3226" s="541">
        <v>65063</v>
      </c>
      <c r="Q3226" s="533" t="s">
        <v>51</v>
      </c>
    </row>
    <row r="3227" spans="1:17" ht="18">
      <c r="A3227" s="512">
        <f t="shared" si="43"/>
        <v>2380</v>
      </c>
      <c r="B3227" s="660" t="s">
        <v>43</v>
      </c>
      <c r="C3227" s="644" t="s">
        <v>44</v>
      </c>
      <c r="D3227" s="644" t="s">
        <v>45</v>
      </c>
      <c r="E3227" s="644" t="s">
        <v>3718</v>
      </c>
      <c r="F3227" s="644" t="s">
        <v>491</v>
      </c>
      <c r="G3227" s="577">
        <v>9818195225</v>
      </c>
      <c r="I3227" s="577">
        <v>49</v>
      </c>
      <c r="J3227" s="577" t="s">
        <v>48</v>
      </c>
      <c r="K3227" s="577" t="s">
        <v>1468</v>
      </c>
      <c r="L3227" s="571"/>
      <c r="M3227" s="685" t="s">
        <v>119</v>
      </c>
      <c r="N3227" s="767">
        <v>65048</v>
      </c>
      <c r="O3227" s="680">
        <v>65048</v>
      </c>
      <c r="P3227" s="541">
        <v>65063</v>
      </c>
      <c r="Q3227" s="533" t="s">
        <v>51</v>
      </c>
    </row>
    <row r="3228" spans="1:17" ht="18">
      <c r="A3228" s="512">
        <f t="shared" si="43"/>
        <v>2381</v>
      </c>
      <c r="B3228" s="660" t="s">
        <v>43</v>
      </c>
      <c r="C3228" s="644" t="s">
        <v>44</v>
      </c>
      <c r="D3228" s="651" t="s">
        <v>45</v>
      </c>
      <c r="E3228" s="644" t="s">
        <v>3719</v>
      </c>
      <c r="F3228" s="644" t="s">
        <v>491</v>
      </c>
      <c r="G3228" s="577">
        <v>9847830248</v>
      </c>
      <c r="I3228" s="577">
        <v>56</v>
      </c>
      <c r="J3228" s="577" t="s">
        <v>48</v>
      </c>
      <c r="K3228" s="577" t="s">
        <v>1468</v>
      </c>
      <c r="L3228" s="571"/>
      <c r="M3228" s="685" t="s">
        <v>119</v>
      </c>
      <c r="N3228" s="767">
        <v>65048</v>
      </c>
      <c r="O3228" s="680">
        <v>65048</v>
      </c>
      <c r="P3228" s="541">
        <v>65063</v>
      </c>
      <c r="Q3228" s="533" t="s">
        <v>51</v>
      </c>
    </row>
    <row r="3229" spans="1:17" ht="18">
      <c r="A3229" s="512">
        <f t="shared" si="43"/>
        <v>2382</v>
      </c>
      <c r="B3229" s="860" t="s">
        <v>43</v>
      </c>
      <c r="C3229" s="698" t="s">
        <v>44</v>
      </c>
      <c r="D3229" s="698" t="s">
        <v>45</v>
      </c>
      <c r="E3229" s="698" t="s">
        <v>3720</v>
      </c>
      <c r="F3229" s="698" t="s">
        <v>124</v>
      </c>
      <c r="G3229" s="699">
        <v>9806207574</v>
      </c>
      <c r="H3229" s="527"/>
      <c r="I3229" s="699">
        <v>50</v>
      </c>
      <c r="J3229" s="699" t="s">
        <v>90</v>
      </c>
      <c r="K3229" s="699" t="s">
        <v>1468</v>
      </c>
      <c r="L3229" s="699"/>
      <c r="M3229" s="1054" t="s">
        <v>4449</v>
      </c>
      <c r="N3229" s="1055">
        <v>65048</v>
      </c>
      <c r="O3229" s="1056">
        <v>65048</v>
      </c>
      <c r="P3229" s="476">
        <v>65063</v>
      </c>
      <c r="Q3229" s="422" t="s">
        <v>940</v>
      </c>
    </row>
    <row r="3230" spans="1:17" ht="18">
      <c r="A3230" s="512">
        <f t="shared" si="43"/>
        <v>2383</v>
      </c>
      <c r="B3230" s="660" t="s">
        <v>43</v>
      </c>
      <c r="C3230" s="644" t="s">
        <v>44</v>
      </c>
      <c r="D3230" s="644" t="s">
        <v>45</v>
      </c>
      <c r="E3230" s="644" t="s">
        <v>3721</v>
      </c>
      <c r="F3230" s="644" t="s">
        <v>441</v>
      </c>
      <c r="G3230" s="577">
        <v>9847816444</v>
      </c>
      <c r="I3230" s="577">
        <v>44</v>
      </c>
      <c r="J3230" s="577" t="s">
        <v>48</v>
      </c>
      <c r="K3230" s="577" t="s">
        <v>1468</v>
      </c>
      <c r="L3230" s="571"/>
      <c r="M3230" s="685" t="s">
        <v>119</v>
      </c>
      <c r="N3230" s="767">
        <v>65048</v>
      </c>
      <c r="O3230" s="680">
        <v>65048</v>
      </c>
      <c r="P3230" s="541">
        <v>65063</v>
      </c>
      <c r="Q3230" s="533" t="s">
        <v>51</v>
      </c>
    </row>
    <row r="3231" spans="1:17" ht="18">
      <c r="A3231" s="512">
        <f t="shared" si="43"/>
        <v>2384</v>
      </c>
      <c r="B3231" s="660" t="s">
        <v>43</v>
      </c>
      <c r="C3231" s="644" t="s">
        <v>44</v>
      </c>
      <c r="D3231" s="651" t="s">
        <v>45</v>
      </c>
      <c r="E3231" s="644" t="s">
        <v>2380</v>
      </c>
      <c r="F3231" s="644" t="s">
        <v>512</v>
      </c>
      <c r="G3231" s="577">
        <v>9845454646</v>
      </c>
      <c r="I3231" s="577">
        <v>44</v>
      </c>
      <c r="J3231" s="577" t="s">
        <v>90</v>
      </c>
      <c r="K3231" s="577" t="s">
        <v>1468</v>
      </c>
      <c r="L3231" s="571"/>
      <c r="M3231" s="685" t="s">
        <v>119</v>
      </c>
      <c r="N3231" s="767">
        <v>65048</v>
      </c>
      <c r="O3231" s="680">
        <v>65048</v>
      </c>
      <c r="P3231" s="541">
        <v>65063</v>
      </c>
      <c r="Q3231" s="533" t="s">
        <v>51</v>
      </c>
    </row>
    <row r="3232" spans="1:17" ht="18">
      <c r="A3232" s="512">
        <f t="shared" si="43"/>
        <v>2385</v>
      </c>
      <c r="B3232" s="660" t="s">
        <v>43</v>
      </c>
      <c r="C3232" s="644" t="s">
        <v>44</v>
      </c>
      <c r="D3232" s="651" t="s">
        <v>45</v>
      </c>
      <c r="E3232" s="644" t="s">
        <v>3722</v>
      </c>
      <c r="F3232" s="644" t="s">
        <v>491</v>
      </c>
      <c r="G3232" s="577">
        <v>9868086584</v>
      </c>
      <c r="I3232" s="577">
        <v>40</v>
      </c>
      <c r="J3232" s="577" t="s">
        <v>48</v>
      </c>
      <c r="K3232" s="577" t="s">
        <v>1468</v>
      </c>
      <c r="L3232" s="571"/>
      <c r="M3232" s="685" t="s">
        <v>119</v>
      </c>
      <c r="N3232" s="767">
        <v>65048</v>
      </c>
      <c r="O3232" s="680">
        <v>65048</v>
      </c>
      <c r="P3232" s="541">
        <v>65063</v>
      </c>
      <c r="Q3232" s="533" t="s">
        <v>51</v>
      </c>
    </row>
    <row r="3233" spans="1:17" ht="18">
      <c r="A3233" s="512">
        <f t="shared" si="43"/>
        <v>2386</v>
      </c>
      <c r="B3233" s="660" t="s">
        <v>43</v>
      </c>
      <c r="C3233" s="644" t="s">
        <v>44</v>
      </c>
      <c r="D3233" s="644" t="s">
        <v>45</v>
      </c>
      <c r="E3233" s="644" t="s">
        <v>3723</v>
      </c>
      <c r="F3233" s="644" t="s">
        <v>1046</v>
      </c>
      <c r="G3233" s="577">
        <v>9806258183</v>
      </c>
      <c r="I3233" s="577">
        <v>30</v>
      </c>
      <c r="J3233" s="577" t="s">
        <v>48</v>
      </c>
      <c r="K3233" s="577" t="s">
        <v>1468</v>
      </c>
      <c r="L3233" s="571"/>
      <c r="M3233" s="685" t="s">
        <v>119</v>
      </c>
      <c r="N3233" s="767">
        <v>65048</v>
      </c>
      <c r="O3233" s="680">
        <v>65048</v>
      </c>
      <c r="P3233" s="541">
        <v>65063</v>
      </c>
      <c r="Q3233" s="533" t="s">
        <v>51</v>
      </c>
    </row>
    <row r="3234" spans="1:17" ht="18">
      <c r="A3234" s="512">
        <f t="shared" si="43"/>
        <v>2387</v>
      </c>
      <c r="B3234" s="660" t="s">
        <v>43</v>
      </c>
      <c r="C3234" s="644" t="s">
        <v>44</v>
      </c>
      <c r="D3234" s="644" t="s">
        <v>45</v>
      </c>
      <c r="E3234" s="644" t="s">
        <v>1730</v>
      </c>
      <c r="F3234" s="644" t="s">
        <v>529</v>
      </c>
      <c r="G3234" s="577">
        <v>9803069835</v>
      </c>
      <c r="I3234" s="577">
        <v>43</v>
      </c>
      <c r="J3234" s="577" t="s">
        <v>48</v>
      </c>
      <c r="K3234" s="577" t="s">
        <v>1468</v>
      </c>
      <c r="L3234" s="571"/>
      <c r="M3234" s="685" t="s">
        <v>119</v>
      </c>
      <c r="N3234" s="767">
        <v>65048</v>
      </c>
      <c r="O3234" s="680">
        <v>65048</v>
      </c>
      <c r="P3234" s="541">
        <v>65063</v>
      </c>
      <c r="Q3234" s="533" t="s">
        <v>51</v>
      </c>
    </row>
    <row r="3235" spans="1:17" ht="18">
      <c r="A3235" s="512">
        <f t="shared" si="43"/>
        <v>2388</v>
      </c>
      <c r="B3235" s="660" t="s">
        <v>43</v>
      </c>
      <c r="C3235" s="644" t="s">
        <v>44</v>
      </c>
      <c r="D3235" s="644" t="s">
        <v>45</v>
      </c>
      <c r="E3235" s="644" t="s">
        <v>3724</v>
      </c>
      <c r="F3235" s="644" t="s">
        <v>441</v>
      </c>
      <c r="G3235" s="577">
        <v>9809894747</v>
      </c>
      <c r="I3235" s="577">
        <v>45</v>
      </c>
      <c r="J3235" s="577" t="s">
        <v>90</v>
      </c>
      <c r="K3235" s="577" t="s">
        <v>1468</v>
      </c>
      <c r="L3235" s="571"/>
      <c r="M3235" s="685" t="s">
        <v>119</v>
      </c>
      <c r="N3235" s="767">
        <v>65048</v>
      </c>
      <c r="O3235" s="680">
        <v>65048</v>
      </c>
      <c r="P3235" s="541">
        <v>65063</v>
      </c>
      <c r="Q3235" s="533" t="s">
        <v>51</v>
      </c>
    </row>
    <row r="3236" spans="1:17" ht="18">
      <c r="A3236" s="512">
        <f t="shared" si="43"/>
        <v>2389</v>
      </c>
      <c r="B3236" s="660" t="s">
        <v>43</v>
      </c>
      <c r="C3236" s="644" t="s">
        <v>44</v>
      </c>
      <c r="D3236" s="651" t="s">
        <v>45</v>
      </c>
      <c r="E3236" s="644" t="s">
        <v>3725</v>
      </c>
      <c r="F3236" s="644" t="s">
        <v>1204</v>
      </c>
      <c r="G3236" s="577">
        <v>9847855505</v>
      </c>
      <c r="I3236" s="577">
        <v>31</v>
      </c>
      <c r="J3236" s="577" t="s">
        <v>90</v>
      </c>
      <c r="K3236" s="577" t="s">
        <v>1468</v>
      </c>
      <c r="L3236" s="571"/>
      <c r="M3236" s="685" t="s">
        <v>119</v>
      </c>
      <c r="N3236" s="767">
        <v>65048</v>
      </c>
      <c r="O3236" s="680">
        <v>65048</v>
      </c>
      <c r="P3236" s="541">
        <v>65063</v>
      </c>
      <c r="Q3236" s="533" t="s">
        <v>51</v>
      </c>
    </row>
    <row r="3237" spans="1:17" ht="18">
      <c r="A3237" s="512">
        <f t="shared" si="43"/>
        <v>2390</v>
      </c>
      <c r="B3237" s="658" t="s">
        <v>43</v>
      </c>
      <c r="C3237" s="630" t="s">
        <v>44</v>
      </c>
      <c r="D3237" s="630" t="s">
        <v>45</v>
      </c>
      <c r="E3237" s="422" t="s">
        <v>3844</v>
      </c>
      <c r="F3237" s="423" t="s">
        <v>510</v>
      </c>
      <c r="G3237" s="423"/>
      <c r="H3237" s="422"/>
      <c r="I3237" s="423">
        <v>55</v>
      </c>
      <c r="J3237" s="597" t="s">
        <v>48</v>
      </c>
      <c r="K3237" s="423"/>
      <c r="L3237" s="423"/>
      <c r="M3237" s="423" t="s">
        <v>3845</v>
      </c>
      <c r="N3237" s="770">
        <v>65048</v>
      </c>
      <c r="O3237" s="697">
        <v>65048</v>
      </c>
      <c r="P3237" s="476">
        <v>65049</v>
      </c>
      <c r="Q3237" s="422" t="s">
        <v>940</v>
      </c>
    </row>
    <row r="3238" spans="1:17" ht="18">
      <c r="A3238" s="512">
        <f t="shared" si="43"/>
        <v>2391</v>
      </c>
      <c r="B3238" s="660" t="s">
        <v>43</v>
      </c>
      <c r="C3238" s="644" t="s">
        <v>44</v>
      </c>
      <c r="D3238" s="644" t="s">
        <v>45</v>
      </c>
      <c r="E3238" s="644" t="s">
        <v>3726</v>
      </c>
      <c r="F3238" s="644" t="s">
        <v>557</v>
      </c>
      <c r="G3238" s="577">
        <v>9829512641</v>
      </c>
      <c r="I3238" s="577">
        <v>56</v>
      </c>
      <c r="J3238" s="577" t="s">
        <v>90</v>
      </c>
      <c r="K3238" s="577" t="s">
        <v>1468</v>
      </c>
      <c r="L3238" s="571"/>
      <c r="M3238" s="685" t="s">
        <v>119</v>
      </c>
      <c r="N3238" s="767">
        <v>65048</v>
      </c>
      <c r="O3238" s="680">
        <v>65048</v>
      </c>
      <c r="P3238" s="541">
        <v>65063</v>
      </c>
      <c r="Q3238" s="533" t="s">
        <v>51</v>
      </c>
    </row>
    <row r="3239" spans="1:17" ht="18">
      <c r="A3239" s="512">
        <f t="shared" si="43"/>
        <v>2392</v>
      </c>
      <c r="B3239" s="660" t="s">
        <v>43</v>
      </c>
      <c r="C3239" s="644" t="s">
        <v>44</v>
      </c>
      <c r="D3239" s="644" t="s">
        <v>45</v>
      </c>
      <c r="E3239" s="644" t="s">
        <v>3727</v>
      </c>
      <c r="F3239" s="644" t="s">
        <v>491</v>
      </c>
      <c r="G3239" s="577">
        <v>9809575427</v>
      </c>
      <c r="I3239" s="577">
        <v>30</v>
      </c>
      <c r="J3239" s="577" t="s">
        <v>90</v>
      </c>
      <c r="K3239" s="577" t="s">
        <v>1468</v>
      </c>
      <c r="L3239" s="571"/>
      <c r="M3239" s="685" t="s">
        <v>119</v>
      </c>
      <c r="N3239" s="767">
        <v>65048</v>
      </c>
      <c r="O3239" s="680">
        <v>65048</v>
      </c>
      <c r="P3239" s="541">
        <v>65063</v>
      </c>
      <c r="Q3239" s="533" t="s">
        <v>51</v>
      </c>
    </row>
    <row r="3240" spans="1:17" ht="18">
      <c r="A3240" s="512">
        <f t="shared" si="43"/>
        <v>2393</v>
      </c>
      <c r="B3240" s="660" t="s">
        <v>43</v>
      </c>
      <c r="C3240" s="644" t="s">
        <v>44</v>
      </c>
      <c r="D3240" s="644" t="s">
        <v>45</v>
      </c>
      <c r="E3240" s="644" t="s">
        <v>3728</v>
      </c>
      <c r="F3240" s="644" t="s">
        <v>636</v>
      </c>
      <c r="G3240" s="577">
        <v>9810131077</v>
      </c>
      <c r="I3240" s="577">
        <v>47</v>
      </c>
      <c r="J3240" s="577" t="s">
        <v>90</v>
      </c>
      <c r="K3240" s="577" t="s">
        <v>1468</v>
      </c>
      <c r="L3240" s="571"/>
      <c r="M3240" s="685" t="s">
        <v>119</v>
      </c>
      <c r="N3240" s="767">
        <v>65048</v>
      </c>
      <c r="O3240" s="680">
        <v>65048</v>
      </c>
      <c r="P3240" s="541">
        <v>65063</v>
      </c>
      <c r="Q3240" s="533" t="s">
        <v>51</v>
      </c>
    </row>
    <row r="3241" spans="1:17" ht="18">
      <c r="A3241" s="512">
        <f t="shared" si="43"/>
        <v>2394</v>
      </c>
      <c r="B3241" s="660" t="s">
        <v>43</v>
      </c>
      <c r="C3241" s="644" t="s">
        <v>44</v>
      </c>
      <c r="D3241" s="644" t="s">
        <v>45</v>
      </c>
      <c r="E3241" s="644" t="s">
        <v>3729</v>
      </c>
      <c r="F3241" s="644" t="s">
        <v>1046</v>
      </c>
      <c r="G3241" s="577">
        <v>9847855166</v>
      </c>
      <c r="I3241" s="577">
        <v>42</v>
      </c>
      <c r="J3241" s="577" t="s">
        <v>48</v>
      </c>
      <c r="K3241" s="577" t="s">
        <v>1468</v>
      </c>
      <c r="L3241" s="571"/>
      <c r="M3241" s="685" t="s">
        <v>119</v>
      </c>
      <c r="N3241" s="767">
        <v>65048</v>
      </c>
      <c r="O3241" s="680">
        <v>65048</v>
      </c>
      <c r="P3241" s="541">
        <v>65063</v>
      </c>
      <c r="Q3241" s="533" t="s">
        <v>51</v>
      </c>
    </row>
    <row r="3242" spans="1:17" ht="18">
      <c r="A3242" s="512">
        <f t="shared" si="43"/>
        <v>2395</v>
      </c>
      <c r="B3242" s="660" t="s">
        <v>43</v>
      </c>
      <c r="C3242" s="644" t="s">
        <v>44</v>
      </c>
      <c r="D3242" s="644" t="s">
        <v>45</v>
      </c>
      <c r="E3242" s="644" t="s">
        <v>3730</v>
      </c>
      <c r="F3242" s="644" t="s">
        <v>124</v>
      </c>
      <c r="G3242" s="577">
        <v>9857821422</v>
      </c>
      <c r="I3242" s="577">
        <v>33</v>
      </c>
      <c r="J3242" s="577" t="s">
        <v>90</v>
      </c>
      <c r="K3242" s="577" t="s">
        <v>1468</v>
      </c>
      <c r="L3242" s="571"/>
      <c r="M3242" s="685" t="s">
        <v>119</v>
      </c>
      <c r="N3242" s="767">
        <v>65048</v>
      </c>
      <c r="O3242" s="680">
        <v>65048</v>
      </c>
      <c r="P3242" s="541">
        <v>65063</v>
      </c>
      <c r="Q3242" s="533" t="s">
        <v>51</v>
      </c>
    </row>
    <row r="3243" spans="1:17" ht="18">
      <c r="A3243" s="512">
        <f t="shared" si="43"/>
        <v>2396</v>
      </c>
      <c r="B3243" s="660" t="s">
        <v>43</v>
      </c>
      <c r="C3243" s="644" t="s">
        <v>44</v>
      </c>
      <c r="D3243" s="644" t="s">
        <v>45</v>
      </c>
      <c r="E3243" s="644" t="s">
        <v>3731</v>
      </c>
      <c r="F3243" s="644" t="s">
        <v>512</v>
      </c>
      <c r="G3243" s="577">
        <v>9845454646</v>
      </c>
      <c r="I3243" s="577">
        <v>23</v>
      </c>
      <c r="J3243" s="577" t="s">
        <v>90</v>
      </c>
      <c r="K3243" s="577" t="s">
        <v>1468</v>
      </c>
      <c r="L3243" s="571"/>
      <c r="M3243" s="685" t="s">
        <v>119</v>
      </c>
      <c r="N3243" s="767">
        <v>65048</v>
      </c>
      <c r="O3243" s="680">
        <v>65048</v>
      </c>
      <c r="P3243" s="541">
        <v>65063</v>
      </c>
      <c r="Q3243" s="533" t="s">
        <v>51</v>
      </c>
    </row>
    <row r="3244" spans="1:17" ht="18">
      <c r="A3244" s="512">
        <f t="shared" si="43"/>
        <v>2397</v>
      </c>
      <c r="B3244" s="660" t="s">
        <v>43</v>
      </c>
      <c r="C3244" s="644" t="s">
        <v>44</v>
      </c>
      <c r="D3244" s="644" t="s">
        <v>45</v>
      </c>
      <c r="E3244" s="644" t="s">
        <v>3732</v>
      </c>
      <c r="F3244" s="644" t="s">
        <v>491</v>
      </c>
      <c r="G3244" s="577">
        <v>9847822370</v>
      </c>
      <c r="I3244" s="577">
        <v>33</v>
      </c>
      <c r="J3244" s="577" t="s">
        <v>90</v>
      </c>
      <c r="K3244" s="577" t="s">
        <v>1468</v>
      </c>
      <c r="L3244" s="571"/>
      <c r="M3244" s="685" t="s">
        <v>119</v>
      </c>
      <c r="N3244" s="767">
        <v>65048</v>
      </c>
      <c r="O3244" s="680">
        <v>65048</v>
      </c>
      <c r="P3244" s="541">
        <v>65063</v>
      </c>
      <c r="Q3244" s="533" t="s">
        <v>51</v>
      </c>
    </row>
    <row r="3245" spans="1:17" ht="18">
      <c r="A3245" s="512">
        <f t="shared" si="43"/>
        <v>2398</v>
      </c>
      <c r="B3245" s="660" t="s">
        <v>43</v>
      </c>
      <c r="C3245" s="644" t="s">
        <v>44</v>
      </c>
      <c r="D3245" s="644" t="s">
        <v>45</v>
      </c>
      <c r="E3245" s="644" t="s">
        <v>3733</v>
      </c>
      <c r="F3245" s="644" t="s">
        <v>510</v>
      </c>
      <c r="G3245" s="577">
        <v>9801227752</v>
      </c>
      <c r="I3245" s="577">
        <v>64</v>
      </c>
      <c r="J3245" s="577" t="s">
        <v>90</v>
      </c>
      <c r="K3245" s="577" t="s">
        <v>1468</v>
      </c>
      <c r="L3245" s="571"/>
      <c r="M3245" s="685" t="s">
        <v>119</v>
      </c>
      <c r="N3245" s="767">
        <v>65048</v>
      </c>
      <c r="O3245" s="680">
        <v>65048</v>
      </c>
      <c r="P3245" s="541">
        <v>65063</v>
      </c>
      <c r="Q3245" s="533" t="s">
        <v>51</v>
      </c>
    </row>
    <row r="3246" spans="1:17" ht="18">
      <c r="A3246" s="512">
        <f t="shared" si="43"/>
        <v>2399</v>
      </c>
      <c r="B3246" s="660" t="s">
        <v>43</v>
      </c>
      <c r="C3246" s="644" t="s">
        <v>44</v>
      </c>
      <c r="D3246" s="644" t="s">
        <v>45</v>
      </c>
      <c r="E3246" s="644" t="s">
        <v>3734</v>
      </c>
      <c r="F3246" s="644" t="s">
        <v>491</v>
      </c>
      <c r="G3246" s="577">
        <v>9847822692</v>
      </c>
      <c r="I3246" s="577">
        <v>30</v>
      </c>
      <c r="J3246" s="577" t="s">
        <v>90</v>
      </c>
      <c r="K3246" s="577" t="s">
        <v>1468</v>
      </c>
      <c r="L3246" s="571"/>
      <c r="M3246" s="685" t="s">
        <v>119</v>
      </c>
      <c r="N3246" s="767">
        <v>65048</v>
      </c>
      <c r="O3246" s="680">
        <v>65048</v>
      </c>
      <c r="P3246" s="541">
        <v>65063</v>
      </c>
      <c r="Q3246" s="533" t="s">
        <v>51</v>
      </c>
    </row>
    <row r="3247" spans="1:17" ht="18">
      <c r="A3247" s="512">
        <f t="shared" si="43"/>
        <v>2400</v>
      </c>
      <c r="B3247" s="660" t="s">
        <v>43</v>
      </c>
      <c r="C3247" s="644" t="s">
        <v>44</v>
      </c>
      <c r="D3247" s="644" t="s">
        <v>45</v>
      </c>
      <c r="E3247" s="644" t="s">
        <v>3735</v>
      </c>
      <c r="F3247" s="644" t="s">
        <v>491</v>
      </c>
      <c r="G3247" s="577">
        <v>9847909739</v>
      </c>
      <c r="I3247" s="577">
        <v>35</v>
      </c>
      <c r="J3247" s="577" t="s">
        <v>48</v>
      </c>
      <c r="K3247" s="577" t="s">
        <v>1468</v>
      </c>
      <c r="L3247" s="571"/>
      <c r="M3247" s="685" t="s">
        <v>119</v>
      </c>
      <c r="N3247" s="767">
        <v>65048</v>
      </c>
      <c r="O3247" s="680">
        <v>65048</v>
      </c>
      <c r="P3247" s="541">
        <v>65063</v>
      </c>
      <c r="Q3247" s="533" t="s">
        <v>51</v>
      </c>
    </row>
    <row r="3248" spans="1:17" ht="18">
      <c r="A3248" s="512">
        <f t="shared" si="43"/>
        <v>2401</v>
      </c>
      <c r="B3248" s="660" t="s">
        <v>43</v>
      </c>
      <c r="C3248" s="644" t="s">
        <v>44</v>
      </c>
      <c r="D3248" s="644" t="s">
        <v>45</v>
      </c>
      <c r="E3248" s="644" t="s">
        <v>3736</v>
      </c>
      <c r="F3248" s="644" t="s">
        <v>441</v>
      </c>
      <c r="G3248" s="577">
        <v>9847947856</v>
      </c>
      <c r="I3248" s="577">
        <v>59</v>
      </c>
      <c r="J3248" s="577" t="s">
        <v>90</v>
      </c>
      <c r="K3248" s="577" t="s">
        <v>1468</v>
      </c>
      <c r="L3248" s="571"/>
      <c r="M3248" s="685" t="s">
        <v>119</v>
      </c>
      <c r="N3248" s="767">
        <v>65048</v>
      </c>
      <c r="O3248" s="680">
        <v>65048</v>
      </c>
      <c r="P3248" s="541">
        <v>65063</v>
      </c>
      <c r="Q3248" s="533" t="s">
        <v>51</v>
      </c>
    </row>
    <row r="3249" spans="1:44" ht="18">
      <c r="A3249" s="512">
        <f t="shared" si="43"/>
        <v>2402</v>
      </c>
      <c r="B3249" s="660" t="s">
        <v>43</v>
      </c>
      <c r="C3249" s="644" t="s">
        <v>44</v>
      </c>
      <c r="D3249" s="644" t="s">
        <v>45</v>
      </c>
      <c r="E3249" s="644" t="s">
        <v>3737</v>
      </c>
      <c r="F3249" s="644" t="s">
        <v>1009</v>
      </c>
      <c r="G3249" s="577">
        <v>9810885116</v>
      </c>
      <c r="I3249" s="577">
        <v>40</v>
      </c>
      <c r="J3249" s="577" t="s">
        <v>48</v>
      </c>
      <c r="K3249" s="577" t="s">
        <v>1468</v>
      </c>
      <c r="L3249" s="571"/>
      <c r="M3249" s="685" t="s">
        <v>119</v>
      </c>
      <c r="N3249" s="767">
        <v>65048</v>
      </c>
      <c r="O3249" s="680">
        <v>65048</v>
      </c>
      <c r="P3249" s="541">
        <v>65063</v>
      </c>
      <c r="Q3249" s="533" t="s">
        <v>51</v>
      </c>
    </row>
    <row r="3250" spans="1:44" ht="18">
      <c r="A3250" s="512">
        <f t="shared" si="43"/>
        <v>2403</v>
      </c>
      <c r="B3250" s="660" t="s">
        <v>43</v>
      </c>
      <c r="C3250" s="644" t="s">
        <v>44</v>
      </c>
      <c r="D3250" s="644" t="s">
        <v>45</v>
      </c>
      <c r="E3250" s="644" t="s">
        <v>3738</v>
      </c>
      <c r="F3250" s="644" t="s">
        <v>441</v>
      </c>
      <c r="G3250" s="577">
        <v>9866853092</v>
      </c>
      <c r="I3250" s="577">
        <v>36</v>
      </c>
      <c r="J3250" s="577" t="s">
        <v>90</v>
      </c>
      <c r="K3250" s="577" t="s">
        <v>1468</v>
      </c>
      <c r="L3250" s="571"/>
      <c r="M3250" s="685" t="s">
        <v>119</v>
      </c>
      <c r="N3250" s="767">
        <v>65048</v>
      </c>
      <c r="O3250" s="680">
        <v>65048</v>
      </c>
      <c r="P3250" s="541">
        <v>65063</v>
      </c>
      <c r="Q3250" s="533" t="s">
        <v>51</v>
      </c>
    </row>
    <row r="3251" spans="1:44" ht="18">
      <c r="A3251" s="512">
        <f t="shared" si="43"/>
        <v>2404</v>
      </c>
      <c r="B3251" s="660" t="s">
        <v>43</v>
      </c>
      <c r="C3251" s="644" t="s">
        <v>44</v>
      </c>
      <c r="D3251" s="644" t="s">
        <v>45</v>
      </c>
      <c r="E3251" s="644" t="s">
        <v>3739</v>
      </c>
      <c r="F3251" s="644" t="s">
        <v>510</v>
      </c>
      <c r="G3251" s="577">
        <v>9868663764</v>
      </c>
      <c r="I3251" s="577">
        <v>38</v>
      </c>
      <c r="J3251" s="577" t="s">
        <v>48</v>
      </c>
      <c r="K3251" s="577" t="s">
        <v>1468</v>
      </c>
      <c r="L3251" s="571"/>
      <c r="M3251" s="685" t="s">
        <v>119</v>
      </c>
      <c r="N3251" s="767">
        <v>65048</v>
      </c>
      <c r="O3251" s="680">
        <v>65048</v>
      </c>
      <c r="P3251" s="541">
        <v>65063</v>
      </c>
      <c r="Q3251" s="533" t="s">
        <v>51</v>
      </c>
    </row>
    <row r="3252" spans="1:44" ht="18">
      <c r="A3252" s="512">
        <f t="shared" si="43"/>
        <v>2405</v>
      </c>
      <c r="B3252" s="660" t="s">
        <v>43</v>
      </c>
      <c r="C3252" s="644" t="s">
        <v>44</v>
      </c>
      <c r="D3252" s="644" t="s">
        <v>45</v>
      </c>
      <c r="E3252" s="644" t="s">
        <v>2284</v>
      </c>
      <c r="F3252" s="644" t="s">
        <v>1008</v>
      </c>
      <c r="G3252" s="577">
        <v>9847925461</v>
      </c>
      <c r="I3252" s="577">
        <v>15</v>
      </c>
      <c r="J3252" s="577" t="s">
        <v>90</v>
      </c>
      <c r="K3252" s="577" t="s">
        <v>1468</v>
      </c>
      <c r="L3252" s="571"/>
      <c r="M3252" s="685" t="s">
        <v>119</v>
      </c>
      <c r="N3252" s="767">
        <v>65048</v>
      </c>
      <c r="O3252" s="680">
        <v>65048</v>
      </c>
      <c r="P3252" s="541">
        <v>65063</v>
      </c>
      <c r="Q3252" s="533" t="s">
        <v>51</v>
      </c>
    </row>
    <row r="3253" spans="1:44" ht="18">
      <c r="A3253" s="512">
        <f t="shared" si="43"/>
        <v>2406</v>
      </c>
      <c r="B3253" s="660" t="s">
        <v>43</v>
      </c>
      <c r="C3253" s="644" t="s">
        <v>44</v>
      </c>
      <c r="D3253" s="644" t="s">
        <v>45</v>
      </c>
      <c r="E3253" s="644" t="s">
        <v>3740</v>
      </c>
      <c r="F3253" s="644" t="s">
        <v>491</v>
      </c>
      <c r="G3253" s="577">
        <v>9849711476</v>
      </c>
      <c r="I3253" s="577">
        <v>30</v>
      </c>
      <c r="J3253" s="577" t="s">
        <v>90</v>
      </c>
      <c r="K3253" s="577" t="s">
        <v>1468</v>
      </c>
      <c r="L3253" s="571"/>
      <c r="M3253" s="685" t="s">
        <v>119</v>
      </c>
      <c r="N3253" s="767">
        <v>65048</v>
      </c>
      <c r="O3253" s="680">
        <v>65048</v>
      </c>
      <c r="P3253" s="541">
        <v>65063</v>
      </c>
      <c r="Q3253" s="533" t="s">
        <v>51</v>
      </c>
    </row>
    <row r="3254" spans="1:44" ht="18">
      <c r="A3254" s="512">
        <f t="shared" si="43"/>
        <v>2407</v>
      </c>
      <c r="B3254" s="660" t="s">
        <v>43</v>
      </c>
      <c r="C3254" s="644" t="s">
        <v>44</v>
      </c>
      <c r="D3254" s="644" t="s">
        <v>45</v>
      </c>
      <c r="E3254" s="644" t="s">
        <v>3741</v>
      </c>
      <c r="F3254" s="644" t="s">
        <v>502</v>
      </c>
      <c r="G3254" s="577">
        <v>9857825291</v>
      </c>
      <c r="I3254" s="577">
        <v>23</v>
      </c>
      <c r="J3254" s="577" t="s">
        <v>48</v>
      </c>
      <c r="K3254" s="577" t="s">
        <v>1468</v>
      </c>
      <c r="L3254" s="571"/>
      <c r="M3254" s="685" t="s">
        <v>119</v>
      </c>
      <c r="N3254" s="767">
        <v>65048</v>
      </c>
      <c r="O3254" s="680">
        <v>65048</v>
      </c>
      <c r="P3254" s="541">
        <v>65063</v>
      </c>
      <c r="Q3254" s="533" t="s">
        <v>51</v>
      </c>
    </row>
    <row r="3255" spans="1:44" ht="18">
      <c r="A3255" s="512">
        <f t="shared" si="43"/>
        <v>2408</v>
      </c>
      <c r="B3255" s="660" t="s">
        <v>43</v>
      </c>
      <c r="C3255" s="644" t="s">
        <v>44</v>
      </c>
      <c r="D3255" s="644" t="s">
        <v>45</v>
      </c>
      <c r="E3255" s="644" t="s">
        <v>3698</v>
      </c>
      <c r="F3255" s="644" t="s">
        <v>491</v>
      </c>
      <c r="G3255" s="577">
        <v>9847939093</v>
      </c>
      <c r="I3255" s="577">
        <v>34</v>
      </c>
      <c r="J3255" s="577" t="s">
        <v>90</v>
      </c>
      <c r="K3255" s="577" t="s">
        <v>1468</v>
      </c>
      <c r="L3255" s="571"/>
      <c r="M3255" s="685" t="s">
        <v>119</v>
      </c>
      <c r="N3255" s="767">
        <v>65048</v>
      </c>
      <c r="O3255" s="680">
        <v>65048</v>
      </c>
      <c r="P3255" s="541">
        <v>65063</v>
      </c>
      <c r="Q3255" s="533" t="s">
        <v>51</v>
      </c>
    </row>
    <row r="3256" spans="1:44" ht="18">
      <c r="A3256" s="512">
        <f t="shared" si="43"/>
        <v>2409</v>
      </c>
      <c r="B3256" s="660" t="s">
        <v>43</v>
      </c>
      <c r="C3256" s="644" t="s">
        <v>44</v>
      </c>
      <c r="D3256" s="644" t="s">
        <v>45</v>
      </c>
      <c r="E3256" s="644" t="s">
        <v>3742</v>
      </c>
      <c r="F3256" s="644" t="s">
        <v>510</v>
      </c>
      <c r="G3256" s="577">
        <v>9822833752</v>
      </c>
      <c r="I3256" s="577">
        <v>28</v>
      </c>
      <c r="J3256" s="577" t="s">
        <v>48</v>
      </c>
      <c r="K3256" s="577" t="s">
        <v>1468</v>
      </c>
      <c r="L3256" s="571"/>
      <c r="M3256" s="685" t="s">
        <v>119</v>
      </c>
      <c r="N3256" s="767">
        <v>65048</v>
      </c>
      <c r="O3256" s="680">
        <v>65048</v>
      </c>
      <c r="P3256" s="459">
        <v>65078</v>
      </c>
      <c r="Q3256" s="533" t="s">
        <v>51</v>
      </c>
      <c r="R3256" s="362"/>
      <c r="S3256" s="362"/>
      <c r="T3256" s="362"/>
      <c r="U3256" s="362"/>
      <c r="V3256" s="362"/>
      <c r="W3256" s="362"/>
      <c r="X3256" s="362"/>
      <c r="Y3256" s="362"/>
      <c r="Z3256" s="362"/>
      <c r="AA3256" s="362"/>
      <c r="AB3256" s="362"/>
      <c r="AC3256" s="362"/>
      <c r="AD3256" s="362"/>
      <c r="AE3256" s="362"/>
      <c r="AF3256" s="362"/>
      <c r="AG3256" s="362"/>
      <c r="AH3256" s="362"/>
      <c r="AI3256" s="362"/>
      <c r="AJ3256" s="362"/>
      <c r="AK3256" s="362"/>
      <c r="AL3256" s="362"/>
      <c r="AM3256" s="362"/>
      <c r="AN3256" s="362"/>
      <c r="AO3256" s="362"/>
      <c r="AP3256" s="362"/>
      <c r="AQ3256" s="362"/>
      <c r="AR3256" s="362"/>
    </row>
    <row r="3257" spans="1:44" ht="18">
      <c r="A3257" s="512">
        <f t="shared" si="43"/>
        <v>2410</v>
      </c>
      <c r="B3257" s="660" t="s">
        <v>43</v>
      </c>
      <c r="C3257" s="644" t="s">
        <v>44</v>
      </c>
      <c r="D3257" s="644" t="s">
        <v>45</v>
      </c>
      <c r="E3257" s="644" t="s">
        <v>3743</v>
      </c>
      <c r="F3257" s="644" t="s">
        <v>502</v>
      </c>
      <c r="G3257" s="577"/>
      <c r="I3257" s="577">
        <v>30</v>
      </c>
      <c r="J3257" s="577" t="s">
        <v>48</v>
      </c>
      <c r="K3257" s="577" t="s">
        <v>53</v>
      </c>
      <c r="L3257" s="571"/>
      <c r="M3257" s="685" t="s">
        <v>119</v>
      </c>
      <c r="N3257" s="767">
        <v>65048</v>
      </c>
      <c r="O3257" s="680">
        <v>65048</v>
      </c>
      <c r="P3257" s="541">
        <v>65063</v>
      </c>
      <c r="Q3257" s="533" t="s">
        <v>51</v>
      </c>
      <c r="R3257" s="362"/>
      <c r="S3257" s="362"/>
      <c r="T3257" s="362"/>
      <c r="U3257" s="362"/>
      <c r="V3257" s="362"/>
      <c r="W3257" s="362"/>
      <c r="X3257" s="362"/>
      <c r="Y3257" s="362"/>
      <c r="Z3257" s="362"/>
      <c r="AA3257" s="362"/>
      <c r="AB3257" s="362"/>
      <c r="AC3257" s="362"/>
      <c r="AD3257" s="362"/>
      <c r="AE3257" s="362"/>
      <c r="AF3257" s="362"/>
      <c r="AG3257" s="362"/>
      <c r="AH3257" s="362"/>
      <c r="AI3257" s="362"/>
      <c r="AJ3257" s="362"/>
      <c r="AK3257" s="362"/>
      <c r="AL3257" s="362"/>
      <c r="AM3257" s="362"/>
      <c r="AN3257" s="362"/>
      <c r="AO3257" s="362"/>
      <c r="AP3257" s="362"/>
      <c r="AQ3257" s="362"/>
      <c r="AR3257" s="362"/>
    </row>
    <row r="3258" spans="1:44" ht="18">
      <c r="A3258" s="512">
        <f t="shared" si="43"/>
        <v>2411</v>
      </c>
      <c r="B3258" s="660" t="s">
        <v>43</v>
      </c>
      <c r="C3258" s="644" t="s">
        <v>44</v>
      </c>
      <c r="D3258" s="644" t="s">
        <v>45</v>
      </c>
      <c r="E3258" s="688" t="s">
        <v>3780</v>
      </c>
      <c r="F3258" s="687" t="s">
        <v>502</v>
      </c>
      <c r="G3258" s="687">
        <v>9849783394</v>
      </c>
      <c r="I3258" s="687">
        <v>22</v>
      </c>
      <c r="J3258" s="577" t="s">
        <v>48</v>
      </c>
      <c r="K3258" s="577" t="s">
        <v>53</v>
      </c>
      <c r="L3258" s="577"/>
      <c r="M3258" s="571" t="s">
        <v>119</v>
      </c>
      <c r="N3258" s="767">
        <v>65049</v>
      </c>
      <c r="O3258" s="680">
        <v>65049</v>
      </c>
      <c r="P3258" s="514">
        <v>65064</v>
      </c>
      <c r="Q3258" s="512" t="s">
        <v>51</v>
      </c>
    </row>
    <row r="3259" spans="1:44" ht="18">
      <c r="A3259" s="512">
        <f t="shared" si="43"/>
        <v>2412</v>
      </c>
      <c r="B3259" s="660" t="s">
        <v>43</v>
      </c>
      <c r="C3259" s="644" t="s">
        <v>44</v>
      </c>
      <c r="D3259" s="644" t="s">
        <v>45</v>
      </c>
      <c r="E3259" s="577" t="s">
        <v>3779</v>
      </c>
      <c r="F3259" s="687" t="s">
        <v>529</v>
      </c>
      <c r="G3259" s="577">
        <v>9803111781</v>
      </c>
      <c r="I3259" s="577">
        <v>20</v>
      </c>
      <c r="J3259" s="577" t="s">
        <v>48</v>
      </c>
      <c r="K3259" s="577" t="s">
        <v>1480</v>
      </c>
      <c r="L3259" s="577"/>
      <c r="M3259" s="571" t="s">
        <v>119</v>
      </c>
      <c r="N3259" s="767">
        <v>65049</v>
      </c>
      <c r="O3259" s="680">
        <v>65049</v>
      </c>
      <c r="P3259" s="514">
        <v>65064</v>
      </c>
      <c r="Q3259" s="512" t="s">
        <v>51</v>
      </c>
    </row>
    <row r="3260" spans="1:44" ht="18">
      <c r="A3260" s="512">
        <f t="shared" si="43"/>
        <v>2413</v>
      </c>
      <c r="B3260" s="660" t="s">
        <v>43</v>
      </c>
      <c r="C3260" s="644" t="s">
        <v>44</v>
      </c>
      <c r="D3260" s="644" t="s">
        <v>45</v>
      </c>
      <c r="E3260" s="577" t="s">
        <v>3779</v>
      </c>
      <c r="F3260" s="687" t="s">
        <v>1046</v>
      </c>
      <c r="G3260" s="577">
        <v>9809561680</v>
      </c>
      <c r="I3260" s="577">
        <v>24</v>
      </c>
      <c r="J3260" s="577" t="s">
        <v>48</v>
      </c>
      <c r="K3260" s="577" t="s">
        <v>1468</v>
      </c>
      <c r="L3260" s="577"/>
      <c r="M3260" s="571" t="s">
        <v>119</v>
      </c>
      <c r="N3260" s="767">
        <v>65049</v>
      </c>
      <c r="O3260" s="680">
        <v>65049</v>
      </c>
      <c r="P3260" s="514">
        <v>65064</v>
      </c>
      <c r="Q3260" s="512" t="s">
        <v>51</v>
      </c>
    </row>
    <row r="3261" spans="1:44" ht="18">
      <c r="A3261" s="512">
        <f t="shared" si="43"/>
        <v>2414</v>
      </c>
      <c r="B3261" s="660" t="s">
        <v>43</v>
      </c>
      <c r="C3261" s="644" t="s">
        <v>44</v>
      </c>
      <c r="D3261" s="644" t="s">
        <v>45</v>
      </c>
      <c r="E3261" s="577" t="s">
        <v>3800</v>
      </c>
      <c r="F3261" s="687" t="s">
        <v>441</v>
      </c>
      <c r="G3261" s="577">
        <v>9860119559</v>
      </c>
      <c r="I3261" s="577">
        <v>31</v>
      </c>
      <c r="J3261" s="577" t="s">
        <v>48</v>
      </c>
      <c r="K3261" s="577" t="s">
        <v>1468</v>
      </c>
      <c r="L3261" s="577"/>
      <c r="M3261" s="571" t="s">
        <v>119</v>
      </c>
      <c r="N3261" s="767">
        <v>65049</v>
      </c>
      <c r="O3261" s="680">
        <v>65049</v>
      </c>
      <c r="P3261" s="514">
        <v>65064</v>
      </c>
      <c r="Q3261" s="512" t="s">
        <v>51</v>
      </c>
    </row>
    <row r="3262" spans="1:44" ht="18">
      <c r="A3262" s="512">
        <f t="shared" si="43"/>
        <v>2415</v>
      </c>
      <c r="B3262" s="660" t="s">
        <v>43</v>
      </c>
      <c r="C3262" s="644" t="s">
        <v>44</v>
      </c>
      <c r="D3262" s="644" t="s">
        <v>45</v>
      </c>
      <c r="E3262" s="577" t="s">
        <v>3802</v>
      </c>
      <c r="F3262" s="687" t="s">
        <v>488</v>
      </c>
      <c r="G3262" s="577">
        <v>9823624241</v>
      </c>
      <c r="I3262" s="577">
        <v>38</v>
      </c>
      <c r="J3262" s="577" t="s">
        <v>90</v>
      </c>
      <c r="K3262" s="577" t="s">
        <v>1480</v>
      </c>
      <c r="L3262" s="577"/>
      <c r="M3262" s="571" t="s">
        <v>119</v>
      </c>
      <c r="N3262" s="767">
        <v>65049</v>
      </c>
      <c r="O3262" s="680">
        <v>65049</v>
      </c>
      <c r="P3262" s="514">
        <v>65064</v>
      </c>
      <c r="Q3262" s="512" t="s">
        <v>51</v>
      </c>
    </row>
    <row r="3263" spans="1:44" ht="18">
      <c r="A3263" s="512">
        <f t="shared" si="43"/>
        <v>2416</v>
      </c>
      <c r="B3263" s="660" t="s">
        <v>43</v>
      </c>
      <c r="C3263" s="644" t="s">
        <v>44</v>
      </c>
      <c r="D3263" s="644" t="s">
        <v>45</v>
      </c>
      <c r="E3263" s="677" t="s">
        <v>2345</v>
      </c>
      <c r="F3263" s="687" t="s">
        <v>491</v>
      </c>
      <c r="G3263" s="577">
        <v>9847834042</v>
      </c>
      <c r="I3263" s="577">
        <v>19</v>
      </c>
      <c r="J3263" s="577" t="s">
        <v>90</v>
      </c>
      <c r="K3263" s="577" t="s">
        <v>1468</v>
      </c>
      <c r="L3263" s="577"/>
      <c r="M3263" s="571" t="s">
        <v>119</v>
      </c>
      <c r="N3263" s="767">
        <v>65049</v>
      </c>
      <c r="O3263" s="680">
        <v>65049</v>
      </c>
      <c r="P3263" s="514">
        <v>65064</v>
      </c>
      <c r="Q3263" s="512" t="s">
        <v>51</v>
      </c>
    </row>
    <row r="3264" spans="1:44" ht="18">
      <c r="A3264" s="512">
        <f t="shared" si="43"/>
        <v>2417</v>
      </c>
      <c r="B3264" s="660" t="s">
        <v>43</v>
      </c>
      <c r="C3264" s="644" t="s">
        <v>44</v>
      </c>
      <c r="D3264" s="644" t="s">
        <v>45</v>
      </c>
      <c r="E3264" s="577" t="s">
        <v>3775</v>
      </c>
      <c r="F3264" s="687" t="s">
        <v>1046</v>
      </c>
      <c r="G3264" s="577">
        <v>9844992415</v>
      </c>
      <c r="I3264" s="577">
        <v>11</v>
      </c>
      <c r="J3264" s="577" t="s">
        <v>90</v>
      </c>
      <c r="K3264" s="577" t="s">
        <v>1480</v>
      </c>
      <c r="L3264" s="577"/>
      <c r="M3264" s="571" t="s">
        <v>119</v>
      </c>
      <c r="N3264" s="767">
        <v>65049</v>
      </c>
      <c r="O3264" s="680">
        <v>65049</v>
      </c>
      <c r="P3264" s="514">
        <v>65064</v>
      </c>
      <c r="Q3264" s="512" t="s">
        <v>51</v>
      </c>
    </row>
    <row r="3265" spans="1:31" ht="18">
      <c r="A3265" s="512">
        <f t="shared" si="43"/>
        <v>2418</v>
      </c>
      <c r="B3265" s="660" t="s">
        <v>43</v>
      </c>
      <c r="C3265" s="644" t="s">
        <v>44</v>
      </c>
      <c r="D3265" s="644" t="s">
        <v>45</v>
      </c>
      <c r="E3265" s="677" t="s">
        <v>2879</v>
      </c>
      <c r="F3265" s="687" t="s">
        <v>598</v>
      </c>
      <c r="G3265" s="577">
        <v>9844936133</v>
      </c>
      <c r="I3265" s="577">
        <v>34</v>
      </c>
      <c r="J3265" s="577" t="s">
        <v>90</v>
      </c>
      <c r="K3265" s="577" t="s">
        <v>1468</v>
      </c>
      <c r="L3265" s="577"/>
      <c r="M3265" s="571" t="s">
        <v>119</v>
      </c>
      <c r="N3265" s="767">
        <v>65049</v>
      </c>
      <c r="O3265" s="680">
        <v>65049</v>
      </c>
      <c r="P3265" s="514">
        <v>65064</v>
      </c>
      <c r="Q3265" s="512" t="s">
        <v>51</v>
      </c>
    </row>
    <row r="3266" spans="1:31" ht="18">
      <c r="A3266" s="512">
        <f t="shared" si="43"/>
        <v>2419</v>
      </c>
      <c r="B3266" s="660" t="s">
        <v>43</v>
      </c>
      <c r="C3266" s="644" t="s">
        <v>44</v>
      </c>
      <c r="D3266" s="644" t="s">
        <v>45</v>
      </c>
      <c r="E3266" s="577" t="s">
        <v>3819</v>
      </c>
      <c r="F3266" s="687" t="s">
        <v>502</v>
      </c>
      <c r="G3266" s="577">
        <v>9803536898</v>
      </c>
      <c r="I3266" s="577">
        <v>55</v>
      </c>
      <c r="J3266" s="577" t="s">
        <v>48</v>
      </c>
      <c r="K3266" s="577" t="s">
        <v>1468</v>
      </c>
      <c r="L3266" s="577"/>
      <c r="M3266" s="571" t="s">
        <v>119</v>
      </c>
      <c r="N3266" s="767">
        <v>65049</v>
      </c>
      <c r="O3266" s="680">
        <v>65049</v>
      </c>
      <c r="P3266" s="514">
        <v>65064</v>
      </c>
      <c r="Q3266" s="512" t="s">
        <v>51</v>
      </c>
    </row>
    <row r="3267" spans="1:31" ht="18">
      <c r="A3267" s="512">
        <f t="shared" si="43"/>
        <v>2420</v>
      </c>
      <c r="B3267" s="660" t="s">
        <v>43</v>
      </c>
      <c r="C3267" s="644" t="s">
        <v>44</v>
      </c>
      <c r="D3267" s="644" t="s">
        <v>45</v>
      </c>
      <c r="E3267" s="688" t="s">
        <v>1855</v>
      </c>
      <c r="F3267" s="687" t="s">
        <v>491</v>
      </c>
      <c r="G3267" s="687">
        <v>9857821327</v>
      </c>
      <c r="I3267" s="687">
        <v>64</v>
      </c>
      <c r="J3267" s="577" t="s">
        <v>48</v>
      </c>
      <c r="K3267" s="577" t="s">
        <v>53</v>
      </c>
      <c r="L3267" s="577"/>
      <c r="M3267" s="571" t="s">
        <v>119</v>
      </c>
      <c r="N3267" s="767">
        <v>65049</v>
      </c>
      <c r="O3267" s="680">
        <v>65049</v>
      </c>
      <c r="P3267" s="514">
        <v>65064</v>
      </c>
      <c r="Q3267" s="512" t="s">
        <v>51</v>
      </c>
    </row>
    <row r="3268" spans="1:31" ht="18">
      <c r="A3268" s="512">
        <f t="shared" si="43"/>
        <v>2421</v>
      </c>
      <c r="B3268" s="660" t="s">
        <v>43</v>
      </c>
      <c r="C3268" s="644" t="s">
        <v>44</v>
      </c>
      <c r="D3268" s="644" t="s">
        <v>45</v>
      </c>
      <c r="E3268" s="687" t="s">
        <v>3797</v>
      </c>
      <c r="F3268" s="687" t="s">
        <v>1008</v>
      </c>
      <c r="G3268" s="687">
        <v>9847818794</v>
      </c>
      <c r="I3268" s="687">
        <v>30</v>
      </c>
      <c r="J3268" s="577" t="s">
        <v>48</v>
      </c>
      <c r="K3268" s="577" t="s">
        <v>53</v>
      </c>
      <c r="L3268" s="577"/>
      <c r="M3268" s="571" t="s">
        <v>119</v>
      </c>
      <c r="N3268" s="767">
        <v>65049</v>
      </c>
      <c r="O3268" s="680">
        <v>65049</v>
      </c>
      <c r="P3268" s="514">
        <v>65064</v>
      </c>
      <c r="Q3268" s="512" t="s">
        <v>51</v>
      </c>
    </row>
    <row r="3269" spans="1:31" ht="18">
      <c r="A3269" s="512">
        <f t="shared" si="43"/>
        <v>2422</v>
      </c>
      <c r="B3269" s="660" t="s">
        <v>43</v>
      </c>
      <c r="C3269" s="644" t="s">
        <v>44</v>
      </c>
      <c r="D3269" s="644" t="s">
        <v>45</v>
      </c>
      <c r="E3269" s="577" t="s">
        <v>3808</v>
      </c>
      <c r="F3269" s="687" t="s">
        <v>730</v>
      </c>
      <c r="G3269" s="577">
        <v>9810914623</v>
      </c>
      <c r="I3269" s="577">
        <v>45</v>
      </c>
      <c r="J3269" s="577" t="s">
        <v>90</v>
      </c>
      <c r="K3269" s="577" t="s">
        <v>1468</v>
      </c>
      <c r="L3269" s="577"/>
      <c r="M3269" s="571" t="s">
        <v>119</v>
      </c>
      <c r="N3269" s="767">
        <v>65049</v>
      </c>
      <c r="O3269" s="680">
        <v>65049</v>
      </c>
      <c r="P3269" s="514">
        <v>65064</v>
      </c>
      <c r="Q3269" s="512" t="s">
        <v>51</v>
      </c>
    </row>
    <row r="3270" spans="1:31" ht="18">
      <c r="A3270" s="512">
        <f t="shared" si="43"/>
        <v>2423</v>
      </c>
      <c r="B3270" s="660" t="s">
        <v>43</v>
      </c>
      <c r="C3270" s="644" t="s">
        <v>44</v>
      </c>
      <c r="D3270" s="644" t="s">
        <v>45</v>
      </c>
      <c r="E3270" s="577" t="s">
        <v>3774</v>
      </c>
      <c r="F3270" s="687" t="s">
        <v>1046</v>
      </c>
      <c r="G3270" s="577">
        <v>9844991241</v>
      </c>
      <c r="I3270" s="577">
        <v>10</v>
      </c>
      <c r="J3270" s="577" t="s">
        <v>48</v>
      </c>
      <c r="K3270" s="577" t="s">
        <v>1480</v>
      </c>
      <c r="L3270" s="577"/>
      <c r="M3270" s="571" t="s">
        <v>119</v>
      </c>
      <c r="N3270" s="767">
        <v>65049</v>
      </c>
      <c r="O3270" s="680">
        <v>65049</v>
      </c>
      <c r="P3270" s="514">
        <v>65064</v>
      </c>
      <c r="Q3270" s="512" t="s">
        <v>51</v>
      </c>
    </row>
    <row r="3271" spans="1:31" ht="18">
      <c r="A3271" s="512">
        <f t="shared" si="43"/>
        <v>2424</v>
      </c>
      <c r="B3271" s="660" t="s">
        <v>43</v>
      </c>
      <c r="C3271" s="644" t="s">
        <v>44</v>
      </c>
      <c r="D3271" s="644" t="s">
        <v>45</v>
      </c>
      <c r="E3271" s="577" t="s">
        <v>2600</v>
      </c>
      <c r="F3271" s="687" t="s">
        <v>497</v>
      </c>
      <c r="G3271" s="577">
        <v>9810892339</v>
      </c>
      <c r="I3271" s="577">
        <v>18</v>
      </c>
      <c r="J3271" s="577" t="s">
        <v>48</v>
      </c>
      <c r="K3271" s="577" t="s">
        <v>1468</v>
      </c>
      <c r="L3271" s="577"/>
      <c r="M3271" s="571" t="s">
        <v>119</v>
      </c>
      <c r="N3271" s="767">
        <v>65049</v>
      </c>
      <c r="O3271" s="680">
        <v>65049</v>
      </c>
      <c r="P3271" s="514">
        <v>65064</v>
      </c>
      <c r="Q3271" s="512" t="s">
        <v>51</v>
      </c>
    </row>
    <row r="3272" spans="1:31" ht="18">
      <c r="A3272" s="512">
        <f t="shared" si="43"/>
        <v>2425</v>
      </c>
      <c r="B3272" s="658" t="s">
        <v>43</v>
      </c>
      <c r="C3272" s="630" t="s">
        <v>44</v>
      </c>
      <c r="D3272" s="630" t="s">
        <v>45</v>
      </c>
      <c r="E3272" s="597" t="s">
        <v>3836</v>
      </c>
      <c r="F3272" s="702" t="s">
        <v>1204</v>
      </c>
      <c r="G3272" s="597">
        <v>9813202614</v>
      </c>
      <c r="H3272" s="422"/>
      <c r="I3272" s="597">
        <v>78</v>
      </c>
      <c r="J3272" s="597" t="s">
        <v>48</v>
      </c>
      <c r="K3272" s="597" t="s">
        <v>1468</v>
      </c>
      <c r="L3272" s="597"/>
      <c r="M3272" s="597" t="s">
        <v>119</v>
      </c>
      <c r="N3272" s="768">
        <v>65049</v>
      </c>
      <c r="O3272" s="681">
        <v>65049</v>
      </c>
      <c r="P3272" s="476">
        <v>65050</v>
      </c>
      <c r="Q3272" s="422" t="s">
        <v>940</v>
      </c>
      <c r="R3272" s="326"/>
      <c r="S3272" s="326"/>
      <c r="T3272" s="326"/>
      <c r="U3272" s="326"/>
      <c r="V3272" s="326"/>
      <c r="W3272" s="326"/>
      <c r="X3272" s="326"/>
      <c r="Y3272" s="326"/>
      <c r="Z3272" s="326"/>
      <c r="AA3272" s="326"/>
      <c r="AB3272" s="326"/>
      <c r="AC3272" s="326"/>
      <c r="AD3272" s="326"/>
      <c r="AE3272" s="326"/>
    </row>
    <row r="3273" spans="1:31" ht="18">
      <c r="A3273" s="512">
        <f t="shared" si="43"/>
        <v>2426</v>
      </c>
      <c r="B3273" s="660" t="s">
        <v>43</v>
      </c>
      <c r="C3273" s="644" t="s">
        <v>44</v>
      </c>
      <c r="D3273" s="644" t="s">
        <v>45</v>
      </c>
      <c r="E3273" s="577" t="s">
        <v>3825</v>
      </c>
      <c r="F3273" s="687" t="s">
        <v>491</v>
      </c>
      <c r="G3273" s="577">
        <v>9860114465</v>
      </c>
      <c r="I3273" s="577">
        <v>62</v>
      </c>
      <c r="J3273" s="577" t="s">
        <v>48</v>
      </c>
      <c r="K3273" s="577" t="s">
        <v>1468</v>
      </c>
      <c r="L3273" s="577"/>
      <c r="M3273" s="571" t="s">
        <v>119</v>
      </c>
      <c r="N3273" s="767">
        <v>65049</v>
      </c>
      <c r="O3273" s="680">
        <v>65049</v>
      </c>
      <c r="P3273" s="514">
        <v>65064</v>
      </c>
      <c r="Q3273" s="512" t="s">
        <v>51</v>
      </c>
    </row>
    <row r="3274" spans="1:31" ht="18">
      <c r="A3274" s="512">
        <f t="shared" si="43"/>
        <v>2427</v>
      </c>
      <c r="B3274" s="660" t="s">
        <v>43</v>
      </c>
      <c r="C3274" s="644" t="s">
        <v>44</v>
      </c>
      <c r="D3274" s="644" t="s">
        <v>45</v>
      </c>
      <c r="E3274" s="677" t="s">
        <v>3835</v>
      </c>
      <c r="F3274" s="687" t="s">
        <v>529</v>
      </c>
      <c r="G3274" s="577">
        <v>9809889694</v>
      </c>
      <c r="I3274" s="577">
        <v>67</v>
      </c>
      <c r="J3274" s="577" t="s">
        <v>48</v>
      </c>
      <c r="K3274" s="577" t="s">
        <v>1468</v>
      </c>
      <c r="L3274" s="577"/>
      <c r="M3274" s="571" t="s">
        <v>119</v>
      </c>
      <c r="N3274" s="767">
        <v>65049</v>
      </c>
      <c r="O3274" s="680">
        <v>65049</v>
      </c>
      <c r="P3274" s="514">
        <v>65064</v>
      </c>
      <c r="Q3274" s="512" t="s">
        <v>51</v>
      </c>
    </row>
    <row r="3275" spans="1:31" ht="18">
      <c r="A3275" s="512">
        <f t="shared" si="43"/>
        <v>2428</v>
      </c>
      <c r="B3275" s="660" t="s">
        <v>43</v>
      </c>
      <c r="C3275" s="644" t="s">
        <v>44</v>
      </c>
      <c r="D3275" s="644" t="s">
        <v>45</v>
      </c>
      <c r="E3275" s="577" t="s">
        <v>3812</v>
      </c>
      <c r="F3275" s="687" t="s">
        <v>124</v>
      </c>
      <c r="G3275" s="577">
        <v>9847940279</v>
      </c>
      <c r="I3275" s="577">
        <v>47</v>
      </c>
      <c r="J3275" s="577" t="s">
        <v>90</v>
      </c>
      <c r="K3275" s="577" t="s">
        <v>1480</v>
      </c>
      <c r="L3275" s="577"/>
      <c r="M3275" s="571" t="s">
        <v>119</v>
      </c>
      <c r="N3275" s="767">
        <v>65049</v>
      </c>
      <c r="O3275" s="680">
        <v>65049</v>
      </c>
      <c r="P3275" s="514">
        <v>65064</v>
      </c>
      <c r="Q3275" s="512" t="s">
        <v>51</v>
      </c>
    </row>
    <row r="3276" spans="1:31" ht="18">
      <c r="A3276" s="512">
        <f t="shared" si="43"/>
        <v>2429</v>
      </c>
      <c r="B3276" s="660" t="s">
        <v>43</v>
      </c>
      <c r="C3276" s="644" t="s">
        <v>44</v>
      </c>
      <c r="D3276" s="644" t="s">
        <v>45</v>
      </c>
      <c r="E3276" s="577" t="s">
        <v>3823</v>
      </c>
      <c r="F3276" s="687" t="s">
        <v>1046</v>
      </c>
      <c r="G3276" s="577">
        <v>9827501444</v>
      </c>
      <c r="I3276" s="577">
        <v>60</v>
      </c>
      <c r="J3276" s="577" t="s">
        <v>90</v>
      </c>
      <c r="K3276" s="577" t="s">
        <v>1468</v>
      </c>
      <c r="L3276" s="577"/>
      <c r="M3276" s="571" t="s">
        <v>119</v>
      </c>
      <c r="N3276" s="767">
        <v>65049</v>
      </c>
      <c r="O3276" s="680">
        <v>65049</v>
      </c>
      <c r="P3276" s="514">
        <v>65064</v>
      </c>
      <c r="Q3276" s="512" t="s">
        <v>51</v>
      </c>
    </row>
    <row r="3277" spans="1:31" ht="18">
      <c r="A3277" s="512">
        <f t="shared" si="43"/>
        <v>2430</v>
      </c>
      <c r="B3277" s="660" t="s">
        <v>43</v>
      </c>
      <c r="C3277" s="644" t="s">
        <v>44</v>
      </c>
      <c r="D3277" s="644" t="s">
        <v>45</v>
      </c>
      <c r="E3277" s="577" t="s">
        <v>3777</v>
      </c>
      <c r="F3277" s="687" t="s">
        <v>502</v>
      </c>
      <c r="G3277" s="577">
        <v>9857820744</v>
      </c>
      <c r="I3277" s="577">
        <v>15</v>
      </c>
      <c r="J3277" s="577" t="s">
        <v>90</v>
      </c>
      <c r="K3277" s="577" t="s">
        <v>1468</v>
      </c>
      <c r="L3277" s="577"/>
      <c r="M3277" s="571" t="s">
        <v>119</v>
      </c>
      <c r="N3277" s="767">
        <v>65049</v>
      </c>
      <c r="O3277" s="680">
        <v>65049</v>
      </c>
      <c r="P3277" s="514">
        <v>65064</v>
      </c>
      <c r="Q3277" s="512" t="s">
        <v>51</v>
      </c>
    </row>
    <row r="3278" spans="1:31" s="163" customFormat="1" ht="18">
      <c r="A3278" s="512">
        <f t="shared" si="43"/>
        <v>2431</v>
      </c>
      <c r="B3278" s="660" t="s">
        <v>43</v>
      </c>
      <c r="C3278" s="644" t="s">
        <v>44</v>
      </c>
      <c r="D3278" s="644" t="s">
        <v>45</v>
      </c>
      <c r="E3278" s="577" t="s">
        <v>3827</v>
      </c>
      <c r="F3278" s="687" t="s">
        <v>510</v>
      </c>
      <c r="G3278" s="577">
        <v>9867881952</v>
      </c>
      <c r="H3278" s="432"/>
      <c r="I3278" s="577">
        <v>63</v>
      </c>
      <c r="J3278" s="577" t="s">
        <v>90</v>
      </c>
      <c r="K3278" s="577" t="s">
        <v>1480</v>
      </c>
      <c r="L3278" s="577"/>
      <c r="M3278" s="571" t="s">
        <v>119</v>
      </c>
      <c r="N3278" s="767">
        <v>65049</v>
      </c>
      <c r="O3278" s="680">
        <v>65049</v>
      </c>
      <c r="P3278" s="514">
        <v>65064</v>
      </c>
      <c r="Q3278" s="512" t="s">
        <v>51</v>
      </c>
      <c r="R3278" s="322"/>
      <c r="S3278" s="322"/>
      <c r="T3278" s="322"/>
      <c r="U3278" s="322"/>
      <c r="V3278" s="322"/>
      <c r="W3278" s="322"/>
      <c r="X3278" s="322"/>
      <c r="Y3278" s="322"/>
      <c r="Z3278" s="322"/>
      <c r="AA3278" s="322"/>
      <c r="AB3278" s="322"/>
      <c r="AC3278" s="322"/>
      <c r="AD3278" s="322"/>
      <c r="AE3278" s="322"/>
    </row>
    <row r="3279" spans="1:31" ht="18">
      <c r="A3279" s="512">
        <f t="shared" si="43"/>
        <v>2432</v>
      </c>
      <c r="B3279" s="660" t="s">
        <v>43</v>
      </c>
      <c r="C3279" s="644" t="s">
        <v>44</v>
      </c>
      <c r="D3279" s="644" t="s">
        <v>45</v>
      </c>
      <c r="E3279" s="577" t="s">
        <v>3826</v>
      </c>
      <c r="F3279" s="687" t="s">
        <v>510</v>
      </c>
      <c r="G3279" s="577">
        <v>9866807842</v>
      </c>
      <c r="I3279" s="577">
        <v>63</v>
      </c>
      <c r="J3279" s="577" t="s">
        <v>48</v>
      </c>
      <c r="K3279" s="577" t="s">
        <v>1480</v>
      </c>
      <c r="L3279" s="577"/>
      <c r="M3279" s="571" t="s">
        <v>119</v>
      </c>
      <c r="N3279" s="767">
        <v>65049</v>
      </c>
      <c r="O3279" s="680">
        <v>65049</v>
      </c>
      <c r="P3279" s="514">
        <v>65064</v>
      </c>
      <c r="Q3279" s="512" t="s">
        <v>51</v>
      </c>
    </row>
    <row r="3280" spans="1:31" ht="18">
      <c r="A3280" s="512">
        <f t="shared" si="43"/>
        <v>2433</v>
      </c>
      <c r="B3280" s="660" t="s">
        <v>43</v>
      </c>
      <c r="C3280" s="644" t="s">
        <v>44</v>
      </c>
      <c r="D3280" s="644" t="s">
        <v>45</v>
      </c>
      <c r="E3280" s="577" t="s">
        <v>3803</v>
      </c>
      <c r="F3280" s="687" t="s">
        <v>441</v>
      </c>
      <c r="G3280" s="577">
        <v>9857834914</v>
      </c>
      <c r="I3280" s="577">
        <v>39</v>
      </c>
      <c r="J3280" s="577" t="s">
        <v>90</v>
      </c>
      <c r="K3280" s="577" t="s">
        <v>1468</v>
      </c>
      <c r="L3280" s="577"/>
      <c r="M3280" s="571" t="s">
        <v>119</v>
      </c>
      <c r="N3280" s="767">
        <v>65049</v>
      </c>
      <c r="O3280" s="680">
        <v>65049</v>
      </c>
      <c r="P3280" s="514">
        <v>65064</v>
      </c>
      <c r="Q3280" s="512" t="s">
        <v>51</v>
      </c>
    </row>
    <row r="3281" spans="1:31" ht="18">
      <c r="A3281" s="512">
        <f t="shared" si="43"/>
        <v>2434</v>
      </c>
      <c r="B3281" s="660" t="s">
        <v>43</v>
      </c>
      <c r="C3281" s="644" t="s">
        <v>44</v>
      </c>
      <c r="D3281" s="644" t="s">
        <v>45</v>
      </c>
      <c r="E3281" s="577" t="s">
        <v>3804</v>
      </c>
      <c r="F3281" s="687" t="s">
        <v>529</v>
      </c>
      <c r="G3281" s="577">
        <v>9865084689</v>
      </c>
      <c r="I3281" s="577">
        <v>40</v>
      </c>
      <c r="J3281" s="577" t="s">
        <v>48</v>
      </c>
      <c r="K3281" s="577" t="s">
        <v>1468</v>
      </c>
      <c r="L3281" s="577"/>
      <c r="M3281" s="571" t="s">
        <v>119</v>
      </c>
      <c r="N3281" s="767">
        <v>65049</v>
      </c>
      <c r="O3281" s="680">
        <v>65049</v>
      </c>
      <c r="P3281" s="514">
        <v>65064</v>
      </c>
      <c r="Q3281" s="512" t="s">
        <v>51</v>
      </c>
    </row>
    <row r="3282" spans="1:31" ht="18">
      <c r="A3282" s="512">
        <f t="shared" ref="A3282:A3345" si="44">A3281+1</f>
        <v>2435</v>
      </c>
      <c r="B3282" s="660" t="s">
        <v>43</v>
      </c>
      <c r="C3282" s="644" t="s">
        <v>44</v>
      </c>
      <c r="D3282" s="644" t="s">
        <v>45</v>
      </c>
      <c r="E3282" s="577" t="s">
        <v>3813</v>
      </c>
      <c r="F3282" s="687" t="s">
        <v>441</v>
      </c>
      <c r="G3282" s="577">
        <v>9847989844</v>
      </c>
      <c r="I3282" s="577">
        <v>48</v>
      </c>
      <c r="J3282" s="577" t="s">
        <v>48</v>
      </c>
      <c r="K3282" s="577" t="s">
        <v>1468</v>
      </c>
      <c r="L3282" s="577"/>
      <c r="M3282" s="571" t="s">
        <v>119</v>
      </c>
      <c r="N3282" s="767">
        <v>65049</v>
      </c>
      <c r="O3282" s="680">
        <v>65049</v>
      </c>
      <c r="P3282" s="514">
        <v>65064</v>
      </c>
      <c r="Q3282" s="512" t="s">
        <v>51</v>
      </c>
    </row>
    <row r="3283" spans="1:31" ht="18">
      <c r="A3283" s="512">
        <f t="shared" si="44"/>
        <v>2436</v>
      </c>
      <c r="B3283" s="660" t="s">
        <v>43</v>
      </c>
      <c r="C3283" s="644" t="s">
        <v>44</v>
      </c>
      <c r="D3283" s="644" t="s">
        <v>45</v>
      </c>
      <c r="E3283" s="577" t="s">
        <v>3831</v>
      </c>
      <c r="F3283" s="687" t="s">
        <v>441</v>
      </c>
      <c r="G3283" s="577">
        <v>9840221649</v>
      </c>
      <c r="I3283" s="577">
        <v>66</v>
      </c>
      <c r="J3283" s="577" t="s">
        <v>48</v>
      </c>
      <c r="K3283" s="577" t="s">
        <v>1468</v>
      </c>
      <c r="L3283" s="577"/>
      <c r="M3283" s="571" t="s">
        <v>119</v>
      </c>
      <c r="N3283" s="767">
        <v>65049</v>
      </c>
      <c r="O3283" s="680">
        <v>65049</v>
      </c>
      <c r="P3283" s="514">
        <v>65064</v>
      </c>
      <c r="Q3283" s="512" t="s">
        <v>51</v>
      </c>
    </row>
    <row r="3284" spans="1:31" ht="18">
      <c r="A3284" s="512">
        <f t="shared" si="44"/>
        <v>2437</v>
      </c>
      <c r="B3284" s="660" t="s">
        <v>43</v>
      </c>
      <c r="C3284" s="644" t="s">
        <v>44</v>
      </c>
      <c r="D3284" s="644" t="s">
        <v>45</v>
      </c>
      <c r="E3284" s="577" t="s">
        <v>3838</v>
      </c>
      <c r="F3284" s="687" t="s">
        <v>497</v>
      </c>
      <c r="G3284" s="577">
        <v>9822823232</v>
      </c>
      <c r="I3284" s="577">
        <v>70</v>
      </c>
      <c r="J3284" s="577" t="s">
        <v>90</v>
      </c>
      <c r="K3284" s="577" t="s">
        <v>1480</v>
      </c>
      <c r="L3284" s="577"/>
      <c r="M3284" s="571" t="s">
        <v>119</v>
      </c>
      <c r="N3284" s="767">
        <v>65049</v>
      </c>
      <c r="O3284" s="680">
        <v>65049</v>
      </c>
      <c r="P3284" s="514">
        <v>65064</v>
      </c>
      <c r="Q3284" s="512" t="s">
        <v>51</v>
      </c>
    </row>
    <row r="3285" spans="1:31" ht="18">
      <c r="A3285" s="512">
        <f t="shared" si="44"/>
        <v>2438</v>
      </c>
      <c r="B3285" s="660" t="s">
        <v>43</v>
      </c>
      <c r="C3285" s="644" t="s">
        <v>44</v>
      </c>
      <c r="D3285" s="644" t="s">
        <v>45</v>
      </c>
      <c r="E3285" s="577" t="s">
        <v>3793</v>
      </c>
      <c r="F3285" s="687" t="s">
        <v>491</v>
      </c>
      <c r="G3285" s="577">
        <v>9742976714</v>
      </c>
      <c r="I3285" s="577">
        <v>28</v>
      </c>
      <c r="J3285" s="577" t="s">
        <v>90</v>
      </c>
      <c r="K3285" s="577" t="s">
        <v>1468</v>
      </c>
      <c r="L3285" s="577"/>
      <c r="M3285" s="571" t="s">
        <v>119</v>
      </c>
      <c r="N3285" s="767">
        <v>65049</v>
      </c>
      <c r="O3285" s="680">
        <v>65049</v>
      </c>
      <c r="P3285" s="514">
        <v>65064</v>
      </c>
      <c r="Q3285" s="512" t="s">
        <v>51</v>
      </c>
    </row>
    <row r="3286" spans="1:31" ht="18">
      <c r="A3286" s="512">
        <f t="shared" si="44"/>
        <v>2439</v>
      </c>
      <c r="B3286" s="660" t="s">
        <v>43</v>
      </c>
      <c r="C3286" s="644" t="s">
        <v>44</v>
      </c>
      <c r="D3286" s="644" t="s">
        <v>45</v>
      </c>
      <c r="E3286" s="577" t="s">
        <v>3789</v>
      </c>
      <c r="F3286" s="687" t="s">
        <v>529</v>
      </c>
      <c r="G3286" s="577">
        <v>9810019260</v>
      </c>
      <c r="I3286" s="577">
        <v>25</v>
      </c>
      <c r="J3286" s="577" t="s">
        <v>90</v>
      </c>
      <c r="K3286" s="577" t="s">
        <v>1468</v>
      </c>
      <c r="L3286" s="577"/>
      <c r="M3286" s="571" t="s">
        <v>119</v>
      </c>
      <c r="N3286" s="767">
        <v>65049</v>
      </c>
      <c r="O3286" s="680">
        <v>65049</v>
      </c>
      <c r="P3286" s="514">
        <v>65064</v>
      </c>
      <c r="Q3286" s="512" t="s">
        <v>51</v>
      </c>
    </row>
    <row r="3287" spans="1:31" ht="18">
      <c r="A3287" s="512">
        <f t="shared" si="44"/>
        <v>2440</v>
      </c>
      <c r="B3287" s="660" t="s">
        <v>43</v>
      </c>
      <c r="C3287" s="644" t="s">
        <v>44</v>
      </c>
      <c r="D3287" s="644" t="s">
        <v>45</v>
      </c>
      <c r="E3287" s="688" t="s">
        <v>1494</v>
      </c>
      <c r="F3287" s="687" t="s">
        <v>1046</v>
      </c>
      <c r="G3287" s="687">
        <v>9847981935</v>
      </c>
      <c r="I3287" s="687">
        <v>37</v>
      </c>
      <c r="J3287" s="687" t="s">
        <v>90</v>
      </c>
      <c r="K3287" s="577" t="s">
        <v>53</v>
      </c>
      <c r="L3287" s="577"/>
      <c r="M3287" s="571" t="s">
        <v>119</v>
      </c>
      <c r="N3287" s="767">
        <v>65049</v>
      </c>
      <c r="O3287" s="680">
        <v>65049</v>
      </c>
      <c r="P3287" s="514">
        <v>65064</v>
      </c>
      <c r="Q3287" s="512" t="s">
        <v>51</v>
      </c>
    </row>
    <row r="3288" spans="1:31" ht="18">
      <c r="A3288" s="512">
        <f t="shared" si="44"/>
        <v>2441</v>
      </c>
      <c r="B3288" s="660" t="s">
        <v>43</v>
      </c>
      <c r="C3288" s="644" t="s">
        <v>44</v>
      </c>
      <c r="D3288" s="644" t="s">
        <v>45</v>
      </c>
      <c r="E3288" s="577" t="s">
        <v>3785</v>
      </c>
      <c r="F3288" s="687" t="s">
        <v>497</v>
      </c>
      <c r="G3288" s="577">
        <v>9869965030</v>
      </c>
      <c r="I3288" s="577">
        <v>24</v>
      </c>
      <c r="J3288" s="577" t="s">
        <v>90</v>
      </c>
      <c r="K3288" s="577" t="s">
        <v>1468</v>
      </c>
      <c r="L3288" s="577"/>
      <c r="M3288" s="571" t="s">
        <v>119</v>
      </c>
      <c r="N3288" s="767">
        <v>65049</v>
      </c>
      <c r="O3288" s="680">
        <v>65049</v>
      </c>
      <c r="P3288" s="514">
        <v>65064</v>
      </c>
      <c r="Q3288" s="512" t="s">
        <v>51</v>
      </c>
    </row>
    <row r="3289" spans="1:31" ht="18">
      <c r="A3289" s="512">
        <f t="shared" si="44"/>
        <v>2442</v>
      </c>
      <c r="B3289" s="660" t="s">
        <v>43</v>
      </c>
      <c r="C3289" s="644" t="s">
        <v>44</v>
      </c>
      <c r="D3289" s="644" t="s">
        <v>45</v>
      </c>
      <c r="E3289" s="677" t="s">
        <v>2438</v>
      </c>
      <c r="F3289" s="687" t="s">
        <v>497</v>
      </c>
      <c r="G3289" s="577">
        <v>9822823232</v>
      </c>
      <c r="I3289" s="577">
        <v>20</v>
      </c>
      <c r="J3289" s="577" t="s">
        <v>90</v>
      </c>
      <c r="K3289" s="577" t="s">
        <v>1480</v>
      </c>
      <c r="L3289" s="577"/>
      <c r="M3289" s="571" t="s">
        <v>119</v>
      </c>
      <c r="N3289" s="767">
        <v>65049</v>
      </c>
      <c r="O3289" s="680">
        <v>65049</v>
      </c>
      <c r="P3289" s="514">
        <v>65064</v>
      </c>
      <c r="Q3289" s="512" t="s">
        <v>51</v>
      </c>
    </row>
    <row r="3290" spans="1:31" ht="18">
      <c r="A3290" s="512">
        <f t="shared" si="44"/>
        <v>2443</v>
      </c>
      <c r="B3290" s="660" t="s">
        <v>43</v>
      </c>
      <c r="C3290" s="644" t="s">
        <v>44</v>
      </c>
      <c r="D3290" s="644" t="s">
        <v>45</v>
      </c>
      <c r="E3290" s="577" t="s">
        <v>3816</v>
      </c>
      <c r="F3290" s="687" t="s">
        <v>491</v>
      </c>
      <c r="G3290" s="577">
        <v>9847836503</v>
      </c>
      <c r="I3290" s="577">
        <v>50</v>
      </c>
      <c r="J3290" s="577" t="s">
        <v>48</v>
      </c>
      <c r="K3290" s="577" t="s">
        <v>1480</v>
      </c>
      <c r="L3290" s="577"/>
      <c r="M3290" s="571" t="s">
        <v>119</v>
      </c>
      <c r="N3290" s="767">
        <v>65049</v>
      </c>
      <c r="O3290" s="680">
        <v>65049</v>
      </c>
      <c r="P3290" s="514">
        <v>65064</v>
      </c>
      <c r="Q3290" s="512" t="s">
        <v>51</v>
      </c>
    </row>
    <row r="3291" spans="1:31" ht="18">
      <c r="A3291" s="512">
        <f t="shared" si="44"/>
        <v>2444</v>
      </c>
      <c r="B3291" s="669" t="s">
        <v>43</v>
      </c>
      <c r="C3291" s="640" t="s">
        <v>44</v>
      </c>
      <c r="D3291" s="640" t="s">
        <v>45</v>
      </c>
      <c r="E3291" s="635" t="s">
        <v>3556</v>
      </c>
      <c r="F3291" s="689" t="s">
        <v>598</v>
      </c>
      <c r="G3291" s="635"/>
      <c r="H3291" s="436"/>
      <c r="I3291" s="635">
        <v>65</v>
      </c>
      <c r="J3291" s="635" t="s">
        <v>48</v>
      </c>
      <c r="K3291" s="635" t="s">
        <v>53</v>
      </c>
      <c r="L3291" s="635"/>
      <c r="M3291" s="592" t="s">
        <v>54</v>
      </c>
      <c r="N3291" s="771">
        <v>65049</v>
      </c>
      <c r="O3291" s="691">
        <v>65049</v>
      </c>
      <c r="P3291" s="465">
        <v>65061</v>
      </c>
      <c r="Q3291" s="436" t="s">
        <v>51</v>
      </c>
      <c r="R3291" s="163"/>
      <c r="S3291" s="163"/>
      <c r="T3291" s="163"/>
      <c r="U3291" s="163"/>
      <c r="V3291" s="163"/>
      <c r="W3291" s="163"/>
      <c r="X3291" s="163"/>
      <c r="Y3291" s="163"/>
      <c r="Z3291" s="163"/>
      <c r="AA3291" s="163"/>
      <c r="AB3291" s="163"/>
      <c r="AC3291" s="163"/>
      <c r="AD3291" s="163"/>
      <c r="AE3291" s="163"/>
    </row>
    <row r="3292" spans="1:31" ht="18">
      <c r="A3292" s="512">
        <f t="shared" si="44"/>
        <v>2445</v>
      </c>
      <c r="B3292" s="660" t="s">
        <v>43</v>
      </c>
      <c r="C3292" s="644" t="s">
        <v>44</v>
      </c>
      <c r="D3292" s="644" t="s">
        <v>45</v>
      </c>
      <c r="E3292" s="687" t="s">
        <v>3799</v>
      </c>
      <c r="F3292" s="687" t="s">
        <v>1008</v>
      </c>
      <c r="G3292" s="687">
        <v>9869152486</v>
      </c>
      <c r="I3292" s="687">
        <v>30</v>
      </c>
      <c r="J3292" s="687" t="s">
        <v>90</v>
      </c>
      <c r="K3292" s="577" t="s">
        <v>53</v>
      </c>
      <c r="L3292" s="577"/>
      <c r="M3292" s="571" t="s">
        <v>119</v>
      </c>
      <c r="N3292" s="767">
        <v>65049</v>
      </c>
      <c r="O3292" s="680">
        <v>65049</v>
      </c>
      <c r="P3292" s="514">
        <v>65064</v>
      </c>
      <c r="Q3292" s="512" t="s">
        <v>51</v>
      </c>
    </row>
    <row r="3293" spans="1:31" ht="18">
      <c r="A3293" s="512">
        <f t="shared" si="44"/>
        <v>2446</v>
      </c>
      <c r="B3293" s="669" t="s">
        <v>43</v>
      </c>
      <c r="C3293" s="640" t="s">
        <v>44</v>
      </c>
      <c r="D3293" s="640" t="s">
        <v>45</v>
      </c>
      <c r="E3293" s="635" t="s">
        <v>3792</v>
      </c>
      <c r="F3293" s="689" t="s">
        <v>415</v>
      </c>
      <c r="G3293" s="635">
        <v>9809895470</v>
      </c>
      <c r="H3293" s="436"/>
      <c r="I3293" s="635">
        <v>27</v>
      </c>
      <c r="J3293" s="635" t="s">
        <v>90</v>
      </c>
      <c r="K3293" s="635" t="s">
        <v>1459</v>
      </c>
      <c r="L3293" s="635"/>
      <c r="M3293" s="635" t="s">
        <v>1459</v>
      </c>
      <c r="N3293" s="771">
        <v>65049</v>
      </c>
      <c r="O3293" s="690">
        <v>65049</v>
      </c>
      <c r="P3293" s="465">
        <v>65086</v>
      </c>
      <c r="Q3293" s="512" t="s">
        <v>51</v>
      </c>
      <c r="R3293" s="163"/>
      <c r="S3293" s="163"/>
      <c r="T3293" s="163"/>
      <c r="U3293" s="163"/>
      <c r="V3293" s="163"/>
      <c r="W3293" s="163"/>
      <c r="X3293" s="163"/>
      <c r="Y3293" s="163"/>
      <c r="Z3293" s="163"/>
      <c r="AA3293" s="163"/>
      <c r="AB3293" s="163"/>
      <c r="AC3293" s="163"/>
      <c r="AD3293" s="163"/>
      <c r="AE3293" s="163"/>
    </row>
    <row r="3294" spans="1:31" ht="18">
      <c r="A3294" s="512">
        <f t="shared" si="44"/>
        <v>2447</v>
      </c>
      <c r="B3294" s="660" t="s">
        <v>43</v>
      </c>
      <c r="C3294" s="644" t="s">
        <v>44</v>
      </c>
      <c r="D3294" s="644" t="s">
        <v>45</v>
      </c>
      <c r="E3294" s="577" t="s">
        <v>3837</v>
      </c>
      <c r="F3294" s="687" t="s">
        <v>598</v>
      </c>
      <c r="G3294" s="577">
        <v>9822933447</v>
      </c>
      <c r="I3294" s="577">
        <v>68</v>
      </c>
      <c r="J3294" s="577" t="s">
        <v>48</v>
      </c>
      <c r="K3294" s="577" t="s">
        <v>1480</v>
      </c>
      <c r="L3294" s="577"/>
      <c r="M3294" s="571" t="s">
        <v>119</v>
      </c>
      <c r="N3294" s="767">
        <v>65049</v>
      </c>
      <c r="O3294" s="680">
        <v>65049</v>
      </c>
      <c r="P3294" s="514">
        <v>65064</v>
      </c>
      <c r="Q3294" s="512" t="s">
        <v>51</v>
      </c>
    </row>
    <row r="3295" spans="1:31" ht="18">
      <c r="A3295" s="512">
        <f t="shared" si="44"/>
        <v>2448</v>
      </c>
      <c r="B3295" s="660" t="s">
        <v>43</v>
      </c>
      <c r="C3295" s="644" t="s">
        <v>44</v>
      </c>
      <c r="D3295" s="644" t="s">
        <v>45</v>
      </c>
      <c r="E3295" s="688" t="s">
        <v>3806</v>
      </c>
      <c r="F3295" s="687" t="s">
        <v>1046</v>
      </c>
      <c r="G3295" s="687">
        <v>9847981935</v>
      </c>
      <c r="I3295" s="687">
        <v>45</v>
      </c>
      <c r="J3295" s="577" t="s">
        <v>48</v>
      </c>
      <c r="K3295" s="577" t="s">
        <v>53</v>
      </c>
      <c r="L3295" s="577"/>
      <c r="M3295" s="571" t="s">
        <v>119</v>
      </c>
      <c r="N3295" s="767">
        <v>65049</v>
      </c>
      <c r="O3295" s="680">
        <v>65049</v>
      </c>
      <c r="P3295" s="514">
        <v>65064</v>
      </c>
      <c r="Q3295" s="512" t="s">
        <v>51</v>
      </c>
    </row>
    <row r="3296" spans="1:31" s="326" customFormat="1" ht="18">
      <c r="A3296" s="512">
        <f t="shared" si="44"/>
        <v>2449</v>
      </c>
      <c r="B3296" s="658" t="s">
        <v>43</v>
      </c>
      <c r="C3296" s="630" t="s">
        <v>44</v>
      </c>
      <c r="D3296" s="630" t="s">
        <v>45</v>
      </c>
      <c r="E3296" s="597" t="s">
        <v>3841</v>
      </c>
      <c r="F3296" s="702" t="s">
        <v>1046</v>
      </c>
      <c r="G3296" s="597">
        <v>9866809942</v>
      </c>
      <c r="H3296" s="422"/>
      <c r="I3296" s="597">
        <v>73</v>
      </c>
      <c r="J3296" s="597" t="s">
        <v>48</v>
      </c>
      <c r="K3296" s="597" t="s">
        <v>1468</v>
      </c>
      <c r="L3296" s="597"/>
      <c r="M3296" s="597" t="s">
        <v>119</v>
      </c>
      <c r="N3296" s="768">
        <v>65049</v>
      </c>
      <c r="O3296" s="681">
        <v>65049</v>
      </c>
      <c r="P3296" s="476">
        <v>65053</v>
      </c>
      <c r="Q3296" s="422" t="s">
        <v>940</v>
      </c>
    </row>
    <row r="3297" spans="1:31" ht="18">
      <c r="A3297" s="512">
        <f t="shared" si="44"/>
        <v>2450</v>
      </c>
      <c r="B3297" s="660" t="s">
        <v>43</v>
      </c>
      <c r="C3297" s="644" t="s">
        <v>44</v>
      </c>
      <c r="D3297" s="644" t="s">
        <v>45</v>
      </c>
      <c r="E3297" s="577" t="s">
        <v>3794</v>
      </c>
      <c r="F3297" s="687" t="s">
        <v>1046</v>
      </c>
      <c r="G3297" s="577">
        <v>9809506295</v>
      </c>
      <c r="I3297" s="577">
        <v>28</v>
      </c>
      <c r="J3297" s="577" t="s">
        <v>90</v>
      </c>
      <c r="K3297" s="577" t="s">
        <v>1480</v>
      </c>
      <c r="L3297" s="577"/>
      <c r="M3297" s="571" t="s">
        <v>119</v>
      </c>
      <c r="N3297" s="767">
        <v>65049</v>
      </c>
      <c r="O3297" s="680">
        <v>65049</v>
      </c>
      <c r="P3297" s="514">
        <v>65064</v>
      </c>
      <c r="Q3297" s="512" t="s">
        <v>51</v>
      </c>
    </row>
    <row r="3298" spans="1:31" ht="18">
      <c r="A3298" s="512">
        <f t="shared" si="44"/>
        <v>2451</v>
      </c>
      <c r="B3298" s="660" t="s">
        <v>43</v>
      </c>
      <c r="C3298" s="644" t="s">
        <v>44</v>
      </c>
      <c r="D3298" s="644" t="s">
        <v>45</v>
      </c>
      <c r="E3298" s="577" t="s">
        <v>3782</v>
      </c>
      <c r="F3298" s="687" t="s">
        <v>598</v>
      </c>
      <c r="G3298" s="577">
        <v>9829552940</v>
      </c>
      <c r="I3298" s="577">
        <v>22</v>
      </c>
      <c r="J3298" s="577" t="s">
        <v>90</v>
      </c>
      <c r="K3298" s="577" t="s">
        <v>1468</v>
      </c>
      <c r="L3298" s="577"/>
      <c r="M3298" s="571" t="s">
        <v>119</v>
      </c>
      <c r="N3298" s="767">
        <v>65049</v>
      </c>
      <c r="O3298" s="680">
        <v>65049</v>
      </c>
      <c r="P3298" s="514">
        <v>65064</v>
      </c>
      <c r="Q3298" s="512" t="s">
        <v>51</v>
      </c>
    </row>
    <row r="3299" spans="1:31" ht="18">
      <c r="A3299" s="512">
        <f t="shared" si="44"/>
        <v>2452</v>
      </c>
      <c r="B3299" s="660" t="s">
        <v>43</v>
      </c>
      <c r="C3299" s="644" t="s">
        <v>44</v>
      </c>
      <c r="D3299" s="644" t="s">
        <v>45</v>
      </c>
      <c r="E3299" s="677" t="s">
        <v>3810</v>
      </c>
      <c r="F3299" s="687" t="s">
        <v>502</v>
      </c>
      <c r="G3299" s="577">
        <v>9857820744</v>
      </c>
      <c r="I3299" s="577">
        <v>46</v>
      </c>
      <c r="J3299" s="577" t="s">
        <v>90</v>
      </c>
      <c r="K3299" s="577" t="s">
        <v>1468</v>
      </c>
      <c r="L3299" s="577"/>
      <c r="M3299" s="571" t="s">
        <v>119</v>
      </c>
      <c r="N3299" s="767">
        <v>65049</v>
      </c>
      <c r="O3299" s="680">
        <v>65049</v>
      </c>
      <c r="P3299" s="514">
        <v>65064</v>
      </c>
      <c r="Q3299" s="512" t="s">
        <v>51</v>
      </c>
    </row>
    <row r="3300" spans="1:31" ht="18">
      <c r="A3300" s="512">
        <f t="shared" si="44"/>
        <v>2453</v>
      </c>
      <c r="B3300" s="660" t="s">
        <v>43</v>
      </c>
      <c r="C3300" s="644" t="s">
        <v>44</v>
      </c>
      <c r="D3300" s="644" t="s">
        <v>45</v>
      </c>
      <c r="E3300" s="577" t="s">
        <v>3786</v>
      </c>
      <c r="F3300" s="687" t="s">
        <v>497</v>
      </c>
      <c r="G3300" s="577">
        <v>9857821613</v>
      </c>
      <c r="I3300" s="577">
        <v>24</v>
      </c>
      <c r="J3300" s="577" t="s">
        <v>90</v>
      </c>
      <c r="K3300" s="577" t="s">
        <v>1468</v>
      </c>
      <c r="L3300" s="577"/>
      <c r="M3300" s="571" t="s">
        <v>119</v>
      </c>
      <c r="N3300" s="767">
        <v>65049</v>
      </c>
      <c r="O3300" s="680">
        <v>65049</v>
      </c>
      <c r="P3300" s="514">
        <v>65064</v>
      </c>
      <c r="Q3300" s="512" t="s">
        <v>51</v>
      </c>
    </row>
    <row r="3301" spans="1:31" ht="18">
      <c r="A3301" s="512">
        <f t="shared" si="44"/>
        <v>2454</v>
      </c>
      <c r="B3301" s="660" t="s">
        <v>43</v>
      </c>
      <c r="C3301" s="644" t="s">
        <v>44</v>
      </c>
      <c r="D3301" s="644" t="s">
        <v>45</v>
      </c>
      <c r="E3301" s="577" t="s">
        <v>3833</v>
      </c>
      <c r="F3301" s="687" t="s">
        <v>1046</v>
      </c>
      <c r="G3301" s="577">
        <v>9844992415</v>
      </c>
      <c r="I3301" s="577">
        <v>66</v>
      </c>
      <c r="J3301" s="577" t="s">
        <v>48</v>
      </c>
      <c r="K3301" s="577" t="s">
        <v>1480</v>
      </c>
      <c r="L3301" s="577"/>
      <c r="M3301" s="571" t="s">
        <v>119</v>
      </c>
      <c r="N3301" s="767">
        <v>65049</v>
      </c>
      <c r="O3301" s="680">
        <v>65049</v>
      </c>
      <c r="P3301" s="514">
        <v>65064</v>
      </c>
      <c r="Q3301" s="512" t="s">
        <v>51</v>
      </c>
    </row>
    <row r="3302" spans="1:31" s="163" customFormat="1" ht="18">
      <c r="A3302" s="512">
        <f t="shared" si="44"/>
        <v>2455</v>
      </c>
      <c r="B3302" s="660" t="s">
        <v>43</v>
      </c>
      <c r="C3302" s="644" t="s">
        <v>44</v>
      </c>
      <c r="D3302" s="644" t="s">
        <v>45</v>
      </c>
      <c r="E3302" s="577" t="s">
        <v>3822</v>
      </c>
      <c r="F3302" s="687" t="s">
        <v>491</v>
      </c>
      <c r="G3302" s="577">
        <v>9844902017</v>
      </c>
      <c r="H3302" s="432"/>
      <c r="I3302" s="577">
        <v>60</v>
      </c>
      <c r="J3302" s="577" t="s">
        <v>90</v>
      </c>
      <c r="K3302" s="577" t="s">
        <v>1468</v>
      </c>
      <c r="L3302" s="577"/>
      <c r="M3302" s="571" t="s">
        <v>119</v>
      </c>
      <c r="N3302" s="767">
        <v>65049</v>
      </c>
      <c r="O3302" s="680">
        <v>65049</v>
      </c>
      <c r="P3302" s="514">
        <v>65064</v>
      </c>
      <c r="Q3302" s="512" t="s">
        <v>51</v>
      </c>
      <c r="R3302" s="322"/>
      <c r="S3302" s="322"/>
      <c r="T3302" s="322"/>
      <c r="U3302" s="322"/>
      <c r="V3302" s="322"/>
      <c r="W3302" s="322"/>
      <c r="X3302" s="322"/>
      <c r="Y3302" s="322"/>
      <c r="Z3302" s="322"/>
      <c r="AA3302" s="322"/>
      <c r="AB3302" s="322"/>
      <c r="AC3302" s="322"/>
      <c r="AD3302" s="322"/>
      <c r="AE3302" s="322"/>
    </row>
    <row r="3303" spans="1:31" ht="18">
      <c r="A3303" s="512">
        <f t="shared" si="44"/>
        <v>2456</v>
      </c>
      <c r="B3303" s="660" t="s">
        <v>43</v>
      </c>
      <c r="C3303" s="644" t="s">
        <v>44</v>
      </c>
      <c r="D3303" s="644" t="s">
        <v>45</v>
      </c>
      <c r="E3303" s="577" t="s">
        <v>3798</v>
      </c>
      <c r="F3303" s="687" t="s">
        <v>491</v>
      </c>
      <c r="G3303" s="577">
        <v>9868605592</v>
      </c>
      <c r="I3303" s="577">
        <v>30</v>
      </c>
      <c r="J3303" s="577" t="s">
        <v>90</v>
      </c>
      <c r="K3303" s="577" t="s">
        <v>1480</v>
      </c>
      <c r="L3303" s="577"/>
      <c r="M3303" s="571" t="s">
        <v>119</v>
      </c>
      <c r="N3303" s="767">
        <v>65049</v>
      </c>
      <c r="O3303" s="680">
        <v>65049</v>
      </c>
      <c r="P3303" s="514">
        <v>65064</v>
      </c>
      <c r="Q3303" s="512" t="s">
        <v>51</v>
      </c>
    </row>
    <row r="3304" spans="1:31" ht="18">
      <c r="A3304" s="512">
        <f t="shared" si="44"/>
        <v>2457</v>
      </c>
      <c r="B3304" s="660" t="s">
        <v>43</v>
      </c>
      <c r="C3304" s="644" t="s">
        <v>44</v>
      </c>
      <c r="D3304" s="644" t="s">
        <v>45</v>
      </c>
      <c r="E3304" s="577" t="s">
        <v>3807</v>
      </c>
      <c r="F3304" s="687" t="s">
        <v>529</v>
      </c>
      <c r="G3304" s="577">
        <v>9847830847</v>
      </c>
      <c r="I3304" s="577">
        <v>45</v>
      </c>
      <c r="J3304" s="577" t="s">
        <v>90</v>
      </c>
      <c r="K3304" s="577" t="s">
        <v>1468</v>
      </c>
      <c r="L3304" s="577"/>
      <c r="M3304" s="571" t="s">
        <v>119</v>
      </c>
      <c r="N3304" s="767">
        <v>65049</v>
      </c>
      <c r="O3304" s="680">
        <v>65049</v>
      </c>
      <c r="P3304" s="514">
        <v>65064</v>
      </c>
      <c r="Q3304" s="512" t="s">
        <v>51</v>
      </c>
    </row>
    <row r="3305" spans="1:31" s="163" customFormat="1" ht="18">
      <c r="A3305" s="512">
        <f t="shared" si="44"/>
        <v>2458</v>
      </c>
      <c r="B3305" s="660" t="s">
        <v>43</v>
      </c>
      <c r="C3305" s="644" t="s">
        <v>44</v>
      </c>
      <c r="D3305" s="644" t="s">
        <v>45</v>
      </c>
      <c r="E3305" s="577" t="s">
        <v>3787</v>
      </c>
      <c r="F3305" s="687" t="s">
        <v>598</v>
      </c>
      <c r="G3305" s="577">
        <v>9809794924</v>
      </c>
      <c r="H3305" s="432"/>
      <c r="I3305" s="577">
        <v>25</v>
      </c>
      <c r="J3305" s="577" t="s">
        <v>90</v>
      </c>
      <c r="K3305" s="577" t="s">
        <v>1468</v>
      </c>
      <c r="L3305" s="577"/>
      <c r="M3305" s="571" t="s">
        <v>119</v>
      </c>
      <c r="N3305" s="767">
        <v>65049</v>
      </c>
      <c r="O3305" s="680">
        <v>65049</v>
      </c>
      <c r="P3305" s="514">
        <v>65064</v>
      </c>
      <c r="Q3305" s="512" t="s">
        <v>51</v>
      </c>
      <c r="R3305" s="322"/>
      <c r="S3305" s="322"/>
      <c r="T3305" s="322"/>
      <c r="U3305" s="322"/>
      <c r="V3305" s="322"/>
      <c r="W3305" s="322"/>
      <c r="X3305" s="322"/>
      <c r="Y3305" s="322"/>
      <c r="Z3305" s="322"/>
      <c r="AA3305" s="322"/>
      <c r="AB3305" s="322"/>
      <c r="AC3305" s="322"/>
      <c r="AD3305" s="322"/>
      <c r="AE3305" s="322"/>
    </row>
    <row r="3306" spans="1:31" ht="18">
      <c r="A3306" s="512">
        <f t="shared" si="44"/>
        <v>2459</v>
      </c>
      <c r="B3306" s="660" t="s">
        <v>43</v>
      </c>
      <c r="C3306" s="644" t="s">
        <v>44</v>
      </c>
      <c r="D3306" s="644" t="s">
        <v>45</v>
      </c>
      <c r="E3306" s="577" t="s">
        <v>3778</v>
      </c>
      <c r="F3306" s="687" t="s">
        <v>441</v>
      </c>
      <c r="G3306" s="577">
        <v>9822963452</v>
      </c>
      <c r="I3306" s="577">
        <v>19</v>
      </c>
      <c r="J3306" s="577" t="s">
        <v>90</v>
      </c>
      <c r="K3306" s="577" t="s">
        <v>1480</v>
      </c>
      <c r="L3306" s="577"/>
      <c r="M3306" s="571" t="s">
        <v>119</v>
      </c>
      <c r="N3306" s="767">
        <v>65049</v>
      </c>
      <c r="O3306" s="680">
        <v>65049</v>
      </c>
      <c r="P3306" s="514">
        <v>65064</v>
      </c>
      <c r="Q3306" s="512" t="s">
        <v>51</v>
      </c>
    </row>
    <row r="3307" spans="1:31" ht="18">
      <c r="A3307" s="512">
        <f t="shared" si="44"/>
        <v>2460</v>
      </c>
      <c r="B3307" s="660" t="s">
        <v>43</v>
      </c>
      <c r="C3307" s="644" t="s">
        <v>44</v>
      </c>
      <c r="D3307" s="644" t="s">
        <v>45</v>
      </c>
      <c r="E3307" s="687" t="s">
        <v>3788</v>
      </c>
      <c r="F3307" s="687" t="s">
        <v>441</v>
      </c>
      <c r="G3307" s="687">
        <v>9847824562</v>
      </c>
      <c r="I3307" s="687">
        <v>25</v>
      </c>
      <c r="J3307" s="687" t="s">
        <v>90</v>
      </c>
      <c r="K3307" s="577" t="s">
        <v>53</v>
      </c>
      <c r="L3307" s="577"/>
      <c r="M3307" s="571" t="s">
        <v>119</v>
      </c>
      <c r="N3307" s="767">
        <v>65049</v>
      </c>
      <c r="O3307" s="680">
        <v>65049</v>
      </c>
      <c r="P3307" s="514">
        <v>65064</v>
      </c>
      <c r="Q3307" s="512" t="s">
        <v>51</v>
      </c>
    </row>
    <row r="3308" spans="1:31" ht="18">
      <c r="A3308" s="512">
        <f t="shared" si="44"/>
        <v>2461</v>
      </c>
      <c r="B3308" s="660" t="s">
        <v>43</v>
      </c>
      <c r="C3308" s="644" t="s">
        <v>44</v>
      </c>
      <c r="D3308" s="644" t="s">
        <v>45</v>
      </c>
      <c r="E3308" s="577" t="s">
        <v>3815</v>
      </c>
      <c r="F3308" s="687" t="s">
        <v>441</v>
      </c>
      <c r="G3308" s="577">
        <v>9809885719</v>
      </c>
      <c r="I3308" s="577">
        <v>49</v>
      </c>
      <c r="J3308" s="577" t="s">
        <v>48</v>
      </c>
      <c r="K3308" s="577" t="s">
        <v>1468</v>
      </c>
      <c r="L3308" s="577"/>
      <c r="M3308" s="571" t="s">
        <v>119</v>
      </c>
      <c r="N3308" s="767">
        <v>65049</v>
      </c>
      <c r="O3308" s="680">
        <v>65049</v>
      </c>
      <c r="P3308" s="514">
        <v>65064</v>
      </c>
      <c r="Q3308" s="512" t="s">
        <v>51</v>
      </c>
    </row>
    <row r="3309" spans="1:31" ht="18">
      <c r="A3309" s="512">
        <f t="shared" si="44"/>
        <v>2462</v>
      </c>
      <c r="B3309" s="660" t="s">
        <v>43</v>
      </c>
      <c r="C3309" s="644" t="s">
        <v>44</v>
      </c>
      <c r="D3309" s="644" t="s">
        <v>45</v>
      </c>
      <c r="E3309" s="577" t="s">
        <v>3791</v>
      </c>
      <c r="F3309" s="687" t="s">
        <v>1204</v>
      </c>
      <c r="G3309" s="577">
        <v>9868364313</v>
      </c>
      <c r="I3309" s="577">
        <v>27</v>
      </c>
      <c r="J3309" s="577" t="s">
        <v>48</v>
      </c>
      <c r="K3309" s="577" t="s">
        <v>1480</v>
      </c>
      <c r="L3309" s="577"/>
      <c r="M3309" s="571" t="s">
        <v>119</v>
      </c>
      <c r="N3309" s="767">
        <v>65049</v>
      </c>
      <c r="O3309" s="680">
        <v>65049</v>
      </c>
      <c r="P3309" s="514">
        <v>65064</v>
      </c>
      <c r="Q3309" s="512" t="s">
        <v>51</v>
      </c>
    </row>
    <row r="3310" spans="1:31" ht="18">
      <c r="A3310" s="512">
        <f t="shared" si="44"/>
        <v>2463</v>
      </c>
      <c r="B3310" s="660" t="s">
        <v>43</v>
      </c>
      <c r="C3310" s="644" t="s">
        <v>44</v>
      </c>
      <c r="D3310" s="644" t="s">
        <v>45</v>
      </c>
      <c r="E3310" s="577" t="s">
        <v>3821</v>
      </c>
      <c r="F3310" s="687" t="s">
        <v>598</v>
      </c>
      <c r="G3310" s="577">
        <v>9857823700</v>
      </c>
      <c r="I3310" s="577">
        <v>60</v>
      </c>
      <c r="J3310" s="577" t="s">
        <v>48</v>
      </c>
      <c r="K3310" s="577" t="s">
        <v>1468</v>
      </c>
      <c r="L3310" s="577"/>
      <c r="M3310" s="571" t="s">
        <v>119</v>
      </c>
      <c r="N3310" s="767">
        <v>65049</v>
      </c>
      <c r="O3310" s="680">
        <v>65049</v>
      </c>
      <c r="P3310" s="514">
        <v>65064</v>
      </c>
      <c r="Q3310" s="512" t="s">
        <v>51</v>
      </c>
    </row>
    <row r="3311" spans="1:31" ht="18">
      <c r="A3311" s="512">
        <f t="shared" si="44"/>
        <v>2464</v>
      </c>
      <c r="B3311" s="660" t="s">
        <v>43</v>
      </c>
      <c r="C3311" s="644" t="s">
        <v>44</v>
      </c>
      <c r="D3311" s="644" t="s">
        <v>45</v>
      </c>
      <c r="E3311" s="577" t="s">
        <v>3832</v>
      </c>
      <c r="F3311" s="687" t="s">
        <v>441</v>
      </c>
      <c r="G3311" s="577">
        <v>9863408989</v>
      </c>
      <c r="I3311" s="577">
        <v>66</v>
      </c>
      <c r="J3311" s="577" t="s">
        <v>48</v>
      </c>
      <c r="K3311" s="577" t="s">
        <v>1480</v>
      </c>
      <c r="L3311" s="577"/>
      <c r="M3311" s="571" t="s">
        <v>119</v>
      </c>
      <c r="N3311" s="767">
        <v>65049</v>
      </c>
      <c r="O3311" s="680">
        <v>65049</v>
      </c>
      <c r="P3311" s="514">
        <v>65064</v>
      </c>
      <c r="Q3311" s="512" t="s">
        <v>51</v>
      </c>
    </row>
    <row r="3312" spans="1:31" ht="18">
      <c r="A3312" s="512">
        <f t="shared" si="44"/>
        <v>2465</v>
      </c>
      <c r="B3312" s="660" t="s">
        <v>43</v>
      </c>
      <c r="C3312" s="644" t="s">
        <v>44</v>
      </c>
      <c r="D3312" s="644" t="s">
        <v>45</v>
      </c>
      <c r="E3312" s="577" t="s">
        <v>3801</v>
      </c>
      <c r="F3312" s="687" t="s">
        <v>497</v>
      </c>
      <c r="G3312" s="577">
        <v>9847830649</v>
      </c>
      <c r="I3312" s="577">
        <v>37</v>
      </c>
      <c r="J3312" s="577" t="s">
        <v>48</v>
      </c>
      <c r="K3312" s="577" t="s">
        <v>1468</v>
      </c>
      <c r="L3312" s="577"/>
      <c r="M3312" s="571" t="s">
        <v>119</v>
      </c>
      <c r="N3312" s="767">
        <v>65049</v>
      </c>
      <c r="O3312" s="680">
        <v>65049</v>
      </c>
      <c r="P3312" s="514">
        <v>65064</v>
      </c>
      <c r="Q3312" s="512" t="s">
        <v>51</v>
      </c>
    </row>
    <row r="3313" spans="1:31" ht="18">
      <c r="A3313" s="512">
        <f t="shared" si="44"/>
        <v>2466</v>
      </c>
      <c r="B3313" s="660" t="s">
        <v>43</v>
      </c>
      <c r="C3313" s="644" t="s">
        <v>44</v>
      </c>
      <c r="D3313" s="644" t="s">
        <v>45</v>
      </c>
      <c r="E3313" s="688" t="s">
        <v>3829</v>
      </c>
      <c r="F3313" s="687" t="s">
        <v>730</v>
      </c>
      <c r="G3313" s="687">
        <v>9847830047</v>
      </c>
      <c r="I3313" s="687">
        <v>65</v>
      </c>
      <c r="J3313" s="577" t="s">
        <v>48</v>
      </c>
      <c r="K3313" s="577" t="s">
        <v>53</v>
      </c>
      <c r="L3313" s="577"/>
      <c r="M3313" s="571" t="s">
        <v>119</v>
      </c>
      <c r="N3313" s="767">
        <v>65049</v>
      </c>
      <c r="O3313" s="680">
        <v>65049</v>
      </c>
      <c r="P3313" s="514">
        <v>65064</v>
      </c>
      <c r="Q3313" s="512" t="s">
        <v>51</v>
      </c>
    </row>
    <row r="3314" spans="1:31" ht="18">
      <c r="A3314" s="512">
        <f t="shared" si="44"/>
        <v>2467</v>
      </c>
      <c r="B3314" s="660" t="s">
        <v>43</v>
      </c>
      <c r="C3314" s="644" t="s">
        <v>44</v>
      </c>
      <c r="D3314" s="644" t="s">
        <v>45</v>
      </c>
      <c r="E3314" s="577" t="s">
        <v>3805</v>
      </c>
      <c r="F3314" s="687" t="s">
        <v>1008</v>
      </c>
      <c r="G3314" s="577">
        <v>9822890845</v>
      </c>
      <c r="I3314" s="577">
        <v>42</v>
      </c>
      <c r="J3314" s="577" t="s">
        <v>48</v>
      </c>
      <c r="K3314" s="577" t="s">
        <v>1480</v>
      </c>
      <c r="L3314" s="577"/>
      <c r="M3314" s="571" t="s">
        <v>119</v>
      </c>
      <c r="N3314" s="767">
        <v>65049</v>
      </c>
      <c r="O3314" s="680">
        <v>65049</v>
      </c>
      <c r="P3314" s="514">
        <v>65064</v>
      </c>
      <c r="Q3314" s="512" t="s">
        <v>51</v>
      </c>
    </row>
    <row r="3315" spans="1:31" ht="18">
      <c r="A3315" s="512">
        <f t="shared" si="44"/>
        <v>2468</v>
      </c>
      <c r="B3315" s="660" t="s">
        <v>43</v>
      </c>
      <c r="C3315" s="644" t="s">
        <v>44</v>
      </c>
      <c r="D3315" s="644" t="s">
        <v>45</v>
      </c>
      <c r="E3315" s="577" t="s">
        <v>3820</v>
      </c>
      <c r="F3315" s="687" t="s">
        <v>497</v>
      </c>
      <c r="G3315" s="577">
        <v>9869965030</v>
      </c>
      <c r="I3315" s="577">
        <v>58</v>
      </c>
      <c r="J3315" s="577" t="s">
        <v>48</v>
      </c>
      <c r="K3315" s="577" t="s">
        <v>1468</v>
      </c>
      <c r="L3315" s="577"/>
      <c r="M3315" s="571" t="s">
        <v>119</v>
      </c>
      <c r="N3315" s="767">
        <v>65049</v>
      </c>
      <c r="O3315" s="680">
        <v>65049</v>
      </c>
      <c r="P3315" s="514">
        <v>65064</v>
      </c>
      <c r="Q3315" s="512" t="s">
        <v>51</v>
      </c>
    </row>
    <row r="3316" spans="1:31" ht="18">
      <c r="A3316" s="512">
        <f t="shared" si="44"/>
        <v>2469</v>
      </c>
      <c r="B3316" s="660" t="s">
        <v>43</v>
      </c>
      <c r="C3316" s="644" t="s">
        <v>44</v>
      </c>
      <c r="D3316" s="644" t="s">
        <v>45</v>
      </c>
      <c r="E3316" s="577" t="s">
        <v>3809</v>
      </c>
      <c r="F3316" s="687" t="s">
        <v>529</v>
      </c>
      <c r="G3316" s="577">
        <v>9847830847</v>
      </c>
      <c r="I3316" s="577">
        <v>46</v>
      </c>
      <c r="J3316" s="577" t="s">
        <v>48</v>
      </c>
      <c r="K3316" s="577" t="s">
        <v>1468</v>
      </c>
      <c r="L3316" s="577"/>
      <c r="M3316" s="571" t="s">
        <v>119</v>
      </c>
      <c r="N3316" s="767">
        <v>65049</v>
      </c>
      <c r="O3316" s="680">
        <v>65049</v>
      </c>
      <c r="P3316" s="514">
        <v>65064</v>
      </c>
      <c r="Q3316" s="512" t="s">
        <v>51</v>
      </c>
    </row>
    <row r="3317" spans="1:31" s="163" customFormat="1" ht="18">
      <c r="A3317" s="512">
        <f t="shared" si="44"/>
        <v>2470</v>
      </c>
      <c r="B3317" s="669" t="s">
        <v>43</v>
      </c>
      <c r="C3317" s="640" t="s">
        <v>44</v>
      </c>
      <c r="D3317" s="640" t="s">
        <v>45</v>
      </c>
      <c r="E3317" s="635" t="s">
        <v>3817</v>
      </c>
      <c r="F3317" s="689" t="s">
        <v>491</v>
      </c>
      <c r="G3317" s="635"/>
      <c r="H3317" s="436"/>
      <c r="I3317" s="635">
        <v>50</v>
      </c>
      <c r="J3317" s="635" t="s">
        <v>48</v>
      </c>
      <c r="K3317" s="635" t="s">
        <v>53</v>
      </c>
      <c r="L3317" s="635"/>
      <c r="M3317" s="592" t="s">
        <v>54</v>
      </c>
      <c r="N3317" s="771">
        <v>65049</v>
      </c>
      <c r="O3317" s="691">
        <v>65049</v>
      </c>
      <c r="P3317" s="465">
        <v>65061</v>
      </c>
      <c r="Q3317" s="436" t="s">
        <v>51</v>
      </c>
    </row>
    <row r="3318" spans="1:31" s="981" customFormat="1" ht="18">
      <c r="A3318" s="512">
        <f t="shared" si="44"/>
        <v>2471</v>
      </c>
      <c r="B3318" s="860" t="s">
        <v>43</v>
      </c>
      <c r="C3318" s="698" t="s">
        <v>44</v>
      </c>
      <c r="D3318" s="698" t="s">
        <v>45</v>
      </c>
      <c r="E3318" s="699" t="s">
        <v>3828</v>
      </c>
      <c r="F3318" s="1094" t="s">
        <v>491</v>
      </c>
      <c r="G3318" s="1095">
        <v>9847932877</v>
      </c>
      <c r="H3318" s="527"/>
      <c r="I3318" s="699">
        <v>64</v>
      </c>
      <c r="J3318" s="699" t="s">
        <v>48</v>
      </c>
      <c r="K3318" s="699" t="s">
        <v>53</v>
      </c>
      <c r="L3318" s="699"/>
      <c r="M3318" s="699" t="s">
        <v>54</v>
      </c>
      <c r="N3318" s="1055">
        <v>65049</v>
      </c>
      <c r="O3318" s="1096">
        <v>65049</v>
      </c>
      <c r="P3318" s="559">
        <v>65067</v>
      </c>
      <c r="Q3318" s="527" t="s">
        <v>940</v>
      </c>
      <c r="R3318" s="863"/>
      <c r="S3318" s="863"/>
      <c r="T3318" s="863"/>
      <c r="U3318" s="863"/>
      <c r="V3318" s="863"/>
      <c r="W3318" s="863"/>
    </row>
    <row r="3319" spans="1:31" ht="18">
      <c r="A3319" s="512">
        <f t="shared" si="44"/>
        <v>2472</v>
      </c>
      <c r="B3319" s="660" t="s">
        <v>43</v>
      </c>
      <c r="C3319" s="644" t="s">
        <v>44</v>
      </c>
      <c r="D3319" s="644" t="s">
        <v>45</v>
      </c>
      <c r="E3319" s="577" t="s">
        <v>3796</v>
      </c>
      <c r="F3319" s="687" t="s">
        <v>502</v>
      </c>
      <c r="G3319" s="577">
        <v>9812800706</v>
      </c>
      <c r="I3319" s="577">
        <v>29</v>
      </c>
      <c r="J3319" s="577" t="s">
        <v>48</v>
      </c>
      <c r="K3319" s="577" t="s">
        <v>1468</v>
      </c>
      <c r="L3319" s="577"/>
      <c r="M3319" s="571" t="s">
        <v>119</v>
      </c>
      <c r="N3319" s="767">
        <v>65049</v>
      </c>
      <c r="O3319" s="680">
        <v>65049</v>
      </c>
      <c r="P3319" s="514">
        <v>65064</v>
      </c>
      <c r="Q3319" s="512" t="s">
        <v>51</v>
      </c>
    </row>
    <row r="3320" spans="1:31" ht="18">
      <c r="A3320" s="512">
        <f t="shared" si="44"/>
        <v>2473</v>
      </c>
      <c r="B3320" s="660" t="s">
        <v>43</v>
      </c>
      <c r="C3320" s="644" t="s">
        <v>44</v>
      </c>
      <c r="D3320" s="644" t="s">
        <v>45</v>
      </c>
      <c r="E3320" s="577" t="s">
        <v>3790</v>
      </c>
      <c r="F3320" s="687" t="s">
        <v>1009</v>
      </c>
      <c r="G3320" s="577">
        <v>9809549601</v>
      </c>
      <c r="I3320" s="577">
        <v>26</v>
      </c>
      <c r="J3320" s="577" t="s">
        <v>90</v>
      </c>
      <c r="K3320" s="577" t="s">
        <v>1480</v>
      </c>
      <c r="L3320" s="577"/>
      <c r="M3320" s="571" t="s">
        <v>119</v>
      </c>
      <c r="N3320" s="767">
        <v>65049</v>
      </c>
      <c r="O3320" s="680">
        <v>65049</v>
      </c>
      <c r="P3320" s="514">
        <v>65064</v>
      </c>
      <c r="Q3320" s="512" t="s">
        <v>51</v>
      </c>
    </row>
    <row r="3321" spans="1:31" ht="18">
      <c r="A3321" s="512">
        <f t="shared" si="44"/>
        <v>2474</v>
      </c>
      <c r="B3321" s="660" t="s">
        <v>43</v>
      </c>
      <c r="C3321" s="644" t="s">
        <v>44</v>
      </c>
      <c r="D3321" s="644" t="s">
        <v>45</v>
      </c>
      <c r="E3321" s="577" t="s">
        <v>3795</v>
      </c>
      <c r="F3321" s="687" t="s">
        <v>1008</v>
      </c>
      <c r="G3321" s="577">
        <v>9844955832</v>
      </c>
      <c r="I3321" s="577">
        <v>28</v>
      </c>
      <c r="J3321" s="577" t="s">
        <v>90</v>
      </c>
      <c r="K3321" s="577" t="s">
        <v>1480</v>
      </c>
      <c r="L3321" s="577"/>
      <c r="M3321" s="571" t="s">
        <v>119</v>
      </c>
      <c r="N3321" s="767">
        <v>65049</v>
      </c>
      <c r="O3321" s="680">
        <v>65049</v>
      </c>
      <c r="P3321" s="514">
        <v>65064</v>
      </c>
      <c r="Q3321" s="512" t="s">
        <v>51</v>
      </c>
    </row>
    <row r="3322" spans="1:31" ht="18">
      <c r="A3322" s="512">
        <f t="shared" si="44"/>
        <v>2475</v>
      </c>
      <c r="B3322" s="660" t="s">
        <v>43</v>
      </c>
      <c r="C3322" s="644" t="s">
        <v>44</v>
      </c>
      <c r="D3322" s="644" t="s">
        <v>45</v>
      </c>
      <c r="E3322" s="577" t="s">
        <v>3834</v>
      </c>
      <c r="F3322" s="687" t="s">
        <v>598</v>
      </c>
      <c r="G3322" s="577">
        <v>9806221240</v>
      </c>
      <c r="I3322" s="577">
        <v>66</v>
      </c>
      <c r="J3322" s="577" t="s">
        <v>90</v>
      </c>
      <c r="K3322" s="577" t="s">
        <v>1468</v>
      </c>
      <c r="L3322" s="577"/>
      <c r="M3322" s="571" t="s">
        <v>119</v>
      </c>
      <c r="N3322" s="767">
        <v>65049</v>
      </c>
      <c r="O3322" s="680">
        <v>65049</v>
      </c>
      <c r="P3322" s="514">
        <v>65064</v>
      </c>
      <c r="Q3322" s="512" t="s">
        <v>51</v>
      </c>
    </row>
    <row r="3323" spans="1:31" ht="18">
      <c r="A3323" s="512">
        <f t="shared" si="44"/>
        <v>2476</v>
      </c>
      <c r="B3323" s="660" t="s">
        <v>43</v>
      </c>
      <c r="C3323" s="644" t="s">
        <v>44</v>
      </c>
      <c r="D3323" s="644" t="s">
        <v>45</v>
      </c>
      <c r="E3323" s="577" t="s">
        <v>3842</v>
      </c>
      <c r="F3323" s="687" t="s">
        <v>510</v>
      </c>
      <c r="G3323" s="577">
        <v>9867881952</v>
      </c>
      <c r="I3323" s="577">
        <v>78</v>
      </c>
      <c r="J3323" s="577" t="s">
        <v>48</v>
      </c>
      <c r="K3323" s="577" t="s">
        <v>1480</v>
      </c>
      <c r="L3323" s="577"/>
      <c r="M3323" s="571" t="s">
        <v>119</v>
      </c>
      <c r="N3323" s="767">
        <v>65049</v>
      </c>
      <c r="O3323" s="680">
        <v>65049</v>
      </c>
      <c r="P3323" s="514">
        <v>65064</v>
      </c>
      <c r="Q3323" s="512" t="s">
        <v>51</v>
      </c>
    </row>
    <row r="3324" spans="1:31" ht="18">
      <c r="A3324" s="512">
        <f t="shared" si="44"/>
        <v>2477</v>
      </c>
      <c r="B3324" s="669" t="s">
        <v>43</v>
      </c>
      <c r="C3324" s="640" t="s">
        <v>44</v>
      </c>
      <c r="D3324" s="640" t="s">
        <v>45</v>
      </c>
      <c r="E3324" s="635" t="s">
        <v>3814</v>
      </c>
      <c r="F3324" s="689" t="s">
        <v>502</v>
      </c>
      <c r="G3324" s="635"/>
      <c r="H3324" s="436"/>
      <c r="I3324" s="635">
        <v>48</v>
      </c>
      <c r="J3324" s="635" t="s">
        <v>90</v>
      </c>
      <c r="K3324" s="635" t="s">
        <v>53</v>
      </c>
      <c r="L3324" s="635"/>
      <c r="M3324" s="592" t="s">
        <v>54</v>
      </c>
      <c r="N3324" s="771">
        <v>65049</v>
      </c>
      <c r="O3324" s="691">
        <v>65049</v>
      </c>
      <c r="P3324" s="465">
        <v>65061</v>
      </c>
      <c r="Q3324" s="436" t="s">
        <v>51</v>
      </c>
      <c r="R3324" s="163"/>
      <c r="S3324" s="163"/>
      <c r="T3324" s="163"/>
      <c r="U3324" s="163"/>
      <c r="V3324" s="163"/>
      <c r="W3324" s="163"/>
      <c r="X3324" s="163"/>
      <c r="Y3324" s="163"/>
      <c r="Z3324" s="163"/>
      <c r="AA3324" s="163"/>
      <c r="AB3324" s="163"/>
      <c r="AC3324" s="163"/>
      <c r="AD3324" s="163"/>
      <c r="AE3324" s="163"/>
    </row>
    <row r="3325" spans="1:31" ht="18">
      <c r="A3325" s="512">
        <f t="shared" si="44"/>
        <v>2478</v>
      </c>
      <c r="B3325" s="660" t="s">
        <v>43</v>
      </c>
      <c r="C3325" s="644" t="s">
        <v>44</v>
      </c>
      <c r="D3325" s="644" t="s">
        <v>45</v>
      </c>
      <c r="E3325" s="687" t="s">
        <v>3784</v>
      </c>
      <c r="F3325" s="687" t="s">
        <v>124</v>
      </c>
      <c r="G3325" s="687">
        <v>9844925078</v>
      </c>
      <c r="I3325" s="687">
        <v>24</v>
      </c>
      <c r="J3325" s="577" t="s">
        <v>48</v>
      </c>
      <c r="K3325" s="577" t="s">
        <v>53</v>
      </c>
      <c r="L3325" s="577"/>
      <c r="M3325" s="571" t="s">
        <v>119</v>
      </c>
      <c r="N3325" s="767">
        <v>65049</v>
      </c>
      <c r="O3325" s="680">
        <v>65049</v>
      </c>
      <c r="P3325" s="514">
        <v>65064</v>
      </c>
      <c r="Q3325" s="512" t="s">
        <v>51</v>
      </c>
    </row>
    <row r="3326" spans="1:31" s="326" customFormat="1" ht="18">
      <c r="A3326" s="512">
        <f t="shared" si="44"/>
        <v>2479</v>
      </c>
      <c r="B3326" s="660" t="s">
        <v>43</v>
      </c>
      <c r="C3326" s="644" t="s">
        <v>44</v>
      </c>
      <c r="D3326" s="644" t="s">
        <v>45</v>
      </c>
      <c r="E3326" s="577" t="s">
        <v>3776</v>
      </c>
      <c r="F3326" s="687" t="s">
        <v>502</v>
      </c>
      <c r="G3326" s="577">
        <v>9847910239</v>
      </c>
      <c r="H3326" s="432"/>
      <c r="I3326" s="577">
        <v>12</v>
      </c>
      <c r="J3326" s="577" t="s">
        <v>48</v>
      </c>
      <c r="K3326" s="577" t="s">
        <v>1480</v>
      </c>
      <c r="L3326" s="577"/>
      <c r="M3326" s="571" t="s">
        <v>119</v>
      </c>
      <c r="N3326" s="767">
        <v>65049</v>
      </c>
      <c r="O3326" s="680">
        <v>65049</v>
      </c>
      <c r="P3326" s="514">
        <v>65064</v>
      </c>
      <c r="Q3326" s="512" t="s">
        <v>51</v>
      </c>
      <c r="R3326" s="322"/>
      <c r="S3326" s="322"/>
      <c r="T3326" s="322"/>
      <c r="U3326" s="322"/>
      <c r="V3326" s="322"/>
      <c r="W3326" s="322"/>
      <c r="X3326" s="322"/>
      <c r="Y3326" s="322"/>
      <c r="Z3326" s="322"/>
      <c r="AA3326" s="322"/>
      <c r="AB3326" s="322"/>
      <c r="AC3326" s="322"/>
      <c r="AD3326" s="322"/>
      <c r="AE3326" s="322"/>
    </row>
    <row r="3327" spans="1:31" ht="18">
      <c r="A3327" s="512">
        <f t="shared" si="44"/>
        <v>2480</v>
      </c>
      <c r="B3327" s="660" t="s">
        <v>43</v>
      </c>
      <c r="C3327" s="644" t="s">
        <v>44</v>
      </c>
      <c r="D3327" s="644" t="s">
        <v>45</v>
      </c>
      <c r="E3327" s="577" t="s">
        <v>3811</v>
      </c>
      <c r="F3327" s="687" t="s">
        <v>529</v>
      </c>
      <c r="G3327" s="577">
        <v>9810019260</v>
      </c>
      <c r="I3327" s="577">
        <v>46</v>
      </c>
      <c r="J3327" s="577" t="s">
        <v>90</v>
      </c>
      <c r="K3327" s="577" t="s">
        <v>1468</v>
      </c>
      <c r="L3327" s="577"/>
      <c r="M3327" s="571" t="s">
        <v>119</v>
      </c>
      <c r="N3327" s="767">
        <v>65049</v>
      </c>
      <c r="O3327" s="680">
        <v>65049</v>
      </c>
      <c r="P3327" s="514">
        <v>65064</v>
      </c>
      <c r="Q3327" s="512" t="s">
        <v>51</v>
      </c>
    </row>
    <row r="3328" spans="1:31" ht="18">
      <c r="A3328" s="512">
        <f t="shared" si="44"/>
        <v>2481</v>
      </c>
      <c r="B3328" s="660" t="s">
        <v>43</v>
      </c>
      <c r="C3328" s="644" t="s">
        <v>44</v>
      </c>
      <c r="D3328" s="644" t="s">
        <v>45</v>
      </c>
      <c r="E3328" s="577" t="s">
        <v>3824</v>
      </c>
      <c r="F3328" s="687" t="s">
        <v>491</v>
      </c>
      <c r="G3328" s="577">
        <v>9844902017</v>
      </c>
      <c r="I3328" s="577">
        <v>61</v>
      </c>
      <c r="J3328" s="577" t="s">
        <v>48</v>
      </c>
      <c r="K3328" s="577" t="s">
        <v>1468</v>
      </c>
      <c r="L3328" s="577"/>
      <c r="M3328" s="571" t="s">
        <v>119</v>
      </c>
      <c r="N3328" s="767">
        <v>65049</v>
      </c>
      <c r="O3328" s="680">
        <v>65049</v>
      </c>
      <c r="P3328" s="514">
        <v>65064</v>
      </c>
      <c r="Q3328" s="512" t="s">
        <v>51</v>
      </c>
    </row>
    <row r="3329" spans="1:31" ht="18">
      <c r="A3329" s="512">
        <f t="shared" si="44"/>
        <v>2482</v>
      </c>
      <c r="B3329" s="660" t="s">
        <v>43</v>
      </c>
      <c r="C3329" s="644" t="s">
        <v>44</v>
      </c>
      <c r="D3329" s="644" t="s">
        <v>45</v>
      </c>
      <c r="E3329" s="577" t="s">
        <v>3783</v>
      </c>
      <c r="F3329" s="687" t="s">
        <v>497</v>
      </c>
      <c r="G3329" s="577">
        <v>9857821613</v>
      </c>
      <c r="I3329" s="577">
        <v>23</v>
      </c>
      <c r="J3329" s="577" t="s">
        <v>90</v>
      </c>
      <c r="K3329" s="577" t="s">
        <v>1468</v>
      </c>
      <c r="L3329" s="577"/>
      <c r="M3329" s="571" t="s">
        <v>119</v>
      </c>
      <c r="N3329" s="767">
        <v>65049</v>
      </c>
      <c r="O3329" s="680">
        <v>65049</v>
      </c>
      <c r="P3329" s="514">
        <v>65064</v>
      </c>
      <c r="Q3329" s="512" t="s">
        <v>51</v>
      </c>
    </row>
    <row r="3330" spans="1:31" s="163" customFormat="1" ht="18">
      <c r="A3330" s="512">
        <f t="shared" si="44"/>
        <v>2483</v>
      </c>
      <c r="B3330" s="660" t="s">
        <v>43</v>
      </c>
      <c r="C3330" s="644" t="s">
        <v>44</v>
      </c>
      <c r="D3330" s="644" t="s">
        <v>45</v>
      </c>
      <c r="E3330" s="687" t="s">
        <v>3830</v>
      </c>
      <c r="F3330" s="687" t="s">
        <v>730</v>
      </c>
      <c r="G3330" s="687">
        <v>9841449419</v>
      </c>
      <c r="H3330" s="432"/>
      <c r="I3330" s="687">
        <v>65</v>
      </c>
      <c r="J3330" s="687" t="s">
        <v>90</v>
      </c>
      <c r="K3330" s="577" t="s">
        <v>53</v>
      </c>
      <c r="L3330" s="577"/>
      <c r="M3330" s="571" t="s">
        <v>119</v>
      </c>
      <c r="N3330" s="767">
        <v>65049</v>
      </c>
      <c r="O3330" s="680">
        <v>65049</v>
      </c>
      <c r="P3330" s="514">
        <v>65064</v>
      </c>
      <c r="Q3330" s="512" t="s">
        <v>51</v>
      </c>
      <c r="R3330" s="322"/>
      <c r="S3330" s="322"/>
      <c r="T3330" s="322"/>
      <c r="U3330" s="322"/>
      <c r="V3330" s="322"/>
      <c r="W3330" s="322"/>
      <c r="X3330" s="322"/>
      <c r="Y3330" s="322"/>
      <c r="Z3330" s="322"/>
      <c r="AA3330" s="322"/>
      <c r="AB3330" s="322"/>
      <c r="AC3330" s="322"/>
      <c r="AD3330" s="322"/>
      <c r="AE3330" s="322"/>
    </row>
    <row r="3331" spans="1:31" ht="18">
      <c r="A3331" s="512">
        <f t="shared" si="44"/>
        <v>2484</v>
      </c>
      <c r="B3331" s="660" t="s">
        <v>43</v>
      </c>
      <c r="C3331" s="644" t="s">
        <v>44</v>
      </c>
      <c r="D3331" s="644" t="s">
        <v>45</v>
      </c>
      <c r="E3331" s="577" t="s">
        <v>3818</v>
      </c>
      <c r="F3331" s="687" t="s">
        <v>124</v>
      </c>
      <c r="G3331" s="577">
        <v>9809813881</v>
      </c>
      <c r="I3331" s="577">
        <v>50</v>
      </c>
      <c r="J3331" s="577" t="s">
        <v>90</v>
      </c>
      <c r="K3331" s="577" t="s">
        <v>1468</v>
      </c>
      <c r="L3331" s="577"/>
      <c r="M3331" s="571" t="s">
        <v>119</v>
      </c>
      <c r="N3331" s="767">
        <v>65049</v>
      </c>
      <c r="O3331" s="680">
        <v>65049</v>
      </c>
      <c r="P3331" s="514">
        <v>65064</v>
      </c>
      <c r="Q3331" s="512" t="s">
        <v>51</v>
      </c>
    </row>
    <row r="3332" spans="1:31" ht="18">
      <c r="A3332" s="512">
        <f t="shared" si="44"/>
        <v>2485</v>
      </c>
      <c r="B3332" s="660" t="s">
        <v>43</v>
      </c>
      <c r="C3332" s="644" t="s">
        <v>44</v>
      </c>
      <c r="D3332" s="644" t="s">
        <v>45</v>
      </c>
      <c r="E3332" s="577" t="s">
        <v>3781</v>
      </c>
      <c r="F3332" s="687" t="s">
        <v>1046</v>
      </c>
      <c r="G3332" s="577">
        <v>9806208715</v>
      </c>
      <c r="I3332" s="577">
        <v>22</v>
      </c>
      <c r="J3332" s="577" t="s">
        <v>48</v>
      </c>
      <c r="K3332" s="577" t="s">
        <v>1468</v>
      </c>
      <c r="L3332" s="577"/>
      <c r="M3332" s="571" t="s">
        <v>119</v>
      </c>
      <c r="N3332" s="767">
        <v>65049</v>
      </c>
      <c r="O3332" s="680">
        <v>65049</v>
      </c>
      <c r="P3332" s="514">
        <v>65064</v>
      </c>
      <c r="Q3332" s="512" t="s">
        <v>51</v>
      </c>
    </row>
    <row r="3333" spans="1:31" s="326" customFormat="1" ht="18">
      <c r="A3333" s="512">
        <f t="shared" si="44"/>
        <v>2486</v>
      </c>
      <c r="B3333" s="669" t="s">
        <v>43</v>
      </c>
      <c r="C3333" s="640" t="s">
        <v>44</v>
      </c>
      <c r="D3333" s="640" t="s">
        <v>45</v>
      </c>
      <c r="E3333" s="635" t="s">
        <v>3840</v>
      </c>
      <c r="F3333" s="689" t="s">
        <v>491</v>
      </c>
      <c r="G3333" s="635"/>
      <c r="H3333" s="436"/>
      <c r="I3333" s="635">
        <v>71</v>
      </c>
      <c r="J3333" s="635" t="s">
        <v>48</v>
      </c>
      <c r="K3333" s="635" t="s">
        <v>53</v>
      </c>
      <c r="L3333" s="635"/>
      <c r="M3333" s="592" t="s">
        <v>54</v>
      </c>
      <c r="N3333" s="771">
        <v>65049</v>
      </c>
      <c r="O3333" s="691">
        <v>65049</v>
      </c>
      <c r="P3333" s="465">
        <v>65061</v>
      </c>
      <c r="Q3333" s="436" t="s">
        <v>51</v>
      </c>
      <c r="R3333" s="322"/>
      <c r="S3333" s="322"/>
      <c r="T3333" s="322"/>
      <c r="U3333" s="322"/>
      <c r="V3333" s="322"/>
      <c r="W3333" s="322"/>
      <c r="X3333" s="322"/>
      <c r="Y3333" s="322"/>
      <c r="Z3333" s="322"/>
      <c r="AA3333" s="322"/>
      <c r="AB3333" s="322"/>
      <c r="AC3333" s="322"/>
      <c r="AD3333" s="322"/>
      <c r="AE3333" s="322"/>
    </row>
    <row r="3334" spans="1:31" s="326" customFormat="1" ht="18">
      <c r="A3334" s="512">
        <f t="shared" si="44"/>
        <v>2487</v>
      </c>
      <c r="B3334" s="660" t="s">
        <v>43</v>
      </c>
      <c r="C3334" s="644" t="s">
        <v>44</v>
      </c>
      <c r="D3334" s="644" t="s">
        <v>45</v>
      </c>
      <c r="E3334" s="993" t="s">
        <v>3839</v>
      </c>
      <c r="F3334" s="996" t="s">
        <v>491</v>
      </c>
      <c r="G3334" s="993">
        <v>9808127200</v>
      </c>
      <c r="H3334" s="892"/>
      <c r="I3334" s="993">
        <v>71</v>
      </c>
      <c r="J3334" s="993" t="s">
        <v>48</v>
      </c>
      <c r="K3334" s="993" t="s">
        <v>1480</v>
      </c>
      <c r="L3334" s="993"/>
      <c r="M3334" s="1006" t="s">
        <v>119</v>
      </c>
      <c r="N3334" s="1009">
        <v>65049</v>
      </c>
      <c r="O3334" s="1013">
        <v>65049</v>
      </c>
      <c r="P3334" s="465">
        <v>65061</v>
      </c>
      <c r="Q3334" s="436" t="s">
        <v>51</v>
      </c>
      <c r="R3334" s="163"/>
      <c r="S3334" s="163"/>
      <c r="T3334" s="163"/>
      <c r="U3334" s="163"/>
      <c r="V3334" s="163"/>
      <c r="W3334" s="163"/>
      <c r="X3334" s="163"/>
      <c r="Y3334" s="163"/>
      <c r="Z3334" s="163"/>
      <c r="AA3334" s="163"/>
      <c r="AB3334" s="163"/>
      <c r="AC3334" s="163"/>
      <c r="AD3334" s="163"/>
      <c r="AE3334" s="163"/>
    </row>
    <row r="3335" spans="1:31" ht="18">
      <c r="A3335" s="512">
        <f t="shared" si="44"/>
        <v>2488</v>
      </c>
      <c r="B3335" s="660" t="s">
        <v>43</v>
      </c>
      <c r="C3335" s="644" t="s">
        <v>44</v>
      </c>
      <c r="D3335" s="644" t="s">
        <v>45</v>
      </c>
      <c r="E3335" s="120" t="s">
        <v>3846</v>
      </c>
      <c r="F3335" s="120" t="s">
        <v>497</v>
      </c>
      <c r="G3335" s="150">
        <v>9847880175</v>
      </c>
      <c r="I3335" s="150">
        <v>45</v>
      </c>
      <c r="J3335" s="120" t="s">
        <v>90</v>
      </c>
      <c r="K3335" s="120" t="s">
        <v>1480</v>
      </c>
      <c r="M3335" s="146" t="s">
        <v>119</v>
      </c>
      <c r="N3335" s="772">
        <v>65050</v>
      </c>
      <c r="O3335" s="710">
        <v>65050</v>
      </c>
      <c r="P3335" s="582">
        <v>65065</v>
      </c>
      <c r="Q3335" s="578" t="s">
        <v>51</v>
      </c>
    </row>
    <row r="3336" spans="1:31" ht="18">
      <c r="A3336" s="512">
        <f t="shared" si="44"/>
        <v>2489</v>
      </c>
      <c r="B3336" s="660" t="s">
        <v>43</v>
      </c>
      <c r="C3336" s="644" t="s">
        <v>44</v>
      </c>
      <c r="D3336" s="644" t="s">
        <v>45</v>
      </c>
      <c r="E3336" s="120" t="s">
        <v>3847</v>
      </c>
      <c r="F3336" s="120" t="s">
        <v>1009</v>
      </c>
      <c r="G3336" s="150">
        <v>9803617044</v>
      </c>
      <c r="I3336" s="150">
        <v>27</v>
      </c>
      <c r="J3336" s="120" t="s">
        <v>90</v>
      </c>
      <c r="K3336" s="120" t="s">
        <v>1480</v>
      </c>
      <c r="M3336" s="146" t="s">
        <v>119</v>
      </c>
      <c r="N3336" s="772">
        <v>65050</v>
      </c>
      <c r="O3336" s="710">
        <v>65050</v>
      </c>
      <c r="P3336" s="582">
        <v>65065</v>
      </c>
      <c r="Q3336" s="578" t="s">
        <v>51</v>
      </c>
    </row>
    <row r="3337" spans="1:31" ht="18">
      <c r="A3337" s="512">
        <f t="shared" si="44"/>
        <v>2490</v>
      </c>
      <c r="B3337" s="660" t="s">
        <v>43</v>
      </c>
      <c r="C3337" s="644" t="s">
        <v>44</v>
      </c>
      <c r="D3337" s="644" t="s">
        <v>45</v>
      </c>
      <c r="E3337" s="120" t="s">
        <v>3848</v>
      </c>
      <c r="F3337" s="120" t="s">
        <v>529</v>
      </c>
      <c r="G3337" s="150">
        <v>9857890107</v>
      </c>
      <c r="I3337" s="150">
        <v>12</v>
      </c>
      <c r="J3337" s="120" t="s">
        <v>48</v>
      </c>
      <c r="K3337" s="120" t="s">
        <v>1468</v>
      </c>
      <c r="M3337" s="146" t="s">
        <v>119</v>
      </c>
      <c r="N3337" s="772">
        <v>65050</v>
      </c>
      <c r="O3337" s="710">
        <v>65050</v>
      </c>
      <c r="P3337" s="582">
        <v>65065</v>
      </c>
      <c r="Q3337" s="578" t="s">
        <v>51</v>
      </c>
    </row>
    <row r="3338" spans="1:31" ht="18">
      <c r="A3338" s="512">
        <f t="shared" si="44"/>
        <v>2491</v>
      </c>
      <c r="B3338" s="660" t="s">
        <v>43</v>
      </c>
      <c r="C3338" s="644" t="s">
        <v>44</v>
      </c>
      <c r="D3338" s="644" t="s">
        <v>45</v>
      </c>
      <c r="E3338" s="120" t="s">
        <v>3849</v>
      </c>
      <c r="F3338" s="120" t="s">
        <v>441</v>
      </c>
      <c r="G3338" s="150">
        <v>9806286467</v>
      </c>
      <c r="I3338" s="150">
        <v>24</v>
      </c>
      <c r="J3338" s="120" t="s">
        <v>90</v>
      </c>
      <c r="K3338" s="120" t="s">
        <v>1480</v>
      </c>
      <c r="M3338" s="146" t="s">
        <v>119</v>
      </c>
      <c r="N3338" s="772">
        <v>65050</v>
      </c>
      <c r="O3338" s="710">
        <v>65050</v>
      </c>
      <c r="P3338" s="582">
        <v>65065</v>
      </c>
      <c r="Q3338" s="578" t="s">
        <v>51</v>
      </c>
    </row>
    <row r="3339" spans="1:31" ht="18">
      <c r="A3339" s="512">
        <f t="shared" si="44"/>
        <v>2492</v>
      </c>
      <c r="B3339" s="660" t="s">
        <v>43</v>
      </c>
      <c r="C3339" s="644" t="s">
        <v>44</v>
      </c>
      <c r="D3339" s="644" t="s">
        <v>45</v>
      </c>
      <c r="E3339" s="120" t="s">
        <v>3850</v>
      </c>
      <c r="F3339" s="120" t="s">
        <v>491</v>
      </c>
      <c r="G3339" s="150">
        <v>9847831032</v>
      </c>
      <c r="I3339" s="150">
        <v>17</v>
      </c>
      <c r="J3339" s="120" t="s">
        <v>48</v>
      </c>
      <c r="K3339" s="120" t="s">
        <v>1468</v>
      </c>
      <c r="M3339" s="146" t="s">
        <v>119</v>
      </c>
      <c r="N3339" s="772">
        <v>65050</v>
      </c>
      <c r="O3339" s="710">
        <v>65050</v>
      </c>
      <c r="P3339" s="582">
        <v>65065</v>
      </c>
      <c r="Q3339" s="578" t="s">
        <v>51</v>
      </c>
    </row>
    <row r="3340" spans="1:31" ht="18">
      <c r="A3340" s="512">
        <f t="shared" si="44"/>
        <v>2493</v>
      </c>
      <c r="B3340" s="660" t="s">
        <v>43</v>
      </c>
      <c r="C3340" s="644" t="s">
        <v>44</v>
      </c>
      <c r="D3340" s="644" t="s">
        <v>45</v>
      </c>
      <c r="E3340" s="120" t="s">
        <v>3851</v>
      </c>
      <c r="F3340" s="120" t="s">
        <v>502</v>
      </c>
      <c r="G3340" s="150">
        <v>9857825001</v>
      </c>
      <c r="I3340" s="150">
        <v>22</v>
      </c>
      <c r="J3340" s="120" t="s">
        <v>90</v>
      </c>
      <c r="K3340" s="120" t="s">
        <v>1468</v>
      </c>
      <c r="M3340" s="146" t="s">
        <v>119</v>
      </c>
      <c r="N3340" s="772">
        <v>65050</v>
      </c>
      <c r="O3340" s="710">
        <v>65050</v>
      </c>
      <c r="P3340" s="582">
        <v>65065</v>
      </c>
      <c r="Q3340" s="578" t="s">
        <v>51</v>
      </c>
    </row>
    <row r="3341" spans="1:31" ht="18">
      <c r="A3341" s="512">
        <f t="shared" si="44"/>
        <v>2494</v>
      </c>
      <c r="B3341" s="660" t="s">
        <v>43</v>
      </c>
      <c r="C3341" s="644" t="s">
        <v>44</v>
      </c>
      <c r="D3341" s="644" t="s">
        <v>45</v>
      </c>
      <c r="E3341" s="120" t="s">
        <v>3852</v>
      </c>
      <c r="F3341" s="120" t="s">
        <v>1046</v>
      </c>
      <c r="G3341" s="150">
        <v>9847840019</v>
      </c>
      <c r="I3341" s="150">
        <v>33</v>
      </c>
      <c r="J3341" s="120" t="s">
        <v>90</v>
      </c>
      <c r="K3341" s="120" t="s">
        <v>1468</v>
      </c>
      <c r="M3341" s="146" t="s">
        <v>119</v>
      </c>
      <c r="N3341" s="772">
        <v>65050</v>
      </c>
      <c r="O3341" s="710">
        <v>65050</v>
      </c>
      <c r="P3341" s="582">
        <v>65065</v>
      </c>
      <c r="Q3341" s="578" t="s">
        <v>51</v>
      </c>
    </row>
    <row r="3342" spans="1:31" ht="18">
      <c r="A3342" s="512">
        <f t="shared" si="44"/>
        <v>2495</v>
      </c>
      <c r="B3342" s="660" t="s">
        <v>43</v>
      </c>
      <c r="C3342" s="644" t="s">
        <v>44</v>
      </c>
      <c r="D3342" s="644" t="s">
        <v>45</v>
      </c>
      <c r="E3342" s="120" t="s">
        <v>3853</v>
      </c>
      <c r="F3342" s="120" t="s">
        <v>124</v>
      </c>
      <c r="G3342" s="150">
        <v>9857821265</v>
      </c>
      <c r="I3342" s="150">
        <v>41</v>
      </c>
      <c r="J3342" s="120" t="s">
        <v>48</v>
      </c>
      <c r="K3342" s="120" t="s">
        <v>1480</v>
      </c>
      <c r="M3342" s="146" t="s">
        <v>119</v>
      </c>
      <c r="N3342" s="772">
        <v>65050</v>
      </c>
      <c r="O3342" s="710">
        <v>65050</v>
      </c>
      <c r="P3342" s="582">
        <v>65065</v>
      </c>
      <c r="Q3342" s="578" t="s">
        <v>51</v>
      </c>
    </row>
    <row r="3343" spans="1:31" ht="18">
      <c r="A3343" s="512">
        <f t="shared" si="44"/>
        <v>2496</v>
      </c>
      <c r="B3343" s="660" t="s">
        <v>43</v>
      </c>
      <c r="C3343" s="644" t="s">
        <v>44</v>
      </c>
      <c r="D3343" s="644" t="s">
        <v>45</v>
      </c>
      <c r="E3343" s="120" t="s">
        <v>3854</v>
      </c>
      <c r="F3343" s="120" t="s">
        <v>441</v>
      </c>
      <c r="G3343" s="150">
        <v>9847832566</v>
      </c>
      <c r="I3343" s="150">
        <v>55</v>
      </c>
      <c r="J3343" s="120" t="s">
        <v>90</v>
      </c>
      <c r="K3343" s="120" t="s">
        <v>1468</v>
      </c>
      <c r="M3343" s="146" t="s">
        <v>119</v>
      </c>
      <c r="N3343" s="772">
        <v>65050</v>
      </c>
      <c r="O3343" s="710">
        <v>65050</v>
      </c>
      <c r="P3343" s="582">
        <v>65065</v>
      </c>
      <c r="Q3343" s="578" t="s">
        <v>51</v>
      </c>
    </row>
    <row r="3344" spans="1:31" s="1128" customFormat="1" ht="18">
      <c r="A3344" s="512">
        <f t="shared" si="44"/>
        <v>2497</v>
      </c>
      <c r="B3344" s="1125" t="s">
        <v>43</v>
      </c>
      <c r="C3344" s="1109" t="s">
        <v>44</v>
      </c>
      <c r="D3344" s="1109" t="s">
        <v>45</v>
      </c>
      <c r="E3344" s="253" t="s">
        <v>3855</v>
      </c>
      <c r="F3344" s="253" t="s">
        <v>1046</v>
      </c>
      <c r="G3344" s="251">
        <v>9866918981</v>
      </c>
      <c r="H3344" s="1116"/>
      <c r="I3344" s="251">
        <v>53</v>
      </c>
      <c r="J3344" s="253" t="s">
        <v>48</v>
      </c>
      <c r="K3344" s="253" t="s">
        <v>1480</v>
      </c>
      <c r="L3344" s="1117"/>
      <c r="M3344" s="1127" t="s">
        <v>54</v>
      </c>
      <c r="N3344" s="1123">
        <v>65050</v>
      </c>
      <c r="O3344" s="1115">
        <v>65050</v>
      </c>
      <c r="P3344" s="1126">
        <v>65070</v>
      </c>
      <c r="Q3344" s="1116" t="s">
        <v>51</v>
      </c>
    </row>
    <row r="3345" spans="1:17" ht="18">
      <c r="A3345" s="512">
        <f t="shared" si="44"/>
        <v>2498</v>
      </c>
      <c r="B3345" s="660" t="s">
        <v>43</v>
      </c>
      <c r="C3345" s="644" t="s">
        <v>44</v>
      </c>
      <c r="D3345" s="644" t="s">
        <v>45</v>
      </c>
      <c r="E3345" s="703" t="s">
        <v>2216</v>
      </c>
      <c r="F3345" s="706" t="s">
        <v>730</v>
      </c>
      <c r="G3345" s="705">
        <v>9868214914</v>
      </c>
      <c r="I3345" s="705">
        <v>40</v>
      </c>
      <c r="J3345" s="704" t="s">
        <v>90</v>
      </c>
      <c r="K3345" s="120" t="s">
        <v>53</v>
      </c>
      <c r="M3345" s="146" t="s">
        <v>119</v>
      </c>
      <c r="N3345" s="772">
        <v>65050</v>
      </c>
      <c r="O3345" s="710">
        <v>65050</v>
      </c>
      <c r="P3345" s="582">
        <v>65065</v>
      </c>
      <c r="Q3345" s="578" t="s">
        <v>51</v>
      </c>
    </row>
    <row r="3346" spans="1:17" ht="18">
      <c r="A3346" s="512">
        <f t="shared" ref="A3346:A3409" si="45">A3345+1</f>
        <v>2499</v>
      </c>
      <c r="B3346" s="660" t="s">
        <v>43</v>
      </c>
      <c r="C3346" s="644" t="s">
        <v>44</v>
      </c>
      <c r="D3346" s="644" t="s">
        <v>45</v>
      </c>
      <c r="E3346" s="120" t="s">
        <v>3856</v>
      </c>
      <c r="F3346" s="120" t="s">
        <v>502</v>
      </c>
      <c r="G3346" s="150">
        <v>9857820763</v>
      </c>
      <c r="I3346" s="150">
        <v>31</v>
      </c>
      <c r="J3346" s="120" t="s">
        <v>48</v>
      </c>
      <c r="K3346" s="120" t="s">
        <v>1468</v>
      </c>
      <c r="M3346" s="146" t="s">
        <v>119</v>
      </c>
      <c r="N3346" s="772">
        <v>65050</v>
      </c>
      <c r="O3346" s="710">
        <v>65050</v>
      </c>
      <c r="P3346" s="582">
        <v>65065</v>
      </c>
      <c r="Q3346" s="578" t="s">
        <v>51</v>
      </c>
    </row>
    <row r="3347" spans="1:17" ht="18">
      <c r="A3347" s="512">
        <f t="shared" si="45"/>
        <v>2500</v>
      </c>
      <c r="B3347" s="1190" t="s">
        <v>43</v>
      </c>
      <c r="C3347" s="774" t="s">
        <v>44</v>
      </c>
      <c r="D3347" s="774" t="s">
        <v>45</v>
      </c>
      <c r="E3347" s="1191" t="s">
        <v>4450</v>
      </c>
      <c r="F3347" s="1191" t="s">
        <v>730</v>
      </c>
      <c r="G3347" s="1192">
        <v>9813955798</v>
      </c>
      <c r="H3347" s="773"/>
      <c r="I3347" s="1197">
        <v>62</v>
      </c>
      <c r="J3347" s="1191" t="s">
        <v>90</v>
      </c>
      <c r="K3347" s="1191"/>
      <c r="L3347" s="576"/>
      <c r="M3347" s="654" t="s">
        <v>54</v>
      </c>
      <c r="N3347" s="1193">
        <v>65050</v>
      </c>
      <c r="O3347" s="1194">
        <v>65050</v>
      </c>
      <c r="P3347" s="1195">
        <v>65076</v>
      </c>
      <c r="Q3347" s="773" t="s">
        <v>51</v>
      </c>
    </row>
    <row r="3348" spans="1:17" s="981" customFormat="1" ht="18">
      <c r="A3348" s="512">
        <f t="shared" si="45"/>
        <v>2501</v>
      </c>
      <c r="B3348" s="660" t="s">
        <v>43</v>
      </c>
      <c r="C3348" s="644" t="s">
        <v>44</v>
      </c>
      <c r="D3348" s="644" t="s">
        <v>45</v>
      </c>
      <c r="E3348" s="120" t="s">
        <v>3857</v>
      </c>
      <c r="F3348" s="120" t="s">
        <v>730</v>
      </c>
      <c r="G3348" s="1000">
        <v>9868171360</v>
      </c>
      <c r="H3348" s="432"/>
      <c r="I3348" s="150">
        <v>50</v>
      </c>
      <c r="J3348" s="120" t="s">
        <v>90</v>
      </c>
      <c r="K3348" s="120" t="s">
        <v>1468</v>
      </c>
      <c r="L3348" s="434"/>
      <c r="M3348" s="933" t="s">
        <v>119</v>
      </c>
      <c r="N3348" s="772">
        <v>65050</v>
      </c>
      <c r="O3348" s="710">
        <v>65050</v>
      </c>
      <c r="P3348" s="582">
        <v>65065</v>
      </c>
      <c r="Q3348" s="578" t="s">
        <v>51</v>
      </c>
    </row>
    <row r="3349" spans="1:17" ht="18">
      <c r="A3349" s="512">
        <f t="shared" si="45"/>
        <v>2502</v>
      </c>
      <c r="B3349" s="660" t="s">
        <v>43</v>
      </c>
      <c r="C3349" s="644" t="s">
        <v>44</v>
      </c>
      <c r="D3349" s="644" t="s">
        <v>45</v>
      </c>
      <c r="E3349" s="120" t="s">
        <v>3858</v>
      </c>
      <c r="F3349" s="120" t="s">
        <v>1009</v>
      </c>
      <c r="G3349" s="150">
        <v>9806555656</v>
      </c>
      <c r="I3349" s="150">
        <v>56</v>
      </c>
      <c r="J3349" s="120" t="s">
        <v>90</v>
      </c>
      <c r="K3349" s="120" t="s">
        <v>1468</v>
      </c>
      <c r="M3349" s="146" t="s">
        <v>119</v>
      </c>
      <c r="N3349" s="772">
        <v>65050</v>
      </c>
      <c r="O3349" s="710">
        <v>65050</v>
      </c>
      <c r="P3349" s="582">
        <v>65065</v>
      </c>
      <c r="Q3349" s="578" t="s">
        <v>51</v>
      </c>
    </row>
    <row r="3350" spans="1:17" ht="18">
      <c r="A3350" s="512">
        <f t="shared" si="45"/>
        <v>2503</v>
      </c>
      <c r="B3350" s="660" t="s">
        <v>43</v>
      </c>
      <c r="C3350" s="644" t="s">
        <v>44</v>
      </c>
      <c r="D3350" s="644" t="s">
        <v>45</v>
      </c>
      <c r="E3350" s="120" t="s">
        <v>3859</v>
      </c>
      <c r="F3350" s="120" t="s">
        <v>1046</v>
      </c>
      <c r="G3350" s="150">
        <v>9857890262</v>
      </c>
      <c r="I3350" s="150">
        <v>30</v>
      </c>
      <c r="J3350" s="120" t="s">
        <v>90</v>
      </c>
      <c r="K3350" s="120" t="s">
        <v>1468</v>
      </c>
      <c r="M3350" s="146" t="s">
        <v>119</v>
      </c>
      <c r="N3350" s="772">
        <v>65050</v>
      </c>
      <c r="O3350" s="710">
        <v>65050</v>
      </c>
      <c r="P3350" s="582">
        <v>65065</v>
      </c>
      <c r="Q3350" s="578" t="s">
        <v>51</v>
      </c>
    </row>
    <row r="3351" spans="1:17" ht="18">
      <c r="A3351" s="512">
        <f t="shared" si="45"/>
        <v>2504</v>
      </c>
      <c r="B3351" s="660" t="s">
        <v>43</v>
      </c>
      <c r="C3351" s="644" t="s">
        <v>44</v>
      </c>
      <c r="D3351" s="644" t="s">
        <v>45</v>
      </c>
      <c r="E3351" s="120" t="s">
        <v>3860</v>
      </c>
      <c r="F3351" s="120" t="s">
        <v>1204</v>
      </c>
      <c r="G3351" s="150">
        <v>9857812221</v>
      </c>
      <c r="I3351" s="150">
        <v>38</v>
      </c>
      <c r="J3351" s="120" t="s">
        <v>90</v>
      </c>
      <c r="K3351" s="120" t="s">
        <v>1480</v>
      </c>
      <c r="M3351" s="146" t="s">
        <v>119</v>
      </c>
      <c r="N3351" s="772">
        <v>65050</v>
      </c>
      <c r="O3351" s="710">
        <v>65050</v>
      </c>
      <c r="P3351" s="582">
        <v>65065</v>
      </c>
      <c r="Q3351" s="578" t="s">
        <v>51</v>
      </c>
    </row>
    <row r="3352" spans="1:17" s="163" customFormat="1" ht="18">
      <c r="A3352" s="512">
        <f t="shared" si="45"/>
        <v>2505</v>
      </c>
      <c r="B3352" s="661" t="s">
        <v>43</v>
      </c>
      <c r="C3352" s="662" t="s">
        <v>44</v>
      </c>
      <c r="D3352" s="662" t="s">
        <v>45</v>
      </c>
      <c r="E3352" s="284" t="s">
        <v>3861</v>
      </c>
      <c r="F3352" s="293" t="s">
        <v>1009</v>
      </c>
      <c r="G3352" s="293">
        <v>9803425569</v>
      </c>
      <c r="H3352" s="472"/>
      <c r="I3352" s="293">
        <v>52</v>
      </c>
      <c r="J3352" s="284" t="s">
        <v>48</v>
      </c>
      <c r="K3352" s="284" t="s">
        <v>345</v>
      </c>
      <c r="L3352" s="474"/>
      <c r="M3352" s="284" t="s">
        <v>262</v>
      </c>
      <c r="N3352" s="935">
        <v>65050</v>
      </c>
      <c r="O3352" s="936">
        <v>65050</v>
      </c>
      <c r="P3352" s="475">
        <v>65059</v>
      </c>
      <c r="Q3352" s="472" t="s">
        <v>940</v>
      </c>
    </row>
    <row r="3353" spans="1:17" ht="18">
      <c r="A3353" s="512">
        <f t="shared" si="45"/>
        <v>2506</v>
      </c>
      <c r="B3353" s="660" t="s">
        <v>43</v>
      </c>
      <c r="C3353" s="644" t="s">
        <v>44</v>
      </c>
      <c r="D3353" s="644" t="s">
        <v>45</v>
      </c>
      <c r="E3353" s="704" t="s">
        <v>3862</v>
      </c>
      <c r="F3353" s="120" t="s">
        <v>502</v>
      </c>
      <c r="G3353" s="705">
        <v>9845484933</v>
      </c>
      <c r="I3353" s="705">
        <v>60</v>
      </c>
      <c r="J3353" s="704" t="s">
        <v>48</v>
      </c>
      <c r="K3353" s="120" t="s">
        <v>53</v>
      </c>
      <c r="M3353" s="146" t="s">
        <v>119</v>
      </c>
      <c r="N3353" s="772">
        <v>65050</v>
      </c>
      <c r="O3353" s="710">
        <v>65050</v>
      </c>
      <c r="P3353" s="582">
        <v>65065</v>
      </c>
      <c r="Q3353" s="578" t="s">
        <v>51</v>
      </c>
    </row>
    <row r="3354" spans="1:17" ht="18">
      <c r="A3354" s="512">
        <f t="shared" si="45"/>
        <v>2507</v>
      </c>
      <c r="B3354" s="660" t="s">
        <v>43</v>
      </c>
      <c r="C3354" s="644" t="s">
        <v>44</v>
      </c>
      <c r="D3354" s="644" t="s">
        <v>45</v>
      </c>
      <c r="E3354" s="120" t="s">
        <v>3863</v>
      </c>
      <c r="F3354" s="120" t="s">
        <v>791</v>
      </c>
      <c r="G3354" s="150">
        <v>9844908103</v>
      </c>
      <c r="I3354" s="150">
        <v>25</v>
      </c>
      <c r="J3354" s="120" t="s">
        <v>90</v>
      </c>
      <c r="K3354" s="120" t="s">
        <v>1468</v>
      </c>
      <c r="M3354" s="146" t="s">
        <v>119</v>
      </c>
      <c r="N3354" s="772">
        <v>65050</v>
      </c>
      <c r="O3354" s="710">
        <v>65050</v>
      </c>
      <c r="P3354" s="582">
        <v>65065</v>
      </c>
      <c r="Q3354" s="578" t="s">
        <v>51</v>
      </c>
    </row>
    <row r="3355" spans="1:17" ht="18">
      <c r="A3355" s="512">
        <f t="shared" si="45"/>
        <v>2508</v>
      </c>
      <c r="B3355" s="660" t="s">
        <v>43</v>
      </c>
      <c r="C3355" s="644" t="s">
        <v>44</v>
      </c>
      <c r="D3355" s="644" t="s">
        <v>45</v>
      </c>
      <c r="E3355" s="120" t="s">
        <v>3864</v>
      </c>
      <c r="F3355" s="120" t="s">
        <v>491</v>
      </c>
      <c r="G3355" s="150">
        <v>9809891687</v>
      </c>
      <c r="I3355" s="150">
        <v>27</v>
      </c>
      <c r="J3355" s="120" t="s">
        <v>90</v>
      </c>
      <c r="K3355" s="120" t="s">
        <v>1480</v>
      </c>
      <c r="M3355" s="146" t="s">
        <v>119</v>
      </c>
      <c r="N3355" s="772">
        <v>65050</v>
      </c>
      <c r="O3355" s="710">
        <v>65050</v>
      </c>
      <c r="P3355" s="582">
        <v>65065</v>
      </c>
      <c r="Q3355" s="578" t="s">
        <v>51</v>
      </c>
    </row>
    <row r="3356" spans="1:17" ht="18">
      <c r="A3356" s="512">
        <f t="shared" si="45"/>
        <v>2509</v>
      </c>
      <c r="B3356" s="660" t="s">
        <v>43</v>
      </c>
      <c r="C3356" s="644" t="s">
        <v>44</v>
      </c>
      <c r="D3356" s="644" t="s">
        <v>45</v>
      </c>
      <c r="E3356" s="120" t="s">
        <v>3865</v>
      </c>
      <c r="F3356" s="120" t="s">
        <v>598</v>
      </c>
      <c r="G3356" s="150">
        <v>9847872549</v>
      </c>
      <c r="I3356" s="150">
        <v>75</v>
      </c>
      <c r="J3356" s="120" t="s">
        <v>48</v>
      </c>
      <c r="K3356" s="120" t="s">
        <v>1468</v>
      </c>
      <c r="M3356" s="146" t="s">
        <v>119</v>
      </c>
      <c r="N3356" s="772">
        <v>65050</v>
      </c>
      <c r="O3356" s="710">
        <v>65050</v>
      </c>
      <c r="P3356" s="582">
        <v>65065</v>
      </c>
      <c r="Q3356" s="578" t="s">
        <v>51</v>
      </c>
    </row>
    <row r="3357" spans="1:17" ht="18">
      <c r="A3357" s="512">
        <f t="shared" si="45"/>
        <v>2510</v>
      </c>
      <c r="B3357" s="660" t="s">
        <v>43</v>
      </c>
      <c r="C3357" s="644" t="s">
        <v>44</v>
      </c>
      <c r="D3357" s="644" t="s">
        <v>45</v>
      </c>
      <c r="E3357" s="704" t="s">
        <v>3866</v>
      </c>
      <c r="F3357" s="706" t="s">
        <v>1204</v>
      </c>
      <c r="G3357" s="705">
        <v>9868627951</v>
      </c>
      <c r="I3357" s="705">
        <v>23</v>
      </c>
      <c r="J3357" s="704" t="s">
        <v>90</v>
      </c>
      <c r="K3357" s="120" t="s">
        <v>53</v>
      </c>
      <c r="M3357" s="146" t="s">
        <v>119</v>
      </c>
      <c r="N3357" s="772">
        <v>65050</v>
      </c>
      <c r="O3357" s="710">
        <v>65050</v>
      </c>
      <c r="P3357" s="582">
        <v>65065</v>
      </c>
      <c r="Q3357" s="578" t="s">
        <v>51</v>
      </c>
    </row>
    <row r="3358" spans="1:17" ht="18">
      <c r="A3358" s="512">
        <f t="shared" si="45"/>
        <v>2511</v>
      </c>
      <c r="B3358" s="660" t="s">
        <v>43</v>
      </c>
      <c r="C3358" s="644" t="s">
        <v>44</v>
      </c>
      <c r="D3358" s="644" t="s">
        <v>45</v>
      </c>
      <c r="E3358" s="144" t="s">
        <v>2368</v>
      </c>
      <c r="F3358" s="120" t="s">
        <v>502</v>
      </c>
      <c r="G3358" s="150">
        <v>9858050966</v>
      </c>
      <c r="I3358" s="150">
        <v>50</v>
      </c>
      <c r="J3358" s="120" t="s">
        <v>48</v>
      </c>
      <c r="K3358" s="120" t="s">
        <v>1459</v>
      </c>
      <c r="M3358" s="146" t="s">
        <v>119</v>
      </c>
      <c r="N3358" s="772">
        <v>65050</v>
      </c>
      <c r="O3358" s="710">
        <v>65050</v>
      </c>
      <c r="P3358" s="582">
        <v>65065</v>
      </c>
      <c r="Q3358" s="578" t="s">
        <v>51</v>
      </c>
    </row>
    <row r="3359" spans="1:17" ht="18">
      <c r="A3359" s="512">
        <f t="shared" si="45"/>
        <v>2512</v>
      </c>
      <c r="B3359" s="660" t="s">
        <v>43</v>
      </c>
      <c r="C3359" s="644" t="s">
        <v>44</v>
      </c>
      <c r="D3359" s="644" t="s">
        <v>45</v>
      </c>
      <c r="E3359" s="120" t="s">
        <v>3867</v>
      </c>
      <c r="F3359" s="120" t="s">
        <v>1046</v>
      </c>
      <c r="G3359" s="150">
        <v>9822905174</v>
      </c>
      <c r="I3359" s="150">
        <v>50</v>
      </c>
      <c r="J3359" s="120" t="s">
        <v>90</v>
      </c>
      <c r="K3359" s="120" t="s">
        <v>1468</v>
      </c>
      <c r="M3359" s="146" t="s">
        <v>119</v>
      </c>
      <c r="N3359" s="772">
        <v>65050</v>
      </c>
      <c r="O3359" s="710">
        <v>65050</v>
      </c>
      <c r="P3359" s="582">
        <v>65065</v>
      </c>
      <c r="Q3359" s="578" t="s">
        <v>51</v>
      </c>
    </row>
    <row r="3360" spans="1:17" ht="18">
      <c r="A3360" s="512">
        <f t="shared" si="45"/>
        <v>2513</v>
      </c>
      <c r="B3360" s="660" t="s">
        <v>43</v>
      </c>
      <c r="C3360" s="644" t="s">
        <v>44</v>
      </c>
      <c r="D3360" s="644" t="s">
        <v>45</v>
      </c>
      <c r="E3360" s="144" t="s">
        <v>2940</v>
      </c>
      <c r="F3360" s="120" t="s">
        <v>491</v>
      </c>
      <c r="G3360" s="150">
        <v>9847906359</v>
      </c>
      <c r="I3360" s="150">
        <v>38</v>
      </c>
      <c r="J3360" s="120" t="s">
        <v>48</v>
      </c>
      <c r="K3360" s="120" t="s">
        <v>1468</v>
      </c>
      <c r="M3360" s="146" t="s">
        <v>119</v>
      </c>
      <c r="N3360" s="772">
        <v>65050</v>
      </c>
      <c r="O3360" s="710">
        <v>65050</v>
      </c>
      <c r="P3360" s="582">
        <v>65065</v>
      </c>
      <c r="Q3360" s="578" t="s">
        <v>51</v>
      </c>
    </row>
    <row r="3361" spans="1:17" ht="18">
      <c r="A3361" s="512">
        <f t="shared" si="45"/>
        <v>2514</v>
      </c>
      <c r="B3361" s="660" t="s">
        <v>43</v>
      </c>
      <c r="C3361" s="644" t="s">
        <v>44</v>
      </c>
      <c r="D3361" s="644" t="s">
        <v>45</v>
      </c>
      <c r="E3361" s="120" t="s">
        <v>3868</v>
      </c>
      <c r="F3361" s="120" t="s">
        <v>791</v>
      </c>
      <c r="G3361" s="150">
        <v>9823027569</v>
      </c>
      <c r="I3361" s="150">
        <v>42</v>
      </c>
      <c r="J3361" s="120" t="s">
        <v>48</v>
      </c>
      <c r="K3361" s="120" t="s">
        <v>1468</v>
      </c>
      <c r="M3361" s="146" t="s">
        <v>119</v>
      </c>
      <c r="N3361" s="772">
        <v>65050</v>
      </c>
      <c r="O3361" s="710">
        <v>65050</v>
      </c>
      <c r="P3361" s="582">
        <v>65065</v>
      </c>
      <c r="Q3361" s="578" t="s">
        <v>51</v>
      </c>
    </row>
    <row r="3362" spans="1:17" ht="18">
      <c r="A3362" s="512">
        <f t="shared" si="45"/>
        <v>2515</v>
      </c>
      <c r="B3362" s="660" t="s">
        <v>43</v>
      </c>
      <c r="C3362" s="644" t="s">
        <v>44</v>
      </c>
      <c r="D3362" s="644" t="s">
        <v>45</v>
      </c>
      <c r="E3362" s="144" t="s">
        <v>3869</v>
      </c>
      <c r="F3362" s="120" t="s">
        <v>529</v>
      </c>
      <c r="G3362" s="150">
        <v>9809784772</v>
      </c>
      <c r="I3362" s="150">
        <v>32</v>
      </c>
      <c r="J3362" s="120" t="s">
        <v>48</v>
      </c>
      <c r="K3362" s="120" t="s">
        <v>1468</v>
      </c>
      <c r="M3362" s="146" t="s">
        <v>119</v>
      </c>
      <c r="N3362" s="772">
        <v>65050</v>
      </c>
      <c r="O3362" s="710">
        <v>65050</v>
      </c>
      <c r="P3362" s="582">
        <v>65065</v>
      </c>
      <c r="Q3362" s="578" t="s">
        <v>51</v>
      </c>
    </row>
    <row r="3363" spans="1:17" ht="18">
      <c r="A3363" s="512">
        <f t="shared" si="45"/>
        <v>2516</v>
      </c>
      <c r="B3363" s="660" t="s">
        <v>43</v>
      </c>
      <c r="C3363" s="644" t="s">
        <v>44</v>
      </c>
      <c r="D3363" s="644" t="s">
        <v>45</v>
      </c>
      <c r="E3363" s="704" t="s">
        <v>2374</v>
      </c>
      <c r="F3363" s="706" t="s">
        <v>617</v>
      </c>
      <c r="G3363" s="150"/>
      <c r="I3363" s="705">
        <v>60</v>
      </c>
      <c r="J3363" s="704" t="s">
        <v>48</v>
      </c>
      <c r="K3363" s="120" t="s">
        <v>53</v>
      </c>
      <c r="M3363" s="146" t="s">
        <v>119</v>
      </c>
      <c r="N3363" s="772">
        <v>65050</v>
      </c>
      <c r="O3363" s="710">
        <v>65050</v>
      </c>
      <c r="P3363" s="582">
        <v>65065</v>
      </c>
      <c r="Q3363" s="578" t="s">
        <v>51</v>
      </c>
    </row>
    <row r="3364" spans="1:17" ht="18">
      <c r="A3364" s="512">
        <f t="shared" si="45"/>
        <v>2517</v>
      </c>
      <c r="B3364" s="692" t="s">
        <v>43</v>
      </c>
      <c r="C3364" s="693" t="s">
        <v>44</v>
      </c>
      <c r="D3364" s="693" t="s">
        <v>45</v>
      </c>
      <c r="E3364" s="883" t="s">
        <v>3870</v>
      </c>
      <c r="F3364" s="883" t="s">
        <v>510</v>
      </c>
      <c r="G3364" s="952">
        <v>9840825313</v>
      </c>
      <c r="H3364" s="491"/>
      <c r="I3364" s="952">
        <v>27</v>
      </c>
      <c r="J3364" s="883" t="s">
        <v>90</v>
      </c>
      <c r="K3364" s="883" t="s">
        <v>1480</v>
      </c>
      <c r="L3364" s="493"/>
      <c r="M3364" s="884" t="s">
        <v>119</v>
      </c>
      <c r="N3364" s="885">
        <v>65050</v>
      </c>
      <c r="O3364" s="886">
        <v>65050</v>
      </c>
      <c r="P3364" s="496">
        <v>65056</v>
      </c>
      <c r="Q3364" s="491" t="s">
        <v>51</v>
      </c>
    </row>
    <row r="3365" spans="1:17" ht="18">
      <c r="A3365" s="512">
        <f t="shared" si="45"/>
        <v>2518</v>
      </c>
      <c r="B3365" s="660" t="s">
        <v>43</v>
      </c>
      <c r="C3365" s="644" t="s">
        <v>44</v>
      </c>
      <c r="D3365" s="644" t="s">
        <v>45</v>
      </c>
      <c r="E3365" s="120" t="s">
        <v>3871</v>
      </c>
      <c r="F3365" s="120" t="s">
        <v>529</v>
      </c>
      <c r="G3365" s="150">
        <v>9806257930</v>
      </c>
      <c r="I3365" s="150">
        <v>24</v>
      </c>
      <c r="J3365" s="120" t="s">
        <v>90</v>
      </c>
      <c r="K3365" s="120" t="s">
        <v>1468</v>
      </c>
      <c r="M3365" s="146" t="s">
        <v>119</v>
      </c>
      <c r="N3365" s="772">
        <v>65050</v>
      </c>
      <c r="O3365" s="710">
        <v>65050</v>
      </c>
      <c r="P3365" s="582">
        <v>65065</v>
      </c>
      <c r="Q3365" s="578" t="s">
        <v>51</v>
      </c>
    </row>
    <row r="3366" spans="1:17" ht="18">
      <c r="A3366" s="512">
        <f t="shared" si="45"/>
        <v>2519</v>
      </c>
      <c r="B3366" s="660" t="s">
        <v>43</v>
      </c>
      <c r="C3366" s="644" t="s">
        <v>44</v>
      </c>
      <c r="D3366" s="644" t="s">
        <v>45</v>
      </c>
      <c r="E3366" s="120" t="s">
        <v>3872</v>
      </c>
      <c r="F3366" s="120" t="s">
        <v>730</v>
      </c>
      <c r="G3366" s="150">
        <v>9848555118</v>
      </c>
      <c r="I3366" s="150">
        <v>62</v>
      </c>
      <c r="J3366" s="120" t="s">
        <v>90</v>
      </c>
      <c r="K3366" s="120" t="s">
        <v>1468</v>
      </c>
      <c r="M3366" s="146" t="s">
        <v>119</v>
      </c>
      <c r="N3366" s="772">
        <v>65050</v>
      </c>
      <c r="O3366" s="710">
        <v>65050</v>
      </c>
      <c r="P3366" s="582">
        <v>65065</v>
      </c>
      <c r="Q3366" s="578" t="s">
        <v>51</v>
      </c>
    </row>
    <row r="3367" spans="1:17" ht="18">
      <c r="A3367" s="512">
        <f t="shared" si="45"/>
        <v>2520</v>
      </c>
      <c r="B3367" s="660" t="s">
        <v>43</v>
      </c>
      <c r="C3367" s="644" t="s">
        <v>44</v>
      </c>
      <c r="D3367" s="644" t="s">
        <v>45</v>
      </c>
      <c r="E3367" s="703" t="s">
        <v>3873</v>
      </c>
      <c r="F3367" s="706" t="s">
        <v>512</v>
      </c>
      <c r="G3367" s="705">
        <v>9869950034</v>
      </c>
      <c r="I3367" s="705">
        <v>45</v>
      </c>
      <c r="J3367" s="704" t="s">
        <v>48</v>
      </c>
      <c r="K3367" s="120" t="s">
        <v>53</v>
      </c>
      <c r="M3367" s="146" t="s">
        <v>119</v>
      </c>
      <c r="N3367" s="772">
        <v>65050</v>
      </c>
      <c r="O3367" s="710">
        <v>65050</v>
      </c>
      <c r="P3367" s="582">
        <v>65065</v>
      </c>
      <c r="Q3367" s="578" t="s">
        <v>51</v>
      </c>
    </row>
    <row r="3368" spans="1:17" ht="18">
      <c r="A3368" s="512">
        <f t="shared" si="45"/>
        <v>2521</v>
      </c>
      <c r="B3368" s="660" t="s">
        <v>43</v>
      </c>
      <c r="C3368" s="644" t="s">
        <v>44</v>
      </c>
      <c r="D3368" s="644" t="s">
        <v>45</v>
      </c>
      <c r="E3368" s="120" t="s">
        <v>3874</v>
      </c>
      <c r="F3368" s="120" t="s">
        <v>598</v>
      </c>
      <c r="G3368" s="150">
        <v>9810833171</v>
      </c>
      <c r="I3368" s="150">
        <v>36</v>
      </c>
      <c r="J3368" s="120" t="s">
        <v>48</v>
      </c>
      <c r="K3368" s="120" t="s">
        <v>1468</v>
      </c>
      <c r="M3368" s="146" t="s">
        <v>119</v>
      </c>
      <c r="N3368" s="772">
        <v>65050</v>
      </c>
      <c r="O3368" s="710">
        <v>65050</v>
      </c>
      <c r="P3368" s="582">
        <v>65065</v>
      </c>
      <c r="Q3368" s="578" t="s">
        <v>51</v>
      </c>
    </row>
    <row r="3369" spans="1:17" ht="18">
      <c r="A3369" s="512">
        <f t="shared" si="45"/>
        <v>2522</v>
      </c>
      <c r="B3369" s="660" t="s">
        <v>43</v>
      </c>
      <c r="C3369" s="644" t="s">
        <v>44</v>
      </c>
      <c r="D3369" s="644" t="s">
        <v>45</v>
      </c>
      <c r="E3369" s="120" t="s">
        <v>3875</v>
      </c>
      <c r="F3369" s="120" t="s">
        <v>491</v>
      </c>
      <c r="G3369" s="150">
        <v>9847865783</v>
      </c>
      <c r="I3369" s="150">
        <v>55</v>
      </c>
      <c r="J3369" s="120" t="s">
        <v>90</v>
      </c>
      <c r="K3369" s="120" t="s">
        <v>1468</v>
      </c>
      <c r="M3369" s="146" t="s">
        <v>119</v>
      </c>
      <c r="N3369" s="772">
        <v>65050</v>
      </c>
      <c r="O3369" s="710">
        <v>65050</v>
      </c>
      <c r="P3369" s="582">
        <v>65065</v>
      </c>
      <c r="Q3369" s="578" t="s">
        <v>51</v>
      </c>
    </row>
    <row r="3370" spans="1:17" ht="18">
      <c r="A3370" s="512">
        <f t="shared" si="45"/>
        <v>2523</v>
      </c>
      <c r="B3370" s="660" t="s">
        <v>43</v>
      </c>
      <c r="C3370" s="644" t="s">
        <v>44</v>
      </c>
      <c r="D3370" s="644" t="s">
        <v>45</v>
      </c>
      <c r="E3370" s="144" t="s">
        <v>3876</v>
      </c>
      <c r="F3370" s="120" t="s">
        <v>1046</v>
      </c>
      <c r="G3370" s="150">
        <v>9847858348</v>
      </c>
      <c r="I3370" s="150">
        <v>54</v>
      </c>
      <c r="J3370" s="120" t="s">
        <v>90</v>
      </c>
      <c r="K3370" s="120" t="s">
        <v>1468</v>
      </c>
      <c r="M3370" s="146" t="s">
        <v>119</v>
      </c>
      <c r="N3370" s="772">
        <v>65050</v>
      </c>
      <c r="O3370" s="710">
        <v>65050</v>
      </c>
      <c r="P3370" s="582">
        <v>65065</v>
      </c>
      <c r="Q3370" s="578" t="s">
        <v>51</v>
      </c>
    </row>
    <row r="3371" spans="1:17" ht="18">
      <c r="A3371" s="512">
        <f t="shared" si="45"/>
        <v>2524</v>
      </c>
      <c r="B3371" s="660" t="s">
        <v>43</v>
      </c>
      <c r="C3371" s="644" t="s">
        <v>44</v>
      </c>
      <c r="D3371" s="644" t="s">
        <v>45</v>
      </c>
      <c r="E3371" s="144" t="s">
        <v>3113</v>
      </c>
      <c r="F3371" s="120" t="s">
        <v>512</v>
      </c>
      <c r="G3371" s="150">
        <v>9847824716</v>
      </c>
      <c r="I3371" s="150">
        <v>30</v>
      </c>
      <c r="J3371" s="120" t="s">
        <v>90</v>
      </c>
      <c r="K3371" s="120" t="s">
        <v>1468</v>
      </c>
      <c r="M3371" s="146" t="s">
        <v>119</v>
      </c>
      <c r="N3371" s="772">
        <v>65050</v>
      </c>
      <c r="O3371" s="710">
        <v>65050</v>
      </c>
      <c r="P3371" s="582">
        <v>65065</v>
      </c>
      <c r="Q3371" s="578" t="s">
        <v>51</v>
      </c>
    </row>
    <row r="3372" spans="1:17" ht="18">
      <c r="A3372" s="512">
        <f t="shared" si="45"/>
        <v>2525</v>
      </c>
      <c r="B3372" s="660" t="s">
        <v>43</v>
      </c>
      <c r="C3372" s="644" t="s">
        <v>44</v>
      </c>
      <c r="D3372" s="644" t="s">
        <v>45</v>
      </c>
      <c r="E3372" s="120" t="s">
        <v>3877</v>
      </c>
      <c r="F3372" s="120" t="s">
        <v>1046</v>
      </c>
      <c r="G3372" s="150">
        <v>9847840019</v>
      </c>
      <c r="I3372" s="150">
        <v>44</v>
      </c>
      <c r="J3372" s="120" t="s">
        <v>48</v>
      </c>
      <c r="K3372" s="120" t="s">
        <v>1468</v>
      </c>
      <c r="M3372" s="146" t="s">
        <v>119</v>
      </c>
      <c r="N3372" s="772">
        <v>65050</v>
      </c>
      <c r="O3372" s="710">
        <v>65050</v>
      </c>
      <c r="P3372" s="582">
        <v>65065</v>
      </c>
      <c r="Q3372" s="578" t="s">
        <v>51</v>
      </c>
    </row>
    <row r="3373" spans="1:17" ht="18">
      <c r="A3373" s="512">
        <f t="shared" si="45"/>
        <v>2526</v>
      </c>
      <c r="B3373" s="660" t="s">
        <v>43</v>
      </c>
      <c r="C3373" s="644" t="s">
        <v>44</v>
      </c>
      <c r="D3373" s="644" t="s">
        <v>45</v>
      </c>
      <c r="E3373" s="120" t="s">
        <v>3878</v>
      </c>
      <c r="F3373" s="120" t="s">
        <v>1046</v>
      </c>
      <c r="G3373" s="150">
        <v>9857890262</v>
      </c>
      <c r="I3373" s="150">
        <v>17</v>
      </c>
      <c r="J3373" s="120" t="s">
        <v>48</v>
      </c>
      <c r="K3373" s="120" t="s">
        <v>1468</v>
      </c>
      <c r="M3373" s="146" t="s">
        <v>119</v>
      </c>
      <c r="N3373" s="772">
        <v>65050</v>
      </c>
      <c r="O3373" s="710">
        <v>65050</v>
      </c>
      <c r="P3373" s="582">
        <v>65065</v>
      </c>
      <c r="Q3373" s="578" t="s">
        <v>51</v>
      </c>
    </row>
    <row r="3374" spans="1:17" ht="18">
      <c r="A3374" s="512">
        <f t="shared" si="45"/>
        <v>2527</v>
      </c>
      <c r="B3374" s="660" t="s">
        <v>43</v>
      </c>
      <c r="C3374" s="644" t="s">
        <v>44</v>
      </c>
      <c r="D3374" s="644" t="s">
        <v>45</v>
      </c>
      <c r="E3374" s="120" t="s">
        <v>3879</v>
      </c>
      <c r="F3374" s="120" t="s">
        <v>491</v>
      </c>
      <c r="G3374" s="150">
        <v>9857821188</v>
      </c>
      <c r="I3374" s="150">
        <v>48</v>
      </c>
      <c r="J3374" s="120" t="s">
        <v>48</v>
      </c>
      <c r="K3374" s="120" t="s">
        <v>1480</v>
      </c>
      <c r="M3374" s="146" t="s">
        <v>119</v>
      </c>
      <c r="N3374" s="772">
        <v>65050</v>
      </c>
      <c r="O3374" s="710">
        <v>65050</v>
      </c>
      <c r="P3374" s="582">
        <v>65065</v>
      </c>
      <c r="Q3374" s="578" t="s">
        <v>51</v>
      </c>
    </row>
    <row r="3375" spans="1:17" ht="18">
      <c r="A3375" s="512">
        <f t="shared" si="45"/>
        <v>2528</v>
      </c>
      <c r="B3375" s="660" t="s">
        <v>43</v>
      </c>
      <c r="C3375" s="644" t="s">
        <v>44</v>
      </c>
      <c r="D3375" s="644" t="s">
        <v>45</v>
      </c>
      <c r="E3375" s="120" t="s">
        <v>3880</v>
      </c>
      <c r="F3375" s="120" t="s">
        <v>491</v>
      </c>
      <c r="G3375" s="150">
        <v>9866809918</v>
      </c>
      <c r="I3375" s="150">
        <v>52</v>
      </c>
      <c r="J3375" s="120" t="s">
        <v>48</v>
      </c>
      <c r="K3375" s="120" t="s">
        <v>1480</v>
      </c>
      <c r="M3375" s="146" t="s">
        <v>119</v>
      </c>
      <c r="N3375" s="772">
        <v>65050</v>
      </c>
      <c r="O3375" s="710">
        <v>65050</v>
      </c>
      <c r="P3375" s="582">
        <v>65065</v>
      </c>
      <c r="Q3375" s="578" t="s">
        <v>51</v>
      </c>
    </row>
    <row r="3376" spans="1:17" ht="18">
      <c r="A3376" s="512">
        <f t="shared" si="45"/>
        <v>2529</v>
      </c>
      <c r="B3376" s="660" t="s">
        <v>43</v>
      </c>
      <c r="C3376" s="644" t="s">
        <v>44</v>
      </c>
      <c r="D3376" s="644" t="s">
        <v>45</v>
      </c>
      <c r="E3376" s="704" t="s">
        <v>3881</v>
      </c>
      <c r="F3376" s="706" t="s">
        <v>617</v>
      </c>
      <c r="G3376" s="705">
        <v>9847899683</v>
      </c>
      <c r="I3376" s="705">
        <v>62</v>
      </c>
      <c r="J3376" s="704" t="s">
        <v>48</v>
      </c>
      <c r="K3376" s="120" t="s">
        <v>53</v>
      </c>
      <c r="M3376" s="146" t="s">
        <v>119</v>
      </c>
      <c r="N3376" s="772">
        <v>65050</v>
      </c>
      <c r="O3376" s="710">
        <v>65050</v>
      </c>
      <c r="P3376" s="582">
        <v>65065</v>
      </c>
      <c r="Q3376" s="578" t="s">
        <v>51</v>
      </c>
    </row>
    <row r="3377" spans="1:17" ht="18">
      <c r="A3377" s="512">
        <f t="shared" si="45"/>
        <v>2530</v>
      </c>
      <c r="B3377" s="660" t="s">
        <v>43</v>
      </c>
      <c r="C3377" s="644" t="s">
        <v>44</v>
      </c>
      <c r="D3377" s="644" t="s">
        <v>45</v>
      </c>
      <c r="E3377" s="120" t="s">
        <v>2394</v>
      </c>
      <c r="F3377" s="120" t="s">
        <v>441</v>
      </c>
      <c r="G3377" s="150">
        <v>9806286467</v>
      </c>
      <c r="I3377" s="150">
        <v>24</v>
      </c>
      <c r="J3377" s="120" t="s">
        <v>90</v>
      </c>
      <c r="K3377" s="120" t="s">
        <v>1480</v>
      </c>
      <c r="M3377" s="146" t="s">
        <v>119</v>
      </c>
      <c r="N3377" s="772">
        <v>65050</v>
      </c>
      <c r="O3377" s="710">
        <v>65050</v>
      </c>
      <c r="P3377" s="582">
        <v>65065</v>
      </c>
      <c r="Q3377" s="578" t="s">
        <v>51</v>
      </c>
    </row>
    <row r="3378" spans="1:17" ht="18">
      <c r="A3378" s="512">
        <f t="shared" si="45"/>
        <v>2531</v>
      </c>
      <c r="B3378" s="660" t="s">
        <v>43</v>
      </c>
      <c r="C3378" s="644" t="s">
        <v>44</v>
      </c>
      <c r="D3378" s="644" t="s">
        <v>45</v>
      </c>
      <c r="E3378" s="120" t="s">
        <v>3882</v>
      </c>
      <c r="F3378" s="120" t="s">
        <v>488</v>
      </c>
      <c r="G3378" s="150">
        <v>9847993259</v>
      </c>
      <c r="I3378" s="150">
        <v>35</v>
      </c>
      <c r="J3378" s="120" t="s">
        <v>48</v>
      </c>
      <c r="K3378" s="120" t="s">
        <v>1468</v>
      </c>
      <c r="M3378" s="146" t="s">
        <v>119</v>
      </c>
      <c r="N3378" s="772">
        <v>65050</v>
      </c>
      <c r="O3378" s="710">
        <v>65050</v>
      </c>
      <c r="P3378" s="582">
        <v>65065</v>
      </c>
      <c r="Q3378" s="578" t="s">
        <v>51</v>
      </c>
    </row>
    <row r="3379" spans="1:17" ht="18">
      <c r="A3379" s="512">
        <f t="shared" si="45"/>
        <v>2532</v>
      </c>
      <c r="B3379" s="660" t="s">
        <v>43</v>
      </c>
      <c r="C3379" s="644" t="s">
        <v>44</v>
      </c>
      <c r="D3379" s="644" t="s">
        <v>45</v>
      </c>
      <c r="E3379" s="120" t="s">
        <v>3883</v>
      </c>
      <c r="F3379" s="120" t="s">
        <v>1204</v>
      </c>
      <c r="G3379" s="150">
        <v>9857844111</v>
      </c>
      <c r="I3379" s="150">
        <v>43</v>
      </c>
      <c r="J3379" s="120" t="s">
        <v>48</v>
      </c>
      <c r="K3379" s="120" t="s">
        <v>1468</v>
      </c>
      <c r="M3379" s="146" t="s">
        <v>119</v>
      </c>
      <c r="N3379" s="772">
        <v>65050</v>
      </c>
      <c r="O3379" s="710">
        <v>65050</v>
      </c>
      <c r="P3379" s="582">
        <v>65065</v>
      </c>
      <c r="Q3379" s="578" t="s">
        <v>51</v>
      </c>
    </row>
    <row r="3380" spans="1:17" ht="18">
      <c r="A3380" s="512">
        <f t="shared" si="45"/>
        <v>2533</v>
      </c>
      <c r="B3380" s="660" t="s">
        <v>43</v>
      </c>
      <c r="C3380" s="644" t="s">
        <v>44</v>
      </c>
      <c r="D3380" s="644" t="s">
        <v>45</v>
      </c>
      <c r="E3380" s="120" t="s">
        <v>3884</v>
      </c>
      <c r="F3380" s="120" t="s">
        <v>441</v>
      </c>
      <c r="G3380" s="150">
        <v>9847832566</v>
      </c>
      <c r="I3380" s="150">
        <v>58</v>
      </c>
      <c r="J3380" s="120" t="s">
        <v>48</v>
      </c>
      <c r="K3380" s="120" t="s">
        <v>1468</v>
      </c>
      <c r="M3380" s="146" t="s">
        <v>119</v>
      </c>
      <c r="N3380" s="772">
        <v>65050</v>
      </c>
      <c r="O3380" s="710">
        <v>65050</v>
      </c>
      <c r="P3380" s="582">
        <v>65065</v>
      </c>
      <c r="Q3380" s="578" t="s">
        <v>51</v>
      </c>
    </row>
    <row r="3381" spans="1:17" ht="18">
      <c r="A3381" s="512">
        <f t="shared" si="45"/>
        <v>2534</v>
      </c>
      <c r="B3381" s="660" t="s">
        <v>43</v>
      </c>
      <c r="C3381" s="644" t="s">
        <v>44</v>
      </c>
      <c r="D3381" s="644" t="s">
        <v>45</v>
      </c>
      <c r="E3381" s="120" t="s">
        <v>3885</v>
      </c>
      <c r="F3381" s="120" t="s">
        <v>502</v>
      </c>
      <c r="G3381" s="150">
        <v>9809516781</v>
      </c>
      <c r="I3381" s="150">
        <v>25</v>
      </c>
      <c r="J3381" s="120" t="s">
        <v>90</v>
      </c>
      <c r="K3381" s="120" t="s">
        <v>1468</v>
      </c>
      <c r="M3381" s="146" t="s">
        <v>119</v>
      </c>
      <c r="N3381" s="772">
        <v>65050</v>
      </c>
      <c r="O3381" s="710">
        <v>65050</v>
      </c>
      <c r="P3381" s="582">
        <v>65065</v>
      </c>
      <c r="Q3381" s="578" t="s">
        <v>51</v>
      </c>
    </row>
    <row r="3382" spans="1:17" ht="18">
      <c r="A3382" s="512">
        <f t="shared" si="45"/>
        <v>2535</v>
      </c>
      <c r="B3382" s="660" t="s">
        <v>43</v>
      </c>
      <c r="C3382" s="644" t="s">
        <v>44</v>
      </c>
      <c r="D3382" s="644" t="s">
        <v>45</v>
      </c>
      <c r="E3382" s="703" t="s">
        <v>3886</v>
      </c>
      <c r="F3382" s="706" t="s">
        <v>488</v>
      </c>
      <c r="G3382" s="705">
        <v>9840001790</v>
      </c>
      <c r="I3382" s="705">
        <v>56</v>
      </c>
      <c r="J3382" s="704" t="s">
        <v>90</v>
      </c>
      <c r="K3382" s="120" t="s">
        <v>53</v>
      </c>
      <c r="M3382" s="146" t="s">
        <v>119</v>
      </c>
      <c r="N3382" s="772">
        <v>65050</v>
      </c>
      <c r="O3382" s="710">
        <v>65050</v>
      </c>
      <c r="P3382" s="582">
        <v>65065</v>
      </c>
      <c r="Q3382" s="578" t="s">
        <v>51</v>
      </c>
    </row>
    <row r="3383" spans="1:17" ht="18">
      <c r="A3383" s="512">
        <f t="shared" si="45"/>
        <v>2536</v>
      </c>
      <c r="B3383" s="660" t="s">
        <v>43</v>
      </c>
      <c r="C3383" s="644" t="s">
        <v>44</v>
      </c>
      <c r="D3383" s="644" t="s">
        <v>45</v>
      </c>
      <c r="E3383" s="120" t="s">
        <v>3887</v>
      </c>
      <c r="F3383" s="120" t="s">
        <v>1008</v>
      </c>
      <c r="G3383" s="150">
        <v>9868999171</v>
      </c>
      <c r="I3383" s="150">
        <v>45</v>
      </c>
      <c r="J3383" s="120" t="s">
        <v>48</v>
      </c>
      <c r="K3383" s="120" t="s">
        <v>1480</v>
      </c>
      <c r="M3383" s="146" t="s">
        <v>119</v>
      </c>
      <c r="N3383" s="772">
        <v>65050</v>
      </c>
      <c r="O3383" s="710">
        <v>65050</v>
      </c>
      <c r="P3383" s="582">
        <v>65065</v>
      </c>
      <c r="Q3383" s="578" t="s">
        <v>51</v>
      </c>
    </row>
    <row r="3384" spans="1:17" ht="18">
      <c r="A3384" s="512">
        <f t="shared" si="45"/>
        <v>2537</v>
      </c>
      <c r="B3384" s="660" t="s">
        <v>43</v>
      </c>
      <c r="C3384" s="644" t="s">
        <v>44</v>
      </c>
      <c r="D3384" s="644" t="s">
        <v>45</v>
      </c>
      <c r="E3384" s="704" t="s">
        <v>3888</v>
      </c>
      <c r="F3384" s="706" t="s">
        <v>730</v>
      </c>
      <c r="G3384" s="705">
        <v>9847846537</v>
      </c>
      <c r="I3384" s="705">
        <v>44</v>
      </c>
      <c r="J3384" s="704" t="s">
        <v>48</v>
      </c>
      <c r="K3384" s="120" t="s">
        <v>53</v>
      </c>
      <c r="M3384" s="146" t="s">
        <v>119</v>
      </c>
      <c r="N3384" s="772">
        <v>65050</v>
      </c>
      <c r="O3384" s="710">
        <v>65050</v>
      </c>
      <c r="P3384" s="582">
        <v>65065</v>
      </c>
      <c r="Q3384" s="578" t="s">
        <v>51</v>
      </c>
    </row>
    <row r="3385" spans="1:17" ht="18">
      <c r="A3385" s="512">
        <f t="shared" si="45"/>
        <v>2538</v>
      </c>
      <c r="B3385" s="658" t="s">
        <v>43</v>
      </c>
      <c r="C3385" s="630" t="s">
        <v>44</v>
      </c>
      <c r="D3385" s="630" t="s">
        <v>45</v>
      </c>
      <c r="E3385" s="422" t="s">
        <v>3910</v>
      </c>
      <c r="F3385" s="423" t="s">
        <v>512</v>
      </c>
      <c r="G3385" s="423"/>
      <c r="H3385" s="422"/>
      <c r="I3385" s="248">
        <v>65</v>
      </c>
      <c r="J3385" s="155" t="s">
        <v>48</v>
      </c>
      <c r="K3385" s="423"/>
      <c r="L3385" s="423"/>
      <c r="M3385" s="423" t="s">
        <v>262</v>
      </c>
      <c r="N3385" s="769">
        <v>65050</v>
      </c>
      <c r="O3385" s="282">
        <v>65050</v>
      </c>
      <c r="P3385" s="476">
        <v>65051</v>
      </c>
      <c r="Q3385" s="422" t="s">
        <v>940</v>
      </c>
    </row>
    <row r="3386" spans="1:17" ht="18">
      <c r="A3386" s="512">
        <f t="shared" si="45"/>
        <v>2539</v>
      </c>
      <c r="B3386" s="660" t="s">
        <v>43</v>
      </c>
      <c r="C3386" s="644" t="s">
        <v>44</v>
      </c>
      <c r="D3386" s="644" t="s">
        <v>45</v>
      </c>
      <c r="E3386" s="144" t="s">
        <v>3889</v>
      </c>
      <c r="F3386" s="120" t="s">
        <v>1008</v>
      </c>
      <c r="G3386" s="150">
        <v>9847949887</v>
      </c>
      <c r="I3386" s="150">
        <v>37</v>
      </c>
      <c r="J3386" s="120" t="s">
        <v>48</v>
      </c>
      <c r="K3386" s="120" t="s">
        <v>1468</v>
      </c>
      <c r="M3386" s="146" t="s">
        <v>119</v>
      </c>
      <c r="N3386" s="772">
        <v>65050</v>
      </c>
      <c r="O3386" s="710">
        <v>65050</v>
      </c>
      <c r="P3386" s="582">
        <v>65065</v>
      </c>
      <c r="Q3386" s="578" t="s">
        <v>51</v>
      </c>
    </row>
    <row r="3387" spans="1:17" ht="18">
      <c r="A3387" s="512">
        <f t="shared" si="45"/>
        <v>2540</v>
      </c>
      <c r="B3387" s="660" t="s">
        <v>43</v>
      </c>
      <c r="C3387" s="644" t="s">
        <v>44</v>
      </c>
      <c r="D3387" s="644" t="s">
        <v>45</v>
      </c>
      <c r="E3387" s="120" t="s">
        <v>3890</v>
      </c>
      <c r="F3387" s="120" t="s">
        <v>557</v>
      </c>
      <c r="G3387" s="150">
        <v>9849426412</v>
      </c>
      <c r="I3387" s="150">
        <v>62</v>
      </c>
      <c r="J3387" s="120" t="s">
        <v>48</v>
      </c>
      <c r="K3387" s="120" t="s">
        <v>1480</v>
      </c>
      <c r="M3387" s="146" t="s">
        <v>119</v>
      </c>
      <c r="N3387" s="772">
        <v>65050</v>
      </c>
      <c r="O3387" s="710">
        <v>65050</v>
      </c>
      <c r="P3387" s="582">
        <v>65065</v>
      </c>
      <c r="Q3387" s="578" t="s">
        <v>51</v>
      </c>
    </row>
    <row r="3388" spans="1:17" ht="18">
      <c r="A3388" s="512">
        <f t="shared" si="45"/>
        <v>2541</v>
      </c>
      <c r="B3388" s="660" t="s">
        <v>43</v>
      </c>
      <c r="C3388" s="644" t="s">
        <v>44</v>
      </c>
      <c r="D3388" s="644" t="s">
        <v>45</v>
      </c>
      <c r="E3388" s="120" t="s">
        <v>3891</v>
      </c>
      <c r="F3388" s="120" t="s">
        <v>1008</v>
      </c>
      <c r="G3388" s="150">
        <v>9806247539</v>
      </c>
      <c r="I3388" s="150">
        <v>27</v>
      </c>
      <c r="J3388" s="120" t="s">
        <v>48</v>
      </c>
      <c r="K3388" s="120" t="s">
        <v>1480</v>
      </c>
      <c r="M3388" s="146" t="s">
        <v>119</v>
      </c>
      <c r="N3388" s="772">
        <v>65050</v>
      </c>
      <c r="O3388" s="710">
        <v>65050</v>
      </c>
      <c r="P3388" s="582">
        <v>65065</v>
      </c>
      <c r="Q3388" s="578" t="s">
        <v>51</v>
      </c>
    </row>
    <row r="3389" spans="1:17" ht="18">
      <c r="A3389" s="512">
        <f t="shared" si="45"/>
        <v>2542</v>
      </c>
      <c r="B3389" s="660" t="s">
        <v>43</v>
      </c>
      <c r="C3389" s="644" t="s">
        <v>44</v>
      </c>
      <c r="D3389" s="644" t="s">
        <v>45</v>
      </c>
      <c r="E3389" s="120" t="s">
        <v>3892</v>
      </c>
      <c r="F3389" s="120" t="s">
        <v>1009</v>
      </c>
      <c r="G3389" s="150">
        <v>9847946621</v>
      </c>
      <c r="I3389" s="150">
        <v>46</v>
      </c>
      <c r="J3389" s="120" t="s">
        <v>90</v>
      </c>
      <c r="K3389" s="120" t="s">
        <v>1480</v>
      </c>
      <c r="M3389" s="146" t="s">
        <v>119</v>
      </c>
      <c r="N3389" s="772">
        <v>65050</v>
      </c>
      <c r="O3389" s="710">
        <v>65050</v>
      </c>
      <c r="P3389" s="582">
        <v>65065</v>
      </c>
      <c r="Q3389" s="578" t="s">
        <v>51</v>
      </c>
    </row>
    <row r="3390" spans="1:17" ht="18">
      <c r="A3390" s="512">
        <f t="shared" si="45"/>
        <v>2543</v>
      </c>
      <c r="B3390" s="660" t="s">
        <v>43</v>
      </c>
      <c r="C3390" s="644" t="s">
        <v>44</v>
      </c>
      <c r="D3390" s="644" t="s">
        <v>45</v>
      </c>
      <c r="E3390" s="120" t="s">
        <v>3893</v>
      </c>
      <c r="F3390" s="120" t="s">
        <v>497</v>
      </c>
      <c r="G3390" s="150">
        <v>9822990463</v>
      </c>
      <c r="I3390" s="150">
        <v>28</v>
      </c>
      <c r="J3390" s="120" t="s">
        <v>48</v>
      </c>
      <c r="K3390" s="120" t="s">
        <v>1480</v>
      </c>
      <c r="M3390" s="146" t="s">
        <v>119</v>
      </c>
      <c r="N3390" s="772">
        <v>65050</v>
      </c>
      <c r="O3390" s="710">
        <v>65050</v>
      </c>
      <c r="P3390" s="582">
        <v>65065</v>
      </c>
      <c r="Q3390" s="578" t="s">
        <v>51</v>
      </c>
    </row>
    <row r="3391" spans="1:17" ht="18">
      <c r="A3391" s="512">
        <f t="shared" si="45"/>
        <v>2544</v>
      </c>
      <c r="B3391" s="660" t="s">
        <v>43</v>
      </c>
      <c r="C3391" s="644" t="s">
        <v>44</v>
      </c>
      <c r="D3391" s="644" t="s">
        <v>45</v>
      </c>
      <c r="E3391" s="120" t="s">
        <v>3894</v>
      </c>
      <c r="F3391" s="120" t="s">
        <v>1046</v>
      </c>
      <c r="G3391" s="150">
        <v>9822905174</v>
      </c>
      <c r="I3391" s="150">
        <v>22</v>
      </c>
      <c r="J3391" s="120" t="s">
        <v>90</v>
      </c>
      <c r="K3391" s="120" t="s">
        <v>1468</v>
      </c>
      <c r="M3391" s="146" t="s">
        <v>119</v>
      </c>
      <c r="N3391" s="772">
        <v>65050</v>
      </c>
      <c r="O3391" s="710">
        <v>65050</v>
      </c>
      <c r="P3391" s="582">
        <v>65065</v>
      </c>
      <c r="Q3391" s="578" t="s">
        <v>51</v>
      </c>
    </row>
    <row r="3392" spans="1:17" ht="18">
      <c r="A3392" s="512">
        <f t="shared" si="45"/>
        <v>2545</v>
      </c>
      <c r="B3392" s="660" t="s">
        <v>43</v>
      </c>
      <c r="C3392" s="644" t="s">
        <v>44</v>
      </c>
      <c r="D3392" s="644" t="s">
        <v>45</v>
      </c>
      <c r="E3392" s="120" t="s">
        <v>3895</v>
      </c>
      <c r="F3392" s="120" t="s">
        <v>1204</v>
      </c>
      <c r="G3392" s="150">
        <v>9857821071</v>
      </c>
      <c r="I3392" s="150">
        <v>30</v>
      </c>
      <c r="J3392" s="120" t="s">
        <v>90</v>
      </c>
      <c r="K3392" s="120" t="s">
        <v>1480</v>
      </c>
      <c r="M3392" s="146" t="s">
        <v>119</v>
      </c>
      <c r="N3392" s="772">
        <v>65050</v>
      </c>
      <c r="O3392" s="710">
        <v>65050</v>
      </c>
      <c r="P3392" s="582">
        <v>65065</v>
      </c>
      <c r="Q3392" s="578" t="s">
        <v>51</v>
      </c>
    </row>
    <row r="3393" spans="1:17" ht="18">
      <c r="A3393" s="512">
        <f t="shared" si="45"/>
        <v>2546</v>
      </c>
      <c r="B3393" s="660" t="s">
        <v>43</v>
      </c>
      <c r="C3393" s="644" t="s">
        <v>44</v>
      </c>
      <c r="D3393" s="644" t="s">
        <v>45</v>
      </c>
      <c r="E3393" s="120" t="s">
        <v>3896</v>
      </c>
      <c r="F3393" s="120" t="s">
        <v>124</v>
      </c>
      <c r="G3393" s="150">
        <v>9812811628</v>
      </c>
      <c r="I3393" s="150">
        <v>26</v>
      </c>
      <c r="J3393" s="120" t="s">
        <v>90</v>
      </c>
      <c r="K3393" s="120" t="s">
        <v>1468</v>
      </c>
      <c r="M3393" s="146" t="s">
        <v>119</v>
      </c>
      <c r="N3393" s="772">
        <v>65050</v>
      </c>
      <c r="O3393" s="710">
        <v>65050</v>
      </c>
      <c r="P3393" s="582">
        <v>65065</v>
      </c>
      <c r="Q3393" s="578" t="s">
        <v>51</v>
      </c>
    </row>
    <row r="3394" spans="1:17" ht="18">
      <c r="A3394" s="512">
        <f t="shared" si="45"/>
        <v>2547</v>
      </c>
      <c r="B3394" s="660" t="s">
        <v>43</v>
      </c>
      <c r="C3394" s="644" t="s">
        <v>44</v>
      </c>
      <c r="D3394" s="644" t="s">
        <v>45</v>
      </c>
      <c r="E3394" s="120" t="s">
        <v>3897</v>
      </c>
      <c r="F3394" s="120" t="s">
        <v>598</v>
      </c>
      <c r="G3394" s="150">
        <v>9822851041</v>
      </c>
      <c r="I3394" s="150">
        <v>69</v>
      </c>
      <c r="J3394" s="120" t="s">
        <v>48</v>
      </c>
      <c r="K3394" s="120" t="s">
        <v>1468</v>
      </c>
      <c r="M3394" s="146" t="s">
        <v>119</v>
      </c>
      <c r="N3394" s="772">
        <v>65050</v>
      </c>
      <c r="O3394" s="710">
        <v>65050</v>
      </c>
      <c r="P3394" s="582">
        <v>65065</v>
      </c>
      <c r="Q3394" s="578" t="s">
        <v>51</v>
      </c>
    </row>
    <row r="3395" spans="1:17" ht="18">
      <c r="A3395" s="512">
        <f t="shared" si="45"/>
        <v>2548</v>
      </c>
      <c r="B3395" s="660" t="s">
        <v>43</v>
      </c>
      <c r="C3395" s="644" t="s">
        <v>44</v>
      </c>
      <c r="D3395" s="644" t="s">
        <v>45</v>
      </c>
      <c r="E3395" s="120" t="s">
        <v>3898</v>
      </c>
      <c r="F3395" s="120" t="s">
        <v>1046</v>
      </c>
      <c r="G3395" s="150">
        <v>9844924930</v>
      </c>
      <c r="I3395" s="150">
        <v>55</v>
      </c>
      <c r="J3395" s="120" t="s">
        <v>90</v>
      </c>
      <c r="K3395" s="120" t="s">
        <v>1468</v>
      </c>
      <c r="M3395" s="146" t="s">
        <v>119</v>
      </c>
      <c r="N3395" s="772">
        <v>65050</v>
      </c>
      <c r="O3395" s="710">
        <v>65050</v>
      </c>
      <c r="P3395" s="582">
        <v>65065</v>
      </c>
      <c r="Q3395" s="578" t="s">
        <v>51</v>
      </c>
    </row>
    <row r="3396" spans="1:17" ht="18">
      <c r="A3396" s="512">
        <f t="shared" si="45"/>
        <v>2549</v>
      </c>
      <c r="B3396" s="660" t="s">
        <v>43</v>
      </c>
      <c r="C3396" s="644" t="s">
        <v>44</v>
      </c>
      <c r="D3396" s="644" t="s">
        <v>45</v>
      </c>
      <c r="E3396" s="120" t="s">
        <v>1960</v>
      </c>
      <c r="F3396" s="120" t="s">
        <v>491</v>
      </c>
      <c r="G3396" s="150">
        <v>9847978885</v>
      </c>
      <c r="I3396" s="150">
        <v>27</v>
      </c>
      <c r="J3396" s="120" t="s">
        <v>90</v>
      </c>
      <c r="K3396" s="120" t="s">
        <v>1468</v>
      </c>
      <c r="M3396" s="146" t="s">
        <v>119</v>
      </c>
      <c r="N3396" s="772">
        <v>65050</v>
      </c>
      <c r="O3396" s="710">
        <v>65050</v>
      </c>
      <c r="P3396" s="582">
        <v>65065</v>
      </c>
      <c r="Q3396" s="578" t="s">
        <v>51</v>
      </c>
    </row>
    <row r="3397" spans="1:17" ht="18">
      <c r="A3397" s="512">
        <f t="shared" si="45"/>
        <v>2550</v>
      </c>
      <c r="B3397" s="660" t="s">
        <v>43</v>
      </c>
      <c r="C3397" s="644" t="s">
        <v>44</v>
      </c>
      <c r="D3397" s="644" t="s">
        <v>45</v>
      </c>
      <c r="E3397" s="120" t="s">
        <v>2471</v>
      </c>
      <c r="F3397" s="120" t="s">
        <v>1046</v>
      </c>
      <c r="G3397" s="150">
        <v>9847908262</v>
      </c>
      <c r="I3397" s="150">
        <v>55</v>
      </c>
      <c r="J3397" s="120" t="s">
        <v>90</v>
      </c>
      <c r="K3397" s="120" t="s">
        <v>1480</v>
      </c>
      <c r="M3397" s="146" t="s">
        <v>119</v>
      </c>
      <c r="N3397" s="772">
        <v>65050</v>
      </c>
      <c r="O3397" s="710">
        <v>65050</v>
      </c>
      <c r="P3397" s="582">
        <v>65065</v>
      </c>
      <c r="Q3397" s="578" t="s">
        <v>51</v>
      </c>
    </row>
    <row r="3398" spans="1:17" ht="18">
      <c r="A3398" s="512">
        <f t="shared" si="45"/>
        <v>2551</v>
      </c>
      <c r="B3398" s="660" t="s">
        <v>43</v>
      </c>
      <c r="C3398" s="644" t="s">
        <v>44</v>
      </c>
      <c r="D3398" s="644" t="s">
        <v>45</v>
      </c>
      <c r="E3398" s="120" t="s">
        <v>3899</v>
      </c>
      <c r="F3398" s="120" t="s">
        <v>510</v>
      </c>
      <c r="G3398" s="150">
        <v>9829590564</v>
      </c>
      <c r="I3398" s="150">
        <v>22</v>
      </c>
      <c r="J3398" s="120" t="s">
        <v>48</v>
      </c>
      <c r="K3398" s="120" t="s">
        <v>1468</v>
      </c>
      <c r="M3398" s="146" t="s">
        <v>119</v>
      </c>
      <c r="N3398" s="772">
        <v>65050</v>
      </c>
      <c r="O3398" s="710">
        <v>65050</v>
      </c>
      <c r="P3398" s="582">
        <v>65065</v>
      </c>
      <c r="Q3398" s="578" t="s">
        <v>51</v>
      </c>
    </row>
    <row r="3399" spans="1:17" ht="18">
      <c r="A3399" s="512">
        <f t="shared" si="45"/>
        <v>2552</v>
      </c>
      <c r="B3399" s="660" t="s">
        <v>43</v>
      </c>
      <c r="C3399" s="644" t="s">
        <v>44</v>
      </c>
      <c r="D3399" s="644" t="s">
        <v>45</v>
      </c>
      <c r="E3399" s="120" t="s">
        <v>3900</v>
      </c>
      <c r="F3399" s="120" t="s">
        <v>491</v>
      </c>
      <c r="G3399" s="150">
        <v>9847832106</v>
      </c>
      <c r="I3399" s="150">
        <v>45</v>
      </c>
      <c r="J3399" s="120" t="s">
        <v>90</v>
      </c>
      <c r="K3399" s="120" t="s">
        <v>1468</v>
      </c>
      <c r="M3399" s="146" t="s">
        <v>119</v>
      </c>
      <c r="N3399" s="772">
        <v>65050</v>
      </c>
      <c r="O3399" s="710">
        <v>65050</v>
      </c>
      <c r="P3399" s="582">
        <v>65065</v>
      </c>
      <c r="Q3399" s="578" t="s">
        <v>51</v>
      </c>
    </row>
    <row r="3400" spans="1:17" ht="18">
      <c r="A3400" s="512">
        <f t="shared" si="45"/>
        <v>2553</v>
      </c>
      <c r="B3400" s="660" t="s">
        <v>43</v>
      </c>
      <c r="C3400" s="644" t="s">
        <v>44</v>
      </c>
      <c r="D3400" s="644" t="s">
        <v>45</v>
      </c>
      <c r="E3400" s="120" t="s">
        <v>3901</v>
      </c>
      <c r="F3400" s="120" t="s">
        <v>529</v>
      </c>
      <c r="G3400" s="150">
        <v>9857890107</v>
      </c>
      <c r="I3400" s="150">
        <v>32</v>
      </c>
      <c r="J3400" s="120" t="s">
        <v>90</v>
      </c>
      <c r="K3400" s="120" t="s">
        <v>1468</v>
      </c>
      <c r="M3400" s="146" t="s">
        <v>119</v>
      </c>
      <c r="N3400" s="772">
        <v>65050</v>
      </c>
      <c r="O3400" s="710">
        <v>65050</v>
      </c>
      <c r="P3400" s="582">
        <v>65065</v>
      </c>
      <c r="Q3400" s="578" t="s">
        <v>51</v>
      </c>
    </row>
    <row r="3401" spans="1:17" ht="18">
      <c r="A3401" s="512">
        <f t="shared" si="45"/>
        <v>2554</v>
      </c>
      <c r="B3401" s="660" t="s">
        <v>43</v>
      </c>
      <c r="C3401" s="644" t="s">
        <v>44</v>
      </c>
      <c r="D3401" s="644" t="s">
        <v>45</v>
      </c>
      <c r="E3401" s="120" t="s">
        <v>3902</v>
      </c>
      <c r="F3401" s="120" t="s">
        <v>502</v>
      </c>
      <c r="G3401" s="150">
        <v>9857823747</v>
      </c>
      <c r="I3401" s="150">
        <v>42</v>
      </c>
      <c r="J3401" s="120" t="s">
        <v>48</v>
      </c>
      <c r="K3401" s="120" t="s">
        <v>1480</v>
      </c>
      <c r="M3401" s="146" t="s">
        <v>119</v>
      </c>
      <c r="N3401" s="772">
        <v>65050</v>
      </c>
      <c r="O3401" s="710">
        <v>65050</v>
      </c>
      <c r="P3401" s="582">
        <v>65065</v>
      </c>
      <c r="Q3401" s="578" t="s">
        <v>51</v>
      </c>
    </row>
    <row r="3402" spans="1:17" ht="18">
      <c r="A3402" s="512">
        <f t="shared" si="45"/>
        <v>2555</v>
      </c>
      <c r="B3402" s="660" t="s">
        <v>43</v>
      </c>
      <c r="C3402" s="644" t="s">
        <v>44</v>
      </c>
      <c r="D3402" s="644" t="s">
        <v>45</v>
      </c>
      <c r="E3402" s="120" t="s">
        <v>3903</v>
      </c>
      <c r="F3402" s="120" t="s">
        <v>1046</v>
      </c>
      <c r="G3402" s="150">
        <v>9857890262</v>
      </c>
      <c r="I3402" s="150">
        <v>26</v>
      </c>
      <c r="J3402" s="120" t="s">
        <v>90</v>
      </c>
      <c r="K3402" s="120" t="s">
        <v>1468</v>
      </c>
      <c r="M3402" s="146" t="s">
        <v>119</v>
      </c>
      <c r="N3402" s="772">
        <v>65050</v>
      </c>
      <c r="O3402" s="710">
        <v>65050</v>
      </c>
      <c r="P3402" s="582">
        <v>65065</v>
      </c>
      <c r="Q3402" s="578" t="s">
        <v>51</v>
      </c>
    </row>
    <row r="3403" spans="1:17" ht="18">
      <c r="A3403" s="512">
        <f t="shared" si="45"/>
        <v>2556</v>
      </c>
      <c r="B3403" s="660" t="s">
        <v>43</v>
      </c>
      <c r="C3403" s="644" t="s">
        <v>44</v>
      </c>
      <c r="D3403" s="644" t="s">
        <v>45</v>
      </c>
      <c r="E3403" s="120" t="s">
        <v>3904</v>
      </c>
      <c r="F3403" s="120" t="s">
        <v>441</v>
      </c>
      <c r="G3403" s="150">
        <v>9822922700</v>
      </c>
      <c r="I3403" s="150">
        <v>21</v>
      </c>
      <c r="J3403" s="120" t="s">
        <v>90</v>
      </c>
      <c r="K3403" s="120" t="s">
        <v>1480</v>
      </c>
      <c r="M3403" s="146" t="s">
        <v>119</v>
      </c>
      <c r="N3403" s="772">
        <v>65050</v>
      </c>
      <c r="O3403" s="710">
        <v>65050</v>
      </c>
      <c r="P3403" s="582">
        <v>65065</v>
      </c>
      <c r="Q3403" s="578" t="s">
        <v>51</v>
      </c>
    </row>
    <row r="3404" spans="1:17" ht="18">
      <c r="A3404" s="512">
        <f t="shared" si="45"/>
        <v>2557</v>
      </c>
      <c r="B3404" s="660" t="s">
        <v>43</v>
      </c>
      <c r="C3404" s="644" t="s">
        <v>44</v>
      </c>
      <c r="D3404" s="644" t="s">
        <v>45</v>
      </c>
      <c r="E3404" s="704" t="s">
        <v>3905</v>
      </c>
      <c r="F3404" s="706" t="s">
        <v>1204</v>
      </c>
      <c r="G3404" s="705">
        <v>9868627951</v>
      </c>
      <c r="I3404" s="705">
        <v>74</v>
      </c>
      <c r="J3404" s="704" t="s">
        <v>90</v>
      </c>
      <c r="K3404" s="120" t="s">
        <v>53</v>
      </c>
      <c r="M3404" s="146" t="s">
        <v>119</v>
      </c>
      <c r="N3404" s="772">
        <v>65050</v>
      </c>
      <c r="O3404" s="710">
        <v>65050</v>
      </c>
      <c r="P3404" s="582">
        <v>65065</v>
      </c>
      <c r="Q3404" s="578" t="s">
        <v>51</v>
      </c>
    </row>
    <row r="3405" spans="1:17" s="326" customFormat="1" ht="18">
      <c r="A3405" s="512">
        <f t="shared" si="45"/>
        <v>2558</v>
      </c>
      <c r="B3405" s="660" t="s">
        <v>43</v>
      </c>
      <c r="C3405" s="644" t="s">
        <v>44</v>
      </c>
      <c r="D3405" s="644" t="s">
        <v>45</v>
      </c>
      <c r="E3405" s="120" t="s">
        <v>3906</v>
      </c>
      <c r="F3405" s="120" t="s">
        <v>491</v>
      </c>
      <c r="G3405" s="150">
        <v>9847846999</v>
      </c>
      <c r="H3405" s="432"/>
      <c r="I3405" s="150">
        <v>70</v>
      </c>
      <c r="J3405" s="120" t="s">
        <v>90</v>
      </c>
      <c r="K3405" s="120" t="s">
        <v>1468</v>
      </c>
      <c r="L3405" s="434"/>
      <c r="M3405" s="146" t="s">
        <v>119</v>
      </c>
      <c r="N3405" s="772">
        <v>65050</v>
      </c>
      <c r="O3405" s="710">
        <v>65050</v>
      </c>
      <c r="P3405" s="582">
        <v>65065</v>
      </c>
      <c r="Q3405" s="578" t="s">
        <v>51</v>
      </c>
    </row>
    <row r="3406" spans="1:17" ht="18">
      <c r="A3406" s="512">
        <f t="shared" si="45"/>
        <v>2559</v>
      </c>
      <c r="B3406" s="658" t="s">
        <v>43</v>
      </c>
      <c r="C3406" s="630" t="s">
        <v>44</v>
      </c>
      <c r="D3406" s="630" t="s">
        <v>45</v>
      </c>
      <c r="E3406" s="155" t="s">
        <v>3907</v>
      </c>
      <c r="F3406" s="155" t="s">
        <v>510</v>
      </c>
      <c r="G3406" s="248">
        <v>9803509402</v>
      </c>
      <c r="H3406" s="422"/>
      <c r="I3406" s="248">
        <v>78</v>
      </c>
      <c r="J3406" s="155" t="s">
        <v>48</v>
      </c>
      <c r="K3406" s="155" t="s">
        <v>1468</v>
      </c>
      <c r="L3406" s="423"/>
      <c r="M3406" s="155" t="s">
        <v>119</v>
      </c>
      <c r="N3406" s="775">
        <v>65050</v>
      </c>
      <c r="O3406" s="282">
        <v>65050</v>
      </c>
      <c r="P3406" s="476">
        <v>65049</v>
      </c>
      <c r="Q3406" s="422" t="s">
        <v>940</v>
      </c>
    </row>
    <row r="3407" spans="1:17" ht="18">
      <c r="A3407" s="512">
        <f t="shared" si="45"/>
        <v>2560</v>
      </c>
      <c r="B3407" s="660" t="s">
        <v>43</v>
      </c>
      <c r="C3407" s="644" t="s">
        <v>44</v>
      </c>
      <c r="D3407" s="644" t="s">
        <v>45</v>
      </c>
      <c r="E3407" s="120" t="s">
        <v>3908</v>
      </c>
      <c r="F3407" s="120" t="s">
        <v>1046</v>
      </c>
      <c r="G3407" s="150">
        <v>9822905174</v>
      </c>
      <c r="I3407" s="150">
        <v>53</v>
      </c>
      <c r="J3407" s="120" t="s">
        <v>48</v>
      </c>
      <c r="K3407" s="120" t="s">
        <v>1468</v>
      </c>
      <c r="M3407" s="146" t="s">
        <v>119</v>
      </c>
      <c r="N3407" s="772">
        <v>65050</v>
      </c>
      <c r="O3407" s="710">
        <v>65050</v>
      </c>
      <c r="P3407" s="582">
        <v>65065</v>
      </c>
      <c r="Q3407" s="578" t="s">
        <v>51</v>
      </c>
    </row>
    <row r="3408" spans="1:17" ht="18">
      <c r="A3408" s="512">
        <f t="shared" si="45"/>
        <v>2561</v>
      </c>
      <c r="B3408" s="660" t="s">
        <v>43</v>
      </c>
      <c r="C3408" s="644" t="s">
        <v>44</v>
      </c>
      <c r="D3408" s="644" t="s">
        <v>45</v>
      </c>
      <c r="E3408" s="940" t="s">
        <v>3909</v>
      </c>
      <c r="F3408" s="940" t="s">
        <v>491</v>
      </c>
      <c r="G3408" s="999">
        <v>9858090242</v>
      </c>
      <c r="H3408" s="893"/>
      <c r="I3408" s="150">
        <v>28</v>
      </c>
      <c r="J3408" s="120" t="s">
        <v>48</v>
      </c>
      <c r="K3408" s="940" t="s">
        <v>1468</v>
      </c>
      <c r="L3408" s="941"/>
      <c r="M3408" s="1007" t="s">
        <v>119</v>
      </c>
      <c r="N3408" s="1010">
        <v>65050</v>
      </c>
      <c r="O3408" s="710">
        <v>65050</v>
      </c>
      <c r="P3408" s="582">
        <v>65065</v>
      </c>
      <c r="Q3408" s="578" t="s">
        <v>51</v>
      </c>
    </row>
    <row r="3409" spans="1:17" ht="18">
      <c r="A3409" s="512">
        <f t="shared" si="45"/>
        <v>2562</v>
      </c>
      <c r="B3409" s="660" t="s">
        <v>43</v>
      </c>
      <c r="C3409" s="644" t="s">
        <v>44</v>
      </c>
      <c r="D3409" s="644" t="s">
        <v>45</v>
      </c>
      <c r="E3409" s="130" t="s">
        <v>3912</v>
      </c>
      <c r="F3409" s="52" t="s">
        <v>502</v>
      </c>
      <c r="G3409" s="227">
        <v>9822927938</v>
      </c>
      <c r="I3409" s="227">
        <v>43</v>
      </c>
      <c r="J3409" s="130" t="s">
        <v>90</v>
      </c>
      <c r="K3409" s="130" t="s">
        <v>49</v>
      </c>
      <c r="L3409" s="130"/>
      <c r="M3409" s="130" t="s">
        <v>119</v>
      </c>
      <c r="N3409" s="786">
        <v>65051</v>
      </c>
      <c r="O3409" s="786">
        <v>65051</v>
      </c>
      <c r="P3409" s="541">
        <v>65066</v>
      </c>
      <c r="Q3409" s="533" t="s">
        <v>51</v>
      </c>
    </row>
    <row r="3410" spans="1:17" ht="18">
      <c r="A3410" s="512">
        <f t="shared" ref="A3410:A3473" si="46">A3409+1</f>
        <v>2563</v>
      </c>
      <c r="B3410" s="660" t="s">
        <v>43</v>
      </c>
      <c r="C3410" s="644" t="s">
        <v>44</v>
      </c>
      <c r="D3410" s="644" t="s">
        <v>45</v>
      </c>
      <c r="E3410" s="130" t="s">
        <v>3913</v>
      </c>
      <c r="F3410" s="52" t="s">
        <v>124</v>
      </c>
      <c r="G3410" s="227">
        <v>9825250925</v>
      </c>
      <c r="I3410" s="227">
        <v>58</v>
      </c>
      <c r="J3410" s="130" t="s">
        <v>48</v>
      </c>
      <c r="K3410" s="130" t="s">
        <v>49</v>
      </c>
      <c r="L3410" s="130"/>
      <c r="M3410" s="130" t="s">
        <v>119</v>
      </c>
      <c r="N3410" s="786">
        <v>65051</v>
      </c>
      <c r="O3410" s="786">
        <v>65051</v>
      </c>
      <c r="P3410" s="541">
        <v>65066</v>
      </c>
      <c r="Q3410" s="533" t="s">
        <v>51</v>
      </c>
    </row>
    <row r="3411" spans="1:17" ht="18">
      <c r="A3411" s="512">
        <f t="shared" si="46"/>
        <v>2564</v>
      </c>
      <c r="B3411" s="660" t="s">
        <v>43</v>
      </c>
      <c r="C3411" s="644" t="s">
        <v>44</v>
      </c>
      <c r="D3411" s="644" t="s">
        <v>45</v>
      </c>
      <c r="E3411" s="130" t="s">
        <v>3914</v>
      </c>
      <c r="F3411" s="52" t="s">
        <v>441</v>
      </c>
      <c r="G3411" s="227">
        <v>9810801990</v>
      </c>
      <c r="I3411" s="227">
        <v>24</v>
      </c>
      <c r="J3411" s="130" t="s">
        <v>48</v>
      </c>
      <c r="K3411" s="130" t="s">
        <v>1468</v>
      </c>
      <c r="L3411" s="130"/>
      <c r="M3411" s="130" t="s">
        <v>119</v>
      </c>
      <c r="N3411" s="786">
        <v>65051</v>
      </c>
      <c r="O3411" s="786">
        <v>65051</v>
      </c>
      <c r="P3411" s="541">
        <v>65066</v>
      </c>
      <c r="Q3411" s="533" t="s">
        <v>51</v>
      </c>
    </row>
    <row r="3412" spans="1:17" ht="18">
      <c r="A3412" s="512">
        <f t="shared" si="46"/>
        <v>2565</v>
      </c>
      <c r="B3412" s="660" t="s">
        <v>43</v>
      </c>
      <c r="C3412" s="644" t="s">
        <v>44</v>
      </c>
      <c r="D3412" s="644" t="s">
        <v>45</v>
      </c>
      <c r="E3412" s="130" t="s">
        <v>3915</v>
      </c>
      <c r="F3412" s="52" t="s">
        <v>598</v>
      </c>
      <c r="G3412" s="227">
        <v>9847870047</v>
      </c>
      <c r="I3412" s="227">
        <v>45</v>
      </c>
      <c r="J3412" s="130" t="s">
        <v>48</v>
      </c>
      <c r="K3412" s="130" t="s">
        <v>1468</v>
      </c>
      <c r="L3412" s="130"/>
      <c r="M3412" s="130" t="s">
        <v>119</v>
      </c>
      <c r="N3412" s="786">
        <v>65051</v>
      </c>
      <c r="O3412" s="786">
        <v>65051</v>
      </c>
      <c r="P3412" s="541">
        <v>65066</v>
      </c>
      <c r="Q3412" s="533" t="s">
        <v>51</v>
      </c>
    </row>
    <row r="3413" spans="1:17" ht="18">
      <c r="A3413" s="512">
        <f t="shared" si="46"/>
        <v>2566</v>
      </c>
      <c r="B3413" s="660" t="s">
        <v>43</v>
      </c>
      <c r="C3413" s="644" t="s">
        <v>44</v>
      </c>
      <c r="D3413" s="644" t="s">
        <v>45</v>
      </c>
      <c r="E3413" s="130" t="s">
        <v>3916</v>
      </c>
      <c r="F3413" s="52" t="s">
        <v>488</v>
      </c>
      <c r="G3413" s="227">
        <v>9823624241</v>
      </c>
      <c r="I3413" s="227">
        <v>1</v>
      </c>
      <c r="J3413" s="130" t="s">
        <v>48</v>
      </c>
      <c r="K3413" s="130" t="s">
        <v>1468</v>
      </c>
      <c r="L3413" s="130"/>
      <c r="M3413" s="130" t="s">
        <v>119</v>
      </c>
      <c r="N3413" s="786">
        <v>65051</v>
      </c>
      <c r="O3413" s="786">
        <v>65051</v>
      </c>
      <c r="P3413" s="541">
        <v>65066</v>
      </c>
      <c r="Q3413" s="533" t="s">
        <v>51</v>
      </c>
    </row>
    <row r="3414" spans="1:17" ht="18">
      <c r="A3414" s="512">
        <f t="shared" si="46"/>
        <v>2567</v>
      </c>
      <c r="B3414" s="660" t="s">
        <v>43</v>
      </c>
      <c r="C3414" s="644" t="s">
        <v>44</v>
      </c>
      <c r="D3414" s="644" t="s">
        <v>45</v>
      </c>
      <c r="E3414" s="130" t="s">
        <v>3122</v>
      </c>
      <c r="F3414" s="52" t="s">
        <v>441</v>
      </c>
      <c r="G3414" s="227">
        <v>9809845260</v>
      </c>
      <c r="I3414" s="227">
        <v>35</v>
      </c>
      <c r="J3414" s="130" t="s">
        <v>90</v>
      </c>
      <c r="K3414" s="130" t="s">
        <v>1468</v>
      </c>
      <c r="L3414" s="130"/>
      <c r="M3414" s="130" t="s">
        <v>119</v>
      </c>
      <c r="N3414" s="786">
        <v>65051</v>
      </c>
      <c r="O3414" s="786">
        <v>65051</v>
      </c>
      <c r="P3414" s="541">
        <v>65066</v>
      </c>
      <c r="Q3414" s="533" t="s">
        <v>51</v>
      </c>
    </row>
    <row r="3415" spans="1:17" ht="18">
      <c r="A3415" s="512">
        <f t="shared" si="46"/>
        <v>2568</v>
      </c>
      <c r="B3415" s="660" t="s">
        <v>43</v>
      </c>
      <c r="C3415" s="644" t="s">
        <v>44</v>
      </c>
      <c r="D3415" s="644" t="s">
        <v>45</v>
      </c>
      <c r="E3415" s="130" t="s">
        <v>3917</v>
      </c>
      <c r="F3415" s="52" t="s">
        <v>598</v>
      </c>
      <c r="G3415" s="227">
        <v>9812828919</v>
      </c>
      <c r="I3415" s="227">
        <v>45</v>
      </c>
      <c r="J3415" s="130" t="s">
        <v>48</v>
      </c>
      <c r="K3415" s="130" t="s">
        <v>1468</v>
      </c>
      <c r="L3415" s="130"/>
      <c r="M3415" s="130" t="s">
        <v>119</v>
      </c>
      <c r="N3415" s="786">
        <v>65051</v>
      </c>
      <c r="O3415" s="786">
        <v>65051</v>
      </c>
      <c r="P3415" s="541">
        <v>65066</v>
      </c>
      <c r="Q3415" s="533" t="s">
        <v>51</v>
      </c>
    </row>
    <row r="3416" spans="1:17" ht="18">
      <c r="A3416" s="512">
        <f t="shared" si="46"/>
        <v>2569</v>
      </c>
      <c r="B3416" s="660" t="s">
        <v>43</v>
      </c>
      <c r="C3416" s="644" t="s">
        <v>44</v>
      </c>
      <c r="D3416" s="644" t="s">
        <v>45</v>
      </c>
      <c r="E3416" s="130" t="s">
        <v>3918</v>
      </c>
      <c r="F3416" s="52" t="s">
        <v>441</v>
      </c>
      <c r="G3416" s="227">
        <v>9847916865</v>
      </c>
      <c r="I3416" s="227">
        <v>34</v>
      </c>
      <c r="J3416" s="130" t="s">
        <v>48</v>
      </c>
      <c r="K3416" s="130" t="s">
        <v>1468</v>
      </c>
      <c r="L3416" s="130"/>
      <c r="M3416" s="130" t="s">
        <v>119</v>
      </c>
      <c r="N3416" s="786">
        <v>65051</v>
      </c>
      <c r="O3416" s="786">
        <v>65051</v>
      </c>
      <c r="P3416" s="541">
        <v>65066</v>
      </c>
      <c r="Q3416" s="533" t="s">
        <v>51</v>
      </c>
    </row>
    <row r="3417" spans="1:17" ht="18">
      <c r="A3417" s="512">
        <f t="shared" si="46"/>
        <v>2570</v>
      </c>
      <c r="B3417" s="660" t="s">
        <v>43</v>
      </c>
      <c r="C3417" s="644" t="s">
        <v>44</v>
      </c>
      <c r="D3417" s="644" t="s">
        <v>45</v>
      </c>
      <c r="E3417" s="787" t="s">
        <v>3919</v>
      </c>
      <c r="F3417" s="52" t="s">
        <v>617</v>
      </c>
      <c r="G3417" s="788">
        <v>9804572514</v>
      </c>
      <c r="I3417" s="788">
        <v>55</v>
      </c>
      <c r="J3417" s="130" t="s">
        <v>48</v>
      </c>
      <c r="K3417" s="130" t="s">
        <v>53</v>
      </c>
      <c r="L3417" s="130"/>
      <c r="M3417" s="130" t="s">
        <v>119</v>
      </c>
      <c r="N3417" s="786">
        <v>65051</v>
      </c>
      <c r="O3417" s="786">
        <v>65051</v>
      </c>
      <c r="P3417" s="541">
        <v>65066</v>
      </c>
      <c r="Q3417" s="533" t="s">
        <v>51</v>
      </c>
    </row>
    <row r="3418" spans="1:17" ht="18">
      <c r="A3418" s="512">
        <f t="shared" si="46"/>
        <v>2571</v>
      </c>
      <c r="B3418" s="660" t="s">
        <v>43</v>
      </c>
      <c r="C3418" s="644" t="s">
        <v>44</v>
      </c>
      <c r="D3418" s="644" t="s">
        <v>45</v>
      </c>
      <c r="E3418" s="130" t="s">
        <v>3920</v>
      </c>
      <c r="F3418" s="52" t="s">
        <v>529</v>
      </c>
      <c r="G3418" s="227">
        <v>9847836239</v>
      </c>
      <c r="I3418" s="227">
        <v>38</v>
      </c>
      <c r="J3418" s="130" t="s">
        <v>48</v>
      </c>
      <c r="K3418" s="130" t="s">
        <v>1468</v>
      </c>
      <c r="L3418" s="130"/>
      <c r="M3418" s="130" t="s">
        <v>119</v>
      </c>
      <c r="N3418" s="786">
        <v>65051</v>
      </c>
      <c r="O3418" s="786">
        <v>65051</v>
      </c>
      <c r="P3418" s="541">
        <v>65066</v>
      </c>
      <c r="Q3418" s="533" t="s">
        <v>51</v>
      </c>
    </row>
    <row r="3419" spans="1:17" ht="18">
      <c r="A3419" s="512">
        <f t="shared" si="46"/>
        <v>2572</v>
      </c>
      <c r="B3419" s="660" t="s">
        <v>43</v>
      </c>
      <c r="C3419" s="644" t="s">
        <v>44</v>
      </c>
      <c r="D3419" s="644" t="s">
        <v>45</v>
      </c>
      <c r="E3419" s="130" t="s">
        <v>3921</v>
      </c>
      <c r="F3419" s="52" t="s">
        <v>124</v>
      </c>
      <c r="G3419" s="227">
        <v>9822959624</v>
      </c>
      <c r="I3419" s="227">
        <v>29</v>
      </c>
      <c r="J3419" s="130" t="s">
        <v>48</v>
      </c>
      <c r="K3419" s="130" t="s">
        <v>1468</v>
      </c>
      <c r="L3419" s="130"/>
      <c r="M3419" s="130" t="s">
        <v>119</v>
      </c>
      <c r="N3419" s="786">
        <v>65051</v>
      </c>
      <c r="O3419" s="786">
        <v>65051</v>
      </c>
      <c r="P3419" s="541">
        <v>65066</v>
      </c>
      <c r="Q3419" s="533" t="s">
        <v>51</v>
      </c>
    </row>
    <row r="3420" spans="1:17" ht="18">
      <c r="A3420" s="512">
        <f t="shared" si="46"/>
        <v>2573</v>
      </c>
      <c r="B3420" s="660" t="s">
        <v>43</v>
      </c>
      <c r="C3420" s="644" t="s">
        <v>44</v>
      </c>
      <c r="D3420" s="644" t="s">
        <v>45</v>
      </c>
      <c r="E3420" s="787" t="s">
        <v>3922</v>
      </c>
      <c r="F3420" s="52" t="s">
        <v>1008</v>
      </c>
      <c r="G3420" s="788">
        <v>9806273278</v>
      </c>
      <c r="I3420" s="788">
        <v>52</v>
      </c>
      <c r="J3420" s="130" t="s">
        <v>90</v>
      </c>
      <c r="K3420" s="130" t="s">
        <v>53</v>
      </c>
      <c r="L3420" s="130"/>
      <c r="M3420" s="130" t="s">
        <v>119</v>
      </c>
      <c r="N3420" s="786">
        <v>65051</v>
      </c>
      <c r="O3420" s="786">
        <v>65051</v>
      </c>
      <c r="P3420" s="541">
        <v>65066</v>
      </c>
      <c r="Q3420" s="533" t="s">
        <v>51</v>
      </c>
    </row>
    <row r="3421" spans="1:17" ht="18">
      <c r="A3421" s="512">
        <f t="shared" si="46"/>
        <v>2574</v>
      </c>
      <c r="B3421" s="660" t="s">
        <v>43</v>
      </c>
      <c r="C3421" s="644" t="s">
        <v>44</v>
      </c>
      <c r="D3421" s="644" t="s">
        <v>45</v>
      </c>
      <c r="E3421" s="787" t="s">
        <v>3923</v>
      </c>
      <c r="F3421" s="52" t="s">
        <v>441</v>
      </c>
      <c r="G3421" s="788">
        <v>9857890008</v>
      </c>
      <c r="I3421" s="788">
        <v>38</v>
      </c>
      <c r="J3421" s="787" t="s">
        <v>1762</v>
      </c>
      <c r="K3421" s="130" t="s">
        <v>53</v>
      </c>
      <c r="L3421" s="130"/>
      <c r="M3421" s="130" t="s">
        <v>119</v>
      </c>
      <c r="N3421" s="786">
        <v>65051</v>
      </c>
      <c r="O3421" s="786">
        <v>65051</v>
      </c>
      <c r="P3421" s="541">
        <v>65066</v>
      </c>
      <c r="Q3421" s="533" t="s">
        <v>51</v>
      </c>
    </row>
    <row r="3422" spans="1:17" ht="18">
      <c r="A3422" s="512">
        <f t="shared" si="46"/>
        <v>2575</v>
      </c>
      <c r="B3422" s="660" t="s">
        <v>43</v>
      </c>
      <c r="C3422" s="644" t="s">
        <v>44</v>
      </c>
      <c r="D3422" s="644" t="s">
        <v>45</v>
      </c>
      <c r="E3422" s="130" t="s">
        <v>3924</v>
      </c>
      <c r="F3422" s="52" t="s">
        <v>1204</v>
      </c>
      <c r="G3422" s="227">
        <v>9844474658</v>
      </c>
      <c r="I3422" s="227">
        <v>40</v>
      </c>
      <c r="J3422" s="130" t="s">
        <v>48</v>
      </c>
      <c r="K3422" s="130" t="s">
        <v>1468</v>
      </c>
      <c r="L3422" s="130"/>
      <c r="M3422" s="130" t="s">
        <v>119</v>
      </c>
      <c r="N3422" s="786">
        <v>65051</v>
      </c>
      <c r="O3422" s="786">
        <v>65051</v>
      </c>
      <c r="P3422" s="541">
        <v>65066</v>
      </c>
      <c r="Q3422" s="533" t="s">
        <v>51</v>
      </c>
    </row>
    <row r="3423" spans="1:17" ht="18">
      <c r="A3423" s="512">
        <f t="shared" si="46"/>
        <v>2576</v>
      </c>
      <c r="B3423" s="658" t="s">
        <v>43</v>
      </c>
      <c r="C3423" s="630" t="s">
        <v>44</v>
      </c>
      <c r="D3423" s="630" t="s">
        <v>45</v>
      </c>
      <c r="E3423" s="422" t="s">
        <v>4015</v>
      </c>
      <c r="F3423" s="423" t="s">
        <v>441</v>
      </c>
      <c r="G3423" s="423"/>
      <c r="H3423" s="422"/>
      <c r="I3423" s="423">
        <v>39</v>
      </c>
      <c r="J3423" s="155" t="s">
        <v>48</v>
      </c>
      <c r="K3423" s="423"/>
      <c r="L3423" s="423"/>
      <c r="M3423" s="155" t="s">
        <v>119</v>
      </c>
      <c r="N3423" s="282">
        <v>65051</v>
      </c>
      <c r="O3423" s="282">
        <v>65051</v>
      </c>
      <c r="P3423" s="476">
        <v>65052</v>
      </c>
      <c r="Q3423" s="422" t="s">
        <v>940</v>
      </c>
    </row>
    <row r="3424" spans="1:17" ht="18">
      <c r="A3424" s="512">
        <f t="shared" si="46"/>
        <v>2577</v>
      </c>
      <c r="B3424" s="660" t="s">
        <v>43</v>
      </c>
      <c r="C3424" s="644" t="s">
        <v>44</v>
      </c>
      <c r="D3424" s="644" t="s">
        <v>45</v>
      </c>
      <c r="E3424" s="130" t="s">
        <v>3925</v>
      </c>
      <c r="F3424" s="52" t="s">
        <v>491</v>
      </c>
      <c r="G3424" s="227">
        <v>9823613654</v>
      </c>
      <c r="I3424" s="227">
        <v>26</v>
      </c>
      <c r="J3424" s="130" t="s">
        <v>90</v>
      </c>
      <c r="K3424" s="130" t="s">
        <v>1468</v>
      </c>
      <c r="L3424" s="130"/>
      <c r="M3424" s="130" t="s">
        <v>119</v>
      </c>
      <c r="N3424" s="786">
        <v>65051</v>
      </c>
      <c r="O3424" s="786">
        <v>65051</v>
      </c>
      <c r="P3424" s="541">
        <v>65066</v>
      </c>
      <c r="Q3424" s="533" t="s">
        <v>51</v>
      </c>
    </row>
    <row r="3425" spans="1:17" ht="18">
      <c r="A3425" s="512">
        <f t="shared" si="46"/>
        <v>2578</v>
      </c>
      <c r="B3425" s="660" t="s">
        <v>43</v>
      </c>
      <c r="C3425" s="644" t="s">
        <v>44</v>
      </c>
      <c r="D3425" s="644" t="s">
        <v>45</v>
      </c>
      <c r="E3425" s="130" t="s">
        <v>144</v>
      </c>
      <c r="F3425" s="52" t="s">
        <v>510</v>
      </c>
      <c r="G3425" s="227">
        <v>9866940929</v>
      </c>
      <c r="I3425" s="227">
        <v>60</v>
      </c>
      <c r="J3425" s="130" t="s">
        <v>48</v>
      </c>
      <c r="K3425" s="130" t="s">
        <v>49</v>
      </c>
      <c r="L3425" s="130"/>
      <c r="M3425" s="130" t="s">
        <v>119</v>
      </c>
      <c r="N3425" s="786">
        <v>65051</v>
      </c>
      <c r="O3425" s="786">
        <v>65051</v>
      </c>
      <c r="P3425" s="541">
        <v>65066</v>
      </c>
      <c r="Q3425" s="533" t="s">
        <v>51</v>
      </c>
    </row>
    <row r="3426" spans="1:17" ht="18">
      <c r="A3426" s="512">
        <f t="shared" si="46"/>
        <v>2579</v>
      </c>
      <c r="B3426" s="660" t="s">
        <v>43</v>
      </c>
      <c r="C3426" s="644" t="s">
        <v>44</v>
      </c>
      <c r="D3426" s="644" t="s">
        <v>45</v>
      </c>
      <c r="E3426" s="130" t="s">
        <v>3926</v>
      </c>
      <c r="F3426" s="52" t="s">
        <v>529</v>
      </c>
      <c r="G3426" s="227">
        <v>9847944054</v>
      </c>
      <c r="I3426" s="227">
        <v>26</v>
      </c>
      <c r="J3426" s="130" t="s">
        <v>90</v>
      </c>
      <c r="K3426" s="130" t="s">
        <v>1468</v>
      </c>
      <c r="L3426" s="130"/>
      <c r="M3426" s="130" t="s">
        <v>119</v>
      </c>
      <c r="N3426" s="786">
        <v>65051</v>
      </c>
      <c r="O3426" s="786">
        <v>65051</v>
      </c>
      <c r="P3426" s="541">
        <v>65066</v>
      </c>
      <c r="Q3426" s="533" t="s">
        <v>51</v>
      </c>
    </row>
    <row r="3427" spans="1:17" ht="18">
      <c r="A3427" s="512">
        <f t="shared" si="46"/>
        <v>2580</v>
      </c>
      <c r="B3427" s="660" t="s">
        <v>43</v>
      </c>
      <c r="C3427" s="644" t="s">
        <v>44</v>
      </c>
      <c r="D3427" s="644" t="s">
        <v>45</v>
      </c>
      <c r="E3427" s="130" t="s">
        <v>3927</v>
      </c>
      <c r="F3427" s="52" t="s">
        <v>1046</v>
      </c>
      <c r="G3427" s="227">
        <v>9808213491</v>
      </c>
      <c r="I3427" s="227">
        <v>40</v>
      </c>
      <c r="J3427" s="130" t="s">
        <v>48</v>
      </c>
      <c r="K3427" s="130" t="s">
        <v>1468</v>
      </c>
      <c r="L3427" s="130"/>
      <c r="M3427" s="130" t="s">
        <v>119</v>
      </c>
      <c r="N3427" s="786">
        <v>65051</v>
      </c>
      <c r="O3427" s="786">
        <v>65051</v>
      </c>
      <c r="P3427" s="541">
        <v>65066</v>
      </c>
      <c r="Q3427" s="533" t="s">
        <v>51</v>
      </c>
    </row>
    <row r="3428" spans="1:17" ht="18">
      <c r="A3428" s="512">
        <f t="shared" si="46"/>
        <v>2581</v>
      </c>
      <c r="B3428" s="660" t="s">
        <v>43</v>
      </c>
      <c r="C3428" s="644" t="s">
        <v>44</v>
      </c>
      <c r="D3428" s="644" t="s">
        <v>45</v>
      </c>
      <c r="E3428" s="130" t="s">
        <v>3928</v>
      </c>
      <c r="F3428" s="52" t="s">
        <v>510</v>
      </c>
      <c r="G3428" s="227">
        <v>9864918664</v>
      </c>
      <c r="I3428" s="227">
        <v>29</v>
      </c>
      <c r="J3428" s="130" t="s">
        <v>90</v>
      </c>
      <c r="K3428" s="130" t="s">
        <v>1468</v>
      </c>
      <c r="L3428" s="130"/>
      <c r="M3428" s="130" t="s">
        <v>119</v>
      </c>
      <c r="N3428" s="786">
        <v>65051</v>
      </c>
      <c r="O3428" s="786">
        <v>65051</v>
      </c>
      <c r="P3428" s="541">
        <v>65066</v>
      </c>
      <c r="Q3428" s="533" t="s">
        <v>51</v>
      </c>
    </row>
    <row r="3429" spans="1:17" ht="18">
      <c r="A3429" s="512">
        <f t="shared" si="46"/>
        <v>2582</v>
      </c>
      <c r="B3429" s="660" t="s">
        <v>43</v>
      </c>
      <c r="C3429" s="644" t="s">
        <v>44</v>
      </c>
      <c r="D3429" s="644" t="s">
        <v>45</v>
      </c>
      <c r="E3429" s="130" t="s">
        <v>3929</v>
      </c>
      <c r="F3429" s="52" t="s">
        <v>124</v>
      </c>
      <c r="G3429" s="227">
        <v>9809724485</v>
      </c>
      <c r="I3429" s="227">
        <v>70</v>
      </c>
      <c r="J3429" s="130" t="s">
        <v>90</v>
      </c>
      <c r="K3429" s="130" t="s">
        <v>1468</v>
      </c>
      <c r="L3429" s="130"/>
      <c r="M3429" s="130" t="s">
        <v>119</v>
      </c>
      <c r="N3429" s="786">
        <v>65051</v>
      </c>
      <c r="O3429" s="786">
        <v>65051</v>
      </c>
      <c r="P3429" s="541">
        <v>65066</v>
      </c>
      <c r="Q3429" s="533" t="s">
        <v>51</v>
      </c>
    </row>
    <row r="3430" spans="1:17" ht="18">
      <c r="A3430" s="512">
        <f t="shared" si="46"/>
        <v>2583</v>
      </c>
      <c r="B3430" s="658" t="s">
        <v>43</v>
      </c>
      <c r="C3430" s="630" t="s">
        <v>44</v>
      </c>
      <c r="D3430" s="630" t="s">
        <v>45</v>
      </c>
      <c r="E3430" s="422" t="s">
        <v>4016</v>
      </c>
      <c r="F3430" s="423" t="s">
        <v>124</v>
      </c>
      <c r="G3430" s="423"/>
      <c r="H3430" s="422"/>
      <c r="I3430" s="423">
        <v>65</v>
      </c>
      <c r="J3430" s="155" t="s">
        <v>90</v>
      </c>
      <c r="K3430" s="423"/>
      <c r="L3430" s="423"/>
      <c r="M3430" s="155" t="s">
        <v>119</v>
      </c>
      <c r="N3430" s="282">
        <v>65051</v>
      </c>
      <c r="O3430" s="282">
        <v>65051</v>
      </c>
      <c r="P3430" s="476">
        <v>65052</v>
      </c>
      <c r="Q3430" s="422" t="s">
        <v>940</v>
      </c>
    </row>
    <row r="3431" spans="1:17" ht="18">
      <c r="A3431" s="512">
        <f t="shared" si="46"/>
        <v>2584</v>
      </c>
      <c r="B3431" s="660" t="s">
        <v>43</v>
      </c>
      <c r="C3431" s="644" t="s">
        <v>44</v>
      </c>
      <c r="D3431" s="644" t="s">
        <v>45</v>
      </c>
      <c r="E3431" s="130" t="s">
        <v>3930</v>
      </c>
      <c r="F3431" s="52" t="s">
        <v>124</v>
      </c>
      <c r="G3431" s="227">
        <v>9829513743</v>
      </c>
      <c r="I3431" s="227">
        <v>65</v>
      </c>
      <c r="J3431" s="130" t="s">
        <v>48</v>
      </c>
      <c r="K3431" s="130" t="s">
        <v>1468</v>
      </c>
      <c r="L3431" s="130"/>
      <c r="M3431" s="130" t="s">
        <v>119</v>
      </c>
      <c r="N3431" s="786">
        <v>65051</v>
      </c>
      <c r="O3431" s="786">
        <v>65051</v>
      </c>
      <c r="P3431" s="541">
        <v>65066</v>
      </c>
      <c r="Q3431" s="533" t="s">
        <v>51</v>
      </c>
    </row>
    <row r="3432" spans="1:17" ht="18">
      <c r="A3432" s="512">
        <f t="shared" si="46"/>
        <v>2585</v>
      </c>
      <c r="B3432" s="660" t="s">
        <v>43</v>
      </c>
      <c r="C3432" s="644" t="s">
        <v>44</v>
      </c>
      <c r="D3432" s="644" t="s">
        <v>45</v>
      </c>
      <c r="E3432" s="130" t="s">
        <v>3931</v>
      </c>
      <c r="F3432" s="52" t="s">
        <v>730</v>
      </c>
      <c r="G3432" s="227">
        <v>9829588912</v>
      </c>
      <c r="I3432" s="227">
        <v>50</v>
      </c>
      <c r="J3432" s="130" t="s">
        <v>48</v>
      </c>
      <c r="K3432" s="130" t="s">
        <v>1468</v>
      </c>
      <c r="L3432" s="130"/>
      <c r="M3432" s="130" t="s">
        <v>119</v>
      </c>
      <c r="N3432" s="786">
        <v>65051</v>
      </c>
      <c r="O3432" s="786">
        <v>65051</v>
      </c>
      <c r="P3432" s="541">
        <v>65066</v>
      </c>
      <c r="Q3432" s="533" t="s">
        <v>51</v>
      </c>
    </row>
    <row r="3433" spans="1:17" ht="18">
      <c r="A3433" s="512">
        <f t="shared" si="46"/>
        <v>2586</v>
      </c>
      <c r="B3433" s="660" t="s">
        <v>43</v>
      </c>
      <c r="C3433" s="644" t="s">
        <v>44</v>
      </c>
      <c r="D3433" s="644" t="s">
        <v>45</v>
      </c>
      <c r="E3433" s="130" t="s">
        <v>3932</v>
      </c>
      <c r="F3433" s="52" t="s">
        <v>529</v>
      </c>
      <c r="G3433" s="227">
        <v>9857823111</v>
      </c>
      <c r="I3433" s="227">
        <v>54</v>
      </c>
      <c r="J3433" s="130" t="s">
        <v>48</v>
      </c>
      <c r="K3433" s="130" t="s">
        <v>1468</v>
      </c>
      <c r="L3433" s="130"/>
      <c r="M3433" s="130" t="s">
        <v>119</v>
      </c>
      <c r="N3433" s="786">
        <v>65051</v>
      </c>
      <c r="O3433" s="786">
        <v>65051</v>
      </c>
      <c r="P3433" s="541">
        <v>65066</v>
      </c>
      <c r="Q3433" s="533" t="s">
        <v>51</v>
      </c>
    </row>
    <row r="3434" spans="1:17" ht="18">
      <c r="A3434" s="512">
        <f t="shared" si="46"/>
        <v>2587</v>
      </c>
      <c r="B3434" s="660" t="s">
        <v>43</v>
      </c>
      <c r="C3434" s="644" t="s">
        <v>44</v>
      </c>
      <c r="D3434" s="644" t="s">
        <v>45</v>
      </c>
      <c r="E3434" s="130" t="s">
        <v>3933</v>
      </c>
      <c r="F3434" s="52" t="s">
        <v>502</v>
      </c>
      <c r="G3434" s="227">
        <v>9847938616</v>
      </c>
      <c r="I3434" s="227">
        <v>65</v>
      </c>
      <c r="J3434" s="130" t="s">
        <v>48</v>
      </c>
      <c r="K3434" s="130" t="s">
        <v>1468</v>
      </c>
      <c r="L3434" s="130"/>
      <c r="M3434" s="130" t="s">
        <v>119</v>
      </c>
      <c r="N3434" s="786">
        <v>65051</v>
      </c>
      <c r="O3434" s="786">
        <v>65051</v>
      </c>
      <c r="P3434" s="541">
        <v>65066</v>
      </c>
      <c r="Q3434" s="533" t="s">
        <v>51</v>
      </c>
    </row>
    <row r="3435" spans="1:17" ht="18">
      <c r="A3435" s="512">
        <f t="shared" si="46"/>
        <v>2588</v>
      </c>
      <c r="B3435" s="660" t="s">
        <v>43</v>
      </c>
      <c r="C3435" s="644" t="s">
        <v>44</v>
      </c>
      <c r="D3435" s="644" t="s">
        <v>45</v>
      </c>
      <c r="E3435" s="130" t="s">
        <v>3934</v>
      </c>
      <c r="F3435" s="52" t="s">
        <v>730</v>
      </c>
      <c r="G3435" s="227">
        <v>9810940747</v>
      </c>
      <c r="I3435" s="227">
        <v>24</v>
      </c>
      <c r="J3435" s="130" t="s">
        <v>48</v>
      </c>
      <c r="K3435" s="130" t="s">
        <v>1468</v>
      </c>
      <c r="L3435" s="130"/>
      <c r="M3435" s="130" t="s">
        <v>119</v>
      </c>
      <c r="N3435" s="786">
        <v>65051</v>
      </c>
      <c r="O3435" s="786">
        <v>65051</v>
      </c>
      <c r="P3435" s="541">
        <v>65066</v>
      </c>
      <c r="Q3435" s="533" t="s">
        <v>51</v>
      </c>
    </row>
    <row r="3436" spans="1:17" ht="18">
      <c r="A3436" s="512">
        <f t="shared" si="46"/>
        <v>2589</v>
      </c>
      <c r="B3436" s="660" t="s">
        <v>43</v>
      </c>
      <c r="C3436" s="644" t="s">
        <v>44</v>
      </c>
      <c r="D3436" s="644" t="s">
        <v>45</v>
      </c>
      <c r="E3436" s="130" t="s">
        <v>3935</v>
      </c>
      <c r="F3436" s="52" t="s">
        <v>124</v>
      </c>
      <c r="G3436" s="227">
        <v>9857821954</v>
      </c>
      <c r="I3436" s="227">
        <v>41</v>
      </c>
      <c r="J3436" s="130" t="s">
        <v>90</v>
      </c>
      <c r="K3436" s="130" t="s">
        <v>49</v>
      </c>
      <c r="L3436" s="130"/>
      <c r="M3436" s="130" t="s">
        <v>119</v>
      </c>
      <c r="N3436" s="786">
        <v>65051</v>
      </c>
      <c r="O3436" s="786">
        <v>65051</v>
      </c>
      <c r="P3436" s="541">
        <v>65066</v>
      </c>
      <c r="Q3436" s="533" t="s">
        <v>51</v>
      </c>
    </row>
    <row r="3437" spans="1:17" ht="18">
      <c r="A3437" s="512">
        <f t="shared" si="46"/>
        <v>2590</v>
      </c>
      <c r="B3437" s="660" t="s">
        <v>43</v>
      </c>
      <c r="C3437" s="644" t="s">
        <v>44</v>
      </c>
      <c r="D3437" s="644" t="s">
        <v>45</v>
      </c>
      <c r="E3437" s="130" t="s">
        <v>3936</v>
      </c>
      <c r="F3437" s="52" t="s">
        <v>1008</v>
      </c>
      <c r="G3437" s="227">
        <v>9844933733</v>
      </c>
      <c r="I3437" s="227">
        <v>60</v>
      </c>
      <c r="J3437" s="130" t="s">
        <v>48</v>
      </c>
      <c r="K3437" s="130" t="s">
        <v>1468</v>
      </c>
      <c r="L3437" s="130"/>
      <c r="M3437" s="130" t="s">
        <v>119</v>
      </c>
      <c r="N3437" s="786">
        <v>65051</v>
      </c>
      <c r="O3437" s="786">
        <v>65051</v>
      </c>
      <c r="P3437" s="541">
        <v>65066</v>
      </c>
      <c r="Q3437" s="533" t="s">
        <v>51</v>
      </c>
    </row>
    <row r="3438" spans="1:17" ht="18">
      <c r="A3438" s="512">
        <f t="shared" si="46"/>
        <v>2591</v>
      </c>
      <c r="B3438" s="660" t="s">
        <v>43</v>
      </c>
      <c r="C3438" s="644" t="s">
        <v>44</v>
      </c>
      <c r="D3438" s="644" t="s">
        <v>45</v>
      </c>
      <c r="E3438" s="130" t="s">
        <v>3937</v>
      </c>
      <c r="F3438" s="52" t="s">
        <v>1009</v>
      </c>
      <c r="G3438" s="227">
        <v>9806296895</v>
      </c>
      <c r="I3438" s="227">
        <v>70</v>
      </c>
      <c r="J3438" s="130" t="s">
        <v>48</v>
      </c>
      <c r="K3438" s="130" t="s">
        <v>1468</v>
      </c>
      <c r="L3438" s="130"/>
      <c r="M3438" s="130" t="s">
        <v>119</v>
      </c>
      <c r="N3438" s="786">
        <v>65051</v>
      </c>
      <c r="O3438" s="786">
        <v>65051</v>
      </c>
      <c r="P3438" s="541">
        <v>65066</v>
      </c>
      <c r="Q3438" s="533" t="s">
        <v>51</v>
      </c>
    </row>
    <row r="3439" spans="1:17" ht="18">
      <c r="A3439" s="512">
        <f t="shared" si="46"/>
        <v>2592</v>
      </c>
      <c r="B3439" s="660" t="s">
        <v>43</v>
      </c>
      <c r="C3439" s="644" t="s">
        <v>44</v>
      </c>
      <c r="D3439" s="644" t="s">
        <v>45</v>
      </c>
      <c r="E3439" s="130" t="s">
        <v>3938</v>
      </c>
      <c r="F3439" s="52" t="s">
        <v>441</v>
      </c>
      <c r="G3439" s="227">
        <v>9847830315</v>
      </c>
      <c r="I3439" s="227">
        <v>40</v>
      </c>
      <c r="J3439" s="130" t="s">
        <v>48</v>
      </c>
      <c r="K3439" s="130" t="s">
        <v>1468</v>
      </c>
      <c r="L3439" s="130"/>
      <c r="M3439" s="130" t="s">
        <v>119</v>
      </c>
      <c r="N3439" s="786">
        <v>65051</v>
      </c>
      <c r="O3439" s="786">
        <v>65051</v>
      </c>
      <c r="P3439" s="541">
        <v>65066</v>
      </c>
      <c r="Q3439" s="533" t="s">
        <v>51</v>
      </c>
    </row>
    <row r="3440" spans="1:17" ht="18">
      <c r="A3440" s="512">
        <f t="shared" si="46"/>
        <v>2593</v>
      </c>
      <c r="B3440" s="660" t="s">
        <v>43</v>
      </c>
      <c r="C3440" s="644" t="s">
        <v>44</v>
      </c>
      <c r="D3440" s="644" t="s">
        <v>45</v>
      </c>
      <c r="E3440" s="802" t="s">
        <v>4044</v>
      </c>
      <c r="F3440" s="802" t="s">
        <v>502</v>
      </c>
      <c r="G3440" s="806"/>
      <c r="H3440" s="803"/>
      <c r="I3440" s="806">
        <v>45</v>
      </c>
      <c r="J3440" s="803" t="s">
        <v>48</v>
      </c>
      <c r="K3440" s="803" t="s">
        <v>53</v>
      </c>
      <c r="L3440" s="803"/>
      <c r="M3440" s="804" t="s">
        <v>54</v>
      </c>
      <c r="N3440" s="805">
        <v>65051</v>
      </c>
      <c r="O3440" s="805">
        <v>65051</v>
      </c>
      <c r="P3440" s="465">
        <v>65061</v>
      </c>
      <c r="Q3440" s="436" t="s">
        <v>51</v>
      </c>
    </row>
    <row r="3441" spans="1:17" ht="18">
      <c r="A3441" s="512">
        <f t="shared" si="46"/>
        <v>2594</v>
      </c>
      <c r="B3441" s="660" t="s">
        <v>43</v>
      </c>
      <c r="C3441" s="644" t="s">
        <v>44</v>
      </c>
      <c r="D3441" s="644" t="s">
        <v>45</v>
      </c>
      <c r="E3441" s="130" t="s">
        <v>3939</v>
      </c>
      <c r="F3441" s="52" t="s">
        <v>529</v>
      </c>
      <c r="G3441" s="227">
        <v>9844179317</v>
      </c>
      <c r="I3441" s="227">
        <v>24</v>
      </c>
      <c r="J3441" s="130" t="s">
        <v>90</v>
      </c>
      <c r="K3441" s="130" t="s">
        <v>1468</v>
      </c>
      <c r="L3441" s="130"/>
      <c r="M3441" s="130" t="s">
        <v>119</v>
      </c>
      <c r="N3441" s="786">
        <v>65051</v>
      </c>
      <c r="O3441" s="786">
        <v>65051</v>
      </c>
      <c r="P3441" s="541">
        <v>65066</v>
      </c>
      <c r="Q3441" s="533" t="s">
        <v>51</v>
      </c>
    </row>
    <row r="3442" spans="1:17" ht="18">
      <c r="A3442" s="512">
        <f t="shared" si="46"/>
        <v>2595</v>
      </c>
      <c r="B3442" s="660" t="s">
        <v>43</v>
      </c>
      <c r="C3442" s="644" t="s">
        <v>44</v>
      </c>
      <c r="D3442" s="644" t="s">
        <v>45</v>
      </c>
      <c r="E3442" s="130" t="s">
        <v>3940</v>
      </c>
      <c r="F3442" s="52" t="s">
        <v>557</v>
      </c>
      <c r="G3442" s="227">
        <v>9847961642</v>
      </c>
      <c r="I3442" s="227">
        <v>50</v>
      </c>
      <c r="J3442" s="130" t="s">
        <v>90</v>
      </c>
      <c r="K3442" s="130" t="s">
        <v>49</v>
      </c>
      <c r="L3442" s="130"/>
      <c r="M3442" s="130" t="s">
        <v>119</v>
      </c>
      <c r="N3442" s="786">
        <v>65051</v>
      </c>
      <c r="O3442" s="786">
        <v>65051</v>
      </c>
      <c r="P3442" s="541">
        <v>65066</v>
      </c>
      <c r="Q3442" s="533" t="s">
        <v>51</v>
      </c>
    </row>
    <row r="3443" spans="1:17" ht="18">
      <c r="A3443" s="512">
        <f t="shared" si="46"/>
        <v>2596</v>
      </c>
      <c r="B3443" s="660" t="s">
        <v>43</v>
      </c>
      <c r="C3443" s="644" t="s">
        <v>44</v>
      </c>
      <c r="D3443" s="644" t="s">
        <v>45</v>
      </c>
      <c r="E3443" s="130" t="s">
        <v>3941</v>
      </c>
      <c r="F3443" s="52" t="s">
        <v>1204</v>
      </c>
      <c r="G3443" s="227">
        <v>9847941999</v>
      </c>
      <c r="I3443" s="227">
        <v>41</v>
      </c>
      <c r="J3443" s="130" t="s">
        <v>90</v>
      </c>
      <c r="K3443" s="130" t="s">
        <v>1468</v>
      </c>
      <c r="L3443" s="130"/>
      <c r="M3443" s="130" t="s">
        <v>119</v>
      </c>
      <c r="N3443" s="786">
        <v>65051</v>
      </c>
      <c r="O3443" s="786">
        <v>65051</v>
      </c>
      <c r="P3443" s="541">
        <v>65066</v>
      </c>
      <c r="Q3443" s="533" t="s">
        <v>51</v>
      </c>
    </row>
    <row r="3444" spans="1:17" ht="18">
      <c r="A3444" s="512">
        <f t="shared" si="46"/>
        <v>2597</v>
      </c>
      <c r="B3444" s="660" t="s">
        <v>43</v>
      </c>
      <c r="C3444" s="644" t="s">
        <v>44</v>
      </c>
      <c r="D3444" s="644" t="s">
        <v>45</v>
      </c>
      <c r="E3444" s="787" t="s">
        <v>3942</v>
      </c>
      <c r="F3444" s="52" t="s">
        <v>441</v>
      </c>
      <c r="G3444" s="788">
        <v>9847851545</v>
      </c>
      <c r="I3444" s="788">
        <v>35</v>
      </c>
      <c r="J3444" s="787" t="s">
        <v>1762</v>
      </c>
      <c r="K3444" s="130" t="s">
        <v>53</v>
      </c>
      <c r="L3444" s="130"/>
      <c r="M3444" s="130" t="s">
        <v>119</v>
      </c>
      <c r="N3444" s="786">
        <v>65051</v>
      </c>
      <c r="O3444" s="786">
        <v>65051</v>
      </c>
      <c r="P3444" s="541">
        <v>65066</v>
      </c>
      <c r="Q3444" s="533" t="s">
        <v>51</v>
      </c>
    </row>
    <row r="3445" spans="1:17" ht="18">
      <c r="A3445" s="512">
        <f t="shared" si="46"/>
        <v>2598</v>
      </c>
      <c r="B3445" s="660" t="s">
        <v>43</v>
      </c>
      <c r="C3445" s="644" t="s">
        <v>44</v>
      </c>
      <c r="D3445" s="644" t="s">
        <v>45</v>
      </c>
      <c r="E3445" s="130" t="s">
        <v>3943</v>
      </c>
      <c r="F3445" s="52" t="s">
        <v>502</v>
      </c>
      <c r="G3445" s="227">
        <v>9822821780</v>
      </c>
      <c r="I3445" s="227">
        <v>26</v>
      </c>
      <c r="J3445" s="130" t="s">
        <v>90</v>
      </c>
      <c r="K3445" s="130" t="s">
        <v>1468</v>
      </c>
      <c r="L3445" s="130"/>
      <c r="M3445" s="130" t="s">
        <v>119</v>
      </c>
      <c r="N3445" s="786">
        <v>65051</v>
      </c>
      <c r="O3445" s="786">
        <v>65051</v>
      </c>
      <c r="P3445" s="541">
        <v>65066</v>
      </c>
      <c r="Q3445" s="533" t="s">
        <v>51</v>
      </c>
    </row>
    <row r="3446" spans="1:17" ht="18">
      <c r="A3446" s="512">
        <f t="shared" si="46"/>
        <v>2599</v>
      </c>
      <c r="B3446" s="660" t="s">
        <v>43</v>
      </c>
      <c r="C3446" s="644" t="s">
        <v>44</v>
      </c>
      <c r="D3446" s="644" t="s">
        <v>45</v>
      </c>
      <c r="E3446" s="130" t="s">
        <v>3944</v>
      </c>
      <c r="F3446" s="52" t="s">
        <v>512</v>
      </c>
      <c r="G3446" s="227">
        <v>9822817845</v>
      </c>
      <c r="I3446" s="227">
        <v>65</v>
      </c>
      <c r="J3446" s="130" t="s">
        <v>48</v>
      </c>
      <c r="K3446" s="130" t="s">
        <v>1468</v>
      </c>
      <c r="L3446" s="130"/>
      <c r="M3446" s="130" t="s">
        <v>119</v>
      </c>
      <c r="N3446" s="786">
        <v>65051</v>
      </c>
      <c r="O3446" s="786">
        <v>65051</v>
      </c>
      <c r="P3446" s="541">
        <v>65066</v>
      </c>
      <c r="Q3446" s="533" t="s">
        <v>51</v>
      </c>
    </row>
    <row r="3447" spans="1:17" ht="18">
      <c r="A3447" s="512">
        <f t="shared" si="46"/>
        <v>2600</v>
      </c>
      <c r="B3447" s="660" t="s">
        <v>43</v>
      </c>
      <c r="C3447" s="644" t="s">
        <v>44</v>
      </c>
      <c r="D3447" s="644" t="s">
        <v>45</v>
      </c>
      <c r="E3447" s="130" t="s">
        <v>3945</v>
      </c>
      <c r="F3447" s="52" t="s">
        <v>1008</v>
      </c>
      <c r="G3447" s="227">
        <v>9806279455</v>
      </c>
      <c r="I3447" s="227">
        <v>29</v>
      </c>
      <c r="J3447" s="130" t="s">
        <v>90</v>
      </c>
      <c r="K3447" s="130" t="s">
        <v>1468</v>
      </c>
      <c r="L3447" s="130"/>
      <c r="M3447" s="130" t="s">
        <v>119</v>
      </c>
      <c r="N3447" s="786">
        <v>65051</v>
      </c>
      <c r="O3447" s="786">
        <v>65051</v>
      </c>
      <c r="P3447" s="541">
        <v>65066</v>
      </c>
      <c r="Q3447" s="533" t="s">
        <v>51</v>
      </c>
    </row>
    <row r="3448" spans="1:17" ht="18">
      <c r="A3448" s="512">
        <f t="shared" si="46"/>
        <v>2601</v>
      </c>
      <c r="B3448" s="660" t="s">
        <v>43</v>
      </c>
      <c r="C3448" s="644" t="s">
        <v>44</v>
      </c>
      <c r="D3448" s="644" t="s">
        <v>45</v>
      </c>
      <c r="E3448" s="130" t="s">
        <v>3946</v>
      </c>
      <c r="F3448" s="52" t="s">
        <v>488</v>
      </c>
      <c r="G3448" s="227">
        <v>9866854805</v>
      </c>
      <c r="I3448" s="227">
        <v>60</v>
      </c>
      <c r="J3448" s="130" t="s">
        <v>90</v>
      </c>
      <c r="K3448" s="130" t="s">
        <v>49</v>
      </c>
      <c r="L3448" s="130"/>
      <c r="M3448" s="130" t="s">
        <v>119</v>
      </c>
      <c r="N3448" s="786">
        <v>65051</v>
      </c>
      <c r="O3448" s="786">
        <v>65051</v>
      </c>
      <c r="P3448" s="541">
        <v>65066</v>
      </c>
      <c r="Q3448" s="533" t="s">
        <v>51</v>
      </c>
    </row>
    <row r="3449" spans="1:17" ht="18">
      <c r="A3449" s="512">
        <f t="shared" si="46"/>
        <v>2602</v>
      </c>
      <c r="B3449" s="660" t="s">
        <v>43</v>
      </c>
      <c r="C3449" s="644" t="s">
        <v>44</v>
      </c>
      <c r="D3449" s="644" t="s">
        <v>45</v>
      </c>
      <c r="E3449" s="130" t="s">
        <v>3947</v>
      </c>
      <c r="F3449" s="52" t="s">
        <v>512</v>
      </c>
      <c r="G3449" s="227">
        <v>9809810842</v>
      </c>
      <c r="I3449" s="227">
        <v>58</v>
      </c>
      <c r="J3449" s="130" t="s">
        <v>90</v>
      </c>
      <c r="K3449" s="130" t="s">
        <v>1468</v>
      </c>
      <c r="L3449" s="130"/>
      <c r="M3449" s="130" t="s">
        <v>119</v>
      </c>
      <c r="N3449" s="786">
        <v>65051</v>
      </c>
      <c r="O3449" s="786">
        <v>65051</v>
      </c>
      <c r="P3449" s="541">
        <v>65066</v>
      </c>
      <c r="Q3449" s="533" t="s">
        <v>51</v>
      </c>
    </row>
    <row r="3450" spans="1:17" ht="18">
      <c r="A3450" s="512">
        <f t="shared" si="46"/>
        <v>2603</v>
      </c>
      <c r="B3450" s="660" t="s">
        <v>43</v>
      </c>
      <c r="C3450" s="644" t="s">
        <v>44</v>
      </c>
      <c r="D3450" s="644" t="s">
        <v>45</v>
      </c>
      <c r="E3450" s="130" t="s">
        <v>3948</v>
      </c>
      <c r="F3450" s="52" t="s">
        <v>502</v>
      </c>
      <c r="G3450" s="227">
        <v>9847837867</v>
      </c>
      <c r="I3450" s="227">
        <v>36</v>
      </c>
      <c r="J3450" s="130" t="s">
        <v>90</v>
      </c>
      <c r="K3450" s="130" t="s">
        <v>1468</v>
      </c>
      <c r="L3450" s="130"/>
      <c r="M3450" s="130" t="s">
        <v>119</v>
      </c>
      <c r="N3450" s="786">
        <v>65051</v>
      </c>
      <c r="O3450" s="786">
        <v>65051</v>
      </c>
      <c r="P3450" s="541">
        <v>65066</v>
      </c>
      <c r="Q3450" s="533" t="s">
        <v>51</v>
      </c>
    </row>
    <row r="3451" spans="1:17" ht="18">
      <c r="A3451" s="512">
        <f t="shared" si="46"/>
        <v>2604</v>
      </c>
      <c r="B3451" s="660" t="s">
        <v>43</v>
      </c>
      <c r="C3451" s="644" t="s">
        <v>44</v>
      </c>
      <c r="D3451" s="644" t="s">
        <v>45</v>
      </c>
      <c r="E3451" s="130" t="s">
        <v>3949</v>
      </c>
      <c r="F3451" s="52" t="s">
        <v>488</v>
      </c>
      <c r="G3451" s="227">
        <v>9823624241</v>
      </c>
      <c r="I3451" s="227">
        <v>36</v>
      </c>
      <c r="J3451" s="130" t="s">
        <v>48</v>
      </c>
      <c r="K3451" s="130" t="s">
        <v>1468</v>
      </c>
      <c r="L3451" s="130"/>
      <c r="M3451" s="130" t="s">
        <v>119</v>
      </c>
      <c r="N3451" s="786">
        <v>65051</v>
      </c>
      <c r="O3451" s="786">
        <v>65051</v>
      </c>
      <c r="P3451" s="541">
        <v>65066</v>
      </c>
      <c r="Q3451" s="533" t="s">
        <v>51</v>
      </c>
    </row>
    <row r="3452" spans="1:17" ht="18">
      <c r="A3452" s="512">
        <f t="shared" si="46"/>
        <v>2605</v>
      </c>
      <c r="B3452" s="660" t="s">
        <v>43</v>
      </c>
      <c r="C3452" s="644" t="s">
        <v>44</v>
      </c>
      <c r="D3452" s="644" t="s">
        <v>45</v>
      </c>
      <c r="E3452" s="130" t="s">
        <v>3950</v>
      </c>
      <c r="F3452" s="52" t="s">
        <v>1204</v>
      </c>
      <c r="G3452" s="227">
        <v>9844941541</v>
      </c>
      <c r="I3452" s="227">
        <v>25</v>
      </c>
      <c r="J3452" s="130" t="s">
        <v>48</v>
      </c>
      <c r="K3452" s="130" t="s">
        <v>1468</v>
      </c>
      <c r="L3452" s="130"/>
      <c r="M3452" s="130" t="s">
        <v>119</v>
      </c>
      <c r="N3452" s="786">
        <v>65051</v>
      </c>
      <c r="O3452" s="786">
        <v>65051</v>
      </c>
      <c r="P3452" s="541">
        <v>65066</v>
      </c>
      <c r="Q3452" s="533" t="s">
        <v>51</v>
      </c>
    </row>
    <row r="3453" spans="1:17" ht="18">
      <c r="A3453" s="512">
        <f t="shared" si="46"/>
        <v>2606</v>
      </c>
      <c r="B3453" s="660" t="s">
        <v>43</v>
      </c>
      <c r="C3453" s="644" t="s">
        <v>44</v>
      </c>
      <c r="D3453" s="644" t="s">
        <v>45</v>
      </c>
      <c r="E3453" s="787" t="s">
        <v>3951</v>
      </c>
      <c r="F3453" s="52" t="s">
        <v>1008</v>
      </c>
      <c r="G3453" s="788">
        <v>9844996177</v>
      </c>
      <c r="I3453" s="788">
        <v>46</v>
      </c>
      <c r="J3453" s="130" t="s">
        <v>90</v>
      </c>
      <c r="K3453" s="130" t="s">
        <v>53</v>
      </c>
      <c r="L3453" s="130"/>
      <c r="M3453" s="130" t="s">
        <v>119</v>
      </c>
      <c r="N3453" s="786">
        <v>65051</v>
      </c>
      <c r="O3453" s="786">
        <v>65051</v>
      </c>
      <c r="P3453" s="541">
        <v>65066</v>
      </c>
      <c r="Q3453" s="533" t="s">
        <v>51</v>
      </c>
    </row>
    <row r="3454" spans="1:17" ht="18">
      <c r="A3454" s="512">
        <f t="shared" si="46"/>
        <v>2607</v>
      </c>
      <c r="B3454" s="660" t="s">
        <v>43</v>
      </c>
      <c r="C3454" s="644" t="s">
        <v>44</v>
      </c>
      <c r="D3454" s="644" t="s">
        <v>45</v>
      </c>
      <c r="E3454" s="130" t="s">
        <v>3952</v>
      </c>
      <c r="F3454" s="52" t="s">
        <v>124</v>
      </c>
      <c r="G3454" s="227">
        <v>9847884310</v>
      </c>
      <c r="I3454" s="227">
        <v>27</v>
      </c>
      <c r="J3454" s="130" t="s">
        <v>90</v>
      </c>
      <c r="K3454" s="130" t="s">
        <v>49</v>
      </c>
      <c r="L3454" s="130"/>
      <c r="M3454" s="130" t="s">
        <v>119</v>
      </c>
      <c r="N3454" s="786">
        <v>65051</v>
      </c>
      <c r="O3454" s="786">
        <v>65051</v>
      </c>
      <c r="P3454" s="541">
        <v>65066</v>
      </c>
      <c r="Q3454" s="533" t="s">
        <v>51</v>
      </c>
    </row>
    <row r="3455" spans="1:17" ht="18">
      <c r="A3455" s="512">
        <f t="shared" si="46"/>
        <v>2608</v>
      </c>
      <c r="B3455" s="660" t="s">
        <v>43</v>
      </c>
      <c r="C3455" s="644" t="s">
        <v>44</v>
      </c>
      <c r="D3455" s="644" t="s">
        <v>45</v>
      </c>
      <c r="E3455" s="130" t="s">
        <v>3953</v>
      </c>
      <c r="F3455" s="52" t="s">
        <v>497</v>
      </c>
      <c r="G3455" s="227">
        <v>9813018273</v>
      </c>
      <c r="I3455" s="227">
        <v>47</v>
      </c>
      <c r="J3455" s="130" t="s">
        <v>48</v>
      </c>
      <c r="K3455" s="130" t="s">
        <v>1468</v>
      </c>
      <c r="L3455" s="130"/>
      <c r="M3455" s="130" t="s">
        <v>119</v>
      </c>
      <c r="N3455" s="786">
        <v>65051</v>
      </c>
      <c r="O3455" s="786">
        <v>65051</v>
      </c>
      <c r="P3455" s="541">
        <v>65066</v>
      </c>
      <c r="Q3455" s="533" t="s">
        <v>51</v>
      </c>
    </row>
    <row r="3456" spans="1:17" ht="18">
      <c r="A3456" s="512">
        <f t="shared" si="46"/>
        <v>2609</v>
      </c>
      <c r="B3456" s="660" t="s">
        <v>43</v>
      </c>
      <c r="C3456" s="644" t="s">
        <v>44</v>
      </c>
      <c r="D3456" s="644" t="s">
        <v>45</v>
      </c>
      <c r="E3456" s="130" t="s">
        <v>3954</v>
      </c>
      <c r="F3456" s="52" t="s">
        <v>502</v>
      </c>
      <c r="G3456" s="227">
        <v>9806224021</v>
      </c>
      <c r="I3456" s="227">
        <v>53</v>
      </c>
      <c r="J3456" s="130" t="s">
        <v>48</v>
      </c>
      <c r="K3456" s="130" t="s">
        <v>1468</v>
      </c>
      <c r="L3456" s="130"/>
      <c r="M3456" s="130" t="s">
        <v>119</v>
      </c>
      <c r="N3456" s="786">
        <v>65051</v>
      </c>
      <c r="O3456" s="786">
        <v>65051</v>
      </c>
      <c r="P3456" s="541">
        <v>65066</v>
      </c>
      <c r="Q3456" s="533" t="s">
        <v>51</v>
      </c>
    </row>
    <row r="3457" spans="1:17" ht="18">
      <c r="A3457" s="512">
        <f t="shared" si="46"/>
        <v>2610</v>
      </c>
      <c r="B3457" s="660" t="s">
        <v>43</v>
      </c>
      <c r="C3457" s="644" t="s">
        <v>44</v>
      </c>
      <c r="D3457" s="644" t="s">
        <v>45</v>
      </c>
      <c r="E3457" s="130" t="s">
        <v>3955</v>
      </c>
      <c r="F3457" s="52" t="s">
        <v>502</v>
      </c>
      <c r="G3457" s="227">
        <v>9857820082</v>
      </c>
      <c r="I3457" s="227">
        <v>55</v>
      </c>
      <c r="J3457" s="130" t="s">
        <v>48</v>
      </c>
      <c r="K3457" s="130" t="s">
        <v>1468</v>
      </c>
      <c r="L3457" s="130"/>
      <c r="M3457" s="130" t="s">
        <v>119</v>
      </c>
      <c r="N3457" s="786">
        <v>65051</v>
      </c>
      <c r="O3457" s="786">
        <v>65051</v>
      </c>
      <c r="P3457" s="541">
        <v>65066</v>
      </c>
      <c r="Q3457" s="533" t="s">
        <v>51</v>
      </c>
    </row>
    <row r="3458" spans="1:17" ht="18">
      <c r="A3458" s="512">
        <f t="shared" si="46"/>
        <v>2611</v>
      </c>
      <c r="B3458" s="660" t="s">
        <v>43</v>
      </c>
      <c r="C3458" s="644" t="s">
        <v>44</v>
      </c>
      <c r="D3458" s="644" t="s">
        <v>45</v>
      </c>
      <c r="E3458" s="787" t="s">
        <v>3956</v>
      </c>
      <c r="F3458" s="52" t="s">
        <v>441</v>
      </c>
      <c r="G3458" s="788">
        <v>9866927000</v>
      </c>
      <c r="I3458" s="788">
        <v>32</v>
      </c>
      <c r="J3458" s="787" t="s">
        <v>1762</v>
      </c>
      <c r="K3458" s="130" t="s">
        <v>53</v>
      </c>
      <c r="L3458" s="130"/>
      <c r="M3458" s="130" t="s">
        <v>119</v>
      </c>
      <c r="N3458" s="786">
        <v>65051</v>
      </c>
      <c r="O3458" s="786">
        <v>65051</v>
      </c>
      <c r="P3458" s="541">
        <v>65066</v>
      </c>
      <c r="Q3458" s="533" t="s">
        <v>51</v>
      </c>
    </row>
    <row r="3459" spans="1:17" ht="18">
      <c r="A3459" s="512">
        <f t="shared" si="46"/>
        <v>2612</v>
      </c>
      <c r="B3459" s="660" t="s">
        <v>43</v>
      </c>
      <c r="C3459" s="644" t="s">
        <v>44</v>
      </c>
      <c r="D3459" s="644" t="s">
        <v>45</v>
      </c>
      <c r="E3459" s="787" t="s">
        <v>3957</v>
      </c>
      <c r="F3459" s="52" t="s">
        <v>730</v>
      </c>
      <c r="G3459" s="788">
        <v>9865269884</v>
      </c>
      <c r="I3459" s="788">
        <v>25</v>
      </c>
      <c r="J3459" s="130" t="s">
        <v>90</v>
      </c>
      <c r="K3459" s="130" t="s">
        <v>53</v>
      </c>
      <c r="L3459" s="130"/>
      <c r="M3459" s="130" t="s">
        <v>119</v>
      </c>
      <c r="N3459" s="786">
        <v>65051</v>
      </c>
      <c r="O3459" s="786">
        <v>65051</v>
      </c>
      <c r="P3459" s="541">
        <v>65066</v>
      </c>
      <c r="Q3459" s="533" t="s">
        <v>51</v>
      </c>
    </row>
    <row r="3460" spans="1:17" ht="18">
      <c r="A3460" s="512">
        <f t="shared" si="46"/>
        <v>2613</v>
      </c>
      <c r="B3460" s="660" t="s">
        <v>43</v>
      </c>
      <c r="C3460" s="644" t="s">
        <v>44</v>
      </c>
      <c r="D3460" s="644" t="s">
        <v>45</v>
      </c>
      <c r="E3460" s="130" t="s">
        <v>3958</v>
      </c>
      <c r="F3460" s="52" t="s">
        <v>491</v>
      </c>
      <c r="G3460" s="227">
        <v>9847831032</v>
      </c>
      <c r="I3460" s="227">
        <v>33</v>
      </c>
      <c r="J3460" s="130" t="s">
        <v>90</v>
      </c>
      <c r="K3460" s="130" t="s">
        <v>1468</v>
      </c>
      <c r="L3460" s="130"/>
      <c r="M3460" s="130" t="s">
        <v>119</v>
      </c>
      <c r="N3460" s="786">
        <v>65051</v>
      </c>
      <c r="O3460" s="786">
        <v>65051</v>
      </c>
      <c r="P3460" s="541">
        <v>65066</v>
      </c>
      <c r="Q3460" s="533" t="s">
        <v>51</v>
      </c>
    </row>
    <row r="3461" spans="1:17" ht="18">
      <c r="A3461" s="512">
        <f t="shared" si="46"/>
        <v>2614</v>
      </c>
      <c r="B3461" s="660" t="s">
        <v>43</v>
      </c>
      <c r="C3461" s="644" t="s">
        <v>44</v>
      </c>
      <c r="D3461" s="644" t="s">
        <v>45</v>
      </c>
      <c r="E3461" s="130" t="s">
        <v>3959</v>
      </c>
      <c r="F3461" s="52" t="s">
        <v>124</v>
      </c>
      <c r="G3461" s="227">
        <v>9829513743</v>
      </c>
      <c r="I3461" s="227">
        <v>63</v>
      </c>
      <c r="J3461" s="130" t="s">
        <v>90</v>
      </c>
      <c r="K3461" s="130" t="s">
        <v>1468</v>
      </c>
      <c r="L3461" s="130"/>
      <c r="M3461" s="130" t="s">
        <v>119</v>
      </c>
      <c r="N3461" s="786">
        <v>65051</v>
      </c>
      <c r="O3461" s="786">
        <v>65051</v>
      </c>
      <c r="P3461" s="541">
        <v>65066</v>
      </c>
      <c r="Q3461" s="533" t="s">
        <v>51</v>
      </c>
    </row>
    <row r="3462" spans="1:17" ht="18">
      <c r="A3462" s="512">
        <f t="shared" si="46"/>
        <v>2615</v>
      </c>
      <c r="B3462" s="660" t="s">
        <v>43</v>
      </c>
      <c r="C3462" s="644" t="s">
        <v>44</v>
      </c>
      <c r="D3462" s="644" t="s">
        <v>45</v>
      </c>
      <c r="E3462" s="130" t="s">
        <v>3960</v>
      </c>
      <c r="F3462" s="52" t="s">
        <v>557</v>
      </c>
      <c r="G3462" s="227">
        <v>9810901714</v>
      </c>
      <c r="I3462" s="227">
        <v>31</v>
      </c>
      <c r="J3462" s="130" t="s">
        <v>48</v>
      </c>
      <c r="K3462" s="130" t="s">
        <v>1468</v>
      </c>
      <c r="L3462" s="130"/>
      <c r="M3462" s="130" t="s">
        <v>119</v>
      </c>
      <c r="N3462" s="786">
        <v>65051</v>
      </c>
      <c r="O3462" s="786">
        <v>65051</v>
      </c>
      <c r="P3462" s="541">
        <v>65066</v>
      </c>
      <c r="Q3462" s="533" t="s">
        <v>51</v>
      </c>
    </row>
    <row r="3463" spans="1:17" ht="18">
      <c r="A3463" s="512">
        <f t="shared" si="46"/>
        <v>2616</v>
      </c>
      <c r="B3463" s="660" t="s">
        <v>43</v>
      </c>
      <c r="C3463" s="644" t="s">
        <v>44</v>
      </c>
      <c r="D3463" s="644" t="s">
        <v>45</v>
      </c>
      <c r="E3463" s="130" t="s">
        <v>3961</v>
      </c>
      <c r="F3463" s="52" t="s">
        <v>441</v>
      </c>
      <c r="G3463" s="227">
        <v>9810971150</v>
      </c>
      <c r="I3463" s="227">
        <v>32</v>
      </c>
      <c r="J3463" s="130" t="s">
        <v>48</v>
      </c>
      <c r="K3463" s="130" t="s">
        <v>49</v>
      </c>
      <c r="L3463" s="130"/>
      <c r="M3463" s="130" t="s">
        <v>119</v>
      </c>
      <c r="N3463" s="786">
        <v>65051</v>
      </c>
      <c r="O3463" s="786">
        <v>65051</v>
      </c>
      <c r="P3463" s="541">
        <v>65066</v>
      </c>
      <c r="Q3463" s="533" t="s">
        <v>51</v>
      </c>
    </row>
    <row r="3464" spans="1:17" ht="18">
      <c r="A3464" s="512">
        <f t="shared" si="46"/>
        <v>2617</v>
      </c>
      <c r="B3464" s="660" t="s">
        <v>43</v>
      </c>
      <c r="C3464" s="644" t="s">
        <v>44</v>
      </c>
      <c r="D3464" s="644" t="s">
        <v>45</v>
      </c>
      <c r="E3464" s="130" t="s">
        <v>3962</v>
      </c>
      <c r="F3464" s="52" t="s">
        <v>1046</v>
      </c>
      <c r="G3464" s="227">
        <v>9847823299</v>
      </c>
      <c r="I3464" s="227">
        <v>60</v>
      </c>
      <c r="J3464" s="130" t="s">
        <v>48</v>
      </c>
      <c r="K3464" s="130" t="s">
        <v>1468</v>
      </c>
      <c r="L3464" s="130"/>
      <c r="M3464" s="130" t="s">
        <v>119</v>
      </c>
      <c r="N3464" s="786">
        <v>65051</v>
      </c>
      <c r="O3464" s="786">
        <v>65051</v>
      </c>
      <c r="P3464" s="541">
        <v>65066</v>
      </c>
      <c r="Q3464" s="533" t="s">
        <v>51</v>
      </c>
    </row>
    <row r="3465" spans="1:17" ht="18">
      <c r="A3465" s="512">
        <f t="shared" si="46"/>
        <v>2618</v>
      </c>
      <c r="B3465" s="660" t="s">
        <v>43</v>
      </c>
      <c r="C3465" s="644" t="s">
        <v>44</v>
      </c>
      <c r="D3465" s="644" t="s">
        <v>45</v>
      </c>
      <c r="E3465" s="130" t="s">
        <v>3963</v>
      </c>
      <c r="F3465" s="52" t="s">
        <v>441</v>
      </c>
      <c r="G3465" s="227">
        <v>9809894747</v>
      </c>
      <c r="I3465" s="227">
        <v>22</v>
      </c>
      <c r="J3465" s="130" t="s">
        <v>90</v>
      </c>
      <c r="K3465" s="130" t="s">
        <v>1468</v>
      </c>
      <c r="L3465" s="130"/>
      <c r="M3465" s="130" t="s">
        <v>119</v>
      </c>
      <c r="N3465" s="786">
        <v>65051</v>
      </c>
      <c r="O3465" s="786">
        <v>65051</v>
      </c>
      <c r="P3465" s="541">
        <v>65066</v>
      </c>
      <c r="Q3465" s="533" t="s">
        <v>51</v>
      </c>
    </row>
    <row r="3466" spans="1:17" ht="18">
      <c r="A3466" s="512">
        <f t="shared" si="46"/>
        <v>2619</v>
      </c>
      <c r="B3466" s="660" t="s">
        <v>43</v>
      </c>
      <c r="C3466" s="644" t="s">
        <v>44</v>
      </c>
      <c r="D3466" s="644" t="s">
        <v>45</v>
      </c>
      <c r="E3466" s="130" t="s">
        <v>3964</v>
      </c>
      <c r="F3466" s="52" t="s">
        <v>1046</v>
      </c>
      <c r="G3466" s="227">
        <v>9809740704</v>
      </c>
      <c r="I3466" s="227">
        <v>15</v>
      </c>
      <c r="J3466" s="130" t="s">
        <v>90</v>
      </c>
      <c r="K3466" s="130" t="s">
        <v>1468</v>
      </c>
      <c r="L3466" s="130"/>
      <c r="M3466" s="130" t="s">
        <v>119</v>
      </c>
      <c r="N3466" s="786">
        <v>65051</v>
      </c>
      <c r="O3466" s="786">
        <v>65051</v>
      </c>
      <c r="P3466" s="541">
        <v>65066</v>
      </c>
      <c r="Q3466" s="533" t="s">
        <v>51</v>
      </c>
    </row>
    <row r="3467" spans="1:17" ht="18">
      <c r="A3467" s="512">
        <f t="shared" si="46"/>
        <v>2620</v>
      </c>
      <c r="B3467" s="660" t="s">
        <v>43</v>
      </c>
      <c r="C3467" s="644" t="s">
        <v>44</v>
      </c>
      <c r="D3467" s="644" t="s">
        <v>45</v>
      </c>
      <c r="E3467" s="130" t="s">
        <v>3965</v>
      </c>
      <c r="F3467" s="52" t="s">
        <v>502</v>
      </c>
      <c r="G3467" s="227">
        <v>9847940367</v>
      </c>
      <c r="I3467" s="227">
        <v>34</v>
      </c>
      <c r="J3467" s="130" t="s">
        <v>48</v>
      </c>
      <c r="K3467" s="130" t="s">
        <v>1468</v>
      </c>
      <c r="L3467" s="130"/>
      <c r="M3467" s="130" t="s">
        <v>119</v>
      </c>
      <c r="N3467" s="786">
        <v>65051</v>
      </c>
      <c r="O3467" s="786">
        <v>65051</v>
      </c>
      <c r="P3467" s="541">
        <v>65066</v>
      </c>
      <c r="Q3467" s="533" t="s">
        <v>51</v>
      </c>
    </row>
    <row r="3468" spans="1:17" ht="18">
      <c r="A3468" s="512">
        <f t="shared" si="46"/>
        <v>2621</v>
      </c>
      <c r="B3468" s="660" t="s">
        <v>43</v>
      </c>
      <c r="C3468" s="644" t="s">
        <v>44</v>
      </c>
      <c r="D3468" s="644" t="s">
        <v>45</v>
      </c>
      <c r="E3468" s="130" t="s">
        <v>2843</v>
      </c>
      <c r="F3468" s="52" t="s">
        <v>497</v>
      </c>
      <c r="G3468" s="227">
        <v>9809553487</v>
      </c>
      <c r="I3468" s="227">
        <v>28</v>
      </c>
      <c r="J3468" s="130" t="s">
        <v>48</v>
      </c>
      <c r="K3468" s="130" t="s">
        <v>1468</v>
      </c>
      <c r="L3468" s="130"/>
      <c r="M3468" s="130" t="s">
        <v>119</v>
      </c>
      <c r="N3468" s="786">
        <v>65051</v>
      </c>
      <c r="O3468" s="786">
        <v>65051</v>
      </c>
      <c r="P3468" s="541">
        <v>65066</v>
      </c>
      <c r="Q3468" s="533" t="s">
        <v>51</v>
      </c>
    </row>
    <row r="3469" spans="1:17" ht="18">
      <c r="A3469" s="512">
        <f t="shared" si="46"/>
        <v>2622</v>
      </c>
      <c r="B3469" s="660" t="s">
        <v>43</v>
      </c>
      <c r="C3469" s="644" t="s">
        <v>44</v>
      </c>
      <c r="D3469" s="644" t="s">
        <v>45</v>
      </c>
      <c r="E3469" s="130" t="s">
        <v>2294</v>
      </c>
      <c r="F3469" s="52" t="s">
        <v>1204</v>
      </c>
      <c r="G3469" s="227">
        <v>9866939177</v>
      </c>
      <c r="I3469" s="227">
        <v>47</v>
      </c>
      <c r="J3469" s="130" t="s">
        <v>48</v>
      </c>
      <c r="K3469" s="130" t="s">
        <v>1468</v>
      </c>
      <c r="L3469" s="130"/>
      <c r="M3469" s="130" t="s">
        <v>119</v>
      </c>
      <c r="N3469" s="786">
        <v>65051</v>
      </c>
      <c r="O3469" s="786">
        <v>65051</v>
      </c>
      <c r="P3469" s="541">
        <v>65066</v>
      </c>
      <c r="Q3469" s="533" t="s">
        <v>51</v>
      </c>
    </row>
    <row r="3470" spans="1:17" ht="18">
      <c r="A3470" s="512">
        <f t="shared" si="46"/>
        <v>2623</v>
      </c>
      <c r="B3470" s="660" t="s">
        <v>43</v>
      </c>
      <c r="C3470" s="644" t="s">
        <v>44</v>
      </c>
      <c r="D3470" s="644" t="s">
        <v>45</v>
      </c>
      <c r="E3470" s="130" t="s">
        <v>3966</v>
      </c>
      <c r="F3470" s="52" t="s">
        <v>441</v>
      </c>
      <c r="G3470" s="227">
        <v>9847823935</v>
      </c>
      <c r="I3470" s="227">
        <v>30</v>
      </c>
      <c r="J3470" s="130" t="s">
        <v>48</v>
      </c>
      <c r="K3470" s="130" t="s">
        <v>1468</v>
      </c>
      <c r="L3470" s="130"/>
      <c r="M3470" s="130" t="s">
        <v>119</v>
      </c>
      <c r="N3470" s="786">
        <v>65051</v>
      </c>
      <c r="O3470" s="786">
        <v>65051</v>
      </c>
      <c r="P3470" s="541">
        <v>65066</v>
      </c>
      <c r="Q3470" s="533" t="s">
        <v>51</v>
      </c>
    </row>
    <row r="3471" spans="1:17" ht="18">
      <c r="A3471" s="512">
        <f t="shared" si="46"/>
        <v>2624</v>
      </c>
      <c r="B3471" s="660" t="s">
        <v>43</v>
      </c>
      <c r="C3471" s="644" t="s">
        <v>44</v>
      </c>
      <c r="D3471" s="644" t="s">
        <v>45</v>
      </c>
      <c r="E3471" s="130" t="s">
        <v>3967</v>
      </c>
      <c r="F3471" s="52" t="s">
        <v>497</v>
      </c>
      <c r="G3471" s="227">
        <v>9812506080</v>
      </c>
      <c r="I3471" s="227">
        <v>70</v>
      </c>
      <c r="J3471" s="130" t="s">
        <v>48</v>
      </c>
      <c r="K3471" s="130" t="s">
        <v>1468</v>
      </c>
      <c r="L3471" s="130"/>
      <c r="M3471" s="130" t="s">
        <v>119</v>
      </c>
      <c r="N3471" s="786">
        <v>65051</v>
      </c>
      <c r="O3471" s="786">
        <v>65051</v>
      </c>
      <c r="P3471" s="541">
        <v>65066</v>
      </c>
      <c r="Q3471" s="533" t="s">
        <v>51</v>
      </c>
    </row>
    <row r="3472" spans="1:17" s="981" customFormat="1" ht="18">
      <c r="A3472" s="512">
        <f t="shared" si="46"/>
        <v>2625</v>
      </c>
      <c r="B3472" s="660" t="s">
        <v>43</v>
      </c>
      <c r="C3472" s="644" t="s">
        <v>44</v>
      </c>
      <c r="D3472" s="644" t="s">
        <v>45</v>
      </c>
      <c r="E3472" s="787" t="s">
        <v>3968</v>
      </c>
      <c r="F3472" s="52" t="s">
        <v>529</v>
      </c>
      <c r="G3472" s="788">
        <v>9865478563</v>
      </c>
      <c r="H3472" s="432"/>
      <c r="I3472" s="788">
        <v>48</v>
      </c>
      <c r="J3472" s="130" t="s">
        <v>48</v>
      </c>
      <c r="K3472" s="130" t="s">
        <v>53</v>
      </c>
      <c r="L3472" s="130"/>
      <c r="M3472" s="130" t="s">
        <v>119</v>
      </c>
      <c r="N3472" s="786">
        <v>65051</v>
      </c>
      <c r="O3472" s="786">
        <v>65051</v>
      </c>
      <c r="P3472" s="541">
        <v>65066</v>
      </c>
      <c r="Q3472" s="533" t="s">
        <v>51</v>
      </c>
    </row>
    <row r="3473" spans="1:17" ht="18">
      <c r="A3473" s="512">
        <f t="shared" si="46"/>
        <v>2626</v>
      </c>
      <c r="B3473" s="660" t="s">
        <v>43</v>
      </c>
      <c r="C3473" s="644" t="s">
        <v>44</v>
      </c>
      <c r="D3473" s="644" t="s">
        <v>45</v>
      </c>
      <c r="E3473" s="130" t="s">
        <v>3969</v>
      </c>
      <c r="F3473" s="52" t="s">
        <v>510</v>
      </c>
      <c r="G3473" s="227">
        <v>9867881952</v>
      </c>
      <c r="I3473" s="227">
        <v>28</v>
      </c>
      <c r="J3473" s="130" t="s">
        <v>48</v>
      </c>
      <c r="K3473" s="130" t="s">
        <v>49</v>
      </c>
      <c r="L3473" s="130"/>
      <c r="M3473" s="130" t="s">
        <v>119</v>
      </c>
      <c r="N3473" s="786">
        <v>65051</v>
      </c>
      <c r="O3473" s="786">
        <v>65051</v>
      </c>
      <c r="P3473" s="541">
        <v>65066</v>
      </c>
      <c r="Q3473" s="533" t="s">
        <v>51</v>
      </c>
    </row>
    <row r="3474" spans="1:17" ht="18">
      <c r="A3474" s="512">
        <f t="shared" ref="A3474:A3537" si="47">A3473+1</f>
        <v>2627</v>
      </c>
      <c r="B3474" s="660" t="s">
        <v>43</v>
      </c>
      <c r="C3474" s="644" t="s">
        <v>44</v>
      </c>
      <c r="D3474" s="644" t="s">
        <v>45</v>
      </c>
      <c r="E3474" s="130" t="s">
        <v>3970</v>
      </c>
      <c r="F3474" s="52" t="s">
        <v>598</v>
      </c>
      <c r="G3474" s="227">
        <v>9829581554</v>
      </c>
      <c r="I3474" s="227">
        <v>35</v>
      </c>
      <c r="J3474" s="130" t="s">
        <v>90</v>
      </c>
      <c r="K3474" s="130" t="s">
        <v>1468</v>
      </c>
      <c r="L3474" s="130"/>
      <c r="M3474" s="130" t="s">
        <v>119</v>
      </c>
      <c r="N3474" s="786">
        <v>65051</v>
      </c>
      <c r="O3474" s="786">
        <v>65051</v>
      </c>
      <c r="P3474" s="541">
        <v>65066</v>
      </c>
      <c r="Q3474" s="533" t="s">
        <v>51</v>
      </c>
    </row>
    <row r="3475" spans="1:17" s="1128" customFormat="1" ht="18">
      <c r="A3475" s="512">
        <f t="shared" si="47"/>
        <v>2628</v>
      </c>
      <c r="B3475" s="1125" t="s">
        <v>43</v>
      </c>
      <c r="C3475" s="1109" t="s">
        <v>44</v>
      </c>
      <c r="D3475" s="1109" t="s">
        <v>45</v>
      </c>
      <c r="E3475" s="253" t="s">
        <v>3971</v>
      </c>
      <c r="F3475" s="1111" t="s">
        <v>1009</v>
      </c>
      <c r="G3475" s="251">
        <v>9862415688</v>
      </c>
      <c r="H3475" s="1116"/>
      <c r="I3475" s="251">
        <v>61</v>
      </c>
      <c r="J3475" s="253" t="s">
        <v>90</v>
      </c>
      <c r="K3475" s="253" t="s">
        <v>1468</v>
      </c>
      <c r="L3475" s="253"/>
      <c r="M3475" s="930" t="s">
        <v>54</v>
      </c>
      <c r="N3475" s="1115">
        <v>65051</v>
      </c>
      <c r="O3475" s="1115">
        <v>65051</v>
      </c>
      <c r="P3475" s="1126">
        <v>65070</v>
      </c>
      <c r="Q3475" s="1116" t="s">
        <v>51</v>
      </c>
    </row>
    <row r="3476" spans="1:17" ht="18">
      <c r="A3476" s="512">
        <f t="shared" si="47"/>
        <v>2629</v>
      </c>
      <c r="B3476" s="660" t="s">
        <v>43</v>
      </c>
      <c r="C3476" s="644" t="s">
        <v>44</v>
      </c>
      <c r="D3476" s="644" t="s">
        <v>45</v>
      </c>
      <c r="E3476" s="130" t="s">
        <v>3972</v>
      </c>
      <c r="F3476" s="52" t="s">
        <v>491</v>
      </c>
      <c r="G3476" s="227">
        <v>9847879771</v>
      </c>
      <c r="I3476" s="227">
        <v>47</v>
      </c>
      <c r="J3476" s="130" t="s">
        <v>48</v>
      </c>
      <c r="K3476" s="130" t="s">
        <v>1468</v>
      </c>
      <c r="L3476" s="130"/>
      <c r="M3476" s="130" t="s">
        <v>119</v>
      </c>
      <c r="N3476" s="786">
        <v>65051</v>
      </c>
      <c r="O3476" s="786">
        <v>65051</v>
      </c>
      <c r="P3476" s="541">
        <v>65066</v>
      </c>
      <c r="Q3476" s="533" t="s">
        <v>51</v>
      </c>
    </row>
    <row r="3477" spans="1:17" ht="18">
      <c r="A3477" s="512">
        <f t="shared" si="47"/>
        <v>2630</v>
      </c>
      <c r="B3477" s="660" t="s">
        <v>43</v>
      </c>
      <c r="C3477" s="644" t="s">
        <v>44</v>
      </c>
      <c r="D3477" s="644" t="s">
        <v>45</v>
      </c>
      <c r="E3477" s="802" t="s">
        <v>4033</v>
      </c>
      <c r="F3477" s="802" t="s">
        <v>598</v>
      </c>
      <c r="G3477" s="806">
        <v>9866980015</v>
      </c>
      <c r="H3477" s="803"/>
      <c r="I3477" s="806">
        <v>42</v>
      </c>
      <c r="J3477" s="803" t="s">
        <v>48</v>
      </c>
      <c r="K3477" s="803" t="s">
        <v>53</v>
      </c>
      <c r="L3477" s="803"/>
      <c r="M3477" s="804" t="s">
        <v>119</v>
      </c>
      <c r="N3477" s="772">
        <v>65052</v>
      </c>
      <c r="O3477" s="772">
        <v>65052</v>
      </c>
      <c r="P3477" s="582">
        <v>65067</v>
      </c>
      <c r="Q3477" s="578" t="s">
        <v>51</v>
      </c>
    </row>
    <row r="3478" spans="1:17" ht="18">
      <c r="A3478" s="512">
        <f t="shared" si="47"/>
        <v>2631</v>
      </c>
      <c r="B3478" s="660" t="s">
        <v>43</v>
      </c>
      <c r="C3478" s="644" t="s">
        <v>44</v>
      </c>
      <c r="D3478" s="644" t="s">
        <v>45</v>
      </c>
      <c r="E3478" s="802" t="s">
        <v>4086</v>
      </c>
      <c r="F3478" s="802" t="s">
        <v>1008</v>
      </c>
      <c r="G3478" s="806">
        <v>9808303833</v>
      </c>
      <c r="H3478" s="803"/>
      <c r="I3478" s="806">
        <v>10</v>
      </c>
      <c r="J3478" s="803" t="s">
        <v>90</v>
      </c>
      <c r="K3478" s="803" t="s">
        <v>53</v>
      </c>
      <c r="L3478" s="803"/>
      <c r="M3478" s="804" t="s">
        <v>119</v>
      </c>
      <c r="N3478" s="772">
        <v>65052</v>
      </c>
      <c r="O3478" s="772">
        <v>65052</v>
      </c>
      <c r="P3478" s="582">
        <v>65067</v>
      </c>
      <c r="Q3478" s="578" t="s">
        <v>51</v>
      </c>
    </row>
    <row r="3479" spans="1:17" ht="18">
      <c r="A3479" s="512">
        <f t="shared" si="47"/>
        <v>2632</v>
      </c>
      <c r="B3479" s="660" t="s">
        <v>43</v>
      </c>
      <c r="C3479" s="644" t="s">
        <v>44</v>
      </c>
      <c r="D3479" s="644" t="s">
        <v>45</v>
      </c>
      <c r="E3479" s="802" t="s">
        <v>4072</v>
      </c>
      <c r="F3479" s="802" t="s">
        <v>1046</v>
      </c>
      <c r="G3479" s="806">
        <v>9810259977</v>
      </c>
      <c r="H3479" s="803"/>
      <c r="I3479" s="806">
        <v>60</v>
      </c>
      <c r="J3479" s="803" t="s">
        <v>48</v>
      </c>
      <c r="K3479" s="803" t="s">
        <v>1468</v>
      </c>
      <c r="L3479" s="803"/>
      <c r="M3479" s="804" t="s">
        <v>119</v>
      </c>
      <c r="N3479" s="772">
        <v>65052</v>
      </c>
      <c r="O3479" s="772">
        <v>65052</v>
      </c>
      <c r="P3479" s="582">
        <v>65067</v>
      </c>
      <c r="Q3479" s="578" t="s">
        <v>51</v>
      </c>
    </row>
    <row r="3480" spans="1:17" ht="18">
      <c r="A3480" s="512">
        <f t="shared" si="47"/>
        <v>2633</v>
      </c>
      <c r="B3480" s="1206" t="s">
        <v>43</v>
      </c>
      <c r="C3480" s="800" t="s">
        <v>44</v>
      </c>
      <c r="D3480" s="800" t="s">
        <v>45</v>
      </c>
      <c r="E3480" s="1207" t="s">
        <v>4451</v>
      </c>
      <c r="F3480" s="1208" t="s">
        <v>1009</v>
      </c>
      <c r="G3480" s="1209">
        <v>9845016435</v>
      </c>
      <c r="H3480" s="1208"/>
      <c r="I3480" s="1203">
        <v>33</v>
      </c>
      <c r="J3480" s="1208" t="s">
        <v>48</v>
      </c>
      <c r="K3480" s="1208"/>
      <c r="L3480" s="1208"/>
      <c r="M3480" s="1208" t="s">
        <v>54</v>
      </c>
      <c r="N3480" s="1210">
        <v>65052</v>
      </c>
      <c r="O3480" s="1210">
        <v>65052</v>
      </c>
      <c r="P3480" s="1211">
        <v>65077</v>
      </c>
      <c r="Q3480" s="989" t="s">
        <v>51</v>
      </c>
    </row>
    <row r="3481" spans="1:17" ht="18">
      <c r="A3481" s="512">
        <f t="shared" si="47"/>
        <v>2634</v>
      </c>
      <c r="B3481" s="660" t="s">
        <v>43</v>
      </c>
      <c r="C3481" s="644" t="s">
        <v>44</v>
      </c>
      <c r="D3481" s="644" t="s">
        <v>45</v>
      </c>
      <c r="E3481" s="802" t="s">
        <v>4054</v>
      </c>
      <c r="F3481" s="802" t="s">
        <v>491</v>
      </c>
      <c r="G3481" s="806">
        <v>9846641153</v>
      </c>
      <c r="H3481" s="803"/>
      <c r="I3481" s="806">
        <v>35</v>
      </c>
      <c r="J3481" s="803" t="s">
        <v>90</v>
      </c>
      <c r="K3481" s="803" t="s">
        <v>345</v>
      </c>
      <c r="L3481" s="803"/>
      <c r="M3481" s="804" t="s">
        <v>119</v>
      </c>
      <c r="N3481" s="772">
        <v>65052</v>
      </c>
      <c r="O3481" s="772">
        <v>65052</v>
      </c>
      <c r="P3481" s="582">
        <v>65067</v>
      </c>
      <c r="Q3481" s="578" t="s">
        <v>51</v>
      </c>
    </row>
    <row r="3482" spans="1:17" ht="18">
      <c r="A3482" s="512">
        <f t="shared" si="47"/>
        <v>2635</v>
      </c>
      <c r="B3482" s="660" t="s">
        <v>43</v>
      </c>
      <c r="C3482" s="644" t="s">
        <v>44</v>
      </c>
      <c r="D3482" s="644" t="s">
        <v>45</v>
      </c>
      <c r="E3482" s="802" t="s">
        <v>4061</v>
      </c>
      <c r="F3482" s="802" t="s">
        <v>441</v>
      </c>
      <c r="G3482" s="806">
        <v>9847892679</v>
      </c>
      <c r="H3482" s="803"/>
      <c r="I3482" s="806">
        <v>38</v>
      </c>
      <c r="J3482" s="803" t="s">
        <v>90</v>
      </c>
      <c r="K3482" s="803" t="s">
        <v>1468</v>
      </c>
      <c r="L3482" s="803"/>
      <c r="M3482" s="804" t="s">
        <v>119</v>
      </c>
      <c r="N3482" s="772">
        <v>65052</v>
      </c>
      <c r="O3482" s="772">
        <v>65052</v>
      </c>
      <c r="P3482" s="582">
        <v>65067</v>
      </c>
      <c r="Q3482" s="578" t="s">
        <v>51</v>
      </c>
    </row>
    <row r="3483" spans="1:17" ht="18">
      <c r="A3483" s="512">
        <f t="shared" si="47"/>
        <v>2636</v>
      </c>
      <c r="B3483" s="660" t="s">
        <v>43</v>
      </c>
      <c r="C3483" s="644" t="s">
        <v>44</v>
      </c>
      <c r="D3483" s="644" t="s">
        <v>45</v>
      </c>
      <c r="E3483" s="802" t="s">
        <v>4070</v>
      </c>
      <c r="F3483" s="802" t="s">
        <v>1009</v>
      </c>
      <c r="G3483" s="806">
        <v>9848346018</v>
      </c>
      <c r="H3483" s="803"/>
      <c r="I3483" s="806">
        <v>43</v>
      </c>
      <c r="J3483" s="803" t="s">
        <v>90</v>
      </c>
      <c r="K3483" s="803" t="s">
        <v>1480</v>
      </c>
      <c r="L3483" s="803"/>
      <c r="M3483" s="804" t="s">
        <v>119</v>
      </c>
      <c r="N3483" s="772">
        <v>65052</v>
      </c>
      <c r="O3483" s="772">
        <v>65052</v>
      </c>
      <c r="P3483" s="582">
        <v>65067</v>
      </c>
      <c r="Q3483" s="578" t="s">
        <v>51</v>
      </c>
    </row>
    <row r="3484" spans="1:17" ht="18">
      <c r="A3484" s="512">
        <f t="shared" si="47"/>
        <v>2637</v>
      </c>
      <c r="B3484" s="660" t="s">
        <v>43</v>
      </c>
      <c r="C3484" s="644" t="s">
        <v>44</v>
      </c>
      <c r="D3484" s="644" t="s">
        <v>45</v>
      </c>
      <c r="E3484" s="802" t="s">
        <v>4083</v>
      </c>
      <c r="F3484" s="802" t="s">
        <v>730</v>
      </c>
      <c r="G3484" s="806">
        <v>9847836912</v>
      </c>
      <c r="H3484" s="803"/>
      <c r="I3484" s="806">
        <v>58</v>
      </c>
      <c r="J3484" s="803" t="s">
        <v>90</v>
      </c>
      <c r="K3484" s="803" t="s">
        <v>53</v>
      </c>
      <c r="L3484" s="803"/>
      <c r="M3484" s="804" t="s">
        <v>119</v>
      </c>
      <c r="N3484" s="772">
        <v>65052</v>
      </c>
      <c r="O3484" s="772">
        <v>65052</v>
      </c>
      <c r="P3484" s="582">
        <v>65067</v>
      </c>
      <c r="Q3484" s="578" t="s">
        <v>51</v>
      </c>
    </row>
    <row r="3485" spans="1:17" ht="18">
      <c r="A3485" s="512">
        <f t="shared" si="47"/>
        <v>2638</v>
      </c>
      <c r="B3485" s="660" t="s">
        <v>43</v>
      </c>
      <c r="C3485" s="644" t="s">
        <v>44</v>
      </c>
      <c r="D3485" s="644" t="s">
        <v>45</v>
      </c>
      <c r="E3485" s="802" t="s">
        <v>4084</v>
      </c>
      <c r="F3485" s="802" t="s">
        <v>1008</v>
      </c>
      <c r="G3485" s="806">
        <v>9809837752</v>
      </c>
      <c r="H3485" s="803"/>
      <c r="I3485" s="806">
        <v>65</v>
      </c>
      <c r="J3485" s="803" t="s">
        <v>48</v>
      </c>
      <c r="K3485" s="803" t="s">
        <v>53</v>
      </c>
      <c r="L3485" s="803"/>
      <c r="M3485" s="804" t="s">
        <v>119</v>
      </c>
      <c r="N3485" s="772">
        <v>65052</v>
      </c>
      <c r="O3485" s="772">
        <v>65052</v>
      </c>
      <c r="P3485" s="582">
        <v>65067</v>
      </c>
      <c r="Q3485" s="578" t="s">
        <v>51</v>
      </c>
    </row>
    <row r="3486" spans="1:17" ht="18">
      <c r="A3486" s="512">
        <f t="shared" si="47"/>
        <v>2639</v>
      </c>
      <c r="B3486" s="660" t="s">
        <v>43</v>
      </c>
      <c r="C3486" s="644" t="s">
        <v>44</v>
      </c>
      <c r="D3486" s="644" t="s">
        <v>45</v>
      </c>
      <c r="E3486" s="802" t="s">
        <v>4050</v>
      </c>
      <c r="F3486" s="802" t="s">
        <v>491</v>
      </c>
      <c r="G3486" s="806">
        <v>9844924992</v>
      </c>
      <c r="H3486" s="803"/>
      <c r="I3486" s="806">
        <v>53</v>
      </c>
      <c r="J3486" s="803" t="s">
        <v>48</v>
      </c>
      <c r="K3486" s="803" t="s">
        <v>1468</v>
      </c>
      <c r="L3486" s="803"/>
      <c r="M3486" s="804" t="s">
        <v>119</v>
      </c>
      <c r="N3486" s="772">
        <v>65052</v>
      </c>
      <c r="O3486" s="772">
        <v>65052</v>
      </c>
      <c r="P3486" s="582">
        <v>65067</v>
      </c>
      <c r="Q3486" s="578" t="s">
        <v>51</v>
      </c>
    </row>
    <row r="3487" spans="1:17" ht="18">
      <c r="A3487" s="512">
        <f t="shared" si="47"/>
        <v>2640</v>
      </c>
      <c r="B3487" s="660" t="s">
        <v>43</v>
      </c>
      <c r="C3487" s="644" t="s">
        <v>44</v>
      </c>
      <c r="D3487" s="644" t="s">
        <v>45</v>
      </c>
      <c r="E3487" s="802" t="s">
        <v>4036</v>
      </c>
      <c r="F3487" s="802" t="s">
        <v>510</v>
      </c>
      <c r="G3487" s="806">
        <v>9803364955</v>
      </c>
      <c r="H3487" s="803"/>
      <c r="I3487" s="806">
        <v>62</v>
      </c>
      <c r="J3487" s="803" t="s">
        <v>48</v>
      </c>
      <c r="K3487" s="803" t="s">
        <v>1480</v>
      </c>
      <c r="L3487" s="803"/>
      <c r="M3487" s="804" t="s">
        <v>119</v>
      </c>
      <c r="N3487" s="772">
        <v>65052</v>
      </c>
      <c r="O3487" s="772">
        <v>65052</v>
      </c>
      <c r="P3487" s="582">
        <v>65067</v>
      </c>
      <c r="Q3487" s="578" t="s">
        <v>51</v>
      </c>
    </row>
    <row r="3488" spans="1:17" ht="18">
      <c r="A3488" s="512">
        <f t="shared" si="47"/>
        <v>2641</v>
      </c>
      <c r="B3488" s="660" t="s">
        <v>43</v>
      </c>
      <c r="C3488" s="644" t="s">
        <v>44</v>
      </c>
      <c r="D3488" s="644" t="s">
        <v>45</v>
      </c>
      <c r="E3488" s="802" t="s">
        <v>4087</v>
      </c>
      <c r="F3488" s="802" t="s">
        <v>1204</v>
      </c>
      <c r="G3488" s="806">
        <v>9857825930</v>
      </c>
      <c r="H3488" s="803"/>
      <c r="I3488" s="806">
        <v>25</v>
      </c>
      <c r="J3488" s="803" t="s">
        <v>90</v>
      </c>
      <c r="K3488" s="803" t="s">
        <v>1468</v>
      </c>
      <c r="L3488" s="803"/>
      <c r="M3488" s="804" t="s">
        <v>119</v>
      </c>
      <c r="N3488" s="772">
        <v>65052</v>
      </c>
      <c r="O3488" s="772">
        <v>65052</v>
      </c>
      <c r="P3488" s="582">
        <v>65067</v>
      </c>
      <c r="Q3488" s="578" t="s">
        <v>51</v>
      </c>
    </row>
    <row r="3489" spans="1:17" ht="18">
      <c r="A3489" s="512">
        <f t="shared" si="47"/>
        <v>2642</v>
      </c>
      <c r="B3489" s="660" t="s">
        <v>43</v>
      </c>
      <c r="C3489" s="644" t="s">
        <v>44</v>
      </c>
      <c r="D3489" s="644" t="s">
        <v>45</v>
      </c>
      <c r="E3489" s="802" t="s">
        <v>4046</v>
      </c>
      <c r="F3489" s="802" t="s">
        <v>502</v>
      </c>
      <c r="G3489" s="806">
        <v>9866854952</v>
      </c>
      <c r="H3489" s="803"/>
      <c r="I3489" s="806">
        <v>33</v>
      </c>
      <c r="J3489" s="803" t="s">
        <v>90</v>
      </c>
      <c r="K3489" s="803" t="s">
        <v>1480</v>
      </c>
      <c r="L3489" s="803"/>
      <c r="M3489" s="804" t="s">
        <v>119</v>
      </c>
      <c r="N3489" s="772">
        <v>65052</v>
      </c>
      <c r="O3489" s="772">
        <v>65052</v>
      </c>
      <c r="P3489" s="582">
        <v>65067</v>
      </c>
      <c r="Q3489" s="578" t="s">
        <v>51</v>
      </c>
    </row>
    <row r="3490" spans="1:17" ht="18">
      <c r="A3490" s="512">
        <f t="shared" si="47"/>
        <v>2643</v>
      </c>
      <c r="B3490" s="660" t="s">
        <v>43</v>
      </c>
      <c r="C3490" s="644" t="s">
        <v>44</v>
      </c>
      <c r="D3490" s="644" t="s">
        <v>45</v>
      </c>
      <c r="E3490" s="802" t="s">
        <v>3384</v>
      </c>
      <c r="F3490" s="802" t="s">
        <v>1046</v>
      </c>
      <c r="G3490" s="806">
        <v>9847891345</v>
      </c>
      <c r="H3490" s="803"/>
      <c r="I3490" s="806">
        <v>31</v>
      </c>
      <c r="J3490" s="803" t="s">
        <v>48</v>
      </c>
      <c r="K3490" s="803" t="s">
        <v>1480</v>
      </c>
      <c r="L3490" s="803"/>
      <c r="M3490" s="804" t="s">
        <v>119</v>
      </c>
      <c r="N3490" s="772">
        <v>65052</v>
      </c>
      <c r="O3490" s="772">
        <v>65052</v>
      </c>
      <c r="P3490" s="582">
        <v>65067</v>
      </c>
      <c r="Q3490" s="578" t="s">
        <v>51</v>
      </c>
    </row>
    <row r="3491" spans="1:17" ht="18">
      <c r="A3491" s="512">
        <f t="shared" si="47"/>
        <v>2644</v>
      </c>
      <c r="B3491" s="660" t="s">
        <v>43</v>
      </c>
      <c r="C3491" s="644" t="s">
        <v>44</v>
      </c>
      <c r="D3491" s="644" t="s">
        <v>45</v>
      </c>
      <c r="E3491" s="802" t="s">
        <v>4080</v>
      </c>
      <c r="F3491" s="802" t="s">
        <v>557</v>
      </c>
      <c r="G3491" s="806">
        <v>9866902454</v>
      </c>
      <c r="H3491" s="803"/>
      <c r="I3491" s="806">
        <v>46</v>
      </c>
      <c r="J3491" s="803" t="s">
        <v>90</v>
      </c>
      <c r="K3491" s="803" t="s">
        <v>1468</v>
      </c>
      <c r="L3491" s="803"/>
      <c r="M3491" s="804" t="s">
        <v>119</v>
      </c>
      <c r="N3491" s="772">
        <v>65052</v>
      </c>
      <c r="O3491" s="772">
        <v>65052</v>
      </c>
      <c r="P3491" s="582">
        <v>65067</v>
      </c>
      <c r="Q3491" s="578" t="s">
        <v>51</v>
      </c>
    </row>
    <row r="3492" spans="1:17" ht="18">
      <c r="A3492" s="512">
        <f t="shared" si="47"/>
        <v>2645</v>
      </c>
      <c r="B3492" s="660" t="s">
        <v>43</v>
      </c>
      <c r="C3492" s="644" t="s">
        <v>44</v>
      </c>
      <c r="D3492" s="644" t="s">
        <v>45</v>
      </c>
      <c r="E3492" s="802" t="s">
        <v>4063</v>
      </c>
      <c r="F3492" s="802" t="s">
        <v>529</v>
      </c>
      <c r="G3492" s="806">
        <v>9841043312</v>
      </c>
      <c r="H3492" s="803"/>
      <c r="I3492" s="806">
        <v>34</v>
      </c>
      <c r="J3492" s="803" t="s">
        <v>90</v>
      </c>
      <c r="K3492" s="803" t="s">
        <v>1480</v>
      </c>
      <c r="L3492" s="803"/>
      <c r="M3492" s="804" t="s">
        <v>119</v>
      </c>
      <c r="N3492" s="772">
        <v>65052</v>
      </c>
      <c r="O3492" s="772">
        <v>65052</v>
      </c>
      <c r="P3492" s="582">
        <v>65067</v>
      </c>
      <c r="Q3492" s="578" t="s">
        <v>51</v>
      </c>
    </row>
    <row r="3493" spans="1:17" ht="18">
      <c r="A3493" s="512">
        <f t="shared" si="47"/>
        <v>2646</v>
      </c>
      <c r="B3493" s="660" t="s">
        <v>43</v>
      </c>
      <c r="C3493" s="644" t="s">
        <v>44</v>
      </c>
      <c r="D3493" s="644" t="s">
        <v>45</v>
      </c>
      <c r="E3493" s="802" t="s">
        <v>4039</v>
      </c>
      <c r="F3493" s="802" t="s">
        <v>510</v>
      </c>
      <c r="G3493" s="806">
        <v>9809586199</v>
      </c>
      <c r="H3493" s="803"/>
      <c r="I3493" s="806">
        <v>34</v>
      </c>
      <c r="J3493" s="803" t="s">
        <v>90</v>
      </c>
      <c r="K3493" s="803" t="s">
        <v>1468</v>
      </c>
      <c r="L3493" s="803"/>
      <c r="M3493" s="804" t="s">
        <v>119</v>
      </c>
      <c r="N3493" s="772">
        <v>65052</v>
      </c>
      <c r="O3493" s="772">
        <v>65052</v>
      </c>
      <c r="P3493" s="582">
        <v>65067</v>
      </c>
      <c r="Q3493" s="578" t="s">
        <v>51</v>
      </c>
    </row>
    <row r="3494" spans="1:17" ht="18">
      <c r="A3494" s="512">
        <f t="shared" si="47"/>
        <v>2647</v>
      </c>
      <c r="B3494" s="660" t="s">
        <v>43</v>
      </c>
      <c r="C3494" s="644" t="s">
        <v>44</v>
      </c>
      <c r="D3494" s="644" t="s">
        <v>45</v>
      </c>
      <c r="E3494" s="802" t="s">
        <v>4081</v>
      </c>
      <c r="F3494" s="802" t="s">
        <v>557</v>
      </c>
      <c r="G3494" s="806">
        <v>9847885648</v>
      </c>
      <c r="H3494" s="803"/>
      <c r="I3494" s="806">
        <v>37</v>
      </c>
      <c r="J3494" s="803" t="s">
        <v>90</v>
      </c>
      <c r="K3494" s="803" t="s">
        <v>1468</v>
      </c>
      <c r="L3494" s="803"/>
      <c r="M3494" s="804" t="s">
        <v>119</v>
      </c>
      <c r="N3494" s="772">
        <v>65052</v>
      </c>
      <c r="O3494" s="772">
        <v>65052</v>
      </c>
      <c r="P3494" s="582">
        <v>65067</v>
      </c>
      <c r="Q3494" s="578" t="s">
        <v>51</v>
      </c>
    </row>
    <row r="3495" spans="1:17" ht="18">
      <c r="A3495" s="512">
        <f t="shared" si="47"/>
        <v>2648</v>
      </c>
      <c r="B3495" s="660" t="s">
        <v>43</v>
      </c>
      <c r="C3495" s="644" t="s">
        <v>44</v>
      </c>
      <c r="D3495" s="644" t="s">
        <v>45</v>
      </c>
      <c r="E3495" s="802" t="s">
        <v>4079</v>
      </c>
      <c r="F3495" s="802" t="s">
        <v>617</v>
      </c>
      <c r="G3495" s="806">
        <v>9847897794</v>
      </c>
      <c r="H3495" s="803"/>
      <c r="I3495" s="806">
        <v>50</v>
      </c>
      <c r="J3495" s="803" t="s">
        <v>48</v>
      </c>
      <c r="K3495" s="803" t="s">
        <v>53</v>
      </c>
      <c r="L3495" s="803"/>
      <c r="M3495" s="804" t="s">
        <v>119</v>
      </c>
      <c r="N3495" s="772">
        <v>65052</v>
      </c>
      <c r="O3495" s="772">
        <v>65052</v>
      </c>
      <c r="P3495" s="582">
        <v>65067</v>
      </c>
      <c r="Q3495" s="578" t="s">
        <v>51</v>
      </c>
    </row>
    <row r="3496" spans="1:17" ht="18">
      <c r="A3496" s="512">
        <f t="shared" si="47"/>
        <v>2649</v>
      </c>
      <c r="B3496" s="660" t="s">
        <v>43</v>
      </c>
      <c r="C3496" s="644" t="s">
        <v>44</v>
      </c>
      <c r="D3496" s="644" t="s">
        <v>45</v>
      </c>
      <c r="E3496" s="802" t="s">
        <v>4088</v>
      </c>
      <c r="F3496" s="802" t="s">
        <v>1204</v>
      </c>
      <c r="G3496" s="806">
        <v>9847823804</v>
      </c>
      <c r="H3496" s="803"/>
      <c r="I3496" s="806">
        <v>30</v>
      </c>
      <c r="J3496" s="803" t="s">
        <v>90</v>
      </c>
      <c r="K3496" s="803" t="s">
        <v>1468</v>
      </c>
      <c r="L3496" s="803"/>
      <c r="M3496" s="804" t="s">
        <v>119</v>
      </c>
      <c r="N3496" s="772">
        <v>65052</v>
      </c>
      <c r="O3496" s="772">
        <v>65052</v>
      </c>
      <c r="P3496" s="582">
        <v>65067</v>
      </c>
      <c r="Q3496" s="578" t="s">
        <v>51</v>
      </c>
    </row>
    <row r="3497" spans="1:17" ht="18">
      <c r="A3497" s="512">
        <f t="shared" si="47"/>
        <v>2650</v>
      </c>
      <c r="B3497" s="660" t="s">
        <v>43</v>
      </c>
      <c r="C3497" s="644" t="s">
        <v>44</v>
      </c>
      <c r="D3497" s="644" t="s">
        <v>45</v>
      </c>
      <c r="E3497" s="802" t="s">
        <v>4075</v>
      </c>
      <c r="F3497" s="802" t="s">
        <v>1046</v>
      </c>
      <c r="G3497" s="806">
        <v>9841485915</v>
      </c>
      <c r="H3497" s="803"/>
      <c r="I3497" s="806">
        <v>40</v>
      </c>
      <c r="J3497" s="803" t="s">
        <v>90</v>
      </c>
      <c r="K3497" s="803" t="s">
        <v>1468</v>
      </c>
      <c r="L3497" s="803"/>
      <c r="M3497" s="804" t="s">
        <v>119</v>
      </c>
      <c r="N3497" s="772">
        <v>65052</v>
      </c>
      <c r="O3497" s="772">
        <v>65052</v>
      </c>
      <c r="P3497" s="582">
        <v>65067</v>
      </c>
      <c r="Q3497" s="578" t="s">
        <v>51</v>
      </c>
    </row>
    <row r="3498" spans="1:17" ht="18">
      <c r="A3498" s="512">
        <f t="shared" si="47"/>
        <v>2651</v>
      </c>
      <c r="B3498" s="660" t="s">
        <v>43</v>
      </c>
      <c r="C3498" s="644" t="s">
        <v>44</v>
      </c>
      <c r="D3498" s="644" t="s">
        <v>45</v>
      </c>
      <c r="E3498" s="802" t="s">
        <v>4051</v>
      </c>
      <c r="F3498" s="802" t="s">
        <v>491</v>
      </c>
      <c r="G3498" s="806">
        <v>9868634538</v>
      </c>
      <c r="H3498" s="803"/>
      <c r="I3498" s="806">
        <v>33</v>
      </c>
      <c r="J3498" s="803" t="s">
        <v>48</v>
      </c>
      <c r="K3498" s="803" t="s">
        <v>53</v>
      </c>
      <c r="L3498" s="803"/>
      <c r="M3498" s="804" t="s">
        <v>119</v>
      </c>
      <c r="N3498" s="772">
        <v>65052</v>
      </c>
      <c r="O3498" s="772">
        <v>65052</v>
      </c>
      <c r="P3498" s="582">
        <v>65067</v>
      </c>
      <c r="Q3498" s="578" t="s">
        <v>51</v>
      </c>
    </row>
    <row r="3499" spans="1:17" ht="18">
      <c r="A3499" s="512">
        <f t="shared" si="47"/>
        <v>2652</v>
      </c>
      <c r="B3499" s="660" t="s">
        <v>43</v>
      </c>
      <c r="C3499" s="644" t="s">
        <v>44</v>
      </c>
      <c r="D3499" s="644" t="s">
        <v>45</v>
      </c>
      <c r="E3499" s="802" t="s">
        <v>4069</v>
      </c>
      <c r="F3499" s="802" t="s">
        <v>1009</v>
      </c>
      <c r="G3499" s="806">
        <v>9806277961</v>
      </c>
      <c r="H3499" s="803"/>
      <c r="I3499" s="806">
        <v>55</v>
      </c>
      <c r="J3499" s="803" t="s">
        <v>90</v>
      </c>
      <c r="K3499" s="803" t="s">
        <v>1468</v>
      </c>
      <c r="L3499" s="803"/>
      <c r="M3499" s="804" t="s">
        <v>119</v>
      </c>
      <c r="N3499" s="772">
        <v>65052</v>
      </c>
      <c r="O3499" s="772">
        <v>65052</v>
      </c>
      <c r="P3499" s="582">
        <v>65067</v>
      </c>
      <c r="Q3499" s="578" t="s">
        <v>51</v>
      </c>
    </row>
    <row r="3500" spans="1:17" ht="18">
      <c r="A3500" s="512">
        <f t="shared" si="47"/>
        <v>2653</v>
      </c>
      <c r="B3500" s="660" t="s">
        <v>43</v>
      </c>
      <c r="C3500" s="644" t="s">
        <v>44</v>
      </c>
      <c r="D3500" s="644" t="s">
        <v>45</v>
      </c>
      <c r="E3500" s="802" t="s">
        <v>4067</v>
      </c>
      <c r="F3500" s="802" t="s">
        <v>1009</v>
      </c>
      <c r="G3500" s="806">
        <v>9847802027</v>
      </c>
      <c r="H3500" s="803"/>
      <c r="I3500" s="806">
        <v>44</v>
      </c>
      <c r="J3500" s="803" t="s">
        <v>48</v>
      </c>
      <c r="K3500" s="803" t="s">
        <v>1468</v>
      </c>
      <c r="L3500" s="803"/>
      <c r="M3500" s="804" t="s">
        <v>119</v>
      </c>
      <c r="N3500" s="772">
        <v>65052</v>
      </c>
      <c r="O3500" s="772">
        <v>65052</v>
      </c>
      <c r="P3500" s="582">
        <v>65067</v>
      </c>
      <c r="Q3500" s="578" t="s">
        <v>51</v>
      </c>
    </row>
    <row r="3501" spans="1:17" ht="18">
      <c r="A3501" s="512">
        <f t="shared" si="47"/>
        <v>2654</v>
      </c>
      <c r="B3501" s="660" t="s">
        <v>43</v>
      </c>
      <c r="C3501" s="644" t="s">
        <v>44</v>
      </c>
      <c r="D3501" s="644" t="s">
        <v>45</v>
      </c>
      <c r="E3501" s="802" t="s">
        <v>4065</v>
      </c>
      <c r="F3501" s="802" t="s">
        <v>124</v>
      </c>
      <c r="G3501" s="806">
        <v>9809769942</v>
      </c>
      <c r="H3501" s="803"/>
      <c r="I3501" s="806">
        <v>38</v>
      </c>
      <c r="J3501" s="803" t="s">
        <v>48</v>
      </c>
      <c r="K3501" s="803" t="s">
        <v>1468</v>
      </c>
      <c r="L3501" s="803"/>
      <c r="M3501" s="804" t="s">
        <v>119</v>
      </c>
      <c r="N3501" s="772">
        <v>65052</v>
      </c>
      <c r="O3501" s="772">
        <v>65052</v>
      </c>
      <c r="P3501" s="582">
        <v>65067</v>
      </c>
      <c r="Q3501" s="578" t="s">
        <v>51</v>
      </c>
    </row>
    <row r="3502" spans="1:17" ht="18">
      <c r="A3502" s="512">
        <f t="shared" si="47"/>
        <v>2655</v>
      </c>
      <c r="B3502" s="660" t="s">
        <v>43</v>
      </c>
      <c r="C3502" s="644" t="s">
        <v>44</v>
      </c>
      <c r="D3502" s="644" t="s">
        <v>45</v>
      </c>
      <c r="E3502" s="802" t="s">
        <v>4052</v>
      </c>
      <c r="F3502" s="802" t="s">
        <v>491</v>
      </c>
      <c r="G3502" s="806">
        <v>9847933077</v>
      </c>
      <c r="H3502" s="803"/>
      <c r="I3502" s="806">
        <v>28</v>
      </c>
      <c r="J3502" s="803" t="s">
        <v>48</v>
      </c>
      <c r="K3502" s="803" t="s">
        <v>1468</v>
      </c>
      <c r="L3502" s="803"/>
      <c r="M3502" s="804" t="s">
        <v>119</v>
      </c>
      <c r="N3502" s="772">
        <v>65052</v>
      </c>
      <c r="O3502" s="772">
        <v>65052</v>
      </c>
      <c r="P3502" s="582">
        <v>65067</v>
      </c>
      <c r="Q3502" s="578" t="s">
        <v>51</v>
      </c>
    </row>
    <row r="3503" spans="1:17" ht="18">
      <c r="A3503" s="512">
        <f t="shared" si="47"/>
        <v>2656</v>
      </c>
      <c r="B3503" s="660" t="s">
        <v>43</v>
      </c>
      <c r="C3503" s="644" t="s">
        <v>44</v>
      </c>
      <c r="D3503" s="644" t="s">
        <v>45</v>
      </c>
      <c r="E3503" s="802" t="s">
        <v>4055</v>
      </c>
      <c r="F3503" s="802" t="s">
        <v>491</v>
      </c>
      <c r="G3503" s="806">
        <v>9806286096</v>
      </c>
      <c r="H3503" s="803"/>
      <c r="I3503" s="806">
        <v>31</v>
      </c>
      <c r="J3503" s="803" t="s">
        <v>90</v>
      </c>
      <c r="K3503" s="803" t="s">
        <v>1468</v>
      </c>
      <c r="L3503" s="803"/>
      <c r="M3503" s="804" t="s">
        <v>119</v>
      </c>
      <c r="N3503" s="772">
        <v>65052</v>
      </c>
      <c r="O3503" s="772">
        <v>65052</v>
      </c>
      <c r="P3503" s="582">
        <v>65067</v>
      </c>
      <c r="Q3503" s="578" t="s">
        <v>51</v>
      </c>
    </row>
    <row r="3504" spans="1:17" ht="18">
      <c r="A3504" s="512">
        <f t="shared" si="47"/>
        <v>2657</v>
      </c>
      <c r="B3504" s="660" t="s">
        <v>43</v>
      </c>
      <c r="C3504" s="644" t="s">
        <v>44</v>
      </c>
      <c r="D3504" s="644" t="s">
        <v>45</v>
      </c>
      <c r="E3504" s="802" t="s">
        <v>4078</v>
      </c>
      <c r="F3504" s="802" t="s">
        <v>488</v>
      </c>
      <c r="G3504" s="806">
        <v>9866549343</v>
      </c>
      <c r="H3504" s="803"/>
      <c r="I3504" s="806">
        <v>50</v>
      </c>
      <c r="J3504" s="803" t="s">
        <v>48</v>
      </c>
      <c r="K3504" s="803" t="s">
        <v>1468</v>
      </c>
      <c r="L3504" s="803"/>
      <c r="M3504" s="804" t="s">
        <v>119</v>
      </c>
      <c r="N3504" s="772">
        <v>65052</v>
      </c>
      <c r="O3504" s="772">
        <v>65052</v>
      </c>
      <c r="P3504" s="582">
        <v>65067</v>
      </c>
      <c r="Q3504" s="578" t="s">
        <v>51</v>
      </c>
    </row>
    <row r="3505" spans="1:17" ht="18">
      <c r="A3505" s="512">
        <f t="shared" si="47"/>
        <v>2658</v>
      </c>
      <c r="B3505" s="660" t="s">
        <v>43</v>
      </c>
      <c r="C3505" s="644" t="s">
        <v>44</v>
      </c>
      <c r="D3505" s="644" t="s">
        <v>45</v>
      </c>
      <c r="E3505" s="802" t="s">
        <v>2963</v>
      </c>
      <c r="F3505" s="802" t="s">
        <v>502</v>
      </c>
      <c r="G3505" s="806">
        <v>9845897657</v>
      </c>
      <c r="H3505" s="803"/>
      <c r="I3505" s="806">
        <v>44</v>
      </c>
      <c r="J3505" s="803" t="s">
        <v>48</v>
      </c>
      <c r="K3505" s="803" t="s">
        <v>1480</v>
      </c>
      <c r="L3505" s="803"/>
      <c r="M3505" s="804" t="s">
        <v>119</v>
      </c>
      <c r="N3505" s="772">
        <v>65052</v>
      </c>
      <c r="O3505" s="772">
        <v>65052</v>
      </c>
      <c r="P3505" s="582">
        <v>65067</v>
      </c>
      <c r="Q3505" s="578" t="s">
        <v>51</v>
      </c>
    </row>
    <row r="3506" spans="1:17" ht="18">
      <c r="A3506" s="512">
        <f t="shared" si="47"/>
        <v>2659</v>
      </c>
      <c r="B3506" s="660" t="s">
        <v>43</v>
      </c>
      <c r="C3506" s="644" t="s">
        <v>44</v>
      </c>
      <c r="D3506" s="644" t="s">
        <v>45</v>
      </c>
      <c r="E3506" s="802" t="s">
        <v>4068</v>
      </c>
      <c r="F3506" s="802" t="s">
        <v>1009</v>
      </c>
      <c r="G3506" s="806">
        <v>9803425569</v>
      </c>
      <c r="H3506" s="803"/>
      <c r="I3506" s="806">
        <v>30</v>
      </c>
      <c r="J3506" s="803" t="s">
        <v>48</v>
      </c>
      <c r="K3506" s="803" t="s">
        <v>345</v>
      </c>
      <c r="L3506" s="803"/>
      <c r="M3506" s="804" t="s">
        <v>119</v>
      </c>
      <c r="N3506" s="772">
        <v>65052</v>
      </c>
      <c r="O3506" s="772">
        <v>65052</v>
      </c>
      <c r="P3506" s="582">
        <v>65067</v>
      </c>
      <c r="Q3506" s="578" t="s">
        <v>51</v>
      </c>
    </row>
    <row r="3507" spans="1:17" ht="18">
      <c r="A3507" s="512">
        <f t="shared" si="47"/>
        <v>2660</v>
      </c>
      <c r="B3507" s="660" t="s">
        <v>43</v>
      </c>
      <c r="C3507" s="644" t="s">
        <v>44</v>
      </c>
      <c r="D3507" s="644" t="s">
        <v>45</v>
      </c>
      <c r="E3507" s="802" t="s">
        <v>4045</v>
      </c>
      <c r="F3507" s="802" t="s">
        <v>502</v>
      </c>
      <c r="G3507" s="806">
        <v>9868691111</v>
      </c>
      <c r="H3507" s="803"/>
      <c r="I3507" s="806">
        <v>24</v>
      </c>
      <c r="J3507" s="803" t="s">
        <v>90</v>
      </c>
      <c r="K3507" s="803" t="s">
        <v>1468</v>
      </c>
      <c r="L3507" s="803"/>
      <c r="M3507" s="804" t="s">
        <v>119</v>
      </c>
      <c r="N3507" s="772">
        <v>65052</v>
      </c>
      <c r="O3507" s="772">
        <v>65052</v>
      </c>
      <c r="P3507" s="582">
        <v>65067</v>
      </c>
      <c r="Q3507" s="578" t="s">
        <v>51</v>
      </c>
    </row>
    <row r="3508" spans="1:17" ht="18">
      <c r="A3508" s="512">
        <f t="shared" si="47"/>
        <v>2661</v>
      </c>
      <c r="B3508" s="660" t="s">
        <v>43</v>
      </c>
      <c r="C3508" s="644" t="s">
        <v>44</v>
      </c>
      <c r="D3508" s="644" t="s">
        <v>45</v>
      </c>
      <c r="E3508" s="802" t="s">
        <v>4073</v>
      </c>
      <c r="F3508" s="802" t="s">
        <v>1046</v>
      </c>
      <c r="G3508" s="806">
        <v>9841626560</v>
      </c>
      <c r="H3508" s="803"/>
      <c r="I3508" s="806">
        <v>34</v>
      </c>
      <c r="J3508" s="803" t="s">
        <v>48</v>
      </c>
      <c r="K3508" s="803" t="s">
        <v>1468</v>
      </c>
      <c r="L3508" s="803"/>
      <c r="M3508" s="804" t="s">
        <v>119</v>
      </c>
      <c r="N3508" s="772">
        <v>65052</v>
      </c>
      <c r="O3508" s="772">
        <v>65052</v>
      </c>
      <c r="P3508" s="582">
        <v>65067</v>
      </c>
      <c r="Q3508" s="578" t="s">
        <v>51</v>
      </c>
    </row>
    <row r="3509" spans="1:17" s="988" customFormat="1" ht="18">
      <c r="A3509" s="512">
        <f t="shared" si="47"/>
        <v>2662</v>
      </c>
      <c r="B3509" s="860" t="s">
        <v>43</v>
      </c>
      <c r="C3509" s="698" t="s">
        <v>44</v>
      </c>
      <c r="D3509" s="698" t="s">
        <v>45</v>
      </c>
      <c r="E3509" s="1045" t="s">
        <v>4040</v>
      </c>
      <c r="F3509" s="1045" t="s">
        <v>510</v>
      </c>
      <c r="G3509" s="1046">
        <v>9842000699</v>
      </c>
      <c r="H3509" s="1045"/>
      <c r="I3509" s="1046">
        <v>40</v>
      </c>
      <c r="J3509" s="1045" t="s">
        <v>90</v>
      </c>
      <c r="K3509" s="1045" t="s">
        <v>1480</v>
      </c>
      <c r="L3509" s="1045"/>
      <c r="M3509" s="1045" t="s">
        <v>54</v>
      </c>
      <c r="N3509" s="1047">
        <v>65052</v>
      </c>
      <c r="O3509" s="1047">
        <v>65052</v>
      </c>
      <c r="P3509" s="559">
        <v>65062</v>
      </c>
      <c r="Q3509" s="527" t="s">
        <v>940</v>
      </c>
    </row>
    <row r="3510" spans="1:17" ht="18">
      <c r="A3510" s="512">
        <f t="shared" si="47"/>
        <v>2663</v>
      </c>
      <c r="B3510" s="660" t="s">
        <v>43</v>
      </c>
      <c r="C3510" s="644" t="s">
        <v>44</v>
      </c>
      <c r="D3510" s="644" t="s">
        <v>45</v>
      </c>
      <c r="E3510" s="802" t="s">
        <v>4034</v>
      </c>
      <c r="F3510" s="802" t="s">
        <v>598</v>
      </c>
      <c r="G3510" s="806">
        <v>9847909462</v>
      </c>
      <c r="H3510" s="803"/>
      <c r="I3510" s="806">
        <v>38</v>
      </c>
      <c r="J3510" s="803" t="s">
        <v>48</v>
      </c>
      <c r="K3510" s="803" t="s">
        <v>1468</v>
      </c>
      <c r="L3510" s="803"/>
      <c r="M3510" s="804" t="s">
        <v>119</v>
      </c>
      <c r="N3510" s="772">
        <v>65052</v>
      </c>
      <c r="O3510" s="772">
        <v>65052</v>
      </c>
      <c r="P3510" s="582">
        <v>65067</v>
      </c>
      <c r="Q3510" s="578" t="s">
        <v>51</v>
      </c>
    </row>
    <row r="3511" spans="1:17" ht="18">
      <c r="A3511" s="512">
        <f t="shared" si="47"/>
        <v>2664</v>
      </c>
      <c r="B3511" s="660" t="s">
        <v>43</v>
      </c>
      <c r="C3511" s="644" t="s">
        <v>44</v>
      </c>
      <c r="D3511" s="644" t="s">
        <v>45</v>
      </c>
      <c r="E3511" s="802" t="s">
        <v>4035</v>
      </c>
      <c r="F3511" s="802" t="s">
        <v>598</v>
      </c>
      <c r="G3511" s="806">
        <v>9866730090</v>
      </c>
      <c r="H3511" s="803"/>
      <c r="I3511" s="806">
        <v>50</v>
      </c>
      <c r="J3511" s="803" t="s">
        <v>90</v>
      </c>
      <c r="K3511" s="803" t="s">
        <v>1480</v>
      </c>
      <c r="L3511" s="803"/>
      <c r="M3511" s="804" t="s">
        <v>119</v>
      </c>
      <c r="N3511" s="772">
        <v>65052</v>
      </c>
      <c r="O3511" s="772">
        <v>65052</v>
      </c>
      <c r="P3511" s="582">
        <v>65067</v>
      </c>
      <c r="Q3511" s="578" t="s">
        <v>51</v>
      </c>
    </row>
    <row r="3512" spans="1:17" ht="18">
      <c r="A3512" s="512">
        <f t="shared" si="47"/>
        <v>2665</v>
      </c>
      <c r="B3512" s="660" t="s">
        <v>43</v>
      </c>
      <c r="C3512" s="644" t="s">
        <v>44</v>
      </c>
      <c r="D3512" s="644" t="s">
        <v>45</v>
      </c>
      <c r="E3512" s="802" t="s">
        <v>4047</v>
      </c>
      <c r="F3512" s="802" t="s">
        <v>502</v>
      </c>
      <c r="G3512" s="806">
        <v>9849602198</v>
      </c>
      <c r="H3512" s="803"/>
      <c r="I3512" s="806">
        <v>40</v>
      </c>
      <c r="J3512" s="803" t="s">
        <v>90</v>
      </c>
      <c r="K3512" s="803" t="s">
        <v>1480</v>
      </c>
      <c r="L3512" s="803"/>
      <c r="M3512" s="804" t="s">
        <v>119</v>
      </c>
      <c r="N3512" s="772">
        <v>65052</v>
      </c>
      <c r="O3512" s="772">
        <v>65052</v>
      </c>
      <c r="P3512" s="582">
        <v>65067</v>
      </c>
      <c r="Q3512" s="578" t="s">
        <v>51</v>
      </c>
    </row>
    <row r="3513" spans="1:17" ht="18">
      <c r="A3513" s="512">
        <f t="shared" si="47"/>
        <v>2666</v>
      </c>
      <c r="B3513" s="660" t="s">
        <v>43</v>
      </c>
      <c r="C3513" s="644" t="s">
        <v>44</v>
      </c>
      <c r="D3513" s="644" t="s">
        <v>45</v>
      </c>
      <c r="E3513" s="802" t="s">
        <v>4074</v>
      </c>
      <c r="F3513" s="802" t="s">
        <v>1046</v>
      </c>
      <c r="G3513" s="806">
        <v>9847908262</v>
      </c>
      <c r="H3513" s="803"/>
      <c r="I3513" s="806">
        <v>61</v>
      </c>
      <c r="J3513" s="803" t="s">
        <v>48</v>
      </c>
      <c r="K3513" s="803" t="s">
        <v>1480</v>
      </c>
      <c r="L3513" s="803"/>
      <c r="M3513" s="804" t="s">
        <v>119</v>
      </c>
      <c r="N3513" s="772">
        <v>65052</v>
      </c>
      <c r="O3513" s="772">
        <v>65052</v>
      </c>
      <c r="P3513" s="582">
        <v>65067</v>
      </c>
      <c r="Q3513" s="578" t="s">
        <v>51</v>
      </c>
    </row>
    <row r="3514" spans="1:17" ht="18">
      <c r="A3514" s="512">
        <f t="shared" si="47"/>
        <v>2667</v>
      </c>
      <c r="B3514" s="660" t="s">
        <v>43</v>
      </c>
      <c r="C3514" s="644" t="s">
        <v>44</v>
      </c>
      <c r="D3514" s="644" t="s">
        <v>45</v>
      </c>
      <c r="E3514" s="802" t="s">
        <v>4057</v>
      </c>
      <c r="F3514" s="802" t="s">
        <v>491</v>
      </c>
      <c r="G3514" s="806">
        <v>9847842995</v>
      </c>
      <c r="H3514" s="803"/>
      <c r="I3514" s="806">
        <v>52</v>
      </c>
      <c r="J3514" s="803" t="s">
        <v>90</v>
      </c>
      <c r="K3514" s="803" t="s">
        <v>1468</v>
      </c>
      <c r="L3514" s="803"/>
      <c r="M3514" s="804" t="s">
        <v>119</v>
      </c>
      <c r="N3514" s="772">
        <v>65052</v>
      </c>
      <c r="O3514" s="772">
        <v>65052</v>
      </c>
      <c r="P3514" s="582">
        <v>65067</v>
      </c>
      <c r="Q3514" s="578" t="s">
        <v>51</v>
      </c>
    </row>
    <row r="3515" spans="1:17" ht="18">
      <c r="A3515" s="512">
        <f t="shared" si="47"/>
        <v>2668</v>
      </c>
      <c r="B3515" s="660" t="s">
        <v>43</v>
      </c>
      <c r="C3515" s="644" t="s">
        <v>44</v>
      </c>
      <c r="D3515" s="644" t="s">
        <v>45</v>
      </c>
      <c r="E3515" s="802" t="s">
        <v>4076</v>
      </c>
      <c r="F3515" s="802" t="s">
        <v>1046</v>
      </c>
      <c r="G3515" s="806">
        <v>9847833112</v>
      </c>
      <c r="H3515" s="803"/>
      <c r="I3515" s="806">
        <v>36</v>
      </c>
      <c r="J3515" s="803" t="s">
        <v>90</v>
      </c>
      <c r="K3515" s="803" t="s">
        <v>1468</v>
      </c>
      <c r="L3515" s="803"/>
      <c r="M3515" s="804" t="s">
        <v>119</v>
      </c>
      <c r="N3515" s="772">
        <v>65052</v>
      </c>
      <c r="O3515" s="772">
        <v>65052</v>
      </c>
      <c r="P3515" s="582">
        <v>65067</v>
      </c>
      <c r="Q3515" s="578" t="s">
        <v>51</v>
      </c>
    </row>
    <row r="3516" spans="1:17" ht="18">
      <c r="A3516" s="512">
        <f t="shared" si="47"/>
        <v>2669</v>
      </c>
      <c r="B3516" s="660" t="s">
        <v>43</v>
      </c>
      <c r="C3516" s="644" t="s">
        <v>44</v>
      </c>
      <c r="D3516" s="644" t="s">
        <v>45</v>
      </c>
      <c r="E3516" s="802" t="s">
        <v>3893</v>
      </c>
      <c r="F3516" s="802" t="s">
        <v>730</v>
      </c>
      <c r="G3516" s="806">
        <v>9822925037</v>
      </c>
      <c r="H3516" s="803"/>
      <c r="I3516" s="806">
        <v>34</v>
      </c>
      <c r="J3516" s="803" t="s">
        <v>48</v>
      </c>
      <c r="K3516" s="803" t="s">
        <v>1468</v>
      </c>
      <c r="L3516" s="803"/>
      <c r="M3516" s="804" t="s">
        <v>119</v>
      </c>
      <c r="N3516" s="772">
        <v>65052</v>
      </c>
      <c r="O3516" s="772">
        <v>65052</v>
      </c>
      <c r="P3516" s="582">
        <v>65067</v>
      </c>
      <c r="Q3516" s="578" t="s">
        <v>51</v>
      </c>
    </row>
    <row r="3517" spans="1:17" ht="18">
      <c r="A3517" s="512">
        <f t="shared" si="47"/>
        <v>2670</v>
      </c>
      <c r="B3517" s="660" t="s">
        <v>43</v>
      </c>
      <c r="C3517" s="644" t="s">
        <v>44</v>
      </c>
      <c r="D3517" s="644" t="s">
        <v>45</v>
      </c>
      <c r="E3517" s="802" t="s">
        <v>4053</v>
      </c>
      <c r="F3517" s="802" t="s">
        <v>491</v>
      </c>
      <c r="G3517" s="806">
        <v>9847842072</v>
      </c>
      <c r="H3517" s="803"/>
      <c r="I3517" s="806">
        <v>32</v>
      </c>
      <c r="J3517" s="803" t="s">
        <v>48</v>
      </c>
      <c r="K3517" s="803" t="s">
        <v>53</v>
      </c>
      <c r="L3517" s="803"/>
      <c r="M3517" s="804" t="s">
        <v>119</v>
      </c>
      <c r="N3517" s="772">
        <v>65052</v>
      </c>
      <c r="O3517" s="772">
        <v>65052</v>
      </c>
      <c r="P3517" s="582">
        <v>65067</v>
      </c>
      <c r="Q3517" s="578" t="s">
        <v>51</v>
      </c>
    </row>
    <row r="3518" spans="1:17" ht="18">
      <c r="A3518" s="512">
        <f t="shared" si="47"/>
        <v>2671</v>
      </c>
      <c r="B3518" s="660" t="s">
        <v>43</v>
      </c>
      <c r="C3518" s="644" t="s">
        <v>44</v>
      </c>
      <c r="D3518" s="644" t="s">
        <v>45</v>
      </c>
      <c r="E3518" s="802" t="s">
        <v>4031</v>
      </c>
      <c r="F3518" s="802" t="s">
        <v>512</v>
      </c>
      <c r="G3518" s="806">
        <v>9822962532</v>
      </c>
      <c r="H3518" s="803"/>
      <c r="I3518" s="806">
        <v>48</v>
      </c>
      <c r="J3518" s="803" t="s">
        <v>48</v>
      </c>
      <c r="K3518" s="803" t="s">
        <v>1468</v>
      </c>
      <c r="L3518" s="803"/>
      <c r="M3518" s="804" t="s">
        <v>119</v>
      </c>
      <c r="N3518" s="772">
        <v>65052</v>
      </c>
      <c r="O3518" s="772">
        <v>65052</v>
      </c>
      <c r="P3518" s="582">
        <v>65067</v>
      </c>
      <c r="Q3518" s="578" t="s">
        <v>51</v>
      </c>
    </row>
    <row r="3519" spans="1:17" ht="18">
      <c r="A3519" s="512">
        <f t="shared" si="47"/>
        <v>2672</v>
      </c>
      <c r="B3519" s="660" t="s">
        <v>43</v>
      </c>
      <c r="C3519" s="644" t="s">
        <v>44</v>
      </c>
      <c r="D3519" s="644" t="s">
        <v>45</v>
      </c>
      <c r="E3519" s="802" t="s">
        <v>4071</v>
      </c>
      <c r="F3519" s="802" t="s">
        <v>1009</v>
      </c>
      <c r="G3519" s="806">
        <v>9822971439</v>
      </c>
      <c r="H3519" s="803"/>
      <c r="I3519" s="806">
        <v>40</v>
      </c>
      <c r="J3519" s="803" t="s">
        <v>90</v>
      </c>
      <c r="K3519" s="803" t="s">
        <v>1468</v>
      </c>
      <c r="L3519" s="803"/>
      <c r="M3519" s="804" t="s">
        <v>119</v>
      </c>
      <c r="N3519" s="772">
        <v>65052</v>
      </c>
      <c r="O3519" s="772">
        <v>65052</v>
      </c>
      <c r="P3519" s="582">
        <v>65067</v>
      </c>
      <c r="Q3519" s="578" t="s">
        <v>51</v>
      </c>
    </row>
    <row r="3520" spans="1:17" ht="18">
      <c r="A3520" s="512">
        <f t="shared" si="47"/>
        <v>2673</v>
      </c>
      <c r="B3520" s="658" t="s">
        <v>43</v>
      </c>
      <c r="C3520" s="630" t="s">
        <v>44</v>
      </c>
      <c r="D3520" s="630" t="s">
        <v>45</v>
      </c>
      <c r="E3520" s="1050" t="s">
        <v>4082</v>
      </c>
      <c r="F3520" s="1050" t="s">
        <v>617</v>
      </c>
      <c r="G3520" s="1051">
        <v>9863344605</v>
      </c>
      <c r="H3520" s="1050"/>
      <c r="I3520" s="1051">
        <v>24</v>
      </c>
      <c r="J3520" s="1050" t="s">
        <v>90</v>
      </c>
      <c r="K3520" s="1050" t="s">
        <v>262</v>
      </c>
      <c r="L3520" s="1050"/>
      <c r="M3520" s="1050" t="s">
        <v>262</v>
      </c>
      <c r="N3520" s="1053">
        <v>65052</v>
      </c>
      <c r="O3520" s="1053">
        <v>65052</v>
      </c>
      <c r="P3520" s="476">
        <v>65062</v>
      </c>
      <c r="Q3520" s="422" t="s">
        <v>940</v>
      </c>
    </row>
    <row r="3521" spans="1:17" ht="18">
      <c r="A3521" s="512">
        <f t="shared" si="47"/>
        <v>2674</v>
      </c>
      <c r="B3521" s="660" t="s">
        <v>43</v>
      </c>
      <c r="C3521" s="644" t="s">
        <v>44</v>
      </c>
      <c r="D3521" s="644" t="s">
        <v>45</v>
      </c>
      <c r="E3521" s="802" t="s">
        <v>4041</v>
      </c>
      <c r="F3521" s="802" t="s">
        <v>510</v>
      </c>
      <c r="G3521" s="806">
        <v>90867915787</v>
      </c>
      <c r="H3521" s="803"/>
      <c r="I3521" s="806">
        <v>30</v>
      </c>
      <c r="J3521" s="803" t="s">
        <v>90</v>
      </c>
      <c r="K3521" s="803" t="s">
        <v>1468</v>
      </c>
      <c r="L3521" s="803"/>
      <c r="M3521" s="804" t="s">
        <v>119</v>
      </c>
      <c r="N3521" s="772">
        <v>65052</v>
      </c>
      <c r="O3521" s="772">
        <v>65052</v>
      </c>
      <c r="P3521" s="582">
        <v>65067</v>
      </c>
      <c r="Q3521" s="578" t="s">
        <v>51</v>
      </c>
    </row>
    <row r="3522" spans="1:17" ht="18">
      <c r="A3522" s="512">
        <f t="shared" si="47"/>
        <v>2675</v>
      </c>
      <c r="B3522" s="660" t="s">
        <v>43</v>
      </c>
      <c r="C3522" s="644" t="s">
        <v>44</v>
      </c>
      <c r="D3522" s="644" t="s">
        <v>45</v>
      </c>
      <c r="E3522" s="802" t="s">
        <v>4037</v>
      </c>
      <c r="F3522" s="802" t="s">
        <v>510</v>
      </c>
      <c r="G3522" s="806">
        <v>9857820106</v>
      </c>
      <c r="H3522" s="803"/>
      <c r="I3522" s="806">
        <v>50</v>
      </c>
      <c r="J3522" s="803" t="s">
        <v>48</v>
      </c>
      <c r="K3522" s="803" t="s">
        <v>1468</v>
      </c>
      <c r="L3522" s="803"/>
      <c r="M3522" s="804" t="s">
        <v>119</v>
      </c>
      <c r="N3522" s="772">
        <v>65052</v>
      </c>
      <c r="O3522" s="772">
        <v>65052</v>
      </c>
      <c r="P3522" s="582">
        <v>65067</v>
      </c>
      <c r="Q3522" s="578" t="s">
        <v>51</v>
      </c>
    </row>
    <row r="3523" spans="1:17" ht="18">
      <c r="A3523" s="512">
        <f t="shared" si="47"/>
        <v>2676</v>
      </c>
      <c r="B3523" s="660" t="s">
        <v>43</v>
      </c>
      <c r="C3523" s="644" t="s">
        <v>44</v>
      </c>
      <c r="D3523" s="644" t="s">
        <v>45</v>
      </c>
      <c r="E3523" s="802" t="s">
        <v>4042</v>
      </c>
      <c r="F3523" s="802" t="s">
        <v>510</v>
      </c>
      <c r="G3523" s="806">
        <v>9868605906</v>
      </c>
      <c r="H3523" s="803"/>
      <c r="I3523" s="806">
        <v>20</v>
      </c>
      <c r="J3523" s="803" t="s">
        <v>90</v>
      </c>
      <c r="K3523" s="803" t="s">
        <v>1468</v>
      </c>
      <c r="L3523" s="803"/>
      <c r="M3523" s="804" t="s">
        <v>119</v>
      </c>
      <c r="N3523" s="772">
        <v>65052</v>
      </c>
      <c r="O3523" s="772">
        <v>65052</v>
      </c>
      <c r="P3523" s="582">
        <v>65067</v>
      </c>
      <c r="Q3523" s="578" t="s">
        <v>51</v>
      </c>
    </row>
    <row r="3524" spans="1:17" ht="18">
      <c r="A3524" s="512">
        <f t="shared" si="47"/>
        <v>2677</v>
      </c>
      <c r="B3524" s="660" t="s">
        <v>43</v>
      </c>
      <c r="C3524" s="644" t="s">
        <v>44</v>
      </c>
      <c r="D3524" s="644" t="s">
        <v>45</v>
      </c>
      <c r="E3524" s="802" t="s">
        <v>4085</v>
      </c>
      <c r="F3524" s="802" t="s">
        <v>1008</v>
      </c>
      <c r="G3524" s="806">
        <v>9802053135</v>
      </c>
      <c r="H3524" s="803"/>
      <c r="I3524" s="806">
        <v>45</v>
      </c>
      <c r="J3524" s="803" t="s">
        <v>48</v>
      </c>
      <c r="K3524" s="803" t="s">
        <v>1480</v>
      </c>
      <c r="L3524" s="803"/>
      <c r="M3524" s="804" t="s">
        <v>119</v>
      </c>
      <c r="N3524" s="772">
        <v>65052</v>
      </c>
      <c r="O3524" s="772">
        <v>65052</v>
      </c>
      <c r="P3524" s="582">
        <v>65067</v>
      </c>
      <c r="Q3524" s="578" t="s">
        <v>51</v>
      </c>
    </row>
    <row r="3525" spans="1:17" ht="18">
      <c r="A3525" s="512">
        <f t="shared" si="47"/>
        <v>2678</v>
      </c>
      <c r="B3525" s="660" t="s">
        <v>43</v>
      </c>
      <c r="C3525" s="644" t="s">
        <v>44</v>
      </c>
      <c r="D3525" s="644" t="s">
        <v>45</v>
      </c>
      <c r="E3525" s="802" t="s">
        <v>4058</v>
      </c>
      <c r="F3525" s="802" t="s">
        <v>491</v>
      </c>
      <c r="G3525" s="806">
        <v>9822907107</v>
      </c>
      <c r="H3525" s="803"/>
      <c r="I3525" s="806">
        <v>29</v>
      </c>
      <c r="J3525" s="803" t="s">
        <v>90</v>
      </c>
      <c r="K3525" s="803" t="s">
        <v>1459</v>
      </c>
      <c r="L3525" s="803"/>
      <c r="M3525" s="804" t="s">
        <v>119</v>
      </c>
      <c r="N3525" s="772">
        <v>65052</v>
      </c>
      <c r="O3525" s="772">
        <v>65052</v>
      </c>
      <c r="P3525" s="582">
        <v>65067</v>
      </c>
      <c r="Q3525" s="578" t="s">
        <v>51</v>
      </c>
    </row>
    <row r="3526" spans="1:17" ht="18">
      <c r="A3526" s="512">
        <f t="shared" si="47"/>
        <v>2679</v>
      </c>
      <c r="B3526" s="660" t="s">
        <v>43</v>
      </c>
      <c r="C3526" s="644" t="s">
        <v>44</v>
      </c>
      <c r="D3526" s="644" t="s">
        <v>45</v>
      </c>
      <c r="E3526" s="802" t="s">
        <v>4062</v>
      </c>
      <c r="F3526" s="802" t="s">
        <v>441</v>
      </c>
      <c r="G3526" s="806">
        <v>9810801990</v>
      </c>
      <c r="H3526" s="803"/>
      <c r="I3526" s="806">
        <v>70</v>
      </c>
      <c r="J3526" s="803" t="s">
        <v>90</v>
      </c>
      <c r="K3526" s="803" t="s">
        <v>1480</v>
      </c>
      <c r="L3526" s="803"/>
      <c r="M3526" s="804" t="s">
        <v>119</v>
      </c>
      <c r="N3526" s="772">
        <v>65052</v>
      </c>
      <c r="O3526" s="772">
        <v>65052</v>
      </c>
      <c r="P3526" s="582">
        <v>65067</v>
      </c>
      <c r="Q3526" s="578" t="s">
        <v>51</v>
      </c>
    </row>
    <row r="3527" spans="1:17" ht="18">
      <c r="A3527" s="512">
        <f t="shared" si="47"/>
        <v>2680</v>
      </c>
      <c r="B3527" s="660" t="s">
        <v>43</v>
      </c>
      <c r="C3527" s="644" t="s">
        <v>44</v>
      </c>
      <c r="D3527" s="644" t="s">
        <v>45</v>
      </c>
      <c r="E3527" s="802" t="s">
        <v>4056</v>
      </c>
      <c r="F3527" s="802" t="s">
        <v>491</v>
      </c>
      <c r="G3527" s="806">
        <v>9868635206</v>
      </c>
      <c r="H3527" s="803"/>
      <c r="I3527" s="806">
        <v>28</v>
      </c>
      <c r="J3527" s="803" t="s">
        <v>90</v>
      </c>
      <c r="K3527" s="803" t="s">
        <v>1480</v>
      </c>
      <c r="L3527" s="803"/>
      <c r="M3527" s="804" t="s">
        <v>119</v>
      </c>
      <c r="N3527" s="772">
        <v>65052</v>
      </c>
      <c r="O3527" s="772">
        <v>65052</v>
      </c>
      <c r="P3527" s="582">
        <v>65067</v>
      </c>
      <c r="Q3527" s="578" t="s">
        <v>51</v>
      </c>
    </row>
    <row r="3528" spans="1:17" s="1128" customFormat="1" ht="18">
      <c r="A3528" s="512">
        <f t="shared" si="47"/>
        <v>2681</v>
      </c>
      <c r="B3528" s="1125" t="s">
        <v>43</v>
      </c>
      <c r="C3528" s="1109" t="s">
        <v>44</v>
      </c>
      <c r="D3528" s="1109" t="s">
        <v>45</v>
      </c>
      <c r="E3528" s="930" t="s">
        <v>4452</v>
      </c>
      <c r="F3528" s="930" t="s">
        <v>1046</v>
      </c>
      <c r="G3528" s="1134">
        <v>9847720812</v>
      </c>
      <c r="H3528" s="930"/>
      <c r="I3528" s="1476">
        <v>26</v>
      </c>
      <c r="J3528" s="930" t="s">
        <v>90</v>
      </c>
      <c r="K3528" s="930"/>
      <c r="L3528" s="930"/>
      <c r="M3528" s="930" t="s">
        <v>4449</v>
      </c>
      <c r="N3528" s="1123">
        <v>65052</v>
      </c>
      <c r="O3528" s="1123">
        <v>65052</v>
      </c>
      <c r="P3528" s="1126">
        <v>65070</v>
      </c>
      <c r="Q3528" s="1116" t="s">
        <v>51</v>
      </c>
    </row>
    <row r="3529" spans="1:17" ht="18">
      <c r="A3529" s="512">
        <f t="shared" si="47"/>
        <v>2682</v>
      </c>
      <c r="B3529" s="660" t="s">
        <v>43</v>
      </c>
      <c r="C3529" s="644" t="s">
        <v>44</v>
      </c>
      <c r="D3529" s="644" t="s">
        <v>45</v>
      </c>
      <c r="E3529" s="802" t="s">
        <v>4059</v>
      </c>
      <c r="F3529" s="802" t="s">
        <v>491</v>
      </c>
      <c r="G3529" s="806">
        <v>9801812463</v>
      </c>
      <c r="H3529" s="803"/>
      <c r="I3529" s="806">
        <v>48</v>
      </c>
      <c r="J3529" s="803" t="s">
        <v>90</v>
      </c>
      <c r="K3529" s="803" t="s">
        <v>1468</v>
      </c>
      <c r="L3529" s="803"/>
      <c r="M3529" s="804" t="s">
        <v>119</v>
      </c>
      <c r="N3529" s="772">
        <v>65052</v>
      </c>
      <c r="O3529" s="772">
        <v>65052</v>
      </c>
      <c r="P3529" s="582">
        <v>65067</v>
      </c>
      <c r="Q3529" s="578" t="s">
        <v>51</v>
      </c>
    </row>
    <row r="3530" spans="1:17" ht="18">
      <c r="A3530" s="512">
        <f t="shared" si="47"/>
        <v>2683</v>
      </c>
      <c r="B3530" s="660" t="s">
        <v>43</v>
      </c>
      <c r="C3530" s="644" t="s">
        <v>44</v>
      </c>
      <c r="D3530" s="644" t="s">
        <v>45</v>
      </c>
      <c r="E3530" s="802" t="s">
        <v>4048</v>
      </c>
      <c r="F3530" s="802" t="s">
        <v>502</v>
      </c>
      <c r="G3530" s="806">
        <v>9868634538</v>
      </c>
      <c r="H3530" s="803"/>
      <c r="I3530" s="806">
        <v>24</v>
      </c>
      <c r="J3530" s="803" t="s">
        <v>90</v>
      </c>
      <c r="K3530" s="803" t="s">
        <v>53</v>
      </c>
      <c r="L3530" s="803"/>
      <c r="M3530" s="804" t="s">
        <v>119</v>
      </c>
      <c r="N3530" s="772">
        <v>65052</v>
      </c>
      <c r="O3530" s="772">
        <v>65052</v>
      </c>
      <c r="P3530" s="582">
        <v>65067</v>
      </c>
      <c r="Q3530" s="578" t="s">
        <v>51</v>
      </c>
    </row>
    <row r="3531" spans="1:17" ht="18">
      <c r="A3531" s="512">
        <f t="shared" si="47"/>
        <v>2684</v>
      </c>
      <c r="B3531" s="660" t="s">
        <v>43</v>
      </c>
      <c r="C3531" s="644" t="s">
        <v>44</v>
      </c>
      <c r="D3531" s="644" t="s">
        <v>45</v>
      </c>
      <c r="E3531" s="802" t="s">
        <v>4066</v>
      </c>
      <c r="F3531" s="802" t="s">
        <v>124</v>
      </c>
      <c r="G3531" s="806">
        <v>9829530443</v>
      </c>
      <c r="H3531" s="803"/>
      <c r="I3531" s="806">
        <v>45</v>
      </c>
      <c r="J3531" s="803" t="s">
        <v>90</v>
      </c>
      <c r="K3531" s="803" t="s">
        <v>1468</v>
      </c>
      <c r="L3531" s="803"/>
      <c r="M3531" s="804" t="s">
        <v>119</v>
      </c>
      <c r="N3531" s="772">
        <v>65052</v>
      </c>
      <c r="O3531" s="772">
        <v>65052</v>
      </c>
      <c r="P3531" s="582">
        <v>65067</v>
      </c>
      <c r="Q3531" s="578" t="s">
        <v>51</v>
      </c>
    </row>
    <row r="3532" spans="1:17" s="344" customFormat="1" ht="18">
      <c r="A3532" s="512">
        <f t="shared" si="47"/>
        <v>2685</v>
      </c>
      <c r="B3532" s="1084" t="s">
        <v>43</v>
      </c>
      <c r="C3532" s="240" t="s">
        <v>44</v>
      </c>
      <c r="D3532" s="240" t="s">
        <v>45</v>
      </c>
      <c r="E3532" s="1085" t="s">
        <v>4043</v>
      </c>
      <c r="F3532" s="1085" t="s">
        <v>510</v>
      </c>
      <c r="G3532" s="1086">
        <v>9843982201</v>
      </c>
      <c r="H3532" s="1087"/>
      <c r="I3532" s="1086">
        <v>35</v>
      </c>
      <c r="J3532" s="1087" t="s">
        <v>90</v>
      </c>
      <c r="K3532" s="1087" t="s">
        <v>1468</v>
      </c>
      <c r="L3532" s="1087"/>
      <c r="M3532" s="1088" t="s">
        <v>4275</v>
      </c>
      <c r="N3532" s="1089">
        <v>65052</v>
      </c>
      <c r="O3532" s="1089">
        <v>65052</v>
      </c>
      <c r="P3532" s="241">
        <v>65059</v>
      </c>
      <c r="Q3532" s="195" t="s">
        <v>51</v>
      </c>
    </row>
    <row r="3533" spans="1:17" ht="18">
      <c r="A3533" s="512">
        <f t="shared" si="47"/>
        <v>2686</v>
      </c>
      <c r="B3533" s="660" t="s">
        <v>43</v>
      </c>
      <c r="C3533" s="644" t="s">
        <v>44</v>
      </c>
      <c r="D3533" s="644" t="s">
        <v>45</v>
      </c>
      <c r="E3533" s="802" t="s">
        <v>4060</v>
      </c>
      <c r="F3533" s="802" t="s">
        <v>441</v>
      </c>
      <c r="G3533" s="806">
        <v>9866850315</v>
      </c>
      <c r="H3533" s="803"/>
      <c r="I3533" s="806">
        <v>35</v>
      </c>
      <c r="J3533" s="803" t="s">
        <v>48</v>
      </c>
      <c r="K3533" s="803" t="s">
        <v>1468</v>
      </c>
      <c r="L3533" s="803"/>
      <c r="M3533" s="804" t="s">
        <v>119</v>
      </c>
      <c r="N3533" s="772">
        <v>65052</v>
      </c>
      <c r="O3533" s="772">
        <v>65052</v>
      </c>
      <c r="P3533" s="582">
        <v>65067</v>
      </c>
      <c r="Q3533" s="578" t="s">
        <v>51</v>
      </c>
    </row>
    <row r="3534" spans="1:17" ht="18">
      <c r="A3534" s="512">
        <f t="shared" si="47"/>
        <v>2687</v>
      </c>
      <c r="B3534" s="660" t="s">
        <v>43</v>
      </c>
      <c r="C3534" s="644" t="s">
        <v>44</v>
      </c>
      <c r="D3534" s="644" t="s">
        <v>45</v>
      </c>
      <c r="E3534" s="802" t="s">
        <v>4077</v>
      </c>
      <c r="F3534" s="802" t="s">
        <v>1046</v>
      </c>
      <c r="G3534" s="806">
        <v>9822851208</v>
      </c>
      <c r="H3534" s="803"/>
      <c r="I3534" s="806">
        <v>63</v>
      </c>
      <c r="J3534" s="803" t="s">
        <v>90</v>
      </c>
      <c r="K3534" s="803" t="s">
        <v>1468</v>
      </c>
      <c r="L3534" s="803"/>
      <c r="M3534" s="804" t="s">
        <v>119</v>
      </c>
      <c r="N3534" s="772">
        <v>65052</v>
      </c>
      <c r="O3534" s="772">
        <v>65052</v>
      </c>
      <c r="P3534" s="582">
        <v>65067</v>
      </c>
      <c r="Q3534" s="578" t="s">
        <v>51</v>
      </c>
    </row>
    <row r="3535" spans="1:17" ht="18">
      <c r="A3535" s="512">
        <f t="shared" si="47"/>
        <v>2688</v>
      </c>
      <c r="B3535" s="660" t="s">
        <v>43</v>
      </c>
      <c r="C3535" s="644" t="s">
        <v>44</v>
      </c>
      <c r="D3535" s="644" t="s">
        <v>45</v>
      </c>
      <c r="E3535" s="802" t="s">
        <v>4049</v>
      </c>
      <c r="F3535" s="802" t="s">
        <v>502</v>
      </c>
      <c r="G3535" s="806">
        <v>9847832195</v>
      </c>
      <c r="H3535" s="803"/>
      <c r="I3535" s="806">
        <v>57</v>
      </c>
      <c r="J3535" s="803" t="s">
        <v>90</v>
      </c>
      <c r="K3535" s="803" t="s">
        <v>1468</v>
      </c>
      <c r="L3535" s="803"/>
      <c r="M3535" s="804" t="s">
        <v>119</v>
      </c>
      <c r="N3535" s="772">
        <v>65052</v>
      </c>
      <c r="O3535" s="772">
        <v>65052</v>
      </c>
      <c r="P3535" s="582">
        <v>65067</v>
      </c>
      <c r="Q3535" s="578" t="s">
        <v>51</v>
      </c>
    </row>
    <row r="3536" spans="1:17" ht="18">
      <c r="A3536" s="512">
        <f t="shared" si="47"/>
        <v>2689</v>
      </c>
      <c r="B3536" s="660" t="s">
        <v>43</v>
      </c>
      <c r="C3536" s="644" t="s">
        <v>44</v>
      </c>
      <c r="D3536" s="644" t="s">
        <v>45</v>
      </c>
      <c r="E3536" s="802" t="s">
        <v>4064</v>
      </c>
      <c r="F3536" s="802" t="s">
        <v>529</v>
      </c>
      <c r="G3536" s="806">
        <v>9810899116</v>
      </c>
      <c r="H3536" s="803"/>
      <c r="I3536" s="806">
        <v>35</v>
      </c>
      <c r="J3536" s="803" t="s">
        <v>90</v>
      </c>
      <c r="K3536" s="803" t="s">
        <v>1459</v>
      </c>
      <c r="L3536" s="803"/>
      <c r="M3536" s="804" t="s">
        <v>119</v>
      </c>
      <c r="N3536" s="772">
        <v>65052</v>
      </c>
      <c r="O3536" s="772">
        <v>65052</v>
      </c>
      <c r="P3536" s="582">
        <v>65067</v>
      </c>
      <c r="Q3536" s="578" t="s">
        <v>51</v>
      </c>
    </row>
    <row r="3537" spans="1:17" ht="18">
      <c r="A3537" s="512">
        <f t="shared" si="47"/>
        <v>2690</v>
      </c>
      <c r="B3537" s="660" t="s">
        <v>43</v>
      </c>
      <c r="C3537" s="644" t="s">
        <v>44</v>
      </c>
      <c r="D3537" s="644" t="s">
        <v>45</v>
      </c>
      <c r="E3537" s="802" t="s">
        <v>4038</v>
      </c>
      <c r="F3537" s="802" t="s">
        <v>510</v>
      </c>
      <c r="G3537" s="806">
        <v>9847910804</v>
      </c>
      <c r="H3537" s="803"/>
      <c r="I3537" s="806">
        <v>43</v>
      </c>
      <c r="J3537" s="803" t="s">
        <v>48</v>
      </c>
      <c r="K3537" s="803" t="s">
        <v>1468</v>
      </c>
      <c r="L3537" s="803"/>
      <c r="M3537" s="804" t="s">
        <v>119</v>
      </c>
      <c r="N3537" s="772">
        <v>65052</v>
      </c>
      <c r="O3537" s="772">
        <v>65052</v>
      </c>
      <c r="P3537" s="582">
        <v>65067</v>
      </c>
      <c r="Q3537" s="578" t="s">
        <v>51</v>
      </c>
    </row>
    <row r="3538" spans="1:17" ht="18">
      <c r="A3538" s="512">
        <f t="shared" ref="A3538:A3601" si="48">A3537+1</f>
        <v>2691</v>
      </c>
      <c r="B3538" s="827" t="s">
        <v>43</v>
      </c>
      <c r="C3538" s="828" t="s">
        <v>44</v>
      </c>
      <c r="D3538" s="828" t="s">
        <v>45</v>
      </c>
      <c r="E3538" s="822" t="s">
        <v>4032</v>
      </c>
      <c r="F3538" s="822" t="s">
        <v>512</v>
      </c>
      <c r="G3538" s="931">
        <v>9847859852</v>
      </c>
      <c r="H3538" s="823"/>
      <c r="I3538" s="931">
        <v>58</v>
      </c>
      <c r="J3538" s="823" t="s">
        <v>48</v>
      </c>
      <c r="K3538" s="823" t="s">
        <v>1468</v>
      </c>
      <c r="L3538" s="823"/>
      <c r="M3538" s="824" t="s">
        <v>119</v>
      </c>
      <c r="N3538" s="829">
        <v>65052</v>
      </c>
      <c r="O3538" s="829">
        <v>65052</v>
      </c>
      <c r="P3538" s="582">
        <v>65067</v>
      </c>
      <c r="Q3538" s="578" t="s">
        <v>51</v>
      </c>
    </row>
    <row r="3539" spans="1:17" ht="18">
      <c r="A3539" s="512">
        <f t="shared" si="48"/>
        <v>2692</v>
      </c>
      <c r="B3539" s="660" t="s">
        <v>43</v>
      </c>
      <c r="C3539" s="644" t="s">
        <v>44</v>
      </c>
      <c r="D3539" s="644" t="s">
        <v>45</v>
      </c>
      <c r="E3539" s="130" t="s">
        <v>4107</v>
      </c>
      <c r="F3539" s="130" t="s">
        <v>124</v>
      </c>
      <c r="G3539" s="150">
        <v>9806270981</v>
      </c>
      <c r="H3539" s="121"/>
      <c r="I3539" s="150">
        <v>21</v>
      </c>
      <c r="J3539" s="120" t="s">
        <v>48</v>
      </c>
      <c r="K3539" s="120" t="s">
        <v>1468</v>
      </c>
      <c r="L3539" s="120"/>
      <c r="M3539" s="146" t="s">
        <v>119</v>
      </c>
      <c r="N3539" s="710">
        <v>65053</v>
      </c>
      <c r="O3539" s="710">
        <v>65053</v>
      </c>
      <c r="P3539" s="1093">
        <v>65068</v>
      </c>
      <c r="Q3539" s="491" t="s">
        <v>51</v>
      </c>
    </row>
    <row r="3540" spans="1:17" ht="18">
      <c r="A3540" s="512">
        <f t="shared" si="48"/>
        <v>2693</v>
      </c>
      <c r="B3540" s="660" t="s">
        <v>43</v>
      </c>
      <c r="C3540" s="644" t="s">
        <v>44</v>
      </c>
      <c r="D3540" s="644" t="s">
        <v>45</v>
      </c>
      <c r="E3540" s="130" t="s">
        <v>4108</v>
      </c>
      <c r="F3540" s="130" t="s">
        <v>1009</v>
      </c>
      <c r="G3540" s="150">
        <v>9866958868</v>
      </c>
      <c r="H3540" s="121"/>
      <c r="I3540" s="150">
        <v>21</v>
      </c>
      <c r="J3540" s="120" t="s">
        <v>90</v>
      </c>
      <c r="K3540" s="120" t="s">
        <v>1468</v>
      </c>
      <c r="L3540" s="120"/>
      <c r="M3540" s="146" t="s">
        <v>119</v>
      </c>
      <c r="N3540" s="710">
        <v>65053</v>
      </c>
      <c r="O3540" s="710">
        <v>65053</v>
      </c>
      <c r="P3540" s="1093">
        <v>65068</v>
      </c>
      <c r="Q3540" s="491" t="s">
        <v>51</v>
      </c>
    </row>
    <row r="3541" spans="1:17" ht="18">
      <c r="A3541" s="512">
        <f t="shared" si="48"/>
        <v>2694</v>
      </c>
      <c r="B3541" s="660" t="s">
        <v>43</v>
      </c>
      <c r="C3541" s="644" t="s">
        <v>44</v>
      </c>
      <c r="D3541" s="644" t="s">
        <v>45</v>
      </c>
      <c r="E3541" s="130" t="s">
        <v>4109</v>
      </c>
      <c r="F3541" s="130" t="s">
        <v>124</v>
      </c>
      <c r="G3541" s="150">
        <v>9847835080</v>
      </c>
      <c r="H3541" s="121"/>
      <c r="I3541" s="150">
        <v>48</v>
      </c>
      <c r="J3541" s="120" t="s">
        <v>90</v>
      </c>
      <c r="K3541" s="120" t="s">
        <v>1468</v>
      </c>
      <c r="L3541" s="120"/>
      <c r="M3541" s="146" t="s">
        <v>119</v>
      </c>
      <c r="N3541" s="710">
        <v>65053</v>
      </c>
      <c r="O3541" s="710">
        <v>65053</v>
      </c>
      <c r="P3541" s="1093">
        <v>65068</v>
      </c>
      <c r="Q3541" s="491" t="s">
        <v>51</v>
      </c>
    </row>
    <row r="3542" spans="1:17" ht="18">
      <c r="A3542" s="512">
        <f t="shared" si="48"/>
        <v>2695</v>
      </c>
      <c r="B3542" s="660" t="s">
        <v>43</v>
      </c>
      <c r="C3542" s="644" t="s">
        <v>44</v>
      </c>
      <c r="D3542" s="644" t="s">
        <v>45</v>
      </c>
      <c r="E3542" s="130" t="s">
        <v>4110</v>
      </c>
      <c r="F3542" s="130" t="s">
        <v>502</v>
      </c>
      <c r="G3542" s="150">
        <v>9822949121</v>
      </c>
      <c r="H3542" s="121"/>
      <c r="I3542" s="150">
        <v>26</v>
      </c>
      <c r="J3542" s="120" t="s">
        <v>90</v>
      </c>
      <c r="K3542" s="120" t="s">
        <v>1468</v>
      </c>
      <c r="L3542" s="120"/>
      <c r="M3542" s="146" t="s">
        <v>119</v>
      </c>
      <c r="N3542" s="710">
        <v>65053</v>
      </c>
      <c r="O3542" s="710">
        <v>65053</v>
      </c>
      <c r="P3542" s="1093">
        <v>65068</v>
      </c>
      <c r="Q3542" s="491" t="s">
        <v>51</v>
      </c>
    </row>
    <row r="3543" spans="1:17" ht="18">
      <c r="A3543" s="512">
        <f t="shared" si="48"/>
        <v>2696</v>
      </c>
      <c r="B3543" s="660" t="s">
        <v>43</v>
      </c>
      <c r="C3543" s="644" t="s">
        <v>44</v>
      </c>
      <c r="D3543" s="644" t="s">
        <v>45</v>
      </c>
      <c r="E3543" s="679" t="s">
        <v>4174</v>
      </c>
      <c r="F3543" s="838" t="s">
        <v>436</v>
      </c>
      <c r="G3543" s="838">
        <v>9847830350</v>
      </c>
      <c r="H3543" s="869"/>
      <c r="I3543" s="1187">
        <v>38</v>
      </c>
      <c r="J3543" s="836" t="s">
        <v>48</v>
      </c>
      <c r="K3543" s="150" t="s">
        <v>1468</v>
      </c>
      <c r="L3543" s="150"/>
      <c r="M3543" s="145" t="s">
        <v>2336</v>
      </c>
      <c r="N3543" s="867">
        <v>65053</v>
      </c>
      <c r="O3543" s="867">
        <v>65053</v>
      </c>
      <c r="P3543" s="1093">
        <v>65068</v>
      </c>
      <c r="Q3543" s="491" t="s">
        <v>51</v>
      </c>
    </row>
    <row r="3544" spans="1:17" ht="18">
      <c r="A3544" s="512">
        <f t="shared" si="48"/>
        <v>2697</v>
      </c>
      <c r="B3544" s="660" t="s">
        <v>43</v>
      </c>
      <c r="C3544" s="644" t="s">
        <v>44</v>
      </c>
      <c r="D3544" s="644" t="s">
        <v>45</v>
      </c>
      <c r="E3544" s="130" t="s">
        <v>1928</v>
      </c>
      <c r="F3544" s="130" t="s">
        <v>491</v>
      </c>
      <c r="G3544" s="150">
        <v>9809752361</v>
      </c>
      <c r="H3544" s="121"/>
      <c r="I3544" s="150">
        <v>57</v>
      </c>
      <c r="J3544" s="120" t="s">
        <v>48</v>
      </c>
      <c r="K3544" s="120" t="s">
        <v>49</v>
      </c>
      <c r="L3544" s="120"/>
      <c r="M3544" s="146" t="s">
        <v>119</v>
      </c>
      <c r="N3544" s="710">
        <v>65053</v>
      </c>
      <c r="O3544" s="710">
        <v>65053</v>
      </c>
      <c r="P3544" s="1093">
        <v>65068</v>
      </c>
      <c r="Q3544" s="491" t="s">
        <v>51</v>
      </c>
    </row>
    <row r="3545" spans="1:17" ht="18">
      <c r="A3545" s="512">
        <f t="shared" si="48"/>
        <v>2698</v>
      </c>
      <c r="B3545" s="660" t="s">
        <v>43</v>
      </c>
      <c r="C3545" s="644" t="s">
        <v>44</v>
      </c>
      <c r="D3545" s="644" t="s">
        <v>45</v>
      </c>
      <c r="E3545" s="130" t="s">
        <v>3122</v>
      </c>
      <c r="F3545" s="130" t="s">
        <v>441</v>
      </c>
      <c r="G3545" s="150">
        <v>9845198442</v>
      </c>
      <c r="H3545" s="121"/>
      <c r="I3545" s="150">
        <v>54</v>
      </c>
      <c r="J3545" s="120" t="s">
        <v>90</v>
      </c>
      <c r="K3545" s="120" t="s">
        <v>49</v>
      </c>
      <c r="L3545" s="120"/>
      <c r="M3545" s="146" t="s">
        <v>119</v>
      </c>
      <c r="N3545" s="710">
        <v>65053</v>
      </c>
      <c r="O3545" s="710">
        <v>65053</v>
      </c>
      <c r="P3545" s="1093">
        <v>65068</v>
      </c>
      <c r="Q3545" s="491" t="s">
        <v>51</v>
      </c>
    </row>
    <row r="3546" spans="1:17" ht="18">
      <c r="A3546" s="512">
        <f t="shared" si="48"/>
        <v>2699</v>
      </c>
      <c r="B3546" s="660" t="s">
        <v>43</v>
      </c>
      <c r="C3546" s="644" t="s">
        <v>44</v>
      </c>
      <c r="D3546" s="644" t="s">
        <v>45</v>
      </c>
      <c r="E3546" s="130" t="s">
        <v>4111</v>
      </c>
      <c r="F3546" s="130" t="s">
        <v>491</v>
      </c>
      <c r="G3546" s="150">
        <v>9857821939</v>
      </c>
      <c r="H3546" s="121"/>
      <c r="I3546" s="150">
        <v>32</v>
      </c>
      <c r="J3546" s="120" t="s">
        <v>48</v>
      </c>
      <c r="K3546" s="120" t="s">
        <v>49</v>
      </c>
      <c r="L3546" s="120"/>
      <c r="M3546" s="146" t="s">
        <v>119</v>
      </c>
      <c r="N3546" s="710">
        <v>65053</v>
      </c>
      <c r="O3546" s="710">
        <v>65053</v>
      </c>
      <c r="P3546" s="1093">
        <v>65068</v>
      </c>
      <c r="Q3546" s="491" t="s">
        <v>51</v>
      </c>
    </row>
    <row r="3547" spans="1:17" ht="18">
      <c r="A3547" s="512">
        <f t="shared" si="48"/>
        <v>2700</v>
      </c>
      <c r="B3547" s="660" t="s">
        <v>43</v>
      </c>
      <c r="C3547" s="644" t="s">
        <v>44</v>
      </c>
      <c r="D3547" s="644" t="s">
        <v>45</v>
      </c>
      <c r="E3547" s="130" t="s">
        <v>4112</v>
      </c>
      <c r="F3547" s="130" t="s">
        <v>730</v>
      </c>
      <c r="G3547" s="150">
        <v>9857820400</v>
      </c>
      <c r="H3547" s="121"/>
      <c r="I3547" s="150">
        <v>60</v>
      </c>
      <c r="J3547" s="120" t="s">
        <v>48</v>
      </c>
      <c r="K3547" s="120" t="s">
        <v>1468</v>
      </c>
      <c r="L3547" s="120"/>
      <c r="M3547" s="146" t="s">
        <v>119</v>
      </c>
      <c r="N3547" s="710">
        <v>65053</v>
      </c>
      <c r="O3547" s="710">
        <v>65053</v>
      </c>
      <c r="P3547" s="1093">
        <v>65068</v>
      </c>
      <c r="Q3547" s="491" t="s">
        <v>51</v>
      </c>
    </row>
    <row r="3548" spans="1:17" ht="18">
      <c r="A3548" s="512">
        <f t="shared" si="48"/>
        <v>2701</v>
      </c>
      <c r="B3548" s="660" t="s">
        <v>43</v>
      </c>
      <c r="C3548" s="644" t="s">
        <v>44</v>
      </c>
      <c r="D3548" s="644" t="s">
        <v>45</v>
      </c>
      <c r="E3548" s="679" t="s">
        <v>4165</v>
      </c>
      <c r="F3548" s="838" t="s">
        <v>4257</v>
      </c>
      <c r="G3548" s="838">
        <v>9840912184</v>
      </c>
      <c r="H3548" s="869"/>
      <c r="I3548" s="1187">
        <v>40</v>
      </c>
      <c r="J3548" s="836" t="s">
        <v>48</v>
      </c>
      <c r="K3548" s="150" t="s">
        <v>1468</v>
      </c>
      <c r="L3548" s="150"/>
      <c r="M3548" s="145" t="s">
        <v>2336</v>
      </c>
      <c r="N3548" s="867">
        <v>65053</v>
      </c>
      <c r="O3548" s="867">
        <v>65053</v>
      </c>
      <c r="P3548" s="1093">
        <v>65068</v>
      </c>
      <c r="Q3548" s="491" t="s">
        <v>51</v>
      </c>
    </row>
    <row r="3549" spans="1:17" ht="18">
      <c r="A3549" s="512">
        <f t="shared" si="48"/>
        <v>2702</v>
      </c>
      <c r="B3549" s="660" t="s">
        <v>43</v>
      </c>
      <c r="C3549" s="644" t="s">
        <v>44</v>
      </c>
      <c r="D3549" s="644" t="s">
        <v>45</v>
      </c>
      <c r="E3549" s="130" t="s">
        <v>4113</v>
      </c>
      <c r="F3549" s="130" t="s">
        <v>124</v>
      </c>
      <c r="G3549" s="150">
        <v>9866740020</v>
      </c>
      <c r="H3549" s="121"/>
      <c r="I3549" s="150">
        <v>22</v>
      </c>
      <c r="J3549" s="120" t="s">
        <v>48</v>
      </c>
      <c r="K3549" s="120" t="s">
        <v>49</v>
      </c>
      <c r="L3549" s="120"/>
      <c r="M3549" s="146" t="s">
        <v>119</v>
      </c>
      <c r="N3549" s="710">
        <v>65053</v>
      </c>
      <c r="O3549" s="710">
        <v>65053</v>
      </c>
      <c r="P3549" s="1093">
        <v>65068</v>
      </c>
      <c r="Q3549" s="491" t="s">
        <v>51</v>
      </c>
    </row>
    <row r="3550" spans="1:17" ht="18">
      <c r="A3550" s="512">
        <f t="shared" si="48"/>
        <v>2703</v>
      </c>
      <c r="B3550" s="660" t="s">
        <v>43</v>
      </c>
      <c r="C3550" s="644" t="s">
        <v>44</v>
      </c>
      <c r="D3550" s="644" t="s">
        <v>45</v>
      </c>
      <c r="E3550" s="679" t="s">
        <v>4181</v>
      </c>
      <c r="F3550" s="838" t="s">
        <v>1008</v>
      </c>
      <c r="G3550" s="838">
        <v>9808328098</v>
      </c>
      <c r="H3550" s="869"/>
      <c r="I3550" s="1187">
        <v>39</v>
      </c>
      <c r="J3550" s="836" t="s">
        <v>48</v>
      </c>
      <c r="K3550" s="150" t="s">
        <v>1468</v>
      </c>
      <c r="L3550" s="150"/>
      <c r="M3550" s="145" t="s">
        <v>2336</v>
      </c>
      <c r="N3550" s="867">
        <v>65053</v>
      </c>
      <c r="O3550" s="867">
        <v>65053</v>
      </c>
      <c r="P3550" s="1093">
        <v>65068</v>
      </c>
      <c r="Q3550" s="491" t="s">
        <v>51</v>
      </c>
    </row>
    <row r="3551" spans="1:17" ht="18">
      <c r="A3551" s="512">
        <f t="shared" si="48"/>
        <v>2704</v>
      </c>
      <c r="B3551" s="660" t="s">
        <v>43</v>
      </c>
      <c r="C3551" s="644" t="s">
        <v>44</v>
      </c>
      <c r="D3551" s="644" t="s">
        <v>45</v>
      </c>
      <c r="E3551" s="130" t="s">
        <v>2598</v>
      </c>
      <c r="F3551" s="130" t="s">
        <v>491</v>
      </c>
      <c r="G3551" s="150">
        <v>9847865858</v>
      </c>
      <c r="H3551" s="121"/>
      <c r="I3551" s="150">
        <v>56</v>
      </c>
      <c r="J3551" s="120" t="s">
        <v>90</v>
      </c>
      <c r="K3551" s="120" t="s">
        <v>49</v>
      </c>
      <c r="L3551" s="120"/>
      <c r="M3551" s="146" t="s">
        <v>119</v>
      </c>
      <c r="N3551" s="710">
        <v>65053</v>
      </c>
      <c r="O3551" s="710">
        <v>65053</v>
      </c>
      <c r="P3551" s="1093">
        <v>65068</v>
      </c>
      <c r="Q3551" s="491" t="s">
        <v>51</v>
      </c>
    </row>
    <row r="3552" spans="1:17" ht="18">
      <c r="A3552" s="512">
        <f t="shared" si="48"/>
        <v>2705</v>
      </c>
      <c r="B3552" s="660" t="s">
        <v>43</v>
      </c>
      <c r="C3552" s="644" t="s">
        <v>44</v>
      </c>
      <c r="D3552" s="644" t="s">
        <v>45</v>
      </c>
      <c r="E3552" s="130" t="s">
        <v>4114</v>
      </c>
      <c r="F3552" s="130" t="s">
        <v>512</v>
      </c>
      <c r="G3552" s="150">
        <v>9803369213</v>
      </c>
      <c r="H3552" s="121"/>
      <c r="I3552" s="150">
        <v>37</v>
      </c>
      <c r="J3552" s="120" t="s">
        <v>90</v>
      </c>
      <c r="K3552" s="120" t="s">
        <v>1468</v>
      </c>
      <c r="L3552" s="120"/>
      <c r="M3552" s="146" t="s">
        <v>119</v>
      </c>
      <c r="N3552" s="710">
        <v>65053</v>
      </c>
      <c r="O3552" s="710">
        <v>65053</v>
      </c>
      <c r="P3552" s="1093">
        <v>65068</v>
      </c>
      <c r="Q3552" s="491" t="s">
        <v>51</v>
      </c>
    </row>
    <row r="3553" spans="1:17" ht="18">
      <c r="A3553" s="512">
        <f t="shared" si="48"/>
        <v>2706</v>
      </c>
      <c r="B3553" s="660" t="s">
        <v>43</v>
      </c>
      <c r="C3553" s="644" t="s">
        <v>44</v>
      </c>
      <c r="D3553" s="644" t="s">
        <v>45</v>
      </c>
      <c r="E3553" s="130" t="s">
        <v>4115</v>
      </c>
      <c r="F3553" s="130" t="s">
        <v>557</v>
      </c>
      <c r="G3553" s="150">
        <v>9806204388</v>
      </c>
      <c r="H3553" s="121"/>
      <c r="I3553" s="150">
        <v>38</v>
      </c>
      <c r="J3553" s="120" t="s">
        <v>90</v>
      </c>
      <c r="K3553" s="120" t="s">
        <v>49</v>
      </c>
      <c r="L3553" s="120"/>
      <c r="M3553" s="146" t="s">
        <v>119</v>
      </c>
      <c r="N3553" s="710">
        <v>65053</v>
      </c>
      <c r="O3553" s="710">
        <v>65053</v>
      </c>
      <c r="P3553" s="1093">
        <v>65068</v>
      </c>
      <c r="Q3553" s="491" t="s">
        <v>51</v>
      </c>
    </row>
    <row r="3554" spans="1:17" ht="18">
      <c r="A3554" s="512">
        <f t="shared" si="48"/>
        <v>2707</v>
      </c>
      <c r="B3554" s="660" t="s">
        <v>43</v>
      </c>
      <c r="C3554" s="644" t="s">
        <v>44</v>
      </c>
      <c r="D3554" s="644" t="s">
        <v>45</v>
      </c>
      <c r="E3554" s="130" t="s">
        <v>4116</v>
      </c>
      <c r="F3554" s="130" t="s">
        <v>1008</v>
      </c>
      <c r="G3554" s="150">
        <v>9847842769</v>
      </c>
      <c r="H3554" s="121"/>
      <c r="I3554" s="150">
        <v>30</v>
      </c>
      <c r="J3554" s="120" t="s">
        <v>48</v>
      </c>
      <c r="K3554" s="120" t="s">
        <v>1468</v>
      </c>
      <c r="L3554" s="120"/>
      <c r="M3554" s="146" t="s">
        <v>119</v>
      </c>
      <c r="N3554" s="710">
        <v>65053</v>
      </c>
      <c r="O3554" s="710">
        <v>65053</v>
      </c>
      <c r="P3554" s="1093">
        <v>65068</v>
      </c>
      <c r="Q3554" s="491" t="s">
        <v>51</v>
      </c>
    </row>
    <row r="3555" spans="1:17" ht="18">
      <c r="A3555" s="512">
        <f t="shared" si="48"/>
        <v>2708</v>
      </c>
      <c r="B3555" s="660" t="s">
        <v>43</v>
      </c>
      <c r="C3555" s="644" t="s">
        <v>44</v>
      </c>
      <c r="D3555" s="644" t="s">
        <v>45</v>
      </c>
      <c r="E3555" s="130" t="s">
        <v>4117</v>
      </c>
      <c r="F3555" s="130" t="s">
        <v>441</v>
      </c>
      <c r="G3555" s="150">
        <v>9822849523</v>
      </c>
      <c r="H3555" s="121"/>
      <c r="I3555" s="150">
        <v>20</v>
      </c>
      <c r="J3555" s="120" t="s">
        <v>48</v>
      </c>
      <c r="K3555" s="120" t="s">
        <v>1468</v>
      </c>
      <c r="L3555" s="120"/>
      <c r="M3555" s="146" t="s">
        <v>119</v>
      </c>
      <c r="N3555" s="710">
        <v>65053</v>
      </c>
      <c r="O3555" s="710">
        <v>65053</v>
      </c>
      <c r="P3555" s="1093">
        <v>65068</v>
      </c>
      <c r="Q3555" s="491" t="s">
        <v>51</v>
      </c>
    </row>
    <row r="3556" spans="1:17" ht="18">
      <c r="A3556" s="512">
        <f t="shared" si="48"/>
        <v>2709</v>
      </c>
      <c r="B3556" s="660" t="s">
        <v>43</v>
      </c>
      <c r="C3556" s="644" t="s">
        <v>44</v>
      </c>
      <c r="D3556" s="644" t="s">
        <v>45</v>
      </c>
      <c r="E3556" s="130" t="s">
        <v>4118</v>
      </c>
      <c r="F3556" s="130" t="s">
        <v>441</v>
      </c>
      <c r="G3556" s="150">
        <v>9847932208</v>
      </c>
      <c r="H3556" s="121"/>
      <c r="I3556" s="150">
        <v>31</v>
      </c>
      <c r="J3556" s="120" t="s">
        <v>90</v>
      </c>
      <c r="K3556" s="120" t="s">
        <v>1468</v>
      </c>
      <c r="L3556" s="120"/>
      <c r="M3556" s="146" t="s">
        <v>119</v>
      </c>
      <c r="N3556" s="710">
        <v>65053</v>
      </c>
      <c r="O3556" s="710">
        <v>65053</v>
      </c>
      <c r="P3556" s="1093">
        <v>65068</v>
      </c>
      <c r="Q3556" s="491" t="s">
        <v>51</v>
      </c>
    </row>
    <row r="3557" spans="1:17" ht="18">
      <c r="A3557" s="512">
        <f t="shared" si="48"/>
        <v>2710</v>
      </c>
      <c r="B3557" s="660" t="s">
        <v>43</v>
      </c>
      <c r="C3557" s="644" t="s">
        <v>44</v>
      </c>
      <c r="D3557" s="644" t="s">
        <v>45</v>
      </c>
      <c r="E3557" s="130" t="s">
        <v>4119</v>
      </c>
      <c r="F3557" s="130" t="s">
        <v>1046</v>
      </c>
      <c r="G3557" s="150">
        <v>9848428269</v>
      </c>
      <c r="H3557" s="121"/>
      <c r="I3557" s="150">
        <v>48</v>
      </c>
      <c r="J3557" s="120" t="s">
        <v>48</v>
      </c>
      <c r="K3557" s="120" t="s">
        <v>1468</v>
      </c>
      <c r="L3557" s="120"/>
      <c r="M3557" s="146" t="s">
        <v>119</v>
      </c>
      <c r="N3557" s="710">
        <v>65053</v>
      </c>
      <c r="O3557" s="710">
        <v>65053</v>
      </c>
      <c r="P3557" s="1093">
        <v>65068</v>
      </c>
      <c r="Q3557" s="491" t="s">
        <v>51</v>
      </c>
    </row>
    <row r="3558" spans="1:17" ht="18">
      <c r="A3558" s="512">
        <f t="shared" si="48"/>
        <v>2711</v>
      </c>
      <c r="B3558" s="660" t="s">
        <v>43</v>
      </c>
      <c r="C3558" s="644" t="s">
        <v>44</v>
      </c>
      <c r="D3558" s="644" t="s">
        <v>45</v>
      </c>
      <c r="E3558" s="130" t="s">
        <v>4120</v>
      </c>
      <c r="F3558" s="130" t="s">
        <v>497</v>
      </c>
      <c r="G3558" s="150">
        <v>9809861703</v>
      </c>
      <c r="H3558" s="121"/>
      <c r="I3558" s="150">
        <v>38</v>
      </c>
      <c r="J3558" s="120" t="s">
        <v>48</v>
      </c>
      <c r="K3558" s="120" t="s">
        <v>1468</v>
      </c>
      <c r="L3558" s="120"/>
      <c r="M3558" s="146" t="s">
        <v>119</v>
      </c>
      <c r="N3558" s="710">
        <v>65053</v>
      </c>
      <c r="O3558" s="710">
        <v>65053</v>
      </c>
      <c r="P3558" s="1093">
        <v>65068</v>
      </c>
      <c r="Q3558" s="491" t="s">
        <v>51</v>
      </c>
    </row>
    <row r="3559" spans="1:17" ht="18">
      <c r="A3559" s="512">
        <f t="shared" si="48"/>
        <v>2712</v>
      </c>
      <c r="B3559" s="660" t="s">
        <v>43</v>
      </c>
      <c r="C3559" s="644" t="s">
        <v>44</v>
      </c>
      <c r="D3559" s="644" t="s">
        <v>45</v>
      </c>
      <c r="E3559" s="679" t="s">
        <v>4177</v>
      </c>
      <c r="F3559" s="838" t="s">
        <v>791</v>
      </c>
      <c r="G3559" s="838">
        <v>9810977253</v>
      </c>
      <c r="H3559" s="869"/>
      <c r="I3559" s="1187">
        <v>22</v>
      </c>
      <c r="J3559" s="836" t="s">
        <v>48</v>
      </c>
      <c r="K3559" s="150" t="s">
        <v>1468</v>
      </c>
      <c r="L3559" s="150"/>
      <c r="M3559" s="145" t="s">
        <v>2336</v>
      </c>
      <c r="N3559" s="867">
        <v>65053</v>
      </c>
      <c r="O3559" s="867">
        <v>65053</v>
      </c>
      <c r="P3559" s="1093">
        <v>65068</v>
      </c>
      <c r="Q3559" s="491" t="s">
        <v>51</v>
      </c>
    </row>
    <row r="3560" spans="1:17" ht="18">
      <c r="A3560" s="512">
        <f t="shared" si="48"/>
        <v>2713</v>
      </c>
      <c r="B3560" s="660" t="s">
        <v>43</v>
      </c>
      <c r="C3560" s="644" t="s">
        <v>44</v>
      </c>
      <c r="D3560" s="644" t="s">
        <v>45</v>
      </c>
      <c r="E3560" s="130" t="s">
        <v>4121</v>
      </c>
      <c r="F3560" s="130" t="s">
        <v>491</v>
      </c>
      <c r="G3560" s="150">
        <v>9810946233</v>
      </c>
      <c r="H3560" s="121"/>
      <c r="I3560" s="150">
        <v>30</v>
      </c>
      <c r="J3560" s="120" t="s">
        <v>90</v>
      </c>
      <c r="K3560" s="120" t="s">
        <v>1468</v>
      </c>
      <c r="L3560" s="120"/>
      <c r="M3560" s="146" t="s">
        <v>119</v>
      </c>
      <c r="N3560" s="710">
        <v>65053</v>
      </c>
      <c r="O3560" s="710">
        <v>65053</v>
      </c>
      <c r="P3560" s="1093">
        <v>65068</v>
      </c>
      <c r="Q3560" s="491" t="s">
        <v>51</v>
      </c>
    </row>
    <row r="3561" spans="1:17" ht="18">
      <c r="A3561" s="512">
        <f t="shared" si="48"/>
        <v>2714</v>
      </c>
      <c r="B3561" s="660" t="s">
        <v>43</v>
      </c>
      <c r="C3561" s="644" t="s">
        <v>44</v>
      </c>
      <c r="D3561" s="644" t="s">
        <v>45</v>
      </c>
      <c r="E3561" s="130" t="s">
        <v>4122</v>
      </c>
      <c r="F3561" s="130" t="s">
        <v>441</v>
      </c>
      <c r="G3561" s="150">
        <v>9847943194</v>
      </c>
      <c r="H3561" s="121"/>
      <c r="I3561" s="150">
        <v>58</v>
      </c>
      <c r="J3561" s="120" t="s">
        <v>90</v>
      </c>
      <c r="K3561" s="120" t="s">
        <v>1468</v>
      </c>
      <c r="L3561" s="120"/>
      <c r="M3561" s="146" t="s">
        <v>119</v>
      </c>
      <c r="N3561" s="710">
        <v>65053</v>
      </c>
      <c r="O3561" s="710">
        <v>65053</v>
      </c>
      <c r="P3561" s="1093">
        <v>65068</v>
      </c>
      <c r="Q3561" s="491" t="s">
        <v>51</v>
      </c>
    </row>
    <row r="3562" spans="1:17" ht="18">
      <c r="A3562" s="512">
        <f t="shared" si="48"/>
        <v>2715</v>
      </c>
      <c r="B3562" s="660" t="s">
        <v>43</v>
      </c>
      <c r="C3562" s="644" t="s">
        <v>44</v>
      </c>
      <c r="D3562" s="644" t="s">
        <v>45</v>
      </c>
      <c r="E3562" s="679" t="s">
        <v>4175</v>
      </c>
      <c r="F3562" s="838" t="s">
        <v>436</v>
      </c>
      <c r="G3562" s="838">
        <v>9847988830</v>
      </c>
      <c r="H3562" s="869"/>
      <c r="I3562" s="1187">
        <v>32</v>
      </c>
      <c r="J3562" s="836" t="s">
        <v>90</v>
      </c>
      <c r="K3562" s="150" t="s">
        <v>1468</v>
      </c>
      <c r="L3562" s="150"/>
      <c r="M3562" s="145" t="s">
        <v>2336</v>
      </c>
      <c r="N3562" s="867">
        <v>65053</v>
      </c>
      <c r="O3562" s="867">
        <v>65053</v>
      </c>
      <c r="P3562" s="1093">
        <v>65068</v>
      </c>
      <c r="Q3562" s="491" t="s">
        <v>51</v>
      </c>
    </row>
    <row r="3563" spans="1:17" ht="18">
      <c r="A3563" s="512">
        <f t="shared" si="48"/>
        <v>2716</v>
      </c>
      <c r="B3563" s="660" t="s">
        <v>43</v>
      </c>
      <c r="C3563" s="644" t="s">
        <v>44</v>
      </c>
      <c r="D3563" s="644" t="s">
        <v>45</v>
      </c>
      <c r="E3563" s="679" t="s">
        <v>4168</v>
      </c>
      <c r="F3563" s="838" t="s">
        <v>415</v>
      </c>
      <c r="G3563" s="838">
        <v>9847890101</v>
      </c>
      <c r="H3563" s="869"/>
      <c r="I3563" s="1187">
        <v>60</v>
      </c>
      <c r="J3563" s="836" t="s">
        <v>48</v>
      </c>
      <c r="K3563" s="150" t="s">
        <v>1468</v>
      </c>
      <c r="L3563" s="150"/>
      <c r="M3563" s="145" t="s">
        <v>2336</v>
      </c>
      <c r="N3563" s="867">
        <v>65053</v>
      </c>
      <c r="O3563" s="867">
        <v>65053</v>
      </c>
      <c r="P3563" s="1093">
        <v>65068</v>
      </c>
      <c r="Q3563" s="491" t="s">
        <v>51</v>
      </c>
    </row>
    <row r="3564" spans="1:17" ht="18">
      <c r="A3564" s="512">
        <f t="shared" si="48"/>
        <v>2717</v>
      </c>
      <c r="B3564" s="660" t="s">
        <v>43</v>
      </c>
      <c r="C3564" s="644" t="s">
        <v>44</v>
      </c>
      <c r="D3564" s="644" t="s">
        <v>45</v>
      </c>
      <c r="E3564" s="130" t="s">
        <v>4123</v>
      </c>
      <c r="F3564" s="130" t="s">
        <v>512</v>
      </c>
      <c r="G3564" s="150">
        <v>9829513491</v>
      </c>
      <c r="H3564" s="121"/>
      <c r="I3564" s="150">
        <v>40</v>
      </c>
      <c r="J3564" s="120" t="s">
        <v>90</v>
      </c>
      <c r="K3564" s="120" t="s">
        <v>1468</v>
      </c>
      <c r="L3564" s="120"/>
      <c r="M3564" s="146" t="s">
        <v>119</v>
      </c>
      <c r="N3564" s="710">
        <v>65053</v>
      </c>
      <c r="O3564" s="710">
        <v>65053</v>
      </c>
      <c r="P3564" s="1093">
        <v>65068</v>
      </c>
      <c r="Q3564" s="491" t="s">
        <v>51</v>
      </c>
    </row>
    <row r="3565" spans="1:17" ht="18">
      <c r="A3565" s="512">
        <f t="shared" si="48"/>
        <v>2718</v>
      </c>
      <c r="B3565" s="660" t="s">
        <v>43</v>
      </c>
      <c r="C3565" s="644" t="s">
        <v>44</v>
      </c>
      <c r="D3565" s="644" t="s">
        <v>45</v>
      </c>
      <c r="E3565" s="130" t="s">
        <v>4124</v>
      </c>
      <c r="F3565" s="130" t="s">
        <v>557</v>
      </c>
      <c r="G3565" s="150">
        <v>9857821659</v>
      </c>
      <c r="H3565" s="121"/>
      <c r="I3565" s="150">
        <v>54</v>
      </c>
      <c r="J3565" s="120" t="s">
        <v>90</v>
      </c>
      <c r="K3565" s="120" t="s">
        <v>1468</v>
      </c>
      <c r="L3565" s="120"/>
      <c r="M3565" s="146" t="s">
        <v>119</v>
      </c>
      <c r="N3565" s="710">
        <v>65053</v>
      </c>
      <c r="O3565" s="710">
        <v>65053</v>
      </c>
      <c r="P3565" s="1093">
        <v>65068</v>
      </c>
      <c r="Q3565" s="491" t="s">
        <v>51</v>
      </c>
    </row>
    <row r="3566" spans="1:17" ht="18">
      <c r="A3566" s="512">
        <f t="shared" si="48"/>
        <v>2719</v>
      </c>
      <c r="B3566" s="660" t="s">
        <v>43</v>
      </c>
      <c r="C3566" s="644" t="s">
        <v>44</v>
      </c>
      <c r="D3566" s="644" t="s">
        <v>45</v>
      </c>
      <c r="E3566" s="130" t="s">
        <v>4125</v>
      </c>
      <c r="F3566" s="130" t="s">
        <v>512</v>
      </c>
      <c r="G3566" s="150">
        <v>9851094627</v>
      </c>
      <c r="H3566" s="121"/>
      <c r="I3566" s="150">
        <v>45</v>
      </c>
      <c r="J3566" s="120" t="s">
        <v>48</v>
      </c>
      <c r="K3566" s="120" t="s">
        <v>345</v>
      </c>
      <c r="L3566" s="120"/>
      <c r="M3566" s="146" t="s">
        <v>119</v>
      </c>
      <c r="N3566" s="710">
        <v>65053</v>
      </c>
      <c r="O3566" s="710">
        <v>65053</v>
      </c>
      <c r="P3566" s="1093">
        <v>65068</v>
      </c>
      <c r="Q3566" s="491" t="s">
        <v>51</v>
      </c>
    </row>
    <row r="3567" spans="1:17" ht="18">
      <c r="A3567" s="512">
        <f t="shared" si="48"/>
        <v>2720</v>
      </c>
      <c r="B3567" s="660" t="s">
        <v>43</v>
      </c>
      <c r="C3567" s="644" t="s">
        <v>44</v>
      </c>
      <c r="D3567" s="644" t="s">
        <v>45</v>
      </c>
      <c r="E3567" s="130" t="s">
        <v>4126</v>
      </c>
      <c r="F3567" s="130" t="s">
        <v>491</v>
      </c>
      <c r="G3567" s="150">
        <v>9841821805</v>
      </c>
      <c r="H3567" s="121"/>
      <c r="I3567" s="150">
        <v>42</v>
      </c>
      <c r="J3567" s="120" t="s">
        <v>48</v>
      </c>
      <c r="K3567" s="120" t="s">
        <v>1468</v>
      </c>
      <c r="L3567" s="120"/>
      <c r="M3567" s="146" t="s">
        <v>119</v>
      </c>
      <c r="N3567" s="710">
        <v>65053</v>
      </c>
      <c r="O3567" s="710">
        <v>65053</v>
      </c>
      <c r="P3567" s="1093">
        <v>65068</v>
      </c>
      <c r="Q3567" s="491" t="s">
        <v>51</v>
      </c>
    </row>
    <row r="3568" spans="1:17" ht="18">
      <c r="A3568" s="512">
        <f t="shared" si="48"/>
        <v>2721</v>
      </c>
      <c r="B3568" s="669" t="s">
        <v>43</v>
      </c>
      <c r="C3568" s="640" t="s">
        <v>44</v>
      </c>
      <c r="D3568" s="640" t="s">
        <v>45</v>
      </c>
      <c r="E3568" s="182" t="s">
        <v>4266</v>
      </c>
      <c r="F3568" s="789" t="s">
        <v>557</v>
      </c>
      <c r="G3568" s="789"/>
      <c r="H3568" s="436"/>
      <c r="I3568" s="789">
        <v>63</v>
      </c>
      <c r="J3568" s="182" t="s">
        <v>90</v>
      </c>
      <c r="K3568" s="182" t="s">
        <v>53</v>
      </c>
      <c r="L3568" s="438"/>
      <c r="M3568" s="182" t="s">
        <v>54</v>
      </c>
      <c r="N3568" s="881">
        <v>65053</v>
      </c>
      <c r="O3568" s="881">
        <v>65053</v>
      </c>
      <c r="P3568" s="1019">
        <v>65061</v>
      </c>
      <c r="Q3568" s="436" t="s">
        <v>51</v>
      </c>
    </row>
    <row r="3569" spans="1:17" ht="18">
      <c r="A3569" s="512">
        <f t="shared" si="48"/>
        <v>2722</v>
      </c>
      <c r="B3569" s="660" t="s">
        <v>43</v>
      </c>
      <c r="C3569" s="644" t="s">
        <v>44</v>
      </c>
      <c r="D3569" s="644" t="s">
        <v>45</v>
      </c>
      <c r="E3569" s="679" t="s">
        <v>3384</v>
      </c>
      <c r="F3569" s="838" t="s">
        <v>409</v>
      </c>
      <c r="G3569" s="838">
        <v>9869550966</v>
      </c>
      <c r="H3569" s="869"/>
      <c r="I3569" s="1187">
        <v>32</v>
      </c>
      <c r="J3569" s="836" t="s">
        <v>48</v>
      </c>
      <c r="K3569" s="150" t="s">
        <v>1468</v>
      </c>
      <c r="L3569" s="150"/>
      <c r="M3569" s="145" t="s">
        <v>2336</v>
      </c>
      <c r="N3569" s="867">
        <v>65053</v>
      </c>
      <c r="O3569" s="867">
        <v>65053</v>
      </c>
      <c r="P3569" s="1093">
        <v>65068</v>
      </c>
      <c r="Q3569" s="491" t="s">
        <v>51</v>
      </c>
    </row>
    <row r="3570" spans="1:17" ht="18">
      <c r="A3570" s="512">
        <f t="shared" si="48"/>
        <v>2723</v>
      </c>
      <c r="B3570" s="660" t="s">
        <v>43</v>
      </c>
      <c r="C3570" s="644" t="s">
        <v>44</v>
      </c>
      <c r="D3570" s="644" t="s">
        <v>45</v>
      </c>
      <c r="E3570" s="130" t="s">
        <v>2706</v>
      </c>
      <c r="F3570" s="130" t="s">
        <v>491</v>
      </c>
      <c r="G3570" s="150">
        <v>9809789728</v>
      </c>
      <c r="H3570" s="121"/>
      <c r="I3570" s="150">
        <v>29</v>
      </c>
      <c r="J3570" s="120" t="s">
        <v>48</v>
      </c>
      <c r="K3570" s="120" t="s">
        <v>49</v>
      </c>
      <c r="L3570" s="120"/>
      <c r="M3570" s="146" t="s">
        <v>119</v>
      </c>
      <c r="N3570" s="710">
        <v>65053</v>
      </c>
      <c r="O3570" s="710">
        <v>65053</v>
      </c>
      <c r="P3570" s="1093">
        <v>65068</v>
      </c>
      <c r="Q3570" s="491" t="s">
        <v>51</v>
      </c>
    </row>
    <row r="3571" spans="1:17" ht="18">
      <c r="A3571" s="512">
        <f t="shared" si="48"/>
        <v>2724</v>
      </c>
      <c r="B3571" s="660" t="s">
        <v>43</v>
      </c>
      <c r="C3571" s="644" t="s">
        <v>44</v>
      </c>
      <c r="D3571" s="644" t="s">
        <v>45</v>
      </c>
      <c r="E3571" s="130" t="s">
        <v>1728</v>
      </c>
      <c r="F3571" s="130" t="s">
        <v>124</v>
      </c>
      <c r="G3571" s="150">
        <v>9812839152</v>
      </c>
      <c r="H3571" s="121"/>
      <c r="I3571" s="150">
        <v>40</v>
      </c>
      <c r="J3571" s="120" t="s">
        <v>90</v>
      </c>
      <c r="K3571" s="120" t="s">
        <v>1468</v>
      </c>
      <c r="L3571" s="120"/>
      <c r="M3571" s="146" t="s">
        <v>119</v>
      </c>
      <c r="N3571" s="710">
        <v>65053</v>
      </c>
      <c r="O3571" s="710">
        <v>65053</v>
      </c>
      <c r="P3571" s="1093">
        <v>65068</v>
      </c>
      <c r="Q3571" s="491" t="s">
        <v>51</v>
      </c>
    </row>
    <row r="3572" spans="1:17" ht="18">
      <c r="A3572" s="512">
        <f t="shared" si="48"/>
        <v>2725</v>
      </c>
      <c r="B3572" s="660" t="s">
        <v>43</v>
      </c>
      <c r="C3572" s="644" t="s">
        <v>44</v>
      </c>
      <c r="D3572" s="644" t="s">
        <v>45</v>
      </c>
      <c r="E3572" s="130" t="s">
        <v>4127</v>
      </c>
      <c r="F3572" s="130" t="s">
        <v>1008</v>
      </c>
      <c r="G3572" s="150">
        <v>9847842769</v>
      </c>
      <c r="H3572" s="121"/>
      <c r="I3572" s="150">
        <v>37</v>
      </c>
      <c r="J3572" s="120" t="s">
        <v>90</v>
      </c>
      <c r="K3572" s="120" t="s">
        <v>1468</v>
      </c>
      <c r="L3572" s="120"/>
      <c r="M3572" s="146" t="s">
        <v>119</v>
      </c>
      <c r="N3572" s="710">
        <v>65053</v>
      </c>
      <c r="O3572" s="710">
        <v>65053</v>
      </c>
      <c r="P3572" s="1093">
        <v>65068</v>
      </c>
      <c r="Q3572" s="491" t="s">
        <v>51</v>
      </c>
    </row>
    <row r="3573" spans="1:17" ht="18">
      <c r="A3573" s="512">
        <f t="shared" si="48"/>
        <v>2726</v>
      </c>
      <c r="B3573" s="660" t="s">
        <v>43</v>
      </c>
      <c r="C3573" s="644" t="s">
        <v>44</v>
      </c>
      <c r="D3573" s="644" t="s">
        <v>45</v>
      </c>
      <c r="E3573" s="130" t="s">
        <v>4128</v>
      </c>
      <c r="F3573" s="130" t="s">
        <v>491</v>
      </c>
      <c r="G3573" s="150">
        <v>9848379363</v>
      </c>
      <c r="H3573" s="121"/>
      <c r="I3573" s="150">
        <v>34</v>
      </c>
      <c r="J3573" s="120" t="s">
        <v>90</v>
      </c>
      <c r="K3573" s="120" t="s">
        <v>53</v>
      </c>
      <c r="L3573" s="120"/>
      <c r="M3573" s="146" t="s">
        <v>119</v>
      </c>
      <c r="N3573" s="710">
        <v>65053</v>
      </c>
      <c r="O3573" s="710">
        <v>65053</v>
      </c>
      <c r="P3573" s="1093">
        <v>65068</v>
      </c>
      <c r="Q3573" s="491" t="s">
        <v>51</v>
      </c>
    </row>
    <row r="3574" spans="1:17" ht="18">
      <c r="A3574" s="512">
        <f t="shared" si="48"/>
        <v>2727</v>
      </c>
      <c r="B3574" s="660" t="s">
        <v>43</v>
      </c>
      <c r="C3574" s="644" t="s">
        <v>44</v>
      </c>
      <c r="D3574" s="644" t="s">
        <v>45</v>
      </c>
      <c r="E3574" s="130" t="s">
        <v>4129</v>
      </c>
      <c r="F3574" s="130" t="s">
        <v>529</v>
      </c>
      <c r="G3574" s="150">
        <v>9847842089</v>
      </c>
      <c r="H3574" s="121"/>
      <c r="I3574" s="150">
        <v>45</v>
      </c>
      <c r="J3574" s="120" t="s">
        <v>48</v>
      </c>
      <c r="K3574" s="120" t="s">
        <v>1468</v>
      </c>
      <c r="L3574" s="120"/>
      <c r="M3574" s="146" t="s">
        <v>119</v>
      </c>
      <c r="N3574" s="710">
        <v>65053</v>
      </c>
      <c r="O3574" s="710">
        <v>65053</v>
      </c>
      <c r="P3574" s="1093">
        <v>65068</v>
      </c>
      <c r="Q3574" s="491" t="s">
        <v>51</v>
      </c>
    </row>
    <row r="3575" spans="1:17" ht="18">
      <c r="A3575" s="512">
        <f t="shared" si="48"/>
        <v>2728</v>
      </c>
      <c r="B3575" s="660" t="s">
        <v>43</v>
      </c>
      <c r="C3575" s="644" t="s">
        <v>44</v>
      </c>
      <c r="D3575" s="644" t="s">
        <v>45</v>
      </c>
      <c r="E3575" s="130" t="s">
        <v>4130</v>
      </c>
      <c r="F3575" s="130" t="s">
        <v>1009</v>
      </c>
      <c r="G3575" s="150">
        <v>9816585992</v>
      </c>
      <c r="H3575" s="121"/>
      <c r="I3575" s="150">
        <v>68</v>
      </c>
      <c r="J3575" s="120" t="s">
        <v>90</v>
      </c>
      <c r="K3575" s="120" t="s">
        <v>1468</v>
      </c>
      <c r="L3575" s="120"/>
      <c r="M3575" s="146" t="s">
        <v>119</v>
      </c>
      <c r="N3575" s="710">
        <v>65053</v>
      </c>
      <c r="O3575" s="710">
        <v>65053</v>
      </c>
      <c r="P3575" s="1093">
        <v>65068</v>
      </c>
      <c r="Q3575" s="491" t="s">
        <v>51</v>
      </c>
    </row>
    <row r="3576" spans="1:17" ht="18">
      <c r="A3576" s="512">
        <f t="shared" si="48"/>
        <v>2729</v>
      </c>
      <c r="B3576" s="660" t="s">
        <v>43</v>
      </c>
      <c r="C3576" s="644" t="s">
        <v>44</v>
      </c>
      <c r="D3576" s="644" t="s">
        <v>45</v>
      </c>
      <c r="E3576" s="679" t="s">
        <v>4162</v>
      </c>
      <c r="F3576" s="838" t="s">
        <v>4256</v>
      </c>
      <c r="G3576" s="838">
        <v>9809541303</v>
      </c>
      <c r="H3576" s="869"/>
      <c r="I3576" s="1187">
        <v>37</v>
      </c>
      <c r="J3576" s="836" t="s">
        <v>48</v>
      </c>
      <c r="K3576" s="150" t="s">
        <v>1468</v>
      </c>
      <c r="L3576" s="150"/>
      <c r="M3576" s="145" t="s">
        <v>2336</v>
      </c>
      <c r="N3576" s="867">
        <v>65053</v>
      </c>
      <c r="O3576" s="867">
        <v>65053</v>
      </c>
      <c r="P3576" s="1093">
        <v>65068</v>
      </c>
      <c r="Q3576" s="491" t="s">
        <v>51</v>
      </c>
    </row>
    <row r="3577" spans="1:17" ht="18">
      <c r="A3577" s="512">
        <f t="shared" si="48"/>
        <v>2730</v>
      </c>
      <c r="B3577" s="660" t="s">
        <v>43</v>
      </c>
      <c r="C3577" s="644" t="s">
        <v>44</v>
      </c>
      <c r="D3577" s="644" t="s">
        <v>45</v>
      </c>
      <c r="E3577" s="679" t="s">
        <v>4166</v>
      </c>
      <c r="F3577" s="838" t="s">
        <v>4258</v>
      </c>
      <c r="G3577" s="838">
        <v>9808117372</v>
      </c>
      <c r="H3577" s="869"/>
      <c r="I3577" s="1187">
        <v>37</v>
      </c>
      <c r="J3577" s="836" t="s">
        <v>48</v>
      </c>
      <c r="K3577" s="150" t="s">
        <v>1468</v>
      </c>
      <c r="L3577" s="150"/>
      <c r="M3577" s="145" t="s">
        <v>2336</v>
      </c>
      <c r="N3577" s="867">
        <v>65053</v>
      </c>
      <c r="O3577" s="867">
        <v>65053</v>
      </c>
      <c r="P3577" s="1093">
        <v>65068</v>
      </c>
      <c r="Q3577" s="491" t="s">
        <v>51</v>
      </c>
    </row>
    <row r="3578" spans="1:17" ht="18">
      <c r="A3578" s="512">
        <f t="shared" si="48"/>
        <v>2731</v>
      </c>
      <c r="B3578" s="660" t="s">
        <v>43</v>
      </c>
      <c r="C3578" s="644" t="s">
        <v>44</v>
      </c>
      <c r="D3578" s="644" t="s">
        <v>45</v>
      </c>
      <c r="E3578" s="679" t="s">
        <v>4163</v>
      </c>
      <c r="F3578" s="838" t="s">
        <v>4257</v>
      </c>
      <c r="G3578" s="838">
        <v>9806200842</v>
      </c>
      <c r="H3578" s="869"/>
      <c r="I3578" s="1187">
        <v>30</v>
      </c>
      <c r="J3578" s="836" t="s">
        <v>48</v>
      </c>
      <c r="K3578" s="150" t="s">
        <v>1468</v>
      </c>
      <c r="L3578" s="150"/>
      <c r="M3578" s="145" t="s">
        <v>2336</v>
      </c>
      <c r="N3578" s="867">
        <v>65053</v>
      </c>
      <c r="O3578" s="867">
        <v>65053</v>
      </c>
      <c r="P3578" s="1093">
        <v>65068</v>
      </c>
      <c r="Q3578" s="491" t="s">
        <v>51</v>
      </c>
    </row>
    <row r="3579" spans="1:17" ht="18">
      <c r="A3579" s="512">
        <f t="shared" si="48"/>
        <v>2732</v>
      </c>
      <c r="B3579" s="660" t="s">
        <v>43</v>
      </c>
      <c r="C3579" s="644" t="s">
        <v>44</v>
      </c>
      <c r="D3579" s="644" t="s">
        <v>45</v>
      </c>
      <c r="E3579" s="130" t="s">
        <v>4131</v>
      </c>
      <c r="F3579" s="130" t="s">
        <v>730</v>
      </c>
      <c r="G3579" s="150">
        <v>9810940747</v>
      </c>
      <c r="H3579" s="121"/>
      <c r="I3579" s="150">
        <v>31</v>
      </c>
      <c r="J3579" s="120" t="s">
        <v>48</v>
      </c>
      <c r="K3579" s="120" t="s">
        <v>1468</v>
      </c>
      <c r="L3579" s="120"/>
      <c r="M3579" s="146" t="s">
        <v>119</v>
      </c>
      <c r="N3579" s="710">
        <v>65053</v>
      </c>
      <c r="O3579" s="710">
        <v>65053</v>
      </c>
      <c r="P3579" s="1093">
        <v>65068</v>
      </c>
      <c r="Q3579" s="491" t="s">
        <v>51</v>
      </c>
    </row>
    <row r="3580" spans="1:17" ht="18">
      <c r="A3580" s="512">
        <f t="shared" si="48"/>
        <v>2733</v>
      </c>
      <c r="B3580" s="660" t="s">
        <v>43</v>
      </c>
      <c r="C3580" s="644" t="s">
        <v>44</v>
      </c>
      <c r="D3580" s="644" t="s">
        <v>45</v>
      </c>
      <c r="E3580" s="130" t="s">
        <v>4132</v>
      </c>
      <c r="F3580" s="130" t="s">
        <v>1204</v>
      </c>
      <c r="G3580" s="150">
        <v>9809815200</v>
      </c>
      <c r="H3580" s="121"/>
      <c r="I3580" s="150">
        <v>28</v>
      </c>
      <c r="J3580" s="120" t="s">
        <v>90</v>
      </c>
      <c r="K3580" s="120" t="s">
        <v>1468</v>
      </c>
      <c r="L3580" s="120"/>
      <c r="M3580" s="146" t="s">
        <v>119</v>
      </c>
      <c r="N3580" s="710">
        <v>65053</v>
      </c>
      <c r="O3580" s="710">
        <v>65053</v>
      </c>
      <c r="P3580" s="1093">
        <v>65068</v>
      </c>
      <c r="Q3580" s="491" t="s">
        <v>51</v>
      </c>
    </row>
    <row r="3581" spans="1:17" ht="18">
      <c r="A3581" s="512">
        <f t="shared" si="48"/>
        <v>2734</v>
      </c>
      <c r="B3581" s="660" t="s">
        <v>43</v>
      </c>
      <c r="C3581" s="644" t="s">
        <v>44</v>
      </c>
      <c r="D3581" s="644" t="s">
        <v>45</v>
      </c>
      <c r="E3581" s="130" t="s">
        <v>4133</v>
      </c>
      <c r="F3581" s="130" t="s">
        <v>510</v>
      </c>
      <c r="G3581" s="150">
        <v>9863177617</v>
      </c>
      <c r="H3581" s="121"/>
      <c r="I3581" s="150">
        <v>73</v>
      </c>
      <c r="J3581" s="120" t="s">
        <v>90</v>
      </c>
      <c r="K3581" s="120" t="s">
        <v>1468</v>
      </c>
      <c r="L3581" s="120"/>
      <c r="M3581" s="146" t="s">
        <v>119</v>
      </c>
      <c r="N3581" s="710">
        <v>65053</v>
      </c>
      <c r="O3581" s="710">
        <v>65053</v>
      </c>
      <c r="P3581" s="1093">
        <v>65068</v>
      </c>
      <c r="Q3581" s="491" t="s">
        <v>51</v>
      </c>
    </row>
    <row r="3582" spans="1:17" ht="18">
      <c r="A3582" s="512">
        <f t="shared" si="48"/>
        <v>2735</v>
      </c>
      <c r="B3582" s="660" t="s">
        <v>43</v>
      </c>
      <c r="C3582" s="644" t="s">
        <v>44</v>
      </c>
      <c r="D3582" s="644" t="s">
        <v>45</v>
      </c>
      <c r="E3582" s="130" t="s">
        <v>4134</v>
      </c>
      <c r="F3582" s="130" t="s">
        <v>491</v>
      </c>
      <c r="G3582" s="150">
        <v>9866902176</v>
      </c>
      <c r="H3582" s="121"/>
      <c r="I3582" s="150">
        <v>39</v>
      </c>
      <c r="J3582" s="120" t="s">
        <v>90</v>
      </c>
      <c r="K3582" s="120" t="s">
        <v>1468</v>
      </c>
      <c r="L3582" s="120"/>
      <c r="M3582" s="146" t="s">
        <v>119</v>
      </c>
      <c r="N3582" s="710">
        <v>65053</v>
      </c>
      <c r="O3582" s="710">
        <v>65053</v>
      </c>
      <c r="P3582" s="1093">
        <v>65068</v>
      </c>
      <c r="Q3582" s="491" t="s">
        <v>51</v>
      </c>
    </row>
    <row r="3583" spans="1:17" ht="18">
      <c r="A3583" s="512">
        <f t="shared" si="48"/>
        <v>2736</v>
      </c>
      <c r="B3583" s="660" t="s">
        <v>43</v>
      </c>
      <c r="C3583" s="644" t="s">
        <v>44</v>
      </c>
      <c r="D3583" s="644" t="s">
        <v>45</v>
      </c>
      <c r="E3583" s="130" t="s">
        <v>4135</v>
      </c>
      <c r="F3583" s="130" t="s">
        <v>491</v>
      </c>
      <c r="G3583" s="150">
        <v>9847990198</v>
      </c>
      <c r="H3583" s="121"/>
      <c r="I3583" s="150">
        <v>40</v>
      </c>
      <c r="J3583" s="120" t="s">
        <v>90</v>
      </c>
      <c r="K3583" s="120" t="s">
        <v>1468</v>
      </c>
      <c r="L3583" s="120"/>
      <c r="M3583" s="146" t="s">
        <v>119</v>
      </c>
      <c r="N3583" s="710">
        <v>65053</v>
      </c>
      <c r="O3583" s="710">
        <v>65053</v>
      </c>
      <c r="P3583" s="1093">
        <v>65068</v>
      </c>
      <c r="Q3583" s="491" t="s">
        <v>51</v>
      </c>
    </row>
    <row r="3584" spans="1:17" ht="18">
      <c r="A3584" s="512">
        <f t="shared" si="48"/>
        <v>2737</v>
      </c>
      <c r="B3584" s="660" t="s">
        <v>43</v>
      </c>
      <c r="C3584" s="644" t="s">
        <v>44</v>
      </c>
      <c r="D3584" s="644" t="s">
        <v>45</v>
      </c>
      <c r="E3584" s="130" t="s">
        <v>4136</v>
      </c>
      <c r="F3584" s="130" t="s">
        <v>441</v>
      </c>
      <c r="G3584" s="150">
        <v>9809851064</v>
      </c>
      <c r="H3584" s="121"/>
      <c r="I3584" s="150">
        <v>20</v>
      </c>
      <c r="J3584" s="120" t="s">
        <v>48</v>
      </c>
      <c r="K3584" s="120" t="s">
        <v>49</v>
      </c>
      <c r="L3584" s="120"/>
      <c r="M3584" s="146" t="s">
        <v>119</v>
      </c>
      <c r="N3584" s="710">
        <v>65053</v>
      </c>
      <c r="O3584" s="710">
        <v>65053</v>
      </c>
      <c r="P3584" s="1093">
        <v>65068</v>
      </c>
      <c r="Q3584" s="491" t="s">
        <v>51</v>
      </c>
    </row>
    <row r="3585" spans="1:17" ht="18">
      <c r="A3585" s="512">
        <f t="shared" si="48"/>
        <v>2738</v>
      </c>
      <c r="B3585" s="660" t="s">
        <v>43</v>
      </c>
      <c r="C3585" s="644" t="s">
        <v>44</v>
      </c>
      <c r="D3585" s="644" t="s">
        <v>45</v>
      </c>
      <c r="E3585" s="130" t="s">
        <v>4137</v>
      </c>
      <c r="F3585" s="130" t="s">
        <v>491</v>
      </c>
      <c r="G3585" s="150">
        <v>9846768720</v>
      </c>
      <c r="H3585" s="121"/>
      <c r="I3585" s="150">
        <v>30</v>
      </c>
      <c r="J3585" s="120" t="s">
        <v>90</v>
      </c>
      <c r="K3585" s="120" t="s">
        <v>1468</v>
      </c>
      <c r="L3585" s="120"/>
      <c r="M3585" s="146" t="s">
        <v>119</v>
      </c>
      <c r="N3585" s="710">
        <v>65053</v>
      </c>
      <c r="O3585" s="710">
        <v>65053</v>
      </c>
      <c r="P3585" s="1093">
        <v>65068</v>
      </c>
      <c r="Q3585" s="491" t="s">
        <v>51</v>
      </c>
    </row>
    <row r="3586" spans="1:17" ht="18">
      <c r="A3586" s="512">
        <f t="shared" si="48"/>
        <v>2739</v>
      </c>
      <c r="B3586" s="660" t="s">
        <v>43</v>
      </c>
      <c r="C3586" s="644" t="s">
        <v>44</v>
      </c>
      <c r="D3586" s="644" t="s">
        <v>45</v>
      </c>
      <c r="E3586" s="130" t="s">
        <v>4138</v>
      </c>
      <c r="F3586" s="130" t="s">
        <v>1046</v>
      </c>
      <c r="G3586" s="150">
        <v>9806245039</v>
      </c>
      <c r="H3586" s="121"/>
      <c r="I3586" s="150">
        <v>39</v>
      </c>
      <c r="J3586" s="120" t="s">
        <v>90</v>
      </c>
      <c r="K3586" s="120" t="s">
        <v>49</v>
      </c>
      <c r="L3586" s="120"/>
      <c r="M3586" s="146" t="s">
        <v>119</v>
      </c>
      <c r="N3586" s="710">
        <v>65053</v>
      </c>
      <c r="O3586" s="710">
        <v>65053</v>
      </c>
      <c r="P3586" s="1093">
        <v>65068</v>
      </c>
      <c r="Q3586" s="491" t="s">
        <v>51</v>
      </c>
    </row>
    <row r="3587" spans="1:17" ht="18">
      <c r="A3587" s="512">
        <f t="shared" si="48"/>
        <v>2740</v>
      </c>
      <c r="B3587" s="660" t="s">
        <v>43</v>
      </c>
      <c r="C3587" s="644" t="s">
        <v>44</v>
      </c>
      <c r="D3587" s="644" t="s">
        <v>45</v>
      </c>
      <c r="E3587" s="679" t="s">
        <v>4176</v>
      </c>
      <c r="F3587" s="838" t="s">
        <v>436</v>
      </c>
      <c r="G3587" s="838">
        <v>9841891061</v>
      </c>
      <c r="H3587" s="869"/>
      <c r="I3587" s="1187">
        <v>72</v>
      </c>
      <c r="J3587" s="836" t="s">
        <v>48</v>
      </c>
      <c r="K3587" s="150" t="s">
        <v>1468</v>
      </c>
      <c r="L3587" s="150"/>
      <c r="M3587" s="145" t="s">
        <v>2336</v>
      </c>
      <c r="N3587" s="867">
        <v>65053</v>
      </c>
      <c r="O3587" s="867">
        <v>65053</v>
      </c>
      <c r="P3587" s="1093">
        <v>65068</v>
      </c>
      <c r="Q3587" s="491" t="s">
        <v>51</v>
      </c>
    </row>
    <row r="3588" spans="1:17" ht="18">
      <c r="A3588" s="512">
        <f t="shared" si="48"/>
        <v>2741</v>
      </c>
      <c r="B3588" s="660" t="s">
        <v>43</v>
      </c>
      <c r="C3588" s="644" t="s">
        <v>44</v>
      </c>
      <c r="D3588" s="644" t="s">
        <v>45</v>
      </c>
      <c r="E3588" s="130" t="s">
        <v>4139</v>
      </c>
      <c r="F3588" s="130" t="s">
        <v>730</v>
      </c>
      <c r="G3588" s="150">
        <v>9857824763</v>
      </c>
      <c r="H3588" s="121"/>
      <c r="I3588" s="150">
        <v>52</v>
      </c>
      <c r="J3588" s="120" t="s">
        <v>48</v>
      </c>
      <c r="K3588" s="120" t="s">
        <v>1468</v>
      </c>
      <c r="L3588" s="120"/>
      <c r="M3588" s="146" t="s">
        <v>119</v>
      </c>
      <c r="N3588" s="710">
        <v>65053</v>
      </c>
      <c r="O3588" s="710">
        <v>65053</v>
      </c>
      <c r="P3588" s="1093">
        <v>65068</v>
      </c>
      <c r="Q3588" s="491" t="s">
        <v>51</v>
      </c>
    </row>
    <row r="3589" spans="1:17" ht="18">
      <c r="A3589" s="512">
        <f t="shared" si="48"/>
        <v>2742</v>
      </c>
      <c r="B3589" s="660" t="s">
        <v>43</v>
      </c>
      <c r="C3589" s="644" t="s">
        <v>44</v>
      </c>
      <c r="D3589" s="644" t="s">
        <v>45</v>
      </c>
      <c r="E3589" s="130" t="s">
        <v>4140</v>
      </c>
      <c r="F3589" s="130" t="s">
        <v>124</v>
      </c>
      <c r="G3589" s="150">
        <v>9806270981</v>
      </c>
      <c r="H3589" s="121"/>
      <c r="I3589" s="150">
        <v>19</v>
      </c>
      <c r="J3589" s="120" t="s">
        <v>90</v>
      </c>
      <c r="K3589" s="120" t="s">
        <v>1468</v>
      </c>
      <c r="L3589" s="120"/>
      <c r="M3589" s="146" t="s">
        <v>119</v>
      </c>
      <c r="N3589" s="710">
        <v>65053</v>
      </c>
      <c r="O3589" s="710">
        <v>65053</v>
      </c>
      <c r="P3589" s="1093">
        <v>65068</v>
      </c>
      <c r="Q3589" s="491" t="s">
        <v>51</v>
      </c>
    </row>
    <row r="3590" spans="1:17" ht="18">
      <c r="A3590" s="512">
        <f t="shared" si="48"/>
        <v>2743</v>
      </c>
      <c r="B3590" s="660" t="s">
        <v>43</v>
      </c>
      <c r="C3590" s="644" t="s">
        <v>44</v>
      </c>
      <c r="D3590" s="644" t="s">
        <v>45</v>
      </c>
      <c r="E3590" s="679" t="s">
        <v>4172</v>
      </c>
      <c r="F3590" s="838" t="s">
        <v>445</v>
      </c>
      <c r="G3590" s="838">
        <v>9842728495</v>
      </c>
      <c r="H3590" s="869"/>
      <c r="I3590" s="1187">
        <v>62</v>
      </c>
      <c r="J3590" s="836" t="s">
        <v>90</v>
      </c>
      <c r="K3590" s="150" t="s">
        <v>1468</v>
      </c>
      <c r="L3590" s="150"/>
      <c r="M3590" s="145" t="s">
        <v>2336</v>
      </c>
      <c r="N3590" s="867">
        <v>65053</v>
      </c>
      <c r="O3590" s="867">
        <v>65053</v>
      </c>
      <c r="P3590" s="1093">
        <v>65068</v>
      </c>
      <c r="Q3590" s="491" t="s">
        <v>51</v>
      </c>
    </row>
    <row r="3591" spans="1:17" ht="18">
      <c r="A3591" s="512">
        <f t="shared" si="48"/>
        <v>2744</v>
      </c>
      <c r="B3591" s="660" t="s">
        <v>43</v>
      </c>
      <c r="C3591" s="644" t="s">
        <v>44</v>
      </c>
      <c r="D3591" s="644" t="s">
        <v>45</v>
      </c>
      <c r="E3591" s="679" t="s">
        <v>4167</v>
      </c>
      <c r="F3591" s="838" t="s">
        <v>415</v>
      </c>
      <c r="G3591" s="838">
        <v>9809848402</v>
      </c>
      <c r="H3591" s="869"/>
      <c r="I3591" s="1187">
        <v>21</v>
      </c>
      <c r="J3591" s="836" t="s">
        <v>48</v>
      </c>
      <c r="K3591" s="150" t="s">
        <v>1468</v>
      </c>
      <c r="L3591" s="150"/>
      <c r="M3591" s="145" t="s">
        <v>2336</v>
      </c>
      <c r="N3591" s="867">
        <v>65053</v>
      </c>
      <c r="O3591" s="867">
        <v>65053</v>
      </c>
      <c r="P3591" s="1093">
        <v>65068</v>
      </c>
      <c r="Q3591" s="491" t="s">
        <v>51</v>
      </c>
    </row>
    <row r="3592" spans="1:17" ht="18">
      <c r="A3592" s="512">
        <f t="shared" si="48"/>
        <v>2745</v>
      </c>
      <c r="B3592" s="660" t="s">
        <v>43</v>
      </c>
      <c r="C3592" s="644" t="s">
        <v>44</v>
      </c>
      <c r="D3592" s="644" t="s">
        <v>45</v>
      </c>
      <c r="E3592" s="130" t="s">
        <v>4141</v>
      </c>
      <c r="F3592" s="130" t="s">
        <v>636</v>
      </c>
      <c r="G3592" s="150">
        <v>9806250677</v>
      </c>
      <c r="H3592" s="121"/>
      <c r="I3592" s="150">
        <v>62</v>
      </c>
      <c r="J3592" s="120" t="s">
        <v>90</v>
      </c>
      <c r="K3592" s="120" t="s">
        <v>1468</v>
      </c>
      <c r="L3592" s="120"/>
      <c r="M3592" s="146" t="s">
        <v>119</v>
      </c>
      <c r="N3592" s="710">
        <v>65053</v>
      </c>
      <c r="O3592" s="710">
        <v>65053</v>
      </c>
      <c r="P3592" s="1093">
        <v>65068</v>
      </c>
      <c r="Q3592" s="491" t="s">
        <v>51</v>
      </c>
    </row>
    <row r="3593" spans="1:17" ht="18">
      <c r="A3593" s="512">
        <f t="shared" si="48"/>
        <v>2746</v>
      </c>
      <c r="B3593" s="660" t="s">
        <v>43</v>
      </c>
      <c r="C3593" s="644" t="s">
        <v>44</v>
      </c>
      <c r="D3593" s="644" t="s">
        <v>45</v>
      </c>
      <c r="E3593" s="679" t="s">
        <v>4173</v>
      </c>
      <c r="F3593" s="838" t="s">
        <v>522</v>
      </c>
      <c r="G3593" s="838">
        <v>9857820631</v>
      </c>
      <c r="H3593" s="869"/>
      <c r="I3593" s="1187">
        <v>77</v>
      </c>
      <c r="J3593" s="836" t="s">
        <v>48</v>
      </c>
      <c r="K3593" s="150" t="s">
        <v>1468</v>
      </c>
      <c r="L3593" s="150"/>
      <c r="M3593" s="145" t="s">
        <v>2336</v>
      </c>
      <c r="N3593" s="867">
        <v>65053</v>
      </c>
      <c r="O3593" s="867">
        <v>65053</v>
      </c>
      <c r="P3593" s="1093">
        <v>65068</v>
      </c>
      <c r="Q3593" s="491" t="s">
        <v>51</v>
      </c>
    </row>
    <row r="3594" spans="1:17" ht="18">
      <c r="A3594" s="512">
        <f t="shared" si="48"/>
        <v>2747</v>
      </c>
      <c r="B3594" s="660" t="s">
        <v>43</v>
      </c>
      <c r="C3594" s="644" t="s">
        <v>44</v>
      </c>
      <c r="D3594" s="644" t="s">
        <v>45</v>
      </c>
      <c r="E3594" s="130" t="s">
        <v>4142</v>
      </c>
      <c r="F3594" s="130" t="s">
        <v>441</v>
      </c>
      <c r="G3594" s="150">
        <v>9847833930</v>
      </c>
      <c r="H3594" s="121"/>
      <c r="I3594" s="150">
        <v>53</v>
      </c>
      <c r="J3594" s="120" t="s">
        <v>48</v>
      </c>
      <c r="K3594" s="120" t="s">
        <v>49</v>
      </c>
      <c r="L3594" s="120"/>
      <c r="M3594" s="146" t="s">
        <v>119</v>
      </c>
      <c r="N3594" s="710">
        <v>65053</v>
      </c>
      <c r="O3594" s="710">
        <v>65053</v>
      </c>
      <c r="P3594" s="1093">
        <v>65068</v>
      </c>
      <c r="Q3594" s="491" t="s">
        <v>51</v>
      </c>
    </row>
    <row r="3595" spans="1:17" ht="18">
      <c r="A3595" s="512">
        <f t="shared" si="48"/>
        <v>2748</v>
      </c>
      <c r="B3595" s="660" t="s">
        <v>43</v>
      </c>
      <c r="C3595" s="644" t="s">
        <v>44</v>
      </c>
      <c r="D3595" s="644" t="s">
        <v>45</v>
      </c>
      <c r="E3595" s="679" t="s">
        <v>4171</v>
      </c>
      <c r="F3595" s="838" t="s">
        <v>445</v>
      </c>
      <c r="G3595" s="838">
        <v>9810985850</v>
      </c>
      <c r="H3595" s="869"/>
      <c r="I3595" s="1187">
        <v>54</v>
      </c>
      <c r="J3595" s="836" t="s">
        <v>90</v>
      </c>
      <c r="K3595" s="150" t="s">
        <v>1468</v>
      </c>
      <c r="L3595" s="150"/>
      <c r="M3595" s="145" t="s">
        <v>2336</v>
      </c>
      <c r="N3595" s="867">
        <v>65053</v>
      </c>
      <c r="O3595" s="867">
        <v>65053</v>
      </c>
      <c r="P3595" s="1093">
        <v>65068</v>
      </c>
      <c r="Q3595" s="491" t="s">
        <v>51</v>
      </c>
    </row>
    <row r="3596" spans="1:17" ht="18">
      <c r="A3596" s="512">
        <f t="shared" si="48"/>
        <v>2749</v>
      </c>
      <c r="B3596" s="660" t="s">
        <v>43</v>
      </c>
      <c r="C3596" s="644" t="s">
        <v>44</v>
      </c>
      <c r="D3596" s="644" t="s">
        <v>45</v>
      </c>
      <c r="E3596" s="130" t="s">
        <v>4143</v>
      </c>
      <c r="F3596" s="130" t="s">
        <v>598</v>
      </c>
      <c r="G3596" s="150">
        <v>9847830194</v>
      </c>
      <c r="H3596" s="121"/>
      <c r="I3596" s="150">
        <v>43</v>
      </c>
      <c r="J3596" s="120" t="s">
        <v>90</v>
      </c>
      <c r="K3596" s="120" t="s">
        <v>1468</v>
      </c>
      <c r="L3596" s="120"/>
      <c r="M3596" s="146" t="s">
        <v>119</v>
      </c>
      <c r="N3596" s="710">
        <v>65053</v>
      </c>
      <c r="O3596" s="710">
        <v>65053</v>
      </c>
      <c r="P3596" s="1093">
        <v>65068</v>
      </c>
      <c r="Q3596" s="491" t="s">
        <v>51</v>
      </c>
    </row>
    <row r="3597" spans="1:17" ht="18">
      <c r="A3597" s="512">
        <f t="shared" si="48"/>
        <v>2750</v>
      </c>
      <c r="B3597" s="660" t="s">
        <v>43</v>
      </c>
      <c r="C3597" s="644" t="s">
        <v>44</v>
      </c>
      <c r="D3597" s="644" t="s">
        <v>45</v>
      </c>
      <c r="E3597" s="679" t="s">
        <v>4169</v>
      </c>
      <c r="F3597" s="838" t="s">
        <v>415</v>
      </c>
      <c r="G3597" s="838">
        <v>9812814124</v>
      </c>
      <c r="H3597" s="869"/>
      <c r="I3597" s="1187">
        <v>36</v>
      </c>
      <c r="J3597" s="836" t="s">
        <v>90</v>
      </c>
      <c r="K3597" s="150" t="s">
        <v>1468</v>
      </c>
      <c r="L3597" s="150"/>
      <c r="M3597" s="145" t="s">
        <v>2336</v>
      </c>
      <c r="N3597" s="867">
        <v>65053</v>
      </c>
      <c r="O3597" s="867">
        <v>65053</v>
      </c>
      <c r="P3597" s="1093">
        <v>65068</v>
      </c>
      <c r="Q3597" s="491" t="s">
        <v>51</v>
      </c>
    </row>
    <row r="3598" spans="1:17" ht="18">
      <c r="A3598" s="512">
        <f t="shared" si="48"/>
        <v>2751</v>
      </c>
      <c r="B3598" s="660" t="s">
        <v>43</v>
      </c>
      <c r="C3598" s="644" t="s">
        <v>44</v>
      </c>
      <c r="D3598" s="644" t="s">
        <v>45</v>
      </c>
      <c r="E3598" s="130" t="s">
        <v>2633</v>
      </c>
      <c r="F3598" s="130" t="s">
        <v>1046</v>
      </c>
      <c r="G3598" s="150">
        <v>9809813828</v>
      </c>
      <c r="H3598" s="121"/>
      <c r="I3598" s="150">
        <v>19</v>
      </c>
      <c r="J3598" s="120" t="s">
        <v>90</v>
      </c>
      <c r="K3598" s="120" t="s">
        <v>1468</v>
      </c>
      <c r="L3598" s="120"/>
      <c r="M3598" s="146" t="s">
        <v>119</v>
      </c>
      <c r="N3598" s="710">
        <v>65053</v>
      </c>
      <c r="O3598" s="710">
        <v>65053</v>
      </c>
      <c r="P3598" s="1093">
        <v>65068</v>
      </c>
      <c r="Q3598" s="491" t="s">
        <v>51</v>
      </c>
    </row>
    <row r="3599" spans="1:17" ht="18">
      <c r="A3599" s="512">
        <f t="shared" si="48"/>
        <v>2752</v>
      </c>
      <c r="B3599" s="660" t="s">
        <v>43</v>
      </c>
      <c r="C3599" s="644" t="s">
        <v>44</v>
      </c>
      <c r="D3599" s="644" t="s">
        <v>45</v>
      </c>
      <c r="E3599" s="130" t="s">
        <v>2137</v>
      </c>
      <c r="F3599" s="130" t="s">
        <v>1046</v>
      </c>
      <c r="G3599" s="150">
        <v>9847822921</v>
      </c>
      <c r="H3599" s="121"/>
      <c r="I3599" s="150">
        <v>28</v>
      </c>
      <c r="J3599" s="120" t="s">
        <v>48</v>
      </c>
      <c r="K3599" s="120" t="s">
        <v>345</v>
      </c>
      <c r="L3599" s="120"/>
      <c r="M3599" s="146" t="s">
        <v>119</v>
      </c>
      <c r="N3599" s="710">
        <v>65053</v>
      </c>
      <c r="O3599" s="710">
        <v>65053</v>
      </c>
      <c r="P3599" s="1093">
        <v>65068</v>
      </c>
      <c r="Q3599" s="491" t="s">
        <v>51</v>
      </c>
    </row>
    <row r="3600" spans="1:17" ht="18">
      <c r="A3600" s="512">
        <f t="shared" si="48"/>
        <v>2753</v>
      </c>
      <c r="B3600" s="660" t="s">
        <v>43</v>
      </c>
      <c r="C3600" s="644" t="s">
        <v>44</v>
      </c>
      <c r="D3600" s="644" t="s">
        <v>45</v>
      </c>
      <c r="E3600" s="130" t="s">
        <v>4144</v>
      </c>
      <c r="F3600" s="130" t="s">
        <v>1008</v>
      </c>
      <c r="G3600" s="150">
        <v>9869603529</v>
      </c>
      <c r="H3600" s="121"/>
      <c r="I3600" s="150">
        <v>34</v>
      </c>
      <c r="J3600" s="120" t="s">
        <v>90</v>
      </c>
      <c r="K3600" s="120" t="s">
        <v>1468</v>
      </c>
      <c r="L3600" s="120"/>
      <c r="M3600" s="146" t="s">
        <v>119</v>
      </c>
      <c r="N3600" s="710">
        <v>65053</v>
      </c>
      <c r="O3600" s="710">
        <v>65053</v>
      </c>
      <c r="P3600" s="1093">
        <v>65068</v>
      </c>
      <c r="Q3600" s="491" t="s">
        <v>51</v>
      </c>
    </row>
    <row r="3601" spans="1:17" ht="18">
      <c r="A3601" s="512">
        <f t="shared" si="48"/>
        <v>2754</v>
      </c>
      <c r="B3601" s="660" t="s">
        <v>43</v>
      </c>
      <c r="C3601" s="644" t="s">
        <v>44</v>
      </c>
      <c r="D3601" s="644" t="s">
        <v>45</v>
      </c>
      <c r="E3601" s="130" t="s">
        <v>4145</v>
      </c>
      <c r="F3601" s="130" t="s">
        <v>1008</v>
      </c>
      <c r="G3601" s="150">
        <v>9847842769</v>
      </c>
      <c r="H3601" s="121"/>
      <c r="I3601" s="150">
        <v>20</v>
      </c>
      <c r="J3601" s="120" t="s">
        <v>90</v>
      </c>
      <c r="K3601" s="120" t="s">
        <v>1468</v>
      </c>
      <c r="L3601" s="120"/>
      <c r="M3601" s="146" t="s">
        <v>119</v>
      </c>
      <c r="N3601" s="710">
        <v>65053</v>
      </c>
      <c r="O3601" s="710">
        <v>65053</v>
      </c>
      <c r="P3601" s="1093">
        <v>65068</v>
      </c>
      <c r="Q3601" s="491" t="s">
        <v>51</v>
      </c>
    </row>
    <row r="3602" spans="1:17" ht="18">
      <c r="A3602" s="512">
        <f t="shared" ref="A3602:A3665" si="49">A3601+1</f>
        <v>2755</v>
      </c>
      <c r="B3602" s="660" t="s">
        <v>43</v>
      </c>
      <c r="C3602" s="644" t="s">
        <v>44</v>
      </c>
      <c r="D3602" s="644" t="s">
        <v>45</v>
      </c>
      <c r="E3602" s="130" t="s">
        <v>4146</v>
      </c>
      <c r="F3602" s="130" t="s">
        <v>1009</v>
      </c>
      <c r="G3602" s="150">
        <v>9806280780</v>
      </c>
      <c r="H3602" s="121"/>
      <c r="I3602" s="150">
        <v>33</v>
      </c>
      <c r="J3602" s="120" t="s">
        <v>90</v>
      </c>
      <c r="K3602" s="120" t="s">
        <v>1468</v>
      </c>
      <c r="L3602" s="120"/>
      <c r="M3602" s="146" t="s">
        <v>119</v>
      </c>
      <c r="N3602" s="710">
        <v>65053</v>
      </c>
      <c r="O3602" s="710">
        <v>65053</v>
      </c>
      <c r="P3602" s="1093">
        <v>65068</v>
      </c>
      <c r="Q3602" s="491" t="s">
        <v>51</v>
      </c>
    </row>
    <row r="3603" spans="1:17" ht="18">
      <c r="A3603" s="512">
        <f t="shared" si="49"/>
        <v>2756</v>
      </c>
      <c r="B3603" s="660" t="s">
        <v>43</v>
      </c>
      <c r="C3603" s="644" t="s">
        <v>44</v>
      </c>
      <c r="D3603" s="644" t="s">
        <v>45</v>
      </c>
      <c r="E3603" s="679" t="s">
        <v>4170</v>
      </c>
      <c r="F3603" s="838" t="s">
        <v>409</v>
      </c>
      <c r="G3603" s="838">
        <v>9810901937</v>
      </c>
      <c r="H3603" s="869"/>
      <c r="I3603" s="1187">
        <v>77</v>
      </c>
      <c r="J3603" s="836" t="s">
        <v>90</v>
      </c>
      <c r="K3603" s="150" t="s">
        <v>1468</v>
      </c>
      <c r="L3603" s="150"/>
      <c r="M3603" s="145" t="s">
        <v>2336</v>
      </c>
      <c r="N3603" s="867">
        <v>65053</v>
      </c>
      <c r="O3603" s="867">
        <v>65053</v>
      </c>
      <c r="P3603" s="1093">
        <v>65068</v>
      </c>
      <c r="Q3603" s="491" t="s">
        <v>51</v>
      </c>
    </row>
    <row r="3604" spans="1:17" ht="18">
      <c r="A3604" s="512">
        <f t="shared" si="49"/>
        <v>2757</v>
      </c>
      <c r="B3604" s="660" t="s">
        <v>43</v>
      </c>
      <c r="C3604" s="644" t="s">
        <v>44</v>
      </c>
      <c r="D3604" s="644" t="s">
        <v>45</v>
      </c>
      <c r="E3604" s="679" t="s">
        <v>4164</v>
      </c>
      <c r="F3604" s="838" t="s">
        <v>4257</v>
      </c>
      <c r="G3604" s="838">
        <v>9806200842</v>
      </c>
      <c r="H3604" s="869"/>
      <c r="I3604" s="1187">
        <v>25</v>
      </c>
      <c r="J3604" s="836" t="s">
        <v>90</v>
      </c>
      <c r="K3604" s="150" t="s">
        <v>1468</v>
      </c>
      <c r="L3604" s="150"/>
      <c r="M3604" s="145" t="s">
        <v>2336</v>
      </c>
      <c r="N3604" s="867">
        <v>65053</v>
      </c>
      <c r="O3604" s="867">
        <v>65053</v>
      </c>
      <c r="P3604" s="1093">
        <v>65068</v>
      </c>
      <c r="Q3604" s="491" t="s">
        <v>51</v>
      </c>
    </row>
    <row r="3605" spans="1:17" ht="18">
      <c r="A3605" s="512">
        <f t="shared" si="49"/>
        <v>2758</v>
      </c>
      <c r="B3605" s="660" t="s">
        <v>43</v>
      </c>
      <c r="C3605" s="644" t="s">
        <v>44</v>
      </c>
      <c r="D3605" s="644" t="s">
        <v>45</v>
      </c>
      <c r="E3605" s="130" t="s">
        <v>4147</v>
      </c>
      <c r="F3605" s="130" t="s">
        <v>491</v>
      </c>
      <c r="G3605" s="150">
        <v>9847875445</v>
      </c>
      <c r="H3605" s="121"/>
      <c r="I3605" s="150">
        <v>35</v>
      </c>
      <c r="J3605" s="120" t="s">
        <v>90</v>
      </c>
      <c r="K3605" s="120" t="s">
        <v>49</v>
      </c>
      <c r="L3605" s="120"/>
      <c r="M3605" s="146" t="s">
        <v>119</v>
      </c>
      <c r="N3605" s="710">
        <v>65053</v>
      </c>
      <c r="O3605" s="710">
        <v>65053</v>
      </c>
      <c r="P3605" s="1093">
        <v>65068</v>
      </c>
      <c r="Q3605" s="491" t="s">
        <v>51</v>
      </c>
    </row>
    <row r="3606" spans="1:17" ht="18">
      <c r="A3606" s="512">
        <f t="shared" si="49"/>
        <v>2759</v>
      </c>
      <c r="B3606" s="660" t="s">
        <v>43</v>
      </c>
      <c r="C3606" s="644" t="s">
        <v>44</v>
      </c>
      <c r="D3606" s="644" t="s">
        <v>45</v>
      </c>
      <c r="E3606" s="679" t="s">
        <v>4180</v>
      </c>
      <c r="F3606" s="838" t="s">
        <v>557</v>
      </c>
      <c r="G3606" s="838">
        <v>9847888392</v>
      </c>
      <c r="H3606" s="869"/>
      <c r="I3606" s="1187">
        <v>45</v>
      </c>
      <c r="J3606" s="836" t="s">
        <v>48</v>
      </c>
      <c r="K3606" s="150" t="s">
        <v>1468</v>
      </c>
      <c r="L3606" s="150"/>
      <c r="M3606" s="145" t="s">
        <v>2336</v>
      </c>
      <c r="N3606" s="867">
        <v>65053</v>
      </c>
      <c r="O3606" s="867">
        <v>65053</v>
      </c>
      <c r="P3606" s="1093">
        <v>65068</v>
      </c>
      <c r="Q3606" s="491" t="s">
        <v>51</v>
      </c>
    </row>
    <row r="3607" spans="1:17" ht="18">
      <c r="A3607" s="512">
        <f t="shared" si="49"/>
        <v>2760</v>
      </c>
      <c r="B3607" s="660" t="s">
        <v>43</v>
      </c>
      <c r="C3607" s="644" t="s">
        <v>44</v>
      </c>
      <c r="D3607" s="644" t="s">
        <v>45</v>
      </c>
      <c r="E3607" s="130" t="s">
        <v>4148</v>
      </c>
      <c r="F3607" s="130" t="s">
        <v>491</v>
      </c>
      <c r="G3607" s="150">
        <v>9847940898</v>
      </c>
      <c r="H3607" s="121"/>
      <c r="I3607" s="150">
        <v>35</v>
      </c>
      <c r="J3607" s="120" t="s">
        <v>48</v>
      </c>
      <c r="K3607" s="120" t="s">
        <v>1468</v>
      </c>
      <c r="L3607" s="120"/>
      <c r="M3607" s="146" t="s">
        <v>119</v>
      </c>
      <c r="N3607" s="710">
        <v>65053</v>
      </c>
      <c r="O3607" s="710">
        <v>65053</v>
      </c>
      <c r="P3607" s="1093">
        <v>65068</v>
      </c>
      <c r="Q3607" s="491" t="s">
        <v>51</v>
      </c>
    </row>
    <row r="3608" spans="1:17" ht="18">
      <c r="A3608" s="512">
        <f t="shared" si="49"/>
        <v>2761</v>
      </c>
      <c r="B3608" s="660" t="s">
        <v>43</v>
      </c>
      <c r="C3608" s="644" t="s">
        <v>44</v>
      </c>
      <c r="D3608" s="644" t="s">
        <v>45</v>
      </c>
      <c r="E3608" s="130" t="s">
        <v>4149</v>
      </c>
      <c r="F3608" s="130" t="s">
        <v>557</v>
      </c>
      <c r="G3608" s="150">
        <v>9844953614</v>
      </c>
      <c r="H3608" s="121"/>
      <c r="I3608" s="150">
        <v>39</v>
      </c>
      <c r="J3608" s="120" t="s">
        <v>90</v>
      </c>
      <c r="K3608" s="120" t="s">
        <v>53</v>
      </c>
      <c r="L3608" s="120"/>
      <c r="M3608" s="146" t="s">
        <v>119</v>
      </c>
      <c r="N3608" s="710">
        <v>65053</v>
      </c>
      <c r="O3608" s="710">
        <v>65053</v>
      </c>
      <c r="P3608" s="1093">
        <v>65068</v>
      </c>
      <c r="Q3608" s="491" t="s">
        <v>51</v>
      </c>
    </row>
    <row r="3609" spans="1:17" ht="18">
      <c r="A3609" s="512">
        <f t="shared" si="49"/>
        <v>2762</v>
      </c>
      <c r="B3609" s="660" t="s">
        <v>43</v>
      </c>
      <c r="C3609" s="644" t="s">
        <v>44</v>
      </c>
      <c r="D3609" s="644" t="s">
        <v>45</v>
      </c>
      <c r="E3609" s="130" t="s">
        <v>4150</v>
      </c>
      <c r="F3609" s="130" t="s">
        <v>1008</v>
      </c>
      <c r="G3609" s="150">
        <v>9847832212</v>
      </c>
      <c r="H3609" s="121"/>
      <c r="I3609" s="150">
        <v>19</v>
      </c>
      <c r="J3609" s="120" t="s">
        <v>90</v>
      </c>
      <c r="K3609" s="120" t="s">
        <v>1468</v>
      </c>
      <c r="L3609" s="120"/>
      <c r="M3609" s="146" t="s">
        <v>119</v>
      </c>
      <c r="N3609" s="710">
        <v>65053</v>
      </c>
      <c r="O3609" s="710">
        <v>65053</v>
      </c>
      <c r="P3609" s="1093">
        <v>65068</v>
      </c>
      <c r="Q3609" s="491" t="s">
        <v>51</v>
      </c>
    </row>
    <row r="3610" spans="1:17" ht="18">
      <c r="A3610" s="512">
        <f t="shared" si="49"/>
        <v>2763</v>
      </c>
      <c r="B3610" s="660" t="s">
        <v>43</v>
      </c>
      <c r="C3610" s="644" t="s">
        <v>44</v>
      </c>
      <c r="D3610" s="644" t="s">
        <v>45</v>
      </c>
      <c r="E3610" s="679" t="s">
        <v>4179</v>
      </c>
      <c r="F3610" s="838" t="s">
        <v>1046</v>
      </c>
      <c r="G3610" s="838">
        <v>9841485915</v>
      </c>
      <c r="H3610" s="869"/>
      <c r="I3610" s="1187">
        <v>7</v>
      </c>
      <c r="J3610" s="836" t="s">
        <v>90</v>
      </c>
      <c r="K3610" s="150" t="s">
        <v>1468</v>
      </c>
      <c r="L3610" s="150"/>
      <c r="M3610" s="145" t="s">
        <v>2336</v>
      </c>
      <c r="N3610" s="867">
        <v>65053</v>
      </c>
      <c r="O3610" s="867">
        <v>65053</v>
      </c>
      <c r="P3610" s="1093">
        <v>65068</v>
      </c>
      <c r="Q3610" s="491" t="s">
        <v>51</v>
      </c>
    </row>
    <row r="3611" spans="1:17" ht="18">
      <c r="A3611" s="512">
        <f t="shared" si="49"/>
        <v>2764</v>
      </c>
      <c r="B3611" s="660" t="s">
        <v>43</v>
      </c>
      <c r="C3611" s="644" t="s">
        <v>44</v>
      </c>
      <c r="D3611" s="644" t="s">
        <v>45</v>
      </c>
      <c r="E3611" s="130" t="s">
        <v>4151</v>
      </c>
      <c r="F3611" s="130" t="s">
        <v>491</v>
      </c>
      <c r="G3611" s="150">
        <v>9863153962</v>
      </c>
      <c r="H3611" s="121"/>
      <c r="I3611" s="150">
        <v>32</v>
      </c>
      <c r="J3611" s="120" t="s">
        <v>90</v>
      </c>
      <c r="K3611" s="120" t="s">
        <v>1468</v>
      </c>
      <c r="L3611" s="120"/>
      <c r="M3611" s="146" t="s">
        <v>119</v>
      </c>
      <c r="N3611" s="710">
        <v>65053</v>
      </c>
      <c r="O3611" s="710">
        <v>65053</v>
      </c>
      <c r="P3611" s="1093">
        <v>65068</v>
      </c>
      <c r="Q3611" s="491" t="s">
        <v>51</v>
      </c>
    </row>
    <row r="3612" spans="1:17" ht="18">
      <c r="A3612" s="512">
        <f t="shared" si="49"/>
        <v>2765</v>
      </c>
      <c r="B3612" s="660" t="s">
        <v>43</v>
      </c>
      <c r="C3612" s="644" t="s">
        <v>44</v>
      </c>
      <c r="D3612" s="644" t="s">
        <v>45</v>
      </c>
      <c r="E3612" s="130" t="s">
        <v>4152</v>
      </c>
      <c r="F3612" s="130" t="s">
        <v>1008</v>
      </c>
      <c r="G3612" s="150">
        <v>9847832212</v>
      </c>
      <c r="H3612" s="121"/>
      <c r="I3612" s="150">
        <v>23</v>
      </c>
      <c r="J3612" s="120" t="s">
        <v>90</v>
      </c>
      <c r="K3612" s="120" t="s">
        <v>1468</v>
      </c>
      <c r="L3612" s="120"/>
      <c r="M3612" s="146" t="s">
        <v>119</v>
      </c>
      <c r="N3612" s="710">
        <v>65053</v>
      </c>
      <c r="O3612" s="710">
        <v>65053</v>
      </c>
      <c r="P3612" s="1093">
        <v>65068</v>
      </c>
      <c r="Q3612" s="491" t="s">
        <v>51</v>
      </c>
    </row>
    <row r="3613" spans="1:17" ht="18">
      <c r="A3613" s="512">
        <f t="shared" si="49"/>
        <v>2766</v>
      </c>
      <c r="B3613" s="660" t="s">
        <v>43</v>
      </c>
      <c r="C3613" s="644" t="s">
        <v>44</v>
      </c>
      <c r="D3613" s="644" t="s">
        <v>45</v>
      </c>
      <c r="E3613" s="679" t="s">
        <v>4161</v>
      </c>
      <c r="F3613" s="838" t="s">
        <v>636</v>
      </c>
      <c r="G3613" s="838">
        <v>9812840546</v>
      </c>
      <c r="H3613" s="869"/>
      <c r="I3613" s="1187">
        <v>35</v>
      </c>
      <c r="J3613" s="836" t="s">
        <v>90</v>
      </c>
      <c r="K3613" s="150" t="s">
        <v>1468</v>
      </c>
      <c r="L3613" s="150"/>
      <c r="M3613" s="145" t="s">
        <v>2336</v>
      </c>
      <c r="N3613" s="867">
        <v>65053</v>
      </c>
      <c r="O3613" s="867">
        <v>65053</v>
      </c>
      <c r="P3613" s="1093">
        <v>65068</v>
      </c>
      <c r="Q3613" s="491" t="s">
        <v>51</v>
      </c>
    </row>
    <row r="3614" spans="1:17" ht="18">
      <c r="A3614" s="512">
        <f t="shared" si="49"/>
        <v>2767</v>
      </c>
      <c r="B3614" s="660" t="s">
        <v>43</v>
      </c>
      <c r="C3614" s="644" t="s">
        <v>44</v>
      </c>
      <c r="D3614" s="644" t="s">
        <v>45</v>
      </c>
      <c r="E3614" s="130" t="s">
        <v>4153</v>
      </c>
      <c r="F3614" s="130" t="s">
        <v>124</v>
      </c>
      <c r="G3614" s="150">
        <v>9841391349</v>
      </c>
      <c r="H3614" s="121"/>
      <c r="I3614" s="150">
        <v>60</v>
      </c>
      <c r="J3614" s="120" t="s">
        <v>90</v>
      </c>
      <c r="K3614" s="120" t="s">
        <v>1468</v>
      </c>
      <c r="L3614" s="120"/>
      <c r="M3614" s="146" t="s">
        <v>119</v>
      </c>
      <c r="N3614" s="710">
        <v>65053</v>
      </c>
      <c r="O3614" s="710">
        <v>65053</v>
      </c>
      <c r="P3614" s="1093">
        <v>65068</v>
      </c>
      <c r="Q3614" s="491" t="s">
        <v>51</v>
      </c>
    </row>
    <row r="3615" spans="1:17" ht="18">
      <c r="A3615" s="512">
        <f t="shared" si="49"/>
        <v>2768</v>
      </c>
      <c r="B3615" s="660" t="s">
        <v>43</v>
      </c>
      <c r="C3615" s="644" t="s">
        <v>44</v>
      </c>
      <c r="D3615" s="644" t="s">
        <v>45</v>
      </c>
      <c r="E3615" s="130" t="s">
        <v>4154</v>
      </c>
      <c r="F3615" s="130" t="s">
        <v>1204</v>
      </c>
      <c r="G3615" s="150">
        <v>9857832942</v>
      </c>
      <c r="H3615" s="121"/>
      <c r="I3615" s="150">
        <v>40</v>
      </c>
      <c r="J3615" s="120" t="s">
        <v>48</v>
      </c>
      <c r="K3615" s="120" t="s">
        <v>1468</v>
      </c>
      <c r="L3615" s="120"/>
      <c r="M3615" s="146" t="s">
        <v>119</v>
      </c>
      <c r="N3615" s="710">
        <v>65053</v>
      </c>
      <c r="O3615" s="710">
        <v>65053</v>
      </c>
      <c r="P3615" s="1093">
        <v>65068</v>
      </c>
      <c r="Q3615" s="491" t="s">
        <v>51</v>
      </c>
    </row>
    <row r="3616" spans="1:17" ht="18">
      <c r="A3616" s="512">
        <f t="shared" si="49"/>
        <v>2769</v>
      </c>
      <c r="B3616" s="660" t="s">
        <v>43</v>
      </c>
      <c r="C3616" s="644" t="s">
        <v>44</v>
      </c>
      <c r="D3616" s="644" t="s">
        <v>45</v>
      </c>
      <c r="E3616" s="130" t="s">
        <v>4155</v>
      </c>
      <c r="F3616" s="130" t="s">
        <v>510</v>
      </c>
      <c r="G3616" s="150">
        <v>9809787951</v>
      </c>
      <c r="H3616" s="121"/>
      <c r="I3616" s="150">
        <v>20</v>
      </c>
      <c r="J3616" s="120" t="s">
        <v>48</v>
      </c>
      <c r="K3616" s="120" t="s">
        <v>1468</v>
      </c>
      <c r="L3616" s="120"/>
      <c r="M3616" s="146" t="s">
        <v>119</v>
      </c>
      <c r="N3616" s="710">
        <v>65053</v>
      </c>
      <c r="O3616" s="710">
        <v>65053</v>
      </c>
      <c r="P3616" s="1093">
        <v>65068</v>
      </c>
      <c r="Q3616" s="491" t="s">
        <v>51</v>
      </c>
    </row>
    <row r="3617" spans="1:17" ht="18">
      <c r="A3617" s="512">
        <f t="shared" si="49"/>
        <v>2770</v>
      </c>
      <c r="B3617" s="660" t="s">
        <v>43</v>
      </c>
      <c r="C3617" s="644" t="s">
        <v>44</v>
      </c>
      <c r="D3617" s="644" t="s">
        <v>45</v>
      </c>
      <c r="E3617" s="130" t="s">
        <v>4156</v>
      </c>
      <c r="F3617" s="130" t="s">
        <v>1009</v>
      </c>
      <c r="G3617" s="150">
        <v>9822991645</v>
      </c>
      <c r="H3617" s="121"/>
      <c r="I3617" s="150">
        <v>30</v>
      </c>
      <c r="J3617" s="120" t="s">
        <v>90</v>
      </c>
      <c r="K3617" s="120" t="s">
        <v>1468</v>
      </c>
      <c r="L3617" s="120"/>
      <c r="M3617" s="146" t="s">
        <v>119</v>
      </c>
      <c r="N3617" s="710">
        <v>65053</v>
      </c>
      <c r="O3617" s="710">
        <v>65053</v>
      </c>
      <c r="P3617" s="1093">
        <v>65068</v>
      </c>
      <c r="Q3617" s="491" t="s">
        <v>51</v>
      </c>
    </row>
    <row r="3618" spans="1:17" ht="18">
      <c r="A3618" s="512">
        <f t="shared" si="49"/>
        <v>2771</v>
      </c>
      <c r="B3618" s="660" t="s">
        <v>43</v>
      </c>
      <c r="C3618" s="644" t="s">
        <v>44</v>
      </c>
      <c r="D3618" s="644" t="s">
        <v>45</v>
      </c>
      <c r="E3618" s="679" t="s">
        <v>4178</v>
      </c>
      <c r="F3618" s="838" t="s">
        <v>1046</v>
      </c>
      <c r="G3618" s="838">
        <v>9847843347</v>
      </c>
      <c r="H3618" s="869"/>
      <c r="I3618" s="1187">
        <v>83</v>
      </c>
      <c r="J3618" s="836" t="s">
        <v>48</v>
      </c>
      <c r="K3618" s="150" t="s">
        <v>1468</v>
      </c>
      <c r="L3618" s="150"/>
      <c r="M3618" s="145" t="s">
        <v>2336</v>
      </c>
      <c r="N3618" s="867">
        <v>65053</v>
      </c>
      <c r="O3618" s="867">
        <v>65053</v>
      </c>
      <c r="P3618" s="1093">
        <v>65068</v>
      </c>
      <c r="Q3618" s="491" t="s">
        <v>51</v>
      </c>
    </row>
    <row r="3619" spans="1:17" ht="18">
      <c r="A3619" s="512">
        <f t="shared" si="49"/>
        <v>2772</v>
      </c>
      <c r="B3619" s="660" t="s">
        <v>43</v>
      </c>
      <c r="C3619" s="644" t="s">
        <v>44</v>
      </c>
      <c r="D3619" s="644" t="s">
        <v>45</v>
      </c>
      <c r="E3619" s="130" t="s">
        <v>4157</v>
      </c>
      <c r="F3619" s="130" t="s">
        <v>1008</v>
      </c>
      <c r="G3619" s="150">
        <v>9846655396</v>
      </c>
      <c r="H3619" s="121"/>
      <c r="I3619" s="150">
        <v>38</v>
      </c>
      <c r="J3619" s="120" t="s">
        <v>48</v>
      </c>
      <c r="K3619" s="120" t="s">
        <v>1468</v>
      </c>
      <c r="L3619" s="120"/>
      <c r="M3619" s="146" t="s">
        <v>119</v>
      </c>
      <c r="N3619" s="710">
        <v>65053</v>
      </c>
      <c r="O3619" s="710">
        <v>65053</v>
      </c>
      <c r="P3619" s="1093">
        <v>65068</v>
      </c>
      <c r="Q3619" s="491" t="s">
        <v>51</v>
      </c>
    </row>
    <row r="3620" spans="1:17" ht="18">
      <c r="A3620" s="512">
        <f t="shared" si="49"/>
        <v>2773</v>
      </c>
      <c r="B3620" s="660" t="s">
        <v>43</v>
      </c>
      <c r="C3620" s="644" t="s">
        <v>44</v>
      </c>
      <c r="D3620" s="644" t="s">
        <v>45</v>
      </c>
      <c r="E3620" s="679" t="s">
        <v>2762</v>
      </c>
      <c r="F3620" s="838" t="s">
        <v>409</v>
      </c>
      <c r="G3620" s="838">
        <v>9822927037</v>
      </c>
      <c r="H3620" s="869"/>
      <c r="I3620" s="1187">
        <v>46</v>
      </c>
      <c r="J3620" s="836" t="s">
        <v>48</v>
      </c>
      <c r="K3620" s="150" t="s">
        <v>1468</v>
      </c>
      <c r="L3620" s="150"/>
      <c r="M3620" s="145" t="s">
        <v>2336</v>
      </c>
      <c r="N3620" s="867">
        <v>65053</v>
      </c>
      <c r="O3620" s="867">
        <v>65053</v>
      </c>
      <c r="P3620" s="1093">
        <v>65068</v>
      </c>
      <c r="Q3620" s="491" t="s">
        <v>51</v>
      </c>
    </row>
    <row r="3621" spans="1:17" ht="18">
      <c r="A3621" s="512">
        <f t="shared" si="49"/>
        <v>2774</v>
      </c>
      <c r="B3621" s="660" t="s">
        <v>43</v>
      </c>
      <c r="C3621" s="644" t="s">
        <v>44</v>
      </c>
      <c r="D3621" s="644" t="s">
        <v>45</v>
      </c>
      <c r="E3621" s="130" t="s">
        <v>4158</v>
      </c>
      <c r="F3621" s="130" t="s">
        <v>491</v>
      </c>
      <c r="G3621" s="150">
        <v>9857834935</v>
      </c>
      <c r="H3621" s="121"/>
      <c r="I3621" s="150">
        <v>37</v>
      </c>
      <c r="J3621" s="120" t="s">
        <v>48</v>
      </c>
      <c r="K3621" s="120" t="s">
        <v>49</v>
      </c>
      <c r="L3621" s="120"/>
      <c r="M3621" s="146" t="s">
        <v>119</v>
      </c>
      <c r="N3621" s="710">
        <v>65053</v>
      </c>
      <c r="O3621" s="710">
        <v>65053</v>
      </c>
      <c r="P3621" s="1093">
        <v>65068</v>
      </c>
      <c r="Q3621" s="491" t="s">
        <v>51</v>
      </c>
    </row>
    <row r="3622" spans="1:17" ht="18">
      <c r="A3622" s="512">
        <f t="shared" si="49"/>
        <v>2775</v>
      </c>
      <c r="B3622" s="660" t="s">
        <v>43</v>
      </c>
      <c r="C3622" s="644" t="s">
        <v>44</v>
      </c>
      <c r="D3622" s="644" t="s">
        <v>45</v>
      </c>
      <c r="E3622" s="130" t="s">
        <v>4159</v>
      </c>
      <c r="F3622" s="130" t="s">
        <v>124</v>
      </c>
      <c r="G3622" s="150">
        <v>9845016534</v>
      </c>
      <c r="H3622" s="121"/>
      <c r="I3622" s="150">
        <v>81</v>
      </c>
      <c r="J3622" s="120" t="s">
        <v>90</v>
      </c>
      <c r="K3622" s="120" t="s">
        <v>1468</v>
      </c>
      <c r="L3622" s="120"/>
      <c r="M3622" s="146" t="s">
        <v>119</v>
      </c>
      <c r="N3622" s="710">
        <v>65053</v>
      </c>
      <c r="O3622" s="710">
        <v>65053</v>
      </c>
      <c r="P3622" s="1093">
        <v>65068</v>
      </c>
      <c r="Q3622" s="491" t="s">
        <v>51</v>
      </c>
    </row>
    <row r="3623" spans="1:17" ht="18">
      <c r="A3623" s="512">
        <f t="shared" si="49"/>
        <v>2776</v>
      </c>
      <c r="B3623" s="660" t="s">
        <v>43</v>
      </c>
      <c r="C3623" s="644" t="s">
        <v>44</v>
      </c>
      <c r="D3623" s="644" t="s">
        <v>45</v>
      </c>
      <c r="E3623" s="130" t="s">
        <v>4160</v>
      </c>
      <c r="F3623" s="130" t="s">
        <v>1008</v>
      </c>
      <c r="G3623" s="150">
        <v>9847842769</v>
      </c>
      <c r="H3623" s="121"/>
      <c r="I3623" s="150">
        <v>20</v>
      </c>
      <c r="J3623" s="120" t="s">
        <v>90</v>
      </c>
      <c r="K3623" s="120" t="s">
        <v>1468</v>
      </c>
      <c r="L3623" s="120"/>
      <c r="M3623" s="146" t="s">
        <v>119</v>
      </c>
      <c r="N3623" s="710">
        <v>65053</v>
      </c>
      <c r="O3623" s="710">
        <v>65053</v>
      </c>
      <c r="P3623" s="1093">
        <v>65068</v>
      </c>
      <c r="Q3623" s="491" t="s">
        <v>51</v>
      </c>
    </row>
    <row r="3624" spans="1:17" ht="18">
      <c r="A3624" s="512">
        <f t="shared" si="49"/>
        <v>2777</v>
      </c>
      <c r="B3624" s="660" t="s">
        <v>43</v>
      </c>
      <c r="C3624" s="644" t="s">
        <v>44</v>
      </c>
      <c r="D3624" s="644" t="s">
        <v>45</v>
      </c>
      <c r="E3624" s="143" t="s">
        <v>4220</v>
      </c>
      <c r="F3624" s="837" t="s">
        <v>488</v>
      </c>
      <c r="G3624" s="837">
        <v>9847873333</v>
      </c>
      <c r="H3624" s="868"/>
      <c r="I3624" s="837">
        <v>62</v>
      </c>
      <c r="J3624" s="836" t="s">
        <v>48</v>
      </c>
      <c r="K3624" s="150" t="s">
        <v>1480</v>
      </c>
      <c r="L3624" s="150"/>
      <c r="M3624" s="145" t="s">
        <v>2336</v>
      </c>
      <c r="N3624" s="867">
        <v>65054</v>
      </c>
      <c r="O3624" s="867">
        <v>65054</v>
      </c>
      <c r="P3624" s="541">
        <v>65069</v>
      </c>
      <c r="Q3624" s="533" t="s">
        <v>51</v>
      </c>
    </row>
    <row r="3625" spans="1:17" ht="18">
      <c r="A3625" s="512">
        <f t="shared" si="49"/>
        <v>2778</v>
      </c>
      <c r="B3625" s="660" t="s">
        <v>43</v>
      </c>
      <c r="C3625" s="644" t="s">
        <v>44</v>
      </c>
      <c r="D3625" s="644" t="s">
        <v>45</v>
      </c>
      <c r="E3625" s="679" t="s">
        <v>4188</v>
      </c>
      <c r="F3625" s="838" t="s">
        <v>415</v>
      </c>
      <c r="G3625" s="838">
        <v>9808356899</v>
      </c>
      <c r="H3625" s="869"/>
      <c r="I3625" s="1187">
        <v>55</v>
      </c>
      <c r="J3625" s="836" t="s">
        <v>90</v>
      </c>
      <c r="K3625" s="150" t="s">
        <v>1468</v>
      </c>
      <c r="L3625" s="150"/>
      <c r="M3625" s="145" t="s">
        <v>2336</v>
      </c>
      <c r="N3625" s="867">
        <v>65054</v>
      </c>
      <c r="O3625" s="867">
        <v>65054</v>
      </c>
      <c r="P3625" s="541">
        <v>65069</v>
      </c>
      <c r="Q3625" s="533" t="s">
        <v>51</v>
      </c>
    </row>
    <row r="3626" spans="1:17" ht="18">
      <c r="A3626" s="512">
        <f t="shared" si="49"/>
        <v>2779</v>
      </c>
      <c r="B3626" s="660" t="s">
        <v>43</v>
      </c>
      <c r="C3626" s="644" t="s">
        <v>44</v>
      </c>
      <c r="D3626" s="644" t="s">
        <v>45</v>
      </c>
      <c r="E3626" s="679" t="s">
        <v>4196</v>
      </c>
      <c r="F3626" s="838" t="s">
        <v>445</v>
      </c>
      <c r="G3626" s="838">
        <v>9806226112</v>
      </c>
      <c r="H3626" s="869"/>
      <c r="I3626" s="1187">
        <v>18</v>
      </c>
      <c r="J3626" s="836" t="s">
        <v>90</v>
      </c>
      <c r="K3626" s="150" t="s">
        <v>1468</v>
      </c>
      <c r="L3626" s="150"/>
      <c r="M3626" s="145" t="s">
        <v>2336</v>
      </c>
      <c r="N3626" s="867">
        <v>65054</v>
      </c>
      <c r="O3626" s="867">
        <v>65054</v>
      </c>
      <c r="P3626" s="541">
        <v>65069</v>
      </c>
      <c r="Q3626" s="533" t="s">
        <v>51</v>
      </c>
    </row>
    <row r="3627" spans="1:17" ht="18">
      <c r="A3627" s="512">
        <f t="shared" si="49"/>
        <v>2780</v>
      </c>
      <c r="B3627" s="660" t="s">
        <v>43</v>
      </c>
      <c r="C3627" s="644" t="s">
        <v>44</v>
      </c>
      <c r="D3627" s="644" t="s">
        <v>45</v>
      </c>
      <c r="E3627" s="679" t="s">
        <v>4201</v>
      </c>
      <c r="F3627" s="838" t="s">
        <v>436</v>
      </c>
      <c r="G3627" s="838">
        <v>9806249973</v>
      </c>
      <c r="H3627" s="869"/>
      <c r="I3627" s="1187">
        <v>39</v>
      </c>
      <c r="J3627" s="836" t="s">
        <v>48</v>
      </c>
      <c r="K3627" s="150" t="s">
        <v>1468</v>
      </c>
      <c r="L3627" s="150"/>
      <c r="M3627" s="145" t="s">
        <v>2336</v>
      </c>
      <c r="N3627" s="867">
        <v>65054</v>
      </c>
      <c r="O3627" s="867">
        <v>65054</v>
      </c>
      <c r="P3627" s="541">
        <v>65069</v>
      </c>
      <c r="Q3627" s="533" t="s">
        <v>51</v>
      </c>
    </row>
    <row r="3628" spans="1:17" ht="18">
      <c r="A3628" s="512">
        <f t="shared" si="49"/>
        <v>2781</v>
      </c>
      <c r="B3628" s="660" t="s">
        <v>43</v>
      </c>
      <c r="C3628" s="644" t="s">
        <v>44</v>
      </c>
      <c r="D3628" s="644" t="s">
        <v>45</v>
      </c>
      <c r="E3628" s="679" t="s">
        <v>4199</v>
      </c>
      <c r="F3628" s="838" t="s">
        <v>522</v>
      </c>
      <c r="G3628" s="838">
        <v>9857823392</v>
      </c>
      <c r="H3628" s="869"/>
      <c r="I3628" s="1187">
        <v>42</v>
      </c>
      <c r="J3628" s="836" t="s">
        <v>48</v>
      </c>
      <c r="K3628" s="150" t="s">
        <v>1468</v>
      </c>
      <c r="L3628" s="150"/>
      <c r="M3628" s="145" t="s">
        <v>2336</v>
      </c>
      <c r="N3628" s="867">
        <v>65054</v>
      </c>
      <c r="O3628" s="867">
        <v>65054</v>
      </c>
      <c r="P3628" s="541">
        <v>65069</v>
      </c>
      <c r="Q3628" s="533" t="s">
        <v>51</v>
      </c>
    </row>
    <row r="3629" spans="1:17" ht="18">
      <c r="A3629" s="512">
        <f t="shared" si="49"/>
        <v>2782</v>
      </c>
      <c r="B3629" s="660" t="s">
        <v>43</v>
      </c>
      <c r="C3629" s="644" t="s">
        <v>44</v>
      </c>
      <c r="D3629" s="644" t="s">
        <v>45</v>
      </c>
      <c r="E3629" s="143" t="s">
        <v>4221</v>
      </c>
      <c r="F3629" s="837" t="s">
        <v>512</v>
      </c>
      <c r="G3629" s="837">
        <v>9812893908</v>
      </c>
      <c r="H3629" s="868"/>
      <c r="I3629" s="837">
        <v>36</v>
      </c>
      <c r="J3629" s="836" t="s">
        <v>48</v>
      </c>
      <c r="K3629" s="150" t="s">
        <v>1480</v>
      </c>
      <c r="L3629" s="150"/>
      <c r="M3629" s="145" t="s">
        <v>2336</v>
      </c>
      <c r="N3629" s="867">
        <v>65054</v>
      </c>
      <c r="O3629" s="867">
        <v>65054</v>
      </c>
      <c r="P3629" s="541">
        <v>65069</v>
      </c>
      <c r="Q3629" s="533" t="s">
        <v>51</v>
      </c>
    </row>
    <row r="3630" spans="1:17" ht="18">
      <c r="A3630" s="512">
        <f t="shared" si="49"/>
        <v>2783</v>
      </c>
      <c r="B3630" s="660" t="s">
        <v>43</v>
      </c>
      <c r="C3630" s="644" t="s">
        <v>44</v>
      </c>
      <c r="D3630" s="644" t="s">
        <v>45</v>
      </c>
      <c r="E3630" s="679" t="s">
        <v>4206</v>
      </c>
      <c r="F3630" s="838" t="s">
        <v>1046</v>
      </c>
      <c r="G3630" s="838">
        <v>9847836832</v>
      </c>
      <c r="H3630" s="869"/>
      <c r="I3630" s="1187">
        <v>53</v>
      </c>
      <c r="J3630" s="836" t="s">
        <v>90</v>
      </c>
      <c r="K3630" s="150" t="s">
        <v>1468</v>
      </c>
      <c r="L3630" s="150"/>
      <c r="M3630" s="145" t="s">
        <v>2336</v>
      </c>
      <c r="N3630" s="867">
        <v>65054</v>
      </c>
      <c r="O3630" s="867">
        <v>65054</v>
      </c>
      <c r="P3630" s="541">
        <v>65069</v>
      </c>
      <c r="Q3630" s="533" t="s">
        <v>51</v>
      </c>
    </row>
    <row r="3631" spans="1:17" ht="18">
      <c r="A3631" s="512">
        <f t="shared" si="49"/>
        <v>2784</v>
      </c>
      <c r="B3631" s="660" t="s">
        <v>43</v>
      </c>
      <c r="C3631" s="644" t="s">
        <v>44</v>
      </c>
      <c r="D3631" s="644" t="s">
        <v>45</v>
      </c>
      <c r="E3631" s="143" t="s">
        <v>4231</v>
      </c>
      <c r="F3631" s="837" t="s">
        <v>512</v>
      </c>
      <c r="G3631" s="837">
        <v>9808840512</v>
      </c>
      <c r="H3631" s="868"/>
      <c r="I3631" s="837">
        <v>32</v>
      </c>
      <c r="J3631" s="836" t="s">
        <v>90</v>
      </c>
      <c r="K3631" s="150" t="s">
        <v>1480</v>
      </c>
      <c r="L3631" s="150"/>
      <c r="M3631" s="145" t="s">
        <v>2336</v>
      </c>
      <c r="N3631" s="867">
        <v>65054</v>
      </c>
      <c r="O3631" s="867">
        <v>65054</v>
      </c>
      <c r="P3631" s="541">
        <v>65069</v>
      </c>
      <c r="Q3631" s="533" t="s">
        <v>51</v>
      </c>
    </row>
    <row r="3632" spans="1:17" ht="18">
      <c r="A3632" s="512">
        <f t="shared" si="49"/>
        <v>2785</v>
      </c>
      <c r="B3632" s="660" t="s">
        <v>43</v>
      </c>
      <c r="C3632" s="644" t="s">
        <v>44</v>
      </c>
      <c r="D3632" s="644" t="s">
        <v>45</v>
      </c>
      <c r="E3632" s="130" t="s">
        <v>4270</v>
      </c>
      <c r="F3632" s="227" t="s">
        <v>1009</v>
      </c>
      <c r="G3632" s="227">
        <v>9847944767</v>
      </c>
      <c r="I3632" s="227">
        <v>46</v>
      </c>
      <c r="J3632" s="130" t="s">
        <v>48</v>
      </c>
      <c r="K3632" s="130" t="s">
        <v>1480</v>
      </c>
      <c r="M3632" s="130" t="s">
        <v>119</v>
      </c>
      <c r="N3632" s="786">
        <v>65054</v>
      </c>
      <c r="O3632" s="786">
        <v>65054</v>
      </c>
      <c r="P3632" s="541">
        <v>65069</v>
      </c>
      <c r="Q3632" s="533" t="s">
        <v>51</v>
      </c>
    </row>
    <row r="3633" spans="1:17" ht="18">
      <c r="A3633" s="512">
        <f t="shared" si="49"/>
        <v>2786</v>
      </c>
      <c r="B3633" s="660" t="s">
        <v>43</v>
      </c>
      <c r="C3633" s="644" t="s">
        <v>44</v>
      </c>
      <c r="D3633" s="644" t="s">
        <v>45</v>
      </c>
      <c r="E3633" s="143" t="s">
        <v>4222</v>
      </c>
      <c r="F3633" s="837" t="s">
        <v>1009</v>
      </c>
      <c r="G3633" s="837">
        <v>9847944767</v>
      </c>
      <c r="H3633" s="868"/>
      <c r="I3633" s="837">
        <v>46</v>
      </c>
      <c r="J3633" s="836" t="s">
        <v>48</v>
      </c>
      <c r="K3633" s="150" t="s">
        <v>1480</v>
      </c>
      <c r="L3633" s="150"/>
      <c r="M3633" s="145" t="s">
        <v>2336</v>
      </c>
      <c r="N3633" s="867">
        <v>65054</v>
      </c>
      <c r="O3633" s="867">
        <v>65054</v>
      </c>
      <c r="P3633" s="541">
        <v>65069</v>
      </c>
      <c r="Q3633" s="533" t="s">
        <v>51</v>
      </c>
    </row>
    <row r="3634" spans="1:17" ht="18">
      <c r="A3634" s="512">
        <f t="shared" si="49"/>
        <v>2787</v>
      </c>
      <c r="B3634" s="660" t="s">
        <v>43</v>
      </c>
      <c r="C3634" s="644" t="s">
        <v>44</v>
      </c>
      <c r="D3634" s="644" t="s">
        <v>45</v>
      </c>
      <c r="E3634" s="679" t="s">
        <v>4191</v>
      </c>
      <c r="F3634" s="838" t="s">
        <v>409</v>
      </c>
      <c r="G3634" s="838">
        <v>9822983589</v>
      </c>
      <c r="H3634" s="869"/>
      <c r="I3634" s="1187">
        <v>30</v>
      </c>
      <c r="J3634" s="836" t="s">
        <v>90</v>
      </c>
      <c r="K3634" s="150" t="s">
        <v>1468</v>
      </c>
      <c r="L3634" s="150"/>
      <c r="M3634" s="145" t="s">
        <v>2336</v>
      </c>
      <c r="N3634" s="867">
        <v>65054</v>
      </c>
      <c r="O3634" s="867">
        <v>65054</v>
      </c>
      <c r="P3634" s="541">
        <v>65069</v>
      </c>
      <c r="Q3634" s="533" t="s">
        <v>51</v>
      </c>
    </row>
    <row r="3635" spans="1:17" ht="18">
      <c r="A3635" s="512">
        <f t="shared" si="49"/>
        <v>2788</v>
      </c>
      <c r="B3635" s="660" t="s">
        <v>43</v>
      </c>
      <c r="C3635" s="644" t="s">
        <v>44</v>
      </c>
      <c r="D3635" s="644" t="s">
        <v>45</v>
      </c>
      <c r="E3635" s="679" t="s">
        <v>4193</v>
      </c>
      <c r="F3635" s="838" t="s">
        <v>445</v>
      </c>
      <c r="G3635" s="838">
        <v>9847991775</v>
      </c>
      <c r="H3635" s="869"/>
      <c r="I3635" s="1187">
        <v>25</v>
      </c>
      <c r="J3635" s="836" t="s">
        <v>90</v>
      </c>
      <c r="K3635" s="150" t="s">
        <v>1468</v>
      </c>
      <c r="L3635" s="150"/>
      <c r="M3635" s="145" t="s">
        <v>2336</v>
      </c>
      <c r="N3635" s="867">
        <v>65054</v>
      </c>
      <c r="O3635" s="867">
        <v>65054</v>
      </c>
      <c r="P3635" s="541">
        <v>65069</v>
      </c>
      <c r="Q3635" s="533" t="s">
        <v>51</v>
      </c>
    </row>
    <row r="3636" spans="1:17" ht="18">
      <c r="A3636" s="512">
        <f t="shared" si="49"/>
        <v>2789</v>
      </c>
      <c r="B3636" s="660" t="s">
        <v>43</v>
      </c>
      <c r="C3636" s="644" t="s">
        <v>44</v>
      </c>
      <c r="D3636" s="644" t="s">
        <v>45</v>
      </c>
      <c r="E3636" s="130" t="s">
        <v>4267</v>
      </c>
      <c r="F3636" s="227" t="s">
        <v>491</v>
      </c>
      <c r="G3636" s="227">
        <v>9843240691</v>
      </c>
      <c r="I3636" s="227">
        <v>27</v>
      </c>
      <c r="J3636" s="130" t="s">
        <v>48</v>
      </c>
      <c r="K3636" s="130" t="s">
        <v>345</v>
      </c>
      <c r="M3636" s="130" t="s">
        <v>119</v>
      </c>
      <c r="N3636" s="786">
        <v>65054</v>
      </c>
      <c r="O3636" s="786">
        <v>65054</v>
      </c>
      <c r="P3636" s="541">
        <v>65069</v>
      </c>
      <c r="Q3636" s="533" t="s">
        <v>51</v>
      </c>
    </row>
    <row r="3637" spans="1:17" ht="18">
      <c r="A3637" s="512">
        <f t="shared" si="49"/>
        <v>2790</v>
      </c>
      <c r="B3637" s="660" t="s">
        <v>43</v>
      </c>
      <c r="C3637" s="644" t="s">
        <v>44</v>
      </c>
      <c r="D3637" s="644" t="s">
        <v>45</v>
      </c>
      <c r="E3637" s="679" t="s">
        <v>4205</v>
      </c>
      <c r="F3637" s="838" t="s">
        <v>1046</v>
      </c>
      <c r="G3637" s="838">
        <v>9844930633</v>
      </c>
      <c r="H3637" s="869"/>
      <c r="I3637" s="1187">
        <v>29</v>
      </c>
      <c r="J3637" s="836" t="s">
        <v>90</v>
      </c>
      <c r="K3637" s="150" t="s">
        <v>1468</v>
      </c>
      <c r="L3637" s="150"/>
      <c r="M3637" s="145" t="s">
        <v>2336</v>
      </c>
      <c r="N3637" s="867">
        <v>65054</v>
      </c>
      <c r="O3637" s="867">
        <v>65054</v>
      </c>
      <c r="P3637" s="541">
        <v>65069</v>
      </c>
      <c r="Q3637" s="533" t="s">
        <v>51</v>
      </c>
    </row>
    <row r="3638" spans="1:17" ht="18">
      <c r="A3638" s="512">
        <f t="shared" si="49"/>
        <v>2791</v>
      </c>
      <c r="B3638" s="660" t="s">
        <v>43</v>
      </c>
      <c r="C3638" s="644" t="s">
        <v>44</v>
      </c>
      <c r="D3638" s="644" t="s">
        <v>45</v>
      </c>
      <c r="E3638" s="679" t="s">
        <v>4211</v>
      </c>
      <c r="F3638" s="838" t="s">
        <v>557</v>
      </c>
      <c r="G3638" s="838">
        <v>9829515336</v>
      </c>
      <c r="H3638" s="869"/>
      <c r="I3638" s="1187">
        <v>59</v>
      </c>
      <c r="J3638" s="836" t="s">
        <v>90</v>
      </c>
      <c r="K3638" s="150" t="s">
        <v>1468</v>
      </c>
      <c r="L3638" s="150"/>
      <c r="M3638" s="145" t="s">
        <v>2336</v>
      </c>
      <c r="N3638" s="867">
        <v>65054</v>
      </c>
      <c r="O3638" s="867">
        <v>65054</v>
      </c>
      <c r="P3638" s="541">
        <v>65069</v>
      </c>
      <c r="Q3638" s="533" t="s">
        <v>51</v>
      </c>
    </row>
    <row r="3639" spans="1:17" ht="18">
      <c r="A3639" s="512">
        <f t="shared" si="49"/>
        <v>2792</v>
      </c>
      <c r="B3639" s="660" t="s">
        <v>43</v>
      </c>
      <c r="C3639" s="644" t="s">
        <v>44</v>
      </c>
      <c r="D3639" s="644" t="s">
        <v>45</v>
      </c>
      <c r="E3639" s="143" t="s">
        <v>4232</v>
      </c>
      <c r="F3639" s="837" t="s">
        <v>512</v>
      </c>
      <c r="G3639" s="837">
        <v>9810844309</v>
      </c>
      <c r="H3639" s="868"/>
      <c r="I3639" s="837">
        <v>39</v>
      </c>
      <c r="J3639" s="836" t="s">
        <v>90</v>
      </c>
      <c r="K3639" s="150" t="s">
        <v>1480</v>
      </c>
      <c r="L3639" s="150"/>
      <c r="M3639" s="145" t="s">
        <v>2336</v>
      </c>
      <c r="N3639" s="867">
        <v>65054</v>
      </c>
      <c r="O3639" s="867">
        <v>65054</v>
      </c>
      <c r="P3639" s="541">
        <v>65069</v>
      </c>
      <c r="Q3639" s="533" t="s">
        <v>51</v>
      </c>
    </row>
    <row r="3640" spans="1:17" ht="18">
      <c r="A3640" s="512">
        <f t="shared" si="49"/>
        <v>2793</v>
      </c>
      <c r="B3640" s="660" t="s">
        <v>43</v>
      </c>
      <c r="C3640" s="644" t="s">
        <v>44</v>
      </c>
      <c r="D3640" s="644" t="s">
        <v>45</v>
      </c>
      <c r="E3640" s="143" t="s">
        <v>4233</v>
      </c>
      <c r="F3640" s="837" t="s">
        <v>1046</v>
      </c>
      <c r="G3640" s="837">
        <v>9843520461</v>
      </c>
      <c r="H3640" s="868"/>
      <c r="I3640" s="837">
        <v>76</v>
      </c>
      <c r="J3640" s="836" t="s">
        <v>90</v>
      </c>
      <c r="K3640" s="150" t="s">
        <v>1480</v>
      </c>
      <c r="L3640" s="150"/>
      <c r="M3640" s="145" t="s">
        <v>2336</v>
      </c>
      <c r="N3640" s="867">
        <v>65054</v>
      </c>
      <c r="O3640" s="867">
        <v>65054</v>
      </c>
      <c r="P3640" s="541">
        <v>65069</v>
      </c>
      <c r="Q3640" s="533" t="s">
        <v>51</v>
      </c>
    </row>
    <row r="3641" spans="1:17" ht="18">
      <c r="A3641" s="512">
        <f t="shared" si="49"/>
        <v>2794</v>
      </c>
      <c r="B3641" s="660" t="s">
        <v>43</v>
      </c>
      <c r="C3641" s="644" t="s">
        <v>44</v>
      </c>
      <c r="D3641" s="644" t="s">
        <v>45</v>
      </c>
      <c r="E3641" s="679" t="s">
        <v>4182</v>
      </c>
      <c r="F3641" s="838" t="s">
        <v>4256</v>
      </c>
      <c r="G3641" s="838">
        <v>9857825286</v>
      </c>
      <c r="H3641" s="869"/>
      <c r="I3641" s="1187">
        <v>55</v>
      </c>
      <c r="J3641" s="836" t="s">
        <v>90</v>
      </c>
      <c r="K3641" s="150" t="s">
        <v>1468</v>
      </c>
      <c r="L3641" s="150"/>
      <c r="M3641" s="145" t="s">
        <v>2336</v>
      </c>
      <c r="N3641" s="867">
        <v>65054</v>
      </c>
      <c r="O3641" s="867">
        <v>65054</v>
      </c>
      <c r="P3641" s="541">
        <v>65069</v>
      </c>
      <c r="Q3641" s="533" t="s">
        <v>51</v>
      </c>
    </row>
    <row r="3642" spans="1:17" ht="18">
      <c r="A3642" s="512">
        <f t="shared" si="49"/>
        <v>2795</v>
      </c>
      <c r="B3642" s="660" t="s">
        <v>43</v>
      </c>
      <c r="C3642" s="644" t="s">
        <v>44</v>
      </c>
      <c r="D3642" s="644" t="s">
        <v>45</v>
      </c>
      <c r="E3642" s="143" t="s">
        <v>4223</v>
      </c>
      <c r="F3642" s="837" t="s">
        <v>502</v>
      </c>
      <c r="G3642" s="837">
        <v>9848061194</v>
      </c>
      <c r="H3642" s="868"/>
      <c r="I3642" s="837">
        <v>75</v>
      </c>
      <c r="J3642" s="836" t="s">
        <v>48</v>
      </c>
      <c r="K3642" s="150" t="s">
        <v>1480</v>
      </c>
      <c r="L3642" s="150"/>
      <c r="M3642" s="145" t="s">
        <v>2336</v>
      </c>
      <c r="N3642" s="867">
        <v>65054</v>
      </c>
      <c r="O3642" s="867">
        <v>65054</v>
      </c>
      <c r="P3642" s="541">
        <v>65069</v>
      </c>
      <c r="Q3642" s="533" t="s">
        <v>51</v>
      </c>
    </row>
    <row r="3643" spans="1:17" ht="18">
      <c r="A3643" s="512">
        <f t="shared" si="49"/>
        <v>2796</v>
      </c>
      <c r="B3643" s="660" t="s">
        <v>43</v>
      </c>
      <c r="C3643" s="644" t="s">
        <v>44</v>
      </c>
      <c r="D3643" s="644" t="s">
        <v>45</v>
      </c>
      <c r="E3643" s="679" t="s">
        <v>2975</v>
      </c>
      <c r="F3643" s="838" t="s">
        <v>436</v>
      </c>
      <c r="G3643" s="838">
        <v>9812853076</v>
      </c>
      <c r="H3643" s="869"/>
      <c r="I3643" s="1187">
        <v>46</v>
      </c>
      <c r="J3643" s="836" t="s">
        <v>48</v>
      </c>
      <c r="K3643" s="150" t="s">
        <v>1468</v>
      </c>
      <c r="L3643" s="150"/>
      <c r="M3643" s="145" t="s">
        <v>2336</v>
      </c>
      <c r="N3643" s="867">
        <v>65054</v>
      </c>
      <c r="O3643" s="867">
        <v>65054</v>
      </c>
      <c r="P3643" s="541">
        <v>65069</v>
      </c>
      <c r="Q3643" s="533" t="s">
        <v>51</v>
      </c>
    </row>
    <row r="3644" spans="1:17" ht="18">
      <c r="A3644" s="512">
        <f t="shared" si="49"/>
        <v>2797</v>
      </c>
      <c r="B3644" s="660" t="s">
        <v>43</v>
      </c>
      <c r="C3644" s="644" t="s">
        <v>44</v>
      </c>
      <c r="D3644" s="644" t="s">
        <v>45</v>
      </c>
      <c r="E3644" s="679" t="s">
        <v>4186</v>
      </c>
      <c r="F3644" s="838" t="s">
        <v>4258</v>
      </c>
      <c r="G3644" s="838">
        <v>9867915787</v>
      </c>
      <c r="H3644" s="869"/>
      <c r="I3644" s="1187">
        <v>31</v>
      </c>
      <c r="J3644" s="836" t="s">
        <v>48</v>
      </c>
      <c r="K3644" s="150" t="s">
        <v>1468</v>
      </c>
      <c r="L3644" s="150"/>
      <c r="M3644" s="145" t="s">
        <v>2336</v>
      </c>
      <c r="N3644" s="867">
        <v>65054</v>
      </c>
      <c r="O3644" s="867">
        <v>65054</v>
      </c>
      <c r="P3644" s="541">
        <v>65069</v>
      </c>
      <c r="Q3644" s="533" t="s">
        <v>51</v>
      </c>
    </row>
    <row r="3645" spans="1:17" ht="18">
      <c r="A3645" s="512">
        <f t="shared" si="49"/>
        <v>2798</v>
      </c>
      <c r="B3645" s="660" t="s">
        <v>43</v>
      </c>
      <c r="C3645" s="644" t="s">
        <v>44</v>
      </c>
      <c r="D3645" s="644" t="s">
        <v>45</v>
      </c>
      <c r="E3645" s="143" t="s">
        <v>4224</v>
      </c>
      <c r="F3645" s="837" t="s">
        <v>441</v>
      </c>
      <c r="G3645" s="837">
        <v>9844995067</v>
      </c>
      <c r="H3645" s="868"/>
      <c r="I3645" s="837">
        <v>35</v>
      </c>
      <c r="J3645" s="836" t="s">
        <v>48</v>
      </c>
      <c r="K3645" s="150" t="s">
        <v>1480</v>
      </c>
      <c r="L3645" s="150"/>
      <c r="M3645" s="145" t="s">
        <v>2336</v>
      </c>
      <c r="N3645" s="867">
        <v>65054</v>
      </c>
      <c r="O3645" s="867">
        <v>65054</v>
      </c>
      <c r="P3645" s="541">
        <v>65069</v>
      </c>
      <c r="Q3645" s="533" t="s">
        <v>51</v>
      </c>
    </row>
    <row r="3646" spans="1:17" ht="18">
      <c r="A3646" s="512">
        <f t="shared" si="49"/>
        <v>2799</v>
      </c>
      <c r="B3646" s="660" t="s">
        <v>43</v>
      </c>
      <c r="C3646" s="644" t="s">
        <v>44</v>
      </c>
      <c r="D3646" s="644" t="s">
        <v>45</v>
      </c>
      <c r="E3646" s="143" t="s">
        <v>4225</v>
      </c>
      <c r="F3646" s="837" t="s">
        <v>488</v>
      </c>
      <c r="G3646" s="837">
        <v>9810901814</v>
      </c>
      <c r="H3646" s="868"/>
      <c r="I3646" s="837">
        <v>41</v>
      </c>
      <c r="J3646" s="836" t="s">
        <v>48</v>
      </c>
      <c r="K3646" s="150" t="s">
        <v>1480</v>
      </c>
      <c r="L3646" s="150"/>
      <c r="M3646" s="145" t="s">
        <v>2336</v>
      </c>
      <c r="N3646" s="867">
        <v>65054</v>
      </c>
      <c r="O3646" s="867">
        <v>65054</v>
      </c>
      <c r="P3646" s="541">
        <v>65069</v>
      </c>
      <c r="Q3646" s="533" t="s">
        <v>51</v>
      </c>
    </row>
    <row r="3647" spans="1:17" s="981" customFormat="1" ht="18">
      <c r="A3647" s="512">
        <f t="shared" si="49"/>
        <v>2800</v>
      </c>
      <c r="B3647" s="660" t="s">
        <v>43</v>
      </c>
      <c r="C3647" s="644" t="s">
        <v>44</v>
      </c>
      <c r="D3647" s="644" t="s">
        <v>45</v>
      </c>
      <c r="E3647" s="143" t="s">
        <v>4226</v>
      </c>
      <c r="F3647" s="837" t="s">
        <v>502</v>
      </c>
      <c r="G3647" s="837">
        <v>9847823007</v>
      </c>
      <c r="H3647" s="868"/>
      <c r="I3647" s="837">
        <v>58</v>
      </c>
      <c r="J3647" s="836" t="s">
        <v>48</v>
      </c>
      <c r="K3647" s="150" t="s">
        <v>1480</v>
      </c>
      <c r="L3647" s="150"/>
      <c r="M3647" s="145" t="s">
        <v>2336</v>
      </c>
      <c r="N3647" s="867">
        <v>65054</v>
      </c>
      <c r="O3647" s="867">
        <v>65054</v>
      </c>
      <c r="P3647" s="541">
        <v>65069</v>
      </c>
      <c r="Q3647" s="533" t="s">
        <v>51</v>
      </c>
    </row>
    <row r="3648" spans="1:17" ht="18">
      <c r="A3648" s="512">
        <f t="shared" si="49"/>
        <v>2801</v>
      </c>
      <c r="B3648" s="660" t="s">
        <v>43</v>
      </c>
      <c r="C3648" s="644" t="s">
        <v>44</v>
      </c>
      <c r="D3648" s="644" t="s">
        <v>45</v>
      </c>
      <c r="E3648" s="679" t="s">
        <v>4204</v>
      </c>
      <c r="F3648" s="838" t="s">
        <v>1046</v>
      </c>
      <c r="G3648" s="838">
        <v>98669813987</v>
      </c>
      <c r="H3648" s="869"/>
      <c r="I3648" s="1187">
        <v>33</v>
      </c>
      <c r="J3648" s="836" t="s">
        <v>48</v>
      </c>
      <c r="K3648" s="150" t="s">
        <v>1468</v>
      </c>
      <c r="L3648" s="150"/>
      <c r="M3648" s="145" t="s">
        <v>2336</v>
      </c>
      <c r="N3648" s="867">
        <v>65054</v>
      </c>
      <c r="O3648" s="867">
        <v>65054</v>
      </c>
      <c r="P3648" s="541">
        <v>65069</v>
      </c>
      <c r="Q3648" s="533" t="s">
        <v>51</v>
      </c>
    </row>
    <row r="3649" spans="1:17" ht="18">
      <c r="A3649" s="512">
        <f t="shared" si="49"/>
        <v>2802</v>
      </c>
      <c r="B3649" s="660" t="s">
        <v>43</v>
      </c>
      <c r="C3649" s="644" t="s">
        <v>44</v>
      </c>
      <c r="D3649" s="644" t="s">
        <v>45</v>
      </c>
      <c r="E3649" s="143" t="s">
        <v>4234</v>
      </c>
      <c r="F3649" s="837" t="s">
        <v>441</v>
      </c>
      <c r="G3649" s="837">
        <v>9809790306</v>
      </c>
      <c r="H3649" s="868"/>
      <c r="I3649" s="837">
        <v>56</v>
      </c>
      <c r="J3649" s="836" t="s">
        <v>90</v>
      </c>
      <c r="K3649" s="150" t="s">
        <v>1480</v>
      </c>
      <c r="L3649" s="150"/>
      <c r="M3649" s="145" t="s">
        <v>2336</v>
      </c>
      <c r="N3649" s="867">
        <v>65054</v>
      </c>
      <c r="O3649" s="867">
        <v>65054</v>
      </c>
      <c r="P3649" s="541">
        <v>65069</v>
      </c>
      <c r="Q3649" s="533" t="s">
        <v>51</v>
      </c>
    </row>
    <row r="3650" spans="1:17" s="1128" customFormat="1" ht="18">
      <c r="A3650" s="512">
        <f t="shared" si="49"/>
        <v>2803</v>
      </c>
      <c r="B3650" s="1125" t="s">
        <v>43</v>
      </c>
      <c r="C3650" s="1109" t="s">
        <v>44</v>
      </c>
      <c r="D3650" s="1109" t="s">
        <v>45</v>
      </c>
      <c r="E3650" s="1116" t="s">
        <v>4218</v>
      </c>
      <c r="F3650" s="1117" t="s">
        <v>1008</v>
      </c>
      <c r="G3650" s="1117">
        <v>9844992536</v>
      </c>
      <c r="H3650" s="1118"/>
      <c r="I3650" s="1117">
        <v>58</v>
      </c>
      <c r="J3650" s="1119" t="s">
        <v>90</v>
      </c>
      <c r="K3650" s="251" t="s">
        <v>1468</v>
      </c>
      <c r="L3650" s="251"/>
      <c r="M3650" s="251" t="s">
        <v>54</v>
      </c>
      <c r="N3650" s="1120">
        <v>65054</v>
      </c>
      <c r="O3650" s="1120">
        <v>65054</v>
      </c>
      <c r="P3650" s="1126">
        <v>65070</v>
      </c>
      <c r="Q3650" s="1116" t="s">
        <v>51</v>
      </c>
    </row>
    <row r="3651" spans="1:17" ht="18">
      <c r="A3651" s="512">
        <f t="shared" si="49"/>
        <v>2804</v>
      </c>
      <c r="B3651" s="660" t="s">
        <v>43</v>
      </c>
      <c r="C3651" s="644" t="s">
        <v>44</v>
      </c>
      <c r="D3651" s="644" t="s">
        <v>45</v>
      </c>
      <c r="E3651" s="787" t="s">
        <v>2377</v>
      </c>
      <c r="F3651" s="150" t="s">
        <v>502</v>
      </c>
      <c r="G3651" s="705">
        <v>9847837572</v>
      </c>
      <c r="H3651" s="706"/>
      <c r="I3651" s="705">
        <v>29</v>
      </c>
      <c r="J3651" s="120" t="s">
        <v>48</v>
      </c>
      <c r="K3651" s="120" t="s">
        <v>53</v>
      </c>
      <c r="L3651" s="120"/>
      <c r="M3651" s="145" t="s">
        <v>2336</v>
      </c>
      <c r="N3651" s="710">
        <v>65054</v>
      </c>
      <c r="O3651" s="710">
        <v>65054</v>
      </c>
      <c r="P3651" s="541">
        <v>65069</v>
      </c>
      <c r="Q3651" s="533" t="s">
        <v>51</v>
      </c>
    </row>
    <row r="3652" spans="1:17" ht="18">
      <c r="A3652" s="512">
        <f t="shared" si="49"/>
        <v>2805</v>
      </c>
      <c r="B3652" s="660" t="s">
        <v>43</v>
      </c>
      <c r="C3652" s="644" t="s">
        <v>44</v>
      </c>
      <c r="D3652" s="644" t="s">
        <v>45</v>
      </c>
      <c r="E3652" s="120" t="s">
        <v>4252</v>
      </c>
      <c r="F3652" s="150" t="s">
        <v>488</v>
      </c>
      <c r="G3652" s="150">
        <v>9844933964</v>
      </c>
      <c r="H3652" s="121"/>
      <c r="I3652" s="150">
        <v>42</v>
      </c>
      <c r="J3652" s="120" t="s">
        <v>48</v>
      </c>
      <c r="K3652" s="120" t="s">
        <v>1459</v>
      </c>
      <c r="L3652" s="120"/>
      <c r="M3652" s="145" t="s">
        <v>2336</v>
      </c>
      <c r="N3652" s="710">
        <v>65054</v>
      </c>
      <c r="O3652" s="710">
        <v>65054</v>
      </c>
      <c r="P3652" s="541">
        <v>65069</v>
      </c>
      <c r="Q3652" s="533" t="s">
        <v>51</v>
      </c>
    </row>
    <row r="3653" spans="1:17" ht="18">
      <c r="A3653" s="512">
        <f t="shared" si="49"/>
        <v>2806</v>
      </c>
      <c r="B3653" s="660" t="s">
        <v>43</v>
      </c>
      <c r="C3653" s="644" t="s">
        <v>44</v>
      </c>
      <c r="D3653" s="644" t="s">
        <v>45</v>
      </c>
      <c r="E3653" s="679" t="s">
        <v>4192</v>
      </c>
      <c r="F3653" s="838" t="s">
        <v>445</v>
      </c>
      <c r="G3653" s="838">
        <v>9869879229</v>
      </c>
      <c r="H3653" s="869"/>
      <c r="I3653" s="1187">
        <v>45</v>
      </c>
      <c r="J3653" s="836" t="s">
        <v>48</v>
      </c>
      <c r="K3653" s="150" t="s">
        <v>1468</v>
      </c>
      <c r="L3653" s="150"/>
      <c r="M3653" s="145" t="s">
        <v>2336</v>
      </c>
      <c r="N3653" s="867">
        <v>65054</v>
      </c>
      <c r="O3653" s="867">
        <v>65054</v>
      </c>
      <c r="P3653" s="541">
        <v>65069</v>
      </c>
      <c r="Q3653" s="533" t="s">
        <v>51</v>
      </c>
    </row>
    <row r="3654" spans="1:17" ht="18">
      <c r="A3654" s="512">
        <f t="shared" si="49"/>
        <v>2807</v>
      </c>
      <c r="B3654" s="660" t="s">
        <v>43</v>
      </c>
      <c r="C3654" s="644" t="s">
        <v>44</v>
      </c>
      <c r="D3654" s="644" t="s">
        <v>45</v>
      </c>
      <c r="E3654" s="143" t="s">
        <v>4227</v>
      </c>
      <c r="F3654" s="837" t="s">
        <v>491</v>
      </c>
      <c r="G3654" s="837">
        <v>9857823168</v>
      </c>
      <c r="H3654" s="868"/>
      <c r="I3654" s="837">
        <v>76</v>
      </c>
      <c r="J3654" s="836" t="s">
        <v>48</v>
      </c>
      <c r="K3654" s="150" t="s">
        <v>1480</v>
      </c>
      <c r="L3654" s="150"/>
      <c r="M3654" s="145" t="s">
        <v>2336</v>
      </c>
      <c r="N3654" s="867">
        <v>65054</v>
      </c>
      <c r="O3654" s="867">
        <v>65054</v>
      </c>
      <c r="P3654" s="541">
        <v>65069</v>
      </c>
      <c r="Q3654" s="533" t="s">
        <v>51</v>
      </c>
    </row>
    <row r="3655" spans="1:17" ht="18">
      <c r="A3655" s="512">
        <f t="shared" si="49"/>
        <v>2808</v>
      </c>
      <c r="B3655" s="660" t="s">
        <v>43</v>
      </c>
      <c r="C3655" s="644" t="s">
        <v>44</v>
      </c>
      <c r="D3655" s="644" t="s">
        <v>45</v>
      </c>
      <c r="E3655" s="143" t="s">
        <v>4228</v>
      </c>
      <c r="F3655" s="837" t="s">
        <v>441</v>
      </c>
      <c r="G3655" s="837">
        <v>9847823019</v>
      </c>
      <c r="H3655" s="868"/>
      <c r="I3655" s="837">
        <v>56</v>
      </c>
      <c r="J3655" s="836" t="s">
        <v>48</v>
      </c>
      <c r="K3655" s="150" t="s">
        <v>1480</v>
      </c>
      <c r="L3655" s="150"/>
      <c r="M3655" s="145" t="s">
        <v>2336</v>
      </c>
      <c r="N3655" s="867">
        <v>65054</v>
      </c>
      <c r="O3655" s="867">
        <v>65054</v>
      </c>
      <c r="P3655" s="541">
        <v>65069</v>
      </c>
      <c r="Q3655" s="533" t="s">
        <v>51</v>
      </c>
    </row>
    <row r="3656" spans="1:17" ht="18">
      <c r="A3656" s="512">
        <f t="shared" si="49"/>
        <v>2809</v>
      </c>
      <c r="B3656" s="660" t="s">
        <v>43</v>
      </c>
      <c r="C3656" s="644" t="s">
        <v>44</v>
      </c>
      <c r="D3656" s="644" t="s">
        <v>45</v>
      </c>
      <c r="E3656" s="679" t="s">
        <v>4197</v>
      </c>
      <c r="F3656" s="838" t="s">
        <v>445</v>
      </c>
      <c r="G3656" s="838">
        <v>9806226112</v>
      </c>
      <c r="H3656" s="869"/>
      <c r="I3656" s="1187">
        <v>5</v>
      </c>
      <c r="J3656" s="836" t="s">
        <v>90</v>
      </c>
      <c r="K3656" s="150" t="s">
        <v>1468</v>
      </c>
      <c r="L3656" s="150"/>
      <c r="M3656" s="145" t="s">
        <v>2336</v>
      </c>
      <c r="N3656" s="867">
        <v>65054</v>
      </c>
      <c r="O3656" s="867">
        <v>65054</v>
      </c>
      <c r="P3656" s="541">
        <v>65069</v>
      </c>
      <c r="Q3656" s="533" t="s">
        <v>51</v>
      </c>
    </row>
    <row r="3657" spans="1:17" s="981" customFormat="1" ht="18">
      <c r="A3657" s="512">
        <f t="shared" si="49"/>
        <v>2810</v>
      </c>
      <c r="B3657" s="660" t="s">
        <v>43</v>
      </c>
      <c r="C3657" s="644" t="s">
        <v>44</v>
      </c>
      <c r="D3657" s="644" t="s">
        <v>45</v>
      </c>
      <c r="E3657" s="679" t="s">
        <v>4212</v>
      </c>
      <c r="F3657" s="838" t="s">
        <v>557</v>
      </c>
      <c r="G3657" s="838">
        <v>9822955512</v>
      </c>
      <c r="H3657" s="869"/>
      <c r="I3657" s="1187">
        <v>53</v>
      </c>
      <c r="J3657" s="836" t="s">
        <v>90</v>
      </c>
      <c r="K3657" s="150" t="s">
        <v>1468</v>
      </c>
      <c r="L3657" s="150"/>
      <c r="M3657" s="145" t="s">
        <v>2336</v>
      </c>
      <c r="N3657" s="867">
        <v>65054</v>
      </c>
      <c r="O3657" s="867">
        <v>65054</v>
      </c>
      <c r="P3657" s="541">
        <v>65069</v>
      </c>
      <c r="Q3657" s="533" t="s">
        <v>51</v>
      </c>
    </row>
    <row r="3658" spans="1:17" ht="18">
      <c r="A3658" s="512">
        <f t="shared" si="49"/>
        <v>2811</v>
      </c>
      <c r="B3658" s="660" t="s">
        <v>43</v>
      </c>
      <c r="C3658" s="644" t="s">
        <v>44</v>
      </c>
      <c r="D3658" s="644" t="s">
        <v>45</v>
      </c>
      <c r="E3658" s="679" t="s">
        <v>4194</v>
      </c>
      <c r="F3658" s="838" t="s">
        <v>445</v>
      </c>
      <c r="G3658" s="838">
        <v>9803865686</v>
      </c>
      <c r="H3658" s="869"/>
      <c r="I3658" s="1187">
        <v>51</v>
      </c>
      <c r="J3658" s="836" t="s">
        <v>48</v>
      </c>
      <c r="K3658" s="150" t="s">
        <v>1468</v>
      </c>
      <c r="L3658" s="150"/>
      <c r="M3658" s="145" t="s">
        <v>2336</v>
      </c>
      <c r="N3658" s="867">
        <v>65054</v>
      </c>
      <c r="O3658" s="867">
        <v>65054</v>
      </c>
      <c r="P3658" s="541">
        <v>65069</v>
      </c>
      <c r="Q3658" s="533" t="s">
        <v>51</v>
      </c>
    </row>
    <row r="3659" spans="1:17" ht="18">
      <c r="A3659" s="512">
        <f t="shared" si="49"/>
        <v>2812</v>
      </c>
      <c r="B3659" s="660" t="s">
        <v>43</v>
      </c>
      <c r="C3659" s="644" t="s">
        <v>44</v>
      </c>
      <c r="D3659" s="644" t="s">
        <v>45</v>
      </c>
      <c r="E3659" s="130" t="s">
        <v>4271</v>
      </c>
      <c r="F3659" s="227" t="s">
        <v>1008</v>
      </c>
      <c r="G3659" s="227">
        <v>9849255947</v>
      </c>
      <c r="I3659" s="227">
        <v>30</v>
      </c>
      <c r="J3659" s="130" t="s">
        <v>48</v>
      </c>
      <c r="K3659" s="130" t="s">
        <v>1480</v>
      </c>
      <c r="M3659" s="130" t="s">
        <v>119</v>
      </c>
      <c r="N3659" s="786">
        <v>65054</v>
      </c>
      <c r="O3659" s="786">
        <v>65054</v>
      </c>
      <c r="P3659" s="541">
        <v>65069</v>
      </c>
      <c r="Q3659" s="533" t="s">
        <v>51</v>
      </c>
    </row>
    <row r="3660" spans="1:17" ht="18">
      <c r="A3660" s="512">
        <f t="shared" si="49"/>
        <v>2813</v>
      </c>
      <c r="B3660" s="660" t="s">
        <v>43</v>
      </c>
      <c r="C3660" s="644" t="s">
        <v>44</v>
      </c>
      <c r="D3660" s="644" t="s">
        <v>45</v>
      </c>
      <c r="E3660" s="143" t="s">
        <v>4235</v>
      </c>
      <c r="F3660" s="837" t="s">
        <v>488</v>
      </c>
      <c r="G3660" s="837">
        <v>9813470974</v>
      </c>
      <c r="H3660" s="868"/>
      <c r="I3660" s="837">
        <v>45</v>
      </c>
      <c r="J3660" s="836" t="s">
        <v>90</v>
      </c>
      <c r="K3660" s="150" t="s">
        <v>1480</v>
      </c>
      <c r="L3660" s="150"/>
      <c r="M3660" s="145" t="s">
        <v>2336</v>
      </c>
      <c r="N3660" s="867">
        <v>65054</v>
      </c>
      <c r="O3660" s="867">
        <v>65054</v>
      </c>
      <c r="P3660" s="541">
        <v>65069</v>
      </c>
      <c r="Q3660" s="533" t="s">
        <v>51</v>
      </c>
    </row>
    <row r="3661" spans="1:17" ht="18">
      <c r="A3661" s="512">
        <f t="shared" si="49"/>
        <v>2814</v>
      </c>
      <c r="B3661" s="1125" t="s">
        <v>43</v>
      </c>
      <c r="C3661" s="1109" t="s">
        <v>44</v>
      </c>
      <c r="D3661" s="1109" t="s">
        <v>45</v>
      </c>
      <c r="E3661" s="1116" t="s">
        <v>4217</v>
      </c>
      <c r="F3661" s="1117" t="s">
        <v>1204</v>
      </c>
      <c r="G3661" s="1117">
        <v>9844992536</v>
      </c>
      <c r="H3661" s="1118"/>
      <c r="I3661" s="1117">
        <v>58</v>
      </c>
      <c r="J3661" s="1119" t="s">
        <v>48</v>
      </c>
      <c r="K3661" s="251" t="s">
        <v>1468</v>
      </c>
      <c r="L3661" s="251"/>
      <c r="M3661" s="251" t="s">
        <v>54</v>
      </c>
      <c r="N3661" s="1120">
        <v>65054</v>
      </c>
      <c r="O3661" s="1120">
        <v>65054</v>
      </c>
      <c r="P3661" s="1116" t="s">
        <v>4753</v>
      </c>
      <c r="Q3661" s="1116" t="s">
        <v>51</v>
      </c>
    </row>
    <row r="3662" spans="1:17" ht="18">
      <c r="A3662" s="512">
        <f t="shared" si="49"/>
        <v>2815</v>
      </c>
      <c r="B3662" s="660" t="s">
        <v>43</v>
      </c>
      <c r="C3662" s="644" t="s">
        <v>44</v>
      </c>
      <c r="D3662" s="644" t="s">
        <v>45</v>
      </c>
      <c r="E3662" s="835" t="s">
        <v>4229</v>
      </c>
      <c r="F3662" s="841" t="s">
        <v>636</v>
      </c>
      <c r="G3662" s="841">
        <v>9847886459</v>
      </c>
      <c r="H3662" s="871"/>
      <c r="I3662" s="841">
        <v>40</v>
      </c>
      <c r="J3662" s="836" t="s">
        <v>48</v>
      </c>
      <c r="K3662" s="150" t="s">
        <v>1480</v>
      </c>
      <c r="L3662" s="150"/>
      <c r="M3662" s="145" t="s">
        <v>2336</v>
      </c>
      <c r="N3662" s="867">
        <v>65054</v>
      </c>
      <c r="O3662" s="867">
        <v>65054</v>
      </c>
      <c r="P3662" s="541">
        <v>65069</v>
      </c>
      <c r="Q3662" s="533" t="s">
        <v>51</v>
      </c>
    </row>
    <row r="3663" spans="1:17" ht="18">
      <c r="A3663" s="512">
        <f t="shared" si="49"/>
        <v>2816</v>
      </c>
      <c r="B3663" s="660" t="s">
        <v>43</v>
      </c>
      <c r="C3663" s="644" t="s">
        <v>44</v>
      </c>
      <c r="D3663" s="644" t="s">
        <v>45</v>
      </c>
      <c r="E3663" s="839" t="s">
        <v>4189</v>
      </c>
      <c r="F3663" s="840" t="s">
        <v>415</v>
      </c>
      <c r="G3663" s="840">
        <v>9802051065</v>
      </c>
      <c r="H3663" s="870"/>
      <c r="I3663" s="840">
        <v>29</v>
      </c>
      <c r="J3663" s="836" t="s">
        <v>48</v>
      </c>
      <c r="K3663" s="150" t="s">
        <v>1468</v>
      </c>
      <c r="L3663" s="150"/>
      <c r="M3663" s="145" t="s">
        <v>2336</v>
      </c>
      <c r="N3663" s="867">
        <v>65054</v>
      </c>
      <c r="O3663" s="867">
        <v>65054</v>
      </c>
      <c r="P3663" s="541">
        <v>65069</v>
      </c>
      <c r="Q3663" s="533" t="s">
        <v>51</v>
      </c>
    </row>
    <row r="3664" spans="1:17" ht="18">
      <c r="A3664" s="512">
        <f t="shared" si="49"/>
        <v>2817</v>
      </c>
      <c r="B3664" s="660" t="s">
        <v>43</v>
      </c>
      <c r="C3664" s="644" t="s">
        <v>44</v>
      </c>
      <c r="D3664" s="644" t="s">
        <v>45</v>
      </c>
      <c r="E3664" s="839" t="s">
        <v>4187</v>
      </c>
      <c r="F3664" s="840" t="s">
        <v>4258</v>
      </c>
      <c r="G3664" s="840">
        <v>9847891139</v>
      </c>
      <c r="H3664" s="870"/>
      <c r="I3664" s="840">
        <v>43</v>
      </c>
      <c r="J3664" s="836" t="s">
        <v>48</v>
      </c>
      <c r="K3664" s="150" t="s">
        <v>1468</v>
      </c>
      <c r="L3664" s="150"/>
      <c r="M3664" s="145" t="s">
        <v>2336</v>
      </c>
      <c r="N3664" s="867">
        <v>65054</v>
      </c>
      <c r="O3664" s="867">
        <v>65054</v>
      </c>
      <c r="P3664" s="541">
        <v>65069</v>
      </c>
      <c r="Q3664" s="533" t="s">
        <v>51</v>
      </c>
    </row>
    <row r="3665" spans="1:17" ht="18">
      <c r="A3665" s="512">
        <f t="shared" si="49"/>
        <v>2818</v>
      </c>
      <c r="B3665" s="660" t="s">
        <v>43</v>
      </c>
      <c r="C3665" s="644" t="s">
        <v>44</v>
      </c>
      <c r="D3665" s="644" t="s">
        <v>45</v>
      </c>
      <c r="E3665" s="835" t="s">
        <v>4230</v>
      </c>
      <c r="F3665" s="841" t="s">
        <v>730</v>
      </c>
      <c r="G3665" s="841">
        <v>9847835380</v>
      </c>
      <c r="H3665" s="871"/>
      <c r="I3665" s="841">
        <v>48</v>
      </c>
      <c r="J3665" s="836" t="s">
        <v>48</v>
      </c>
      <c r="K3665" s="150" t="s">
        <v>1480</v>
      </c>
      <c r="L3665" s="150"/>
      <c r="M3665" s="145" t="s">
        <v>2336</v>
      </c>
      <c r="N3665" s="867">
        <v>65054</v>
      </c>
      <c r="O3665" s="867">
        <v>65054</v>
      </c>
      <c r="P3665" s="541">
        <v>65069</v>
      </c>
      <c r="Q3665" s="533" t="s">
        <v>51</v>
      </c>
    </row>
    <row r="3666" spans="1:17" ht="18">
      <c r="A3666" s="512">
        <f t="shared" ref="A3666:A3729" si="50">A3665+1</f>
        <v>2819</v>
      </c>
      <c r="B3666" s="660" t="s">
        <v>43</v>
      </c>
      <c r="C3666" s="644" t="s">
        <v>44</v>
      </c>
      <c r="D3666" s="644" t="s">
        <v>45</v>
      </c>
      <c r="E3666" s="835" t="s">
        <v>4236</v>
      </c>
      <c r="F3666" s="841" t="s">
        <v>529</v>
      </c>
      <c r="G3666" s="841">
        <v>9844179317</v>
      </c>
      <c r="H3666" s="871"/>
      <c r="I3666" s="841">
        <v>26</v>
      </c>
      <c r="J3666" s="836" t="s">
        <v>90</v>
      </c>
      <c r="K3666" s="150" t="s">
        <v>1480</v>
      </c>
      <c r="L3666" s="150"/>
      <c r="M3666" s="145" t="s">
        <v>2336</v>
      </c>
      <c r="N3666" s="867">
        <v>65054</v>
      </c>
      <c r="O3666" s="867">
        <v>65054</v>
      </c>
      <c r="P3666" s="541">
        <v>65069</v>
      </c>
      <c r="Q3666" s="533" t="s">
        <v>51</v>
      </c>
    </row>
    <row r="3667" spans="1:17" ht="18">
      <c r="A3667" s="512">
        <f t="shared" si="50"/>
        <v>2820</v>
      </c>
      <c r="B3667" s="660" t="s">
        <v>43</v>
      </c>
      <c r="C3667" s="644" t="s">
        <v>44</v>
      </c>
      <c r="D3667" s="644" t="s">
        <v>45</v>
      </c>
      <c r="E3667" s="839" t="s">
        <v>4195</v>
      </c>
      <c r="F3667" s="840" t="s">
        <v>445</v>
      </c>
      <c r="G3667" s="840">
        <v>9806226141</v>
      </c>
      <c r="H3667" s="870"/>
      <c r="I3667" s="840">
        <v>28</v>
      </c>
      <c r="J3667" s="836" t="s">
        <v>90</v>
      </c>
      <c r="K3667" s="150" t="s">
        <v>1468</v>
      </c>
      <c r="L3667" s="150"/>
      <c r="M3667" s="145" t="s">
        <v>2336</v>
      </c>
      <c r="N3667" s="867">
        <v>65054</v>
      </c>
      <c r="O3667" s="867">
        <v>65054</v>
      </c>
      <c r="P3667" s="541">
        <v>65069</v>
      </c>
      <c r="Q3667" s="533" t="s">
        <v>51</v>
      </c>
    </row>
    <row r="3668" spans="1:17" ht="18">
      <c r="A3668" s="512">
        <f t="shared" si="50"/>
        <v>2821</v>
      </c>
      <c r="B3668" s="660" t="s">
        <v>43</v>
      </c>
      <c r="C3668" s="644" t="s">
        <v>44</v>
      </c>
      <c r="D3668" s="644" t="s">
        <v>45</v>
      </c>
      <c r="E3668" s="839" t="s">
        <v>4184</v>
      </c>
      <c r="F3668" s="840" t="s">
        <v>4257</v>
      </c>
      <c r="G3668" s="840">
        <v>9847910493</v>
      </c>
      <c r="H3668" s="870"/>
      <c r="I3668" s="840">
        <v>40</v>
      </c>
      <c r="J3668" s="836" t="s">
        <v>90</v>
      </c>
      <c r="K3668" s="150" t="s">
        <v>1468</v>
      </c>
      <c r="L3668" s="150"/>
      <c r="M3668" s="145" t="s">
        <v>2336</v>
      </c>
      <c r="N3668" s="867">
        <v>65054</v>
      </c>
      <c r="O3668" s="867">
        <v>65054</v>
      </c>
      <c r="P3668" s="541">
        <v>65069</v>
      </c>
      <c r="Q3668" s="533" t="s">
        <v>51</v>
      </c>
    </row>
    <row r="3669" spans="1:17" ht="18">
      <c r="A3669" s="512">
        <f t="shared" si="50"/>
        <v>2822</v>
      </c>
      <c r="B3669" s="660" t="s">
        <v>43</v>
      </c>
      <c r="C3669" s="644" t="s">
        <v>44</v>
      </c>
      <c r="D3669" s="644" t="s">
        <v>45</v>
      </c>
      <c r="E3669" s="839" t="s">
        <v>4215</v>
      </c>
      <c r="F3669" s="840" t="s">
        <v>557</v>
      </c>
      <c r="G3669" s="840">
        <v>9810912235</v>
      </c>
      <c r="H3669" s="870"/>
      <c r="I3669" s="840">
        <v>40</v>
      </c>
      <c r="J3669" s="836" t="s">
        <v>48</v>
      </c>
      <c r="K3669" s="150" t="s">
        <v>1468</v>
      </c>
      <c r="L3669" s="150"/>
      <c r="M3669" s="145" t="s">
        <v>2336</v>
      </c>
      <c r="N3669" s="867">
        <v>65054</v>
      </c>
      <c r="O3669" s="867">
        <v>65054</v>
      </c>
      <c r="P3669" s="541">
        <v>65069</v>
      </c>
      <c r="Q3669" s="533" t="s">
        <v>51</v>
      </c>
    </row>
    <row r="3670" spans="1:17" ht="18">
      <c r="A3670" s="512">
        <f t="shared" si="50"/>
        <v>2823</v>
      </c>
      <c r="B3670" s="660" t="s">
        <v>43</v>
      </c>
      <c r="C3670" s="644" t="s">
        <v>44</v>
      </c>
      <c r="D3670" s="644" t="s">
        <v>45</v>
      </c>
      <c r="E3670" s="839" t="s">
        <v>4202</v>
      </c>
      <c r="F3670" s="840" t="s">
        <v>436</v>
      </c>
      <c r="G3670" s="840">
        <v>9847872526</v>
      </c>
      <c r="H3670" s="870"/>
      <c r="I3670" s="840">
        <v>29</v>
      </c>
      <c r="J3670" s="836" t="s">
        <v>48</v>
      </c>
      <c r="K3670" s="150" t="s">
        <v>1468</v>
      </c>
      <c r="L3670" s="150"/>
      <c r="M3670" s="145" t="s">
        <v>2336</v>
      </c>
      <c r="N3670" s="867">
        <v>65054</v>
      </c>
      <c r="O3670" s="867">
        <v>65054</v>
      </c>
      <c r="P3670" s="541">
        <v>65069</v>
      </c>
      <c r="Q3670" s="533" t="s">
        <v>51</v>
      </c>
    </row>
    <row r="3671" spans="1:17" ht="18">
      <c r="A3671" s="512">
        <f t="shared" si="50"/>
        <v>2824</v>
      </c>
      <c r="B3671" s="660" t="s">
        <v>43</v>
      </c>
      <c r="C3671" s="644" t="s">
        <v>44</v>
      </c>
      <c r="D3671" s="644" t="s">
        <v>45</v>
      </c>
      <c r="E3671" s="839" t="s">
        <v>4219</v>
      </c>
      <c r="F3671" s="840" t="s">
        <v>1204</v>
      </c>
      <c r="G3671" s="840">
        <v>9868627951</v>
      </c>
      <c r="H3671" s="870"/>
      <c r="I3671" s="840">
        <v>79</v>
      </c>
      <c r="J3671" s="836" t="s">
        <v>48</v>
      </c>
      <c r="K3671" s="150" t="s">
        <v>1468</v>
      </c>
      <c r="L3671" s="150"/>
      <c r="M3671" s="145" t="s">
        <v>2336</v>
      </c>
      <c r="N3671" s="867">
        <v>65054</v>
      </c>
      <c r="O3671" s="867">
        <v>65054</v>
      </c>
      <c r="P3671" s="541">
        <v>65069</v>
      </c>
      <c r="Q3671" s="533" t="s">
        <v>51</v>
      </c>
    </row>
    <row r="3672" spans="1:17" ht="18">
      <c r="A3672" s="512">
        <f t="shared" si="50"/>
        <v>2825</v>
      </c>
      <c r="B3672" s="660" t="s">
        <v>43</v>
      </c>
      <c r="C3672" s="644" t="s">
        <v>44</v>
      </c>
      <c r="D3672" s="644" t="s">
        <v>45</v>
      </c>
      <c r="E3672" s="835" t="s">
        <v>3782</v>
      </c>
      <c r="F3672" s="841" t="s">
        <v>1009</v>
      </c>
      <c r="G3672" s="841">
        <v>9822998298</v>
      </c>
      <c r="H3672" s="871"/>
      <c r="I3672" s="841">
        <v>36</v>
      </c>
      <c r="J3672" s="836" t="s">
        <v>90</v>
      </c>
      <c r="K3672" s="150" t="s">
        <v>1480</v>
      </c>
      <c r="L3672" s="150"/>
      <c r="M3672" s="145" t="s">
        <v>2336</v>
      </c>
      <c r="N3672" s="867">
        <v>65054</v>
      </c>
      <c r="O3672" s="867">
        <v>65054</v>
      </c>
      <c r="P3672" s="541">
        <v>65069</v>
      </c>
      <c r="Q3672" s="533" t="s">
        <v>51</v>
      </c>
    </row>
    <row r="3673" spans="1:17" ht="18">
      <c r="A3673" s="512">
        <f t="shared" si="50"/>
        <v>2826</v>
      </c>
      <c r="B3673" s="660" t="s">
        <v>43</v>
      </c>
      <c r="C3673" s="644" t="s">
        <v>44</v>
      </c>
      <c r="D3673" s="644" t="s">
        <v>45</v>
      </c>
      <c r="E3673" s="839" t="s">
        <v>4210</v>
      </c>
      <c r="F3673" s="840" t="s">
        <v>1046</v>
      </c>
      <c r="G3673" s="840">
        <v>9849380791</v>
      </c>
      <c r="H3673" s="870"/>
      <c r="I3673" s="840">
        <v>20</v>
      </c>
      <c r="J3673" s="836" t="s">
        <v>48</v>
      </c>
      <c r="K3673" s="150" t="s">
        <v>1468</v>
      </c>
      <c r="L3673" s="150"/>
      <c r="M3673" s="145" t="s">
        <v>2336</v>
      </c>
      <c r="N3673" s="867">
        <v>65054</v>
      </c>
      <c r="O3673" s="867">
        <v>65054</v>
      </c>
      <c r="P3673" s="541">
        <v>65069</v>
      </c>
      <c r="Q3673" s="533" t="s">
        <v>51</v>
      </c>
    </row>
    <row r="3674" spans="1:17" ht="18">
      <c r="A3674" s="512">
        <f t="shared" si="50"/>
        <v>2827</v>
      </c>
      <c r="B3674" s="660" t="s">
        <v>43</v>
      </c>
      <c r="C3674" s="644" t="s">
        <v>44</v>
      </c>
      <c r="D3674" s="644" t="s">
        <v>45</v>
      </c>
      <c r="E3674" s="839" t="s">
        <v>4216</v>
      </c>
      <c r="F3674" s="840" t="s">
        <v>730</v>
      </c>
      <c r="G3674" s="840">
        <v>9847941290</v>
      </c>
      <c r="H3674" s="870"/>
      <c r="I3674" s="840">
        <v>32</v>
      </c>
      <c r="J3674" s="836" t="s">
        <v>90</v>
      </c>
      <c r="K3674" s="150" t="s">
        <v>1468</v>
      </c>
      <c r="L3674" s="150"/>
      <c r="M3674" s="145" t="s">
        <v>2336</v>
      </c>
      <c r="N3674" s="867">
        <v>65054</v>
      </c>
      <c r="O3674" s="867">
        <v>65054</v>
      </c>
      <c r="P3674" s="541">
        <v>65069</v>
      </c>
      <c r="Q3674" s="533" t="s">
        <v>51</v>
      </c>
    </row>
    <row r="3675" spans="1:17" ht="18">
      <c r="A3675" s="512">
        <f t="shared" si="50"/>
        <v>2828</v>
      </c>
      <c r="B3675" s="660" t="s">
        <v>43</v>
      </c>
      <c r="C3675" s="644" t="s">
        <v>44</v>
      </c>
      <c r="D3675" s="644" t="s">
        <v>45</v>
      </c>
      <c r="E3675" s="835" t="s">
        <v>4237</v>
      </c>
      <c r="F3675" s="841" t="s">
        <v>512</v>
      </c>
      <c r="G3675" s="841">
        <v>9809543282</v>
      </c>
      <c r="H3675" s="871"/>
      <c r="I3675" s="841">
        <v>70</v>
      </c>
      <c r="J3675" s="836" t="s">
        <v>90</v>
      </c>
      <c r="K3675" s="150" t="s">
        <v>1480</v>
      </c>
      <c r="L3675" s="150"/>
      <c r="M3675" s="145" t="s">
        <v>2336</v>
      </c>
      <c r="N3675" s="867">
        <v>65054</v>
      </c>
      <c r="O3675" s="867">
        <v>65054</v>
      </c>
      <c r="P3675" s="541">
        <v>65069</v>
      </c>
      <c r="Q3675" s="533" t="s">
        <v>51</v>
      </c>
    </row>
    <row r="3676" spans="1:17" ht="18">
      <c r="A3676" s="512">
        <f t="shared" si="50"/>
        <v>2829</v>
      </c>
      <c r="B3676" s="660" t="s">
        <v>43</v>
      </c>
      <c r="C3676" s="644" t="s">
        <v>44</v>
      </c>
      <c r="D3676" s="644" t="s">
        <v>45</v>
      </c>
      <c r="E3676" s="839" t="s">
        <v>4185</v>
      </c>
      <c r="F3676" s="840" t="s">
        <v>4258</v>
      </c>
      <c r="G3676" s="840">
        <v>9857820741</v>
      </c>
      <c r="H3676" s="870"/>
      <c r="I3676" s="840">
        <v>49</v>
      </c>
      <c r="J3676" s="836" t="s">
        <v>48</v>
      </c>
      <c r="K3676" s="150" t="s">
        <v>1468</v>
      </c>
      <c r="L3676" s="150"/>
      <c r="M3676" s="145" t="s">
        <v>2336</v>
      </c>
      <c r="N3676" s="867">
        <v>65054</v>
      </c>
      <c r="O3676" s="867">
        <v>65054</v>
      </c>
      <c r="P3676" s="541">
        <v>65069</v>
      </c>
      <c r="Q3676" s="533" t="s">
        <v>51</v>
      </c>
    </row>
    <row r="3677" spans="1:17" ht="18">
      <c r="A3677" s="512">
        <f t="shared" si="50"/>
        <v>2830</v>
      </c>
      <c r="B3677" s="660" t="s">
        <v>43</v>
      </c>
      <c r="C3677" s="644" t="s">
        <v>44</v>
      </c>
      <c r="D3677" s="644" t="s">
        <v>45</v>
      </c>
      <c r="E3677" s="839" t="s">
        <v>4203</v>
      </c>
      <c r="F3677" s="840" t="s">
        <v>1009</v>
      </c>
      <c r="G3677" s="840">
        <v>9847849405</v>
      </c>
      <c r="H3677" s="870"/>
      <c r="I3677" s="840">
        <v>52</v>
      </c>
      <c r="J3677" s="836" t="s">
        <v>48</v>
      </c>
      <c r="K3677" s="150" t="s">
        <v>1468</v>
      </c>
      <c r="L3677" s="150"/>
      <c r="M3677" s="145" t="s">
        <v>2336</v>
      </c>
      <c r="N3677" s="867">
        <v>65054</v>
      </c>
      <c r="O3677" s="867">
        <v>65054</v>
      </c>
      <c r="P3677" s="541">
        <v>65069</v>
      </c>
      <c r="Q3677" s="533" t="s">
        <v>51</v>
      </c>
    </row>
    <row r="3678" spans="1:17" ht="18">
      <c r="A3678" s="512">
        <f t="shared" si="50"/>
        <v>2831</v>
      </c>
      <c r="B3678" s="660" t="s">
        <v>43</v>
      </c>
      <c r="C3678" s="644" t="s">
        <v>44</v>
      </c>
      <c r="D3678" s="644" t="s">
        <v>45</v>
      </c>
      <c r="E3678" s="1014" t="s">
        <v>4272</v>
      </c>
      <c r="F3678" s="911" t="s">
        <v>529</v>
      </c>
      <c r="G3678" s="911">
        <v>9847820345</v>
      </c>
      <c r="H3678" s="1017"/>
      <c r="I3678" s="911">
        <v>43</v>
      </c>
      <c r="J3678" s="130" t="s">
        <v>90</v>
      </c>
      <c r="K3678" s="130" t="s">
        <v>1480</v>
      </c>
      <c r="M3678" s="130" t="s">
        <v>119</v>
      </c>
      <c r="N3678" s="786">
        <v>65054</v>
      </c>
      <c r="O3678" s="786">
        <v>65054</v>
      </c>
      <c r="P3678" s="541">
        <v>65069</v>
      </c>
      <c r="Q3678" s="533" t="s">
        <v>51</v>
      </c>
    </row>
    <row r="3679" spans="1:17" ht="18">
      <c r="A3679" s="512">
        <f t="shared" si="50"/>
        <v>2832</v>
      </c>
      <c r="B3679" s="669" t="s">
        <v>43</v>
      </c>
      <c r="C3679" s="640" t="s">
        <v>44</v>
      </c>
      <c r="D3679" s="640" t="s">
        <v>45</v>
      </c>
      <c r="E3679" s="1016" t="s">
        <v>4269</v>
      </c>
      <c r="F3679" s="928" t="s">
        <v>502</v>
      </c>
      <c r="G3679" s="928"/>
      <c r="H3679" s="1018"/>
      <c r="I3679" s="928">
        <v>55</v>
      </c>
      <c r="J3679" s="182" t="s">
        <v>48</v>
      </c>
      <c r="K3679" s="182" t="s">
        <v>53</v>
      </c>
      <c r="L3679" s="438"/>
      <c r="M3679" s="182" t="s">
        <v>54</v>
      </c>
      <c r="N3679" s="881">
        <v>65054</v>
      </c>
      <c r="O3679" s="881">
        <v>65054</v>
      </c>
      <c r="P3679" s="465">
        <v>65061</v>
      </c>
      <c r="Q3679" s="436" t="s">
        <v>51</v>
      </c>
    </row>
    <row r="3680" spans="1:17" ht="18">
      <c r="A3680" s="512">
        <f t="shared" si="50"/>
        <v>2833</v>
      </c>
      <c r="B3680" s="660" t="s">
        <v>43</v>
      </c>
      <c r="C3680" s="644" t="s">
        <v>44</v>
      </c>
      <c r="D3680" s="644" t="s">
        <v>45</v>
      </c>
      <c r="E3680" s="839" t="s">
        <v>4183</v>
      </c>
      <c r="F3680" s="840" t="s">
        <v>4256</v>
      </c>
      <c r="G3680" s="840">
        <v>9810877653</v>
      </c>
      <c r="H3680" s="870"/>
      <c r="I3680" s="840">
        <v>28</v>
      </c>
      <c r="J3680" s="836" t="s">
        <v>90</v>
      </c>
      <c r="K3680" s="150" t="s">
        <v>1468</v>
      </c>
      <c r="L3680" s="150"/>
      <c r="M3680" s="145" t="s">
        <v>2336</v>
      </c>
      <c r="N3680" s="867">
        <v>65054</v>
      </c>
      <c r="O3680" s="867">
        <v>65054</v>
      </c>
      <c r="P3680" s="541">
        <v>65069</v>
      </c>
      <c r="Q3680" s="533" t="s">
        <v>51</v>
      </c>
    </row>
    <row r="3681" spans="1:17" ht="18">
      <c r="A3681" s="512">
        <f t="shared" si="50"/>
        <v>2834</v>
      </c>
      <c r="B3681" s="660" t="s">
        <v>43</v>
      </c>
      <c r="C3681" s="644" t="s">
        <v>44</v>
      </c>
      <c r="D3681" s="644" t="s">
        <v>45</v>
      </c>
      <c r="E3681" s="839" t="s">
        <v>4198</v>
      </c>
      <c r="F3681" s="840" t="s">
        <v>522</v>
      </c>
      <c r="G3681" s="840">
        <v>9806226530</v>
      </c>
      <c r="H3681" s="870"/>
      <c r="I3681" s="840">
        <v>50</v>
      </c>
      <c r="J3681" s="836" t="s">
        <v>48</v>
      </c>
      <c r="K3681" s="150" t="s">
        <v>1468</v>
      </c>
      <c r="L3681" s="150"/>
      <c r="M3681" s="145" t="s">
        <v>2336</v>
      </c>
      <c r="N3681" s="867">
        <v>65054</v>
      </c>
      <c r="O3681" s="867">
        <v>65054</v>
      </c>
      <c r="P3681" s="541">
        <v>65069</v>
      </c>
      <c r="Q3681" s="533" t="s">
        <v>51</v>
      </c>
    </row>
    <row r="3682" spans="1:17" ht="18">
      <c r="A3682" s="512">
        <f t="shared" si="50"/>
        <v>2835</v>
      </c>
      <c r="B3682" s="660" t="s">
        <v>43</v>
      </c>
      <c r="C3682" s="644" t="s">
        <v>44</v>
      </c>
      <c r="D3682" s="644" t="s">
        <v>45</v>
      </c>
      <c r="E3682" s="1014" t="s">
        <v>4268</v>
      </c>
      <c r="F3682" s="911" t="s">
        <v>491</v>
      </c>
      <c r="G3682" s="911">
        <v>9866828904</v>
      </c>
      <c r="H3682" s="1017"/>
      <c r="I3682" s="911">
        <v>43</v>
      </c>
      <c r="J3682" s="130" t="s">
        <v>48</v>
      </c>
      <c r="K3682" s="130" t="s">
        <v>345</v>
      </c>
      <c r="M3682" s="130" t="s">
        <v>119</v>
      </c>
      <c r="N3682" s="786">
        <v>65054</v>
      </c>
      <c r="O3682" s="786">
        <v>65054</v>
      </c>
      <c r="P3682" s="541">
        <v>65069</v>
      </c>
      <c r="Q3682" s="533" t="s">
        <v>51</v>
      </c>
    </row>
    <row r="3683" spans="1:17" ht="18">
      <c r="A3683" s="512">
        <f t="shared" si="50"/>
        <v>2836</v>
      </c>
      <c r="B3683" s="660" t="s">
        <v>43</v>
      </c>
      <c r="C3683" s="644" t="s">
        <v>44</v>
      </c>
      <c r="D3683" s="644" t="s">
        <v>45</v>
      </c>
      <c r="E3683" s="839" t="s">
        <v>4207</v>
      </c>
      <c r="F3683" s="840" t="s">
        <v>1046</v>
      </c>
      <c r="G3683" s="840">
        <v>9847836010</v>
      </c>
      <c r="H3683" s="870"/>
      <c r="I3683" s="840">
        <v>46</v>
      </c>
      <c r="J3683" s="836" t="s">
        <v>90</v>
      </c>
      <c r="K3683" s="150" t="s">
        <v>1468</v>
      </c>
      <c r="L3683" s="150"/>
      <c r="M3683" s="145" t="s">
        <v>2336</v>
      </c>
      <c r="N3683" s="867">
        <v>65054</v>
      </c>
      <c r="O3683" s="867">
        <v>65054</v>
      </c>
      <c r="P3683" s="541">
        <v>65069</v>
      </c>
      <c r="Q3683" s="533" t="s">
        <v>51</v>
      </c>
    </row>
    <row r="3684" spans="1:17" ht="18">
      <c r="A3684" s="512">
        <f t="shared" si="50"/>
        <v>2837</v>
      </c>
      <c r="B3684" s="658" t="s">
        <v>43</v>
      </c>
      <c r="C3684" s="630" t="s">
        <v>44</v>
      </c>
      <c r="D3684" s="630" t="s">
        <v>45</v>
      </c>
      <c r="E3684" s="155" t="s">
        <v>4251</v>
      </c>
      <c r="F3684" s="248" t="s">
        <v>617</v>
      </c>
      <c r="G3684" s="248">
        <v>9829568363</v>
      </c>
      <c r="H3684" s="199"/>
      <c r="I3684" s="248">
        <v>30</v>
      </c>
      <c r="J3684" s="155" t="s">
        <v>90</v>
      </c>
      <c r="K3684" s="155" t="s">
        <v>1459</v>
      </c>
      <c r="L3684" s="155"/>
      <c r="M3684" s="248" t="s">
        <v>2336</v>
      </c>
      <c r="N3684" s="282">
        <v>65054</v>
      </c>
      <c r="O3684" s="282">
        <v>65054</v>
      </c>
      <c r="P3684" s="476">
        <v>65057</v>
      </c>
      <c r="Q3684" s="422" t="s">
        <v>940</v>
      </c>
    </row>
    <row r="3685" spans="1:17" ht="18">
      <c r="A3685" s="512">
        <f t="shared" si="50"/>
        <v>2838</v>
      </c>
      <c r="B3685" s="660" t="s">
        <v>43</v>
      </c>
      <c r="C3685" s="644" t="s">
        <v>44</v>
      </c>
      <c r="D3685" s="644" t="s">
        <v>45</v>
      </c>
      <c r="E3685" s="679" t="s">
        <v>4208</v>
      </c>
      <c r="F3685" s="838" t="s">
        <v>1046</v>
      </c>
      <c r="G3685" s="838">
        <v>9803932390</v>
      </c>
      <c r="H3685" s="869"/>
      <c r="I3685" s="1187">
        <v>50</v>
      </c>
      <c r="J3685" s="836" t="s">
        <v>48</v>
      </c>
      <c r="K3685" s="150" t="s">
        <v>1468</v>
      </c>
      <c r="L3685" s="150"/>
      <c r="M3685" s="145" t="s">
        <v>2336</v>
      </c>
      <c r="N3685" s="867">
        <v>65054</v>
      </c>
      <c r="O3685" s="867">
        <v>65054</v>
      </c>
      <c r="P3685" s="541">
        <v>65069</v>
      </c>
      <c r="Q3685" s="533" t="s">
        <v>51</v>
      </c>
    </row>
    <row r="3686" spans="1:17" ht="18">
      <c r="A3686" s="512">
        <f t="shared" si="50"/>
        <v>2839</v>
      </c>
      <c r="B3686" s="660" t="s">
        <v>43</v>
      </c>
      <c r="C3686" s="644" t="s">
        <v>44</v>
      </c>
      <c r="D3686" s="644" t="s">
        <v>45</v>
      </c>
      <c r="E3686" s="130" t="s">
        <v>4273</v>
      </c>
      <c r="F3686" s="227" t="s">
        <v>441</v>
      </c>
      <c r="G3686" s="227">
        <v>9847831230</v>
      </c>
      <c r="I3686" s="227">
        <v>47</v>
      </c>
      <c r="J3686" s="130" t="s">
        <v>90</v>
      </c>
      <c r="K3686" s="130" t="s">
        <v>1480</v>
      </c>
      <c r="M3686" s="130" t="s">
        <v>119</v>
      </c>
      <c r="N3686" s="786">
        <v>65054</v>
      </c>
      <c r="O3686" s="786">
        <v>65054</v>
      </c>
      <c r="P3686" s="541">
        <v>65069</v>
      </c>
      <c r="Q3686" s="533" t="s">
        <v>51</v>
      </c>
    </row>
    <row r="3687" spans="1:17" ht="18">
      <c r="A3687" s="512">
        <f t="shared" si="50"/>
        <v>2840</v>
      </c>
      <c r="B3687" s="660" t="s">
        <v>43</v>
      </c>
      <c r="C3687" s="644" t="s">
        <v>44</v>
      </c>
      <c r="D3687" s="644" t="s">
        <v>45</v>
      </c>
      <c r="E3687" s="704" t="s">
        <v>4254</v>
      </c>
      <c r="F3687" s="150" t="s">
        <v>502</v>
      </c>
      <c r="G3687" s="705">
        <v>9847824013</v>
      </c>
      <c r="H3687" s="706"/>
      <c r="I3687" s="705">
        <v>27</v>
      </c>
      <c r="J3687" s="120" t="s">
        <v>90</v>
      </c>
      <c r="K3687" s="120" t="s">
        <v>53</v>
      </c>
      <c r="L3687" s="120"/>
      <c r="M3687" s="145" t="s">
        <v>2336</v>
      </c>
      <c r="N3687" s="710">
        <v>65054</v>
      </c>
      <c r="O3687" s="710">
        <v>65054</v>
      </c>
      <c r="P3687" s="541">
        <v>65069</v>
      </c>
      <c r="Q3687" s="533" t="s">
        <v>51</v>
      </c>
    </row>
    <row r="3688" spans="1:17" ht="18">
      <c r="A3688" s="512">
        <f t="shared" si="50"/>
        <v>2841</v>
      </c>
      <c r="B3688" s="660" t="s">
        <v>43</v>
      </c>
      <c r="C3688" s="644" t="s">
        <v>44</v>
      </c>
      <c r="D3688" s="644" t="s">
        <v>45</v>
      </c>
      <c r="E3688" s="143" t="s">
        <v>4238</v>
      </c>
      <c r="F3688" s="837" t="s">
        <v>1046</v>
      </c>
      <c r="G3688" s="837">
        <v>9822974141</v>
      </c>
      <c r="H3688" s="868"/>
      <c r="I3688" s="837">
        <v>32</v>
      </c>
      <c r="J3688" s="836" t="s">
        <v>90</v>
      </c>
      <c r="K3688" s="150" t="s">
        <v>1480</v>
      </c>
      <c r="L3688" s="150"/>
      <c r="M3688" s="145" t="s">
        <v>2336</v>
      </c>
      <c r="N3688" s="867">
        <v>65054</v>
      </c>
      <c r="O3688" s="867">
        <v>65054</v>
      </c>
      <c r="P3688" s="541">
        <v>65069</v>
      </c>
      <c r="Q3688" s="533" t="s">
        <v>51</v>
      </c>
    </row>
    <row r="3689" spans="1:17" s="163" customFormat="1" ht="18">
      <c r="A3689" s="512">
        <f t="shared" si="50"/>
        <v>2842</v>
      </c>
      <c r="B3689" s="660" t="s">
        <v>43</v>
      </c>
      <c r="C3689" s="644" t="s">
        <v>44</v>
      </c>
      <c r="D3689" s="644" t="s">
        <v>45</v>
      </c>
      <c r="E3689" s="679" t="s">
        <v>4213</v>
      </c>
      <c r="F3689" s="838" t="s">
        <v>557</v>
      </c>
      <c r="G3689" s="838">
        <v>9822955512</v>
      </c>
      <c r="H3689" s="869"/>
      <c r="I3689" s="1187">
        <v>25</v>
      </c>
      <c r="J3689" s="836" t="s">
        <v>90</v>
      </c>
      <c r="K3689" s="150" t="s">
        <v>1468</v>
      </c>
      <c r="L3689" s="150"/>
      <c r="M3689" s="145" t="s">
        <v>2336</v>
      </c>
      <c r="N3689" s="867">
        <v>65054</v>
      </c>
      <c r="O3689" s="867">
        <v>65054</v>
      </c>
      <c r="P3689" s="541">
        <v>65069</v>
      </c>
      <c r="Q3689" s="533" t="s">
        <v>51</v>
      </c>
    </row>
    <row r="3690" spans="1:17" ht="18">
      <c r="A3690" s="512">
        <f t="shared" si="50"/>
        <v>2843</v>
      </c>
      <c r="B3690" s="660" t="s">
        <v>43</v>
      </c>
      <c r="C3690" s="644" t="s">
        <v>44</v>
      </c>
      <c r="D3690" s="644" t="s">
        <v>45</v>
      </c>
      <c r="E3690" s="679" t="s">
        <v>4209</v>
      </c>
      <c r="F3690" s="838" t="s">
        <v>1046</v>
      </c>
      <c r="G3690" s="838">
        <v>9844331006</v>
      </c>
      <c r="H3690" s="869"/>
      <c r="I3690" s="1187">
        <v>26</v>
      </c>
      <c r="J3690" s="836" t="s">
        <v>48</v>
      </c>
      <c r="K3690" s="150" t="s">
        <v>1468</v>
      </c>
      <c r="L3690" s="150"/>
      <c r="M3690" s="145" t="s">
        <v>2336</v>
      </c>
      <c r="N3690" s="867">
        <v>65054</v>
      </c>
      <c r="O3690" s="867">
        <v>65054</v>
      </c>
      <c r="P3690" s="541">
        <v>65069</v>
      </c>
      <c r="Q3690" s="533" t="s">
        <v>51</v>
      </c>
    </row>
    <row r="3691" spans="1:17" ht="18">
      <c r="A3691" s="512">
        <f t="shared" si="50"/>
        <v>2844</v>
      </c>
      <c r="B3691" s="660" t="s">
        <v>43</v>
      </c>
      <c r="C3691" s="644" t="s">
        <v>44</v>
      </c>
      <c r="D3691" s="644" t="s">
        <v>45</v>
      </c>
      <c r="E3691" s="143" t="s">
        <v>4239</v>
      </c>
      <c r="F3691" s="837" t="s">
        <v>441</v>
      </c>
      <c r="G3691" s="837">
        <v>9829568389</v>
      </c>
      <c r="H3691" s="868"/>
      <c r="I3691" s="837">
        <v>21</v>
      </c>
      <c r="J3691" s="836" t="s">
        <v>90</v>
      </c>
      <c r="K3691" s="150" t="s">
        <v>1480</v>
      </c>
      <c r="L3691" s="150"/>
      <c r="M3691" s="145" t="s">
        <v>2336</v>
      </c>
      <c r="N3691" s="867">
        <v>65054</v>
      </c>
      <c r="O3691" s="867">
        <v>65054</v>
      </c>
      <c r="P3691" s="541">
        <v>65069</v>
      </c>
      <c r="Q3691" s="533" t="s">
        <v>51</v>
      </c>
    </row>
    <row r="3692" spans="1:17" ht="18">
      <c r="A3692" s="512">
        <f t="shared" si="50"/>
        <v>2845</v>
      </c>
      <c r="B3692" s="660" t="s">
        <v>43</v>
      </c>
      <c r="C3692" s="644" t="s">
        <v>44</v>
      </c>
      <c r="D3692" s="644" t="s">
        <v>45</v>
      </c>
      <c r="E3692" s="787" t="s">
        <v>4253</v>
      </c>
      <c r="F3692" s="150" t="s">
        <v>502</v>
      </c>
      <c r="G3692" s="705">
        <v>9847947715</v>
      </c>
      <c r="H3692" s="706"/>
      <c r="I3692" s="705">
        <v>32</v>
      </c>
      <c r="J3692" s="120" t="s">
        <v>48</v>
      </c>
      <c r="K3692" s="120" t="s">
        <v>53</v>
      </c>
      <c r="L3692" s="120"/>
      <c r="M3692" s="145" t="s">
        <v>2336</v>
      </c>
      <c r="N3692" s="710">
        <v>65054</v>
      </c>
      <c r="O3692" s="710">
        <v>65054</v>
      </c>
      <c r="P3692" s="541">
        <v>65069</v>
      </c>
      <c r="Q3692" s="533" t="s">
        <v>51</v>
      </c>
    </row>
    <row r="3693" spans="1:17" ht="18">
      <c r="A3693" s="512">
        <f t="shared" si="50"/>
        <v>2846</v>
      </c>
      <c r="B3693" s="660" t="s">
        <v>43</v>
      </c>
      <c r="C3693" s="644" t="s">
        <v>44</v>
      </c>
      <c r="D3693" s="644" t="s">
        <v>45</v>
      </c>
      <c r="E3693" s="679" t="s">
        <v>4214</v>
      </c>
      <c r="F3693" s="838" t="s">
        <v>557</v>
      </c>
      <c r="G3693" s="838">
        <v>9822955512</v>
      </c>
      <c r="H3693" s="869"/>
      <c r="I3693" s="1187">
        <v>9</v>
      </c>
      <c r="J3693" s="836" t="s">
        <v>48</v>
      </c>
      <c r="K3693" s="150" t="s">
        <v>1468</v>
      </c>
      <c r="L3693" s="150"/>
      <c r="M3693" s="145" t="s">
        <v>2336</v>
      </c>
      <c r="N3693" s="867">
        <v>65054</v>
      </c>
      <c r="O3693" s="867">
        <v>65054</v>
      </c>
      <c r="P3693" s="541">
        <v>65069</v>
      </c>
      <c r="Q3693" s="533" t="s">
        <v>51</v>
      </c>
    </row>
    <row r="3694" spans="1:17" s="163" customFormat="1" ht="18">
      <c r="A3694" s="512">
        <f t="shared" si="50"/>
        <v>2847</v>
      </c>
      <c r="B3694" s="660" t="s">
        <v>43</v>
      </c>
      <c r="C3694" s="644" t="s">
        <v>44</v>
      </c>
      <c r="D3694" s="644" t="s">
        <v>45</v>
      </c>
      <c r="E3694" s="679" t="s">
        <v>4200</v>
      </c>
      <c r="F3694" s="838" t="s">
        <v>436</v>
      </c>
      <c r="G3694" s="838">
        <v>9829811981</v>
      </c>
      <c r="H3694" s="869"/>
      <c r="I3694" s="1187">
        <v>22</v>
      </c>
      <c r="J3694" s="836" t="s">
        <v>90</v>
      </c>
      <c r="K3694" s="150" t="s">
        <v>1468</v>
      </c>
      <c r="L3694" s="150"/>
      <c r="M3694" s="145" t="s">
        <v>2336</v>
      </c>
      <c r="N3694" s="867">
        <v>65054</v>
      </c>
      <c r="O3694" s="867">
        <v>65054</v>
      </c>
      <c r="P3694" s="541">
        <v>65069</v>
      </c>
      <c r="Q3694" s="533" t="s">
        <v>51</v>
      </c>
    </row>
    <row r="3695" spans="1:17" ht="18">
      <c r="A3695" s="512">
        <f t="shared" si="50"/>
        <v>2848</v>
      </c>
      <c r="B3695" s="896" t="s">
        <v>43</v>
      </c>
      <c r="C3695" s="120" t="s">
        <v>44</v>
      </c>
      <c r="D3695" s="120" t="s">
        <v>45</v>
      </c>
      <c r="E3695" s="130" t="s">
        <v>4274</v>
      </c>
      <c r="F3695" s="227" t="s">
        <v>502</v>
      </c>
      <c r="G3695" s="227">
        <v>9847824904</v>
      </c>
      <c r="H3695" s="233"/>
      <c r="I3695" s="227">
        <v>74</v>
      </c>
      <c r="J3695" s="130" t="s">
        <v>90</v>
      </c>
      <c r="K3695" s="130" t="s">
        <v>1480</v>
      </c>
      <c r="L3695" s="138"/>
      <c r="M3695" s="130" t="s">
        <v>119</v>
      </c>
      <c r="N3695" s="786">
        <v>65054</v>
      </c>
      <c r="O3695" s="786">
        <v>65054</v>
      </c>
      <c r="P3695" s="541">
        <v>65069</v>
      </c>
      <c r="Q3695" s="533" t="s">
        <v>51</v>
      </c>
    </row>
    <row r="3696" spans="1:17" ht="18">
      <c r="A3696" s="512">
        <f t="shared" si="50"/>
        <v>2849</v>
      </c>
      <c r="B3696" s="827" t="s">
        <v>43</v>
      </c>
      <c r="C3696" s="828" t="s">
        <v>44</v>
      </c>
      <c r="D3696" s="828" t="s">
        <v>45</v>
      </c>
      <c r="E3696" s="994" t="s">
        <v>4240</v>
      </c>
      <c r="F3696" s="997" t="s">
        <v>124</v>
      </c>
      <c r="G3696" s="997">
        <v>9864820853</v>
      </c>
      <c r="H3696" s="1002"/>
      <c r="I3696" s="997">
        <v>23</v>
      </c>
      <c r="J3696" s="937" t="s">
        <v>90</v>
      </c>
      <c r="K3696" s="709" t="s">
        <v>1480</v>
      </c>
      <c r="L3696" s="709"/>
      <c r="M3696" s="833" t="s">
        <v>2336</v>
      </c>
      <c r="N3696" s="1011">
        <v>65054</v>
      </c>
      <c r="O3696" s="1011">
        <v>65054</v>
      </c>
      <c r="P3696" s="541">
        <v>65069</v>
      </c>
      <c r="Q3696" s="533" t="s">
        <v>51</v>
      </c>
    </row>
    <row r="3697" spans="1:19" ht="18">
      <c r="A3697" s="512">
        <f t="shared" si="50"/>
        <v>2850</v>
      </c>
      <c r="B3697" s="660" t="s">
        <v>43</v>
      </c>
      <c r="C3697" s="644" t="s">
        <v>44</v>
      </c>
      <c r="D3697" s="644" t="s">
        <v>45</v>
      </c>
      <c r="E3697" s="679" t="s">
        <v>4190</v>
      </c>
      <c r="F3697" s="838" t="s">
        <v>415</v>
      </c>
      <c r="G3697" s="838">
        <v>9864913060</v>
      </c>
      <c r="H3697" s="869"/>
      <c r="I3697" s="1187">
        <v>49</v>
      </c>
      <c r="J3697" s="836" t="s">
        <v>90</v>
      </c>
      <c r="K3697" s="150" t="s">
        <v>1468</v>
      </c>
      <c r="L3697" s="150"/>
      <c r="M3697" s="145" t="s">
        <v>2336</v>
      </c>
      <c r="N3697" s="867">
        <v>65054</v>
      </c>
      <c r="O3697" s="867">
        <v>65054</v>
      </c>
      <c r="P3697" s="541">
        <v>65069</v>
      </c>
      <c r="Q3697" s="533" t="s">
        <v>51</v>
      </c>
      <c r="R3697" s="233"/>
      <c r="S3697" s="233"/>
    </row>
    <row r="3698" spans="1:19" ht="18">
      <c r="A3698" s="512">
        <f t="shared" si="50"/>
        <v>2851</v>
      </c>
      <c r="B3698" s="896" t="s">
        <v>43</v>
      </c>
      <c r="C3698" s="120" t="s">
        <v>44</v>
      </c>
      <c r="D3698" s="120" t="s">
        <v>45</v>
      </c>
      <c r="E3698" s="130" t="s">
        <v>4280</v>
      </c>
      <c r="F3698" s="138" t="s">
        <v>617</v>
      </c>
      <c r="G3698" s="150">
        <v>981823129</v>
      </c>
      <c r="H3698" s="121"/>
      <c r="I3698" s="150">
        <v>50</v>
      </c>
      <c r="J3698" s="120" t="s">
        <v>48</v>
      </c>
      <c r="K3698" s="120" t="s">
        <v>1468</v>
      </c>
      <c r="L3698" s="120"/>
      <c r="M3698" s="146" t="s">
        <v>119</v>
      </c>
      <c r="N3698" s="710">
        <v>65056</v>
      </c>
      <c r="O3698" s="710">
        <v>65056</v>
      </c>
      <c r="P3698" s="1107">
        <v>65070</v>
      </c>
      <c r="Q3698" s="240" t="s">
        <v>51</v>
      </c>
      <c r="R3698" s="120"/>
      <c r="S3698" s="146"/>
    </row>
    <row r="3699" spans="1:19" ht="18">
      <c r="A3699" s="512">
        <f t="shared" si="50"/>
        <v>2852</v>
      </c>
      <c r="B3699" s="896" t="s">
        <v>43</v>
      </c>
      <c r="C3699" s="120" t="s">
        <v>44</v>
      </c>
      <c r="D3699" s="120" t="s">
        <v>45</v>
      </c>
      <c r="E3699" s="130" t="s">
        <v>4297</v>
      </c>
      <c r="F3699" s="233" t="s">
        <v>491</v>
      </c>
      <c r="G3699" s="150">
        <v>9840831765</v>
      </c>
      <c r="H3699" s="121"/>
      <c r="I3699" s="150">
        <v>62</v>
      </c>
      <c r="J3699" s="120" t="s">
        <v>48</v>
      </c>
      <c r="K3699" s="120" t="s">
        <v>1468</v>
      </c>
      <c r="L3699" s="120"/>
      <c r="M3699" s="146" t="s">
        <v>119</v>
      </c>
      <c r="N3699" s="710">
        <v>65056</v>
      </c>
      <c r="O3699" s="710">
        <v>65056</v>
      </c>
      <c r="P3699" s="1107">
        <v>65070</v>
      </c>
      <c r="Q3699" s="240" t="s">
        <v>51</v>
      </c>
      <c r="R3699" s="120"/>
      <c r="S3699" s="146"/>
    </row>
    <row r="3700" spans="1:19" ht="18">
      <c r="A3700" s="512">
        <f t="shared" si="50"/>
        <v>2853</v>
      </c>
      <c r="B3700" s="896" t="s">
        <v>43</v>
      </c>
      <c r="C3700" s="120" t="s">
        <v>44</v>
      </c>
      <c r="D3700" s="120" t="s">
        <v>45</v>
      </c>
      <c r="E3700" s="130" t="s">
        <v>4298</v>
      </c>
      <c r="F3700" s="233" t="s">
        <v>491</v>
      </c>
      <c r="G3700" s="150">
        <v>9806251114</v>
      </c>
      <c r="H3700" s="121"/>
      <c r="I3700" s="150">
        <v>26</v>
      </c>
      <c r="J3700" s="120" t="s">
        <v>90</v>
      </c>
      <c r="K3700" s="120" t="s">
        <v>53</v>
      </c>
      <c r="L3700" s="120"/>
      <c r="M3700" s="146" t="s">
        <v>119</v>
      </c>
      <c r="N3700" s="710">
        <v>65056</v>
      </c>
      <c r="O3700" s="710">
        <v>65056</v>
      </c>
      <c r="P3700" s="1107">
        <v>65070</v>
      </c>
      <c r="Q3700" s="240" t="s">
        <v>51</v>
      </c>
      <c r="R3700" s="120"/>
      <c r="S3700" s="146"/>
    </row>
    <row r="3701" spans="1:19" ht="18">
      <c r="A3701" s="512">
        <f t="shared" si="50"/>
        <v>2854</v>
      </c>
      <c r="B3701" s="896" t="s">
        <v>43</v>
      </c>
      <c r="C3701" s="120" t="s">
        <v>44</v>
      </c>
      <c r="D3701" s="120" t="s">
        <v>45</v>
      </c>
      <c r="E3701" s="130" t="s">
        <v>4299</v>
      </c>
      <c r="F3701" s="233" t="s">
        <v>491</v>
      </c>
      <c r="G3701" s="150">
        <v>9822983589</v>
      </c>
      <c r="H3701" s="121"/>
      <c r="I3701" s="150">
        <v>30</v>
      </c>
      <c r="J3701" s="120" t="s">
        <v>90</v>
      </c>
      <c r="K3701" s="120" t="s">
        <v>1468</v>
      </c>
      <c r="L3701" s="120"/>
      <c r="M3701" s="146" t="s">
        <v>119</v>
      </c>
      <c r="N3701" s="710">
        <v>65056</v>
      </c>
      <c r="O3701" s="710">
        <v>65056</v>
      </c>
      <c r="P3701" s="1107">
        <v>65070</v>
      </c>
      <c r="Q3701" s="240" t="s">
        <v>51</v>
      </c>
      <c r="R3701" s="120"/>
      <c r="S3701" s="146"/>
    </row>
    <row r="3702" spans="1:19" ht="18">
      <c r="A3702" s="512">
        <f t="shared" si="50"/>
        <v>2855</v>
      </c>
      <c r="B3702" s="896" t="s">
        <v>43</v>
      </c>
      <c r="C3702" s="120" t="s">
        <v>44</v>
      </c>
      <c r="D3702" s="120" t="s">
        <v>45</v>
      </c>
      <c r="E3702" s="130" t="s">
        <v>4278</v>
      </c>
      <c r="F3702" s="233" t="s">
        <v>617</v>
      </c>
      <c r="G3702" s="150">
        <v>9812823129</v>
      </c>
      <c r="H3702" s="121"/>
      <c r="I3702" s="150">
        <v>68</v>
      </c>
      <c r="J3702" s="120" t="s">
        <v>48</v>
      </c>
      <c r="K3702" s="120" t="s">
        <v>1468</v>
      </c>
      <c r="L3702" s="120"/>
      <c r="M3702" s="146" t="s">
        <v>119</v>
      </c>
      <c r="N3702" s="710">
        <v>65056</v>
      </c>
      <c r="O3702" s="710">
        <v>65056</v>
      </c>
      <c r="P3702" s="1107">
        <v>65070</v>
      </c>
      <c r="Q3702" s="240" t="s">
        <v>51</v>
      </c>
      <c r="R3702" s="120"/>
      <c r="S3702" s="146"/>
    </row>
    <row r="3703" spans="1:19" ht="18">
      <c r="A3703" s="512">
        <f t="shared" si="50"/>
        <v>2856</v>
      </c>
      <c r="B3703" s="896" t="s">
        <v>43</v>
      </c>
      <c r="C3703" s="120" t="s">
        <v>44</v>
      </c>
      <c r="D3703" s="120" t="s">
        <v>45</v>
      </c>
      <c r="E3703" s="130" t="s">
        <v>4302</v>
      </c>
      <c r="F3703" s="233" t="s">
        <v>1204</v>
      </c>
      <c r="G3703" s="150">
        <v>9809807548</v>
      </c>
      <c r="H3703" s="121"/>
      <c r="I3703" s="150">
        <v>52</v>
      </c>
      <c r="J3703" s="120" t="s">
        <v>48</v>
      </c>
      <c r="K3703" s="120" t="s">
        <v>1480</v>
      </c>
      <c r="L3703" s="120"/>
      <c r="M3703" s="146" t="s">
        <v>119</v>
      </c>
      <c r="N3703" s="710">
        <v>65056</v>
      </c>
      <c r="O3703" s="710">
        <v>65056</v>
      </c>
      <c r="P3703" s="1107">
        <v>65070</v>
      </c>
      <c r="Q3703" s="240" t="s">
        <v>51</v>
      </c>
      <c r="R3703" s="120"/>
      <c r="S3703" s="146"/>
    </row>
    <row r="3704" spans="1:19" ht="18">
      <c r="A3704" s="512">
        <f t="shared" si="50"/>
        <v>2857</v>
      </c>
      <c r="B3704" s="896" t="s">
        <v>43</v>
      </c>
      <c r="C3704" s="120" t="s">
        <v>44</v>
      </c>
      <c r="D3704" s="120" t="s">
        <v>45</v>
      </c>
      <c r="E3704" s="130" t="s">
        <v>4300</v>
      </c>
      <c r="F3704" s="233" t="s">
        <v>502</v>
      </c>
      <c r="G3704" s="150">
        <v>9806214754</v>
      </c>
      <c r="H3704" s="121"/>
      <c r="I3704" s="150">
        <v>45</v>
      </c>
      <c r="J3704" s="120" t="s">
        <v>48</v>
      </c>
      <c r="K3704" s="120" t="s">
        <v>53</v>
      </c>
      <c r="L3704" s="120"/>
      <c r="M3704" s="146" t="s">
        <v>119</v>
      </c>
      <c r="N3704" s="710">
        <v>65056</v>
      </c>
      <c r="O3704" s="710">
        <v>65056</v>
      </c>
      <c r="P3704" s="1107">
        <v>65070</v>
      </c>
      <c r="Q3704" s="240" t="s">
        <v>51</v>
      </c>
      <c r="R3704" s="120"/>
      <c r="S3704" s="146"/>
    </row>
    <row r="3705" spans="1:19" ht="18">
      <c r="A3705" s="512">
        <f t="shared" si="50"/>
        <v>2858</v>
      </c>
      <c r="B3705" s="896" t="s">
        <v>43</v>
      </c>
      <c r="C3705" s="120" t="s">
        <v>44</v>
      </c>
      <c r="D3705" s="120" t="s">
        <v>45</v>
      </c>
      <c r="E3705" s="130" t="s">
        <v>4296</v>
      </c>
      <c r="F3705" s="233" t="s">
        <v>1046</v>
      </c>
      <c r="G3705" s="150">
        <v>9847830121</v>
      </c>
      <c r="H3705" s="121"/>
      <c r="I3705" s="150">
        <v>65</v>
      </c>
      <c r="J3705" s="120" t="s">
        <v>90</v>
      </c>
      <c r="K3705" s="120" t="s">
        <v>1468</v>
      </c>
      <c r="L3705" s="120"/>
      <c r="M3705" s="146" t="s">
        <v>119</v>
      </c>
      <c r="N3705" s="710">
        <v>65056</v>
      </c>
      <c r="O3705" s="710">
        <v>65056</v>
      </c>
      <c r="P3705" s="1107">
        <v>65070</v>
      </c>
      <c r="Q3705" s="240" t="s">
        <v>51</v>
      </c>
      <c r="R3705" s="120"/>
      <c r="S3705" s="146"/>
    </row>
    <row r="3706" spans="1:19" ht="18">
      <c r="A3706" s="512">
        <f t="shared" si="50"/>
        <v>2859</v>
      </c>
      <c r="B3706" s="896" t="s">
        <v>43</v>
      </c>
      <c r="C3706" s="120" t="s">
        <v>44</v>
      </c>
      <c r="D3706" s="120" t="s">
        <v>45</v>
      </c>
      <c r="E3706" s="120" t="s">
        <v>4338</v>
      </c>
      <c r="F3706" s="894" t="s">
        <v>512</v>
      </c>
      <c r="G3706" s="150">
        <v>9822955634</v>
      </c>
      <c r="H3706" s="120"/>
      <c r="I3706" s="150">
        <v>42</v>
      </c>
      <c r="J3706" s="120" t="s">
        <v>90</v>
      </c>
      <c r="K3706" s="120" t="s">
        <v>1710</v>
      </c>
      <c r="L3706" s="120"/>
      <c r="M3706" s="146" t="s">
        <v>119</v>
      </c>
      <c r="N3706" s="710">
        <v>65056</v>
      </c>
      <c r="O3706" s="710">
        <v>65056</v>
      </c>
      <c r="P3706" s="1107">
        <v>65070</v>
      </c>
      <c r="Q3706" s="240" t="s">
        <v>51</v>
      </c>
      <c r="R3706" s="120"/>
      <c r="S3706" s="146"/>
    </row>
    <row r="3707" spans="1:19" ht="18">
      <c r="A3707" s="512">
        <f t="shared" si="50"/>
        <v>2860</v>
      </c>
      <c r="B3707" s="896" t="s">
        <v>43</v>
      </c>
      <c r="C3707" s="120" t="s">
        <v>44</v>
      </c>
      <c r="D3707" s="120" t="s">
        <v>45</v>
      </c>
      <c r="E3707" s="130" t="s">
        <v>4281</v>
      </c>
      <c r="F3707" s="233" t="s">
        <v>491</v>
      </c>
      <c r="G3707" s="150">
        <v>9843311643</v>
      </c>
      <c r="H3707" s="121"/>
      <c r="I3707" s="150">
        <v>31</v>
      </c>
      <c r="J3707" s="120" t="s">
        <v>90</v>
      </c>
      <c r="K3707" s="120" t="s">
        <v>1468</v>
      </c>
      <c r="L3707" s="120"/>
      <c r="M3707" s="146" t="s">
        <v>119</v>
      </c>
      <c r="N3707" s="710">
        <v>65056</v>
      </c>
      <c r="O3707" s="710">
        <v>65056</v>
      </c>
      <c r="P3707" s="1107">
        <v>65070</v>
      </c>
      <c r="Q3707" s="240" t="s">
        <v>51</v>
      </c>
      <c r="R3707" s="120"/>
      <c r="S3707" s="146"/>
    </row>
    <row r="3708" spans="1:19" ht="18">
      <c r="A3708" s="512">
        <f t="shared" si="50"/>
        <v>2861</v>
      </c>
      <c r="B3708" s="896" t="s">
        <v>43</v>
      </c>
      <c r="C3708" s="120" t="s">
        <v>44</v>
      </c>
      <c r="D3708" s="120" t="s">
        <v>45</v>
      </c>
      <c r="E3708" s="130" t="s">
        <v>4288</v>
      </c>
      <c r="F3708" s="233" t="s">
        <v>510</v>
      </c>
      <c r="G3708" s="150">
        <v>9822906778</v>
      </c>
      <c r="H3708" s="121"/>
      <c r="I3708" s="150">
        <v>55</v>
      </c>
      <c r="J3708" s="120" t="s">
        <v>48</v>
      </c>
      <c r="K3708" s="120" t="s">
        <v>1468</v>
      </c>
      <c r="L3708" s="120"/>
      <c r="M3708" s="146" t="s">
        <v>119</v>
      </c>
      <c r="N3708" s="710">
        <v>65056</v>
      </c>
      <c r="O3708" s="710">
        <v>65056</v>
      </c>
      <c r="P3708" s="1107">
        <v>65070</v>
      </c>
      <c r="Q3708" s="240" t="s">
        <v>51</v>
      </c>
      <c r="R3708" s="120"/>
      <c r="S3708" s="146"/>
    </row>
    <row r="3709" spans="1:19" ht="18">
      <c r="A3709" s="512">
        <f t="shared" si="50"/>
        <v>2862</v>
      </c>
      <c r="B3709" s="896" t="s">
        <v>43</v>
      </c>
      <c r="C3709" s="120" t="s">
        <v>44</v>
      </c>
      <c r="D3709" s="120" t="s">
        <v>45</v>
      </c>
      <c r="E3709" s="130" t="s">
        <v>4303</v>
      </c>
      <c r="F3709" s="233" t="s">
        <v>730</v>
      </c>
      <c r="G3709" s="150">
        <v>9806253830</v>
      </c>
      <c r="H3709" s="121"/>
      <c r="I3709" s="150">
        <v>70</v>
      </c>
      <c r="J3709" s="120" t="s">
        <v>48</v>
      </c>
      <c r="K3709" s="120" t="s">
        <v>1480</v>
      </c>
      <c r="L3709" s="120"/>
      <c r="M3709" s="146" t="s">
        <v>119</v>
      </c>
      <c r="N3709" s="710">
        <v>65056</v>
      </c>
      <c r="O3709" s="710">
        <v>65056</v>
      </c>
      <c r="P3709" s="1107">
        <v>65070</v>
      </c>
      <c r="Q3709" s="240" t="s">
        <v>51</v>
      </c>
      <c r="R3709" s="120"/>
      <c r="S3709" s="146"/>
    </row>
    <row r="3710" spans="1:19" ht="18">
      <c r="A3710" s="512">
        <f t="shared" si="50"/>
        <v>2863</v>
      </c>
      <c r="B3710" s="896" t="s">
        <v>43</v>
      </c>
      <c r="C3710" s="120" t="s">
        <v>44</v>
      </c>
      <c r="D3710" s="120" t="s">
        <v>45</v>
      </c>
      <c r="E3710" s="130" t="s">
        <v>4279</v>
      </c>
      <c r="F3710" s="233" t="s">
        <v>617</v>
      </c>
      <c r="G3710" s="150">
        <v>9812823129</v>
      </c>
      <c r="H3710" s="121"/>
      <c r="I3710" s="150">
        <v>80</v>
      </c>
      <c r="J3710" s="120" t="s">
        <v>48</v>
      </c>
      <c r="K3710" s="120" t="s">
        <v>1468</v>
      </c>
      <c r="L3710" s="120"/>
      <c r="M3710" s="146" t="s">
        <v>119</v>
      </c>
      <c r="N3710" s="710">
        <v>65056</v>
      </c>
      <c r="O3710" s="710">
        <v>65056</v>
      </c>
      <c r="P3710" s="1107">
        <v>65070</v>
      </c>
      <c r="Q3710" s="240" t="s">
        <v>51</v>
      </c>
      <c r="R3710" s="120"/>
      <c r="S3710" s="146"/>
    </row>
    <row r="3711" spans="1:19" ht="18">
      <c r="A3711" s="512">
        <f t="shared" si="50"/>
        <v>2864</v>
      </c>
      <c r="B3711" s="896" t="s">
        <v>43</v>
      </c>
      <c r="C3711" s="120" t="s">
        <v>44</v>
      </c>
      <c r="D3711" s="120" t="s">
        <v>45</v>
      </c>
      <c r="E3711" s="130" t="s">
        <v>4286</v>
      </c>
      <c r="F3711" s="233" t="s">
        <v>502</v>
      </c>
      <c r="G3711" s="150">
        <v>9868625733</v>
      </c>
      <c r="H3711" s="121"/>
      <c r="I3711" s="150">
        <v>43</v>
      </c>
      <c r="J3711" s="120" t="s">
        <v>90</v>
      </c>
      <c r="K3711" s="120" t="s">
        <v>1468</v>
      </c>
      <c r="L3711" s="120"/>
      <c r="M3711" s="146" t="s">
        <v>119</v>
      </c>
      <c r="N3711" s="710">
        <v>65056</v>
      </c>
      <c r="O3711" s="710">
        <v>65056</v>
      </c>
      <c r="P3711" s="1107">
        <v>65070</v>
      </c>
      <c r="Q3711" s="240" t="s">
        <v>51</v>
      </c>
      <c r="R3711" s="120"/>
      <c r="S3711" s="146"/>
    </row>
    <row r="3712" spans="1:19" ht="18">
      <c r="A3712" s="512">
        <f t="shared" si="50"/>
        <v>2865</v>
      </c>
      <c r="B3712" s="896" t="s">
        <v>43</v>
      </c>
      <c r="C3712" s="120" t="s">
        <v>44</v>
      </c>
      <c r="D3712" s="120" t="s">
        <v>45</v>
      </c>
      <c r="E3712" s="130" t="s">
        <v>4285</v>
      </c>
      <c r="F3712" s="233" t="s">
        <v>502</v>
      </c>
      <c r="G3712" s="150">
        <v>9822971547</v>
      </c>
      <c r="H3712" s="121"/>
      <c r="I3712" s="150">
        <v>43</v>
      </c>
      <c r="J3712" s="120" t="s">
        <v>48</v>
      </c>
      <c r="K3712" s="120" t="s">
        <v>1468</v>
      </c>
      <c r="L3712" s="120"/>
      <c r="M3712" s="146" t="s">
        <v>119</v>
      </c>
      <c r="N3712" s="710">
        <v>65056</v>
      </c>
      <c r="O3712" s="710">
        <v>65056</v>
      </c>
      <c r="P3712" s="1107">
        <v>65070</v>
      </c>
      <c r="Q3712" s="240" t="s">
        <v>51</v>
      </c>
      <c r="R3712" s="120"/>
      <c r="S3712" s="146"/>
    </row>
    <row r="3713" spans="1:19" ht="18">
      <c r="A3713" s="512">
        <f t="shared" si="50"/>
        <v>2866</v>
      </c>
      <c r="B3713" s="896" t="s">
        <v>43</v>
      </c>
      <c r="C3713" s="120" t="s">
        <v>44</v>
      </c>
      <c r="D3713" s="120" t="s">
        <v>45</v>
      </c>
      <c r="E3713" s="130" t="s">
        <v>4304</v>
      </c>
      <c r="F3713" s="233" t="s">
        <v>491</v>
      </c>
      <c r="G3713" s="150">
        <v>9806978618</v>
      </c>
      <c r="H3713" s="121"/>
      <c r="I3713" s="150">
        <v>44</v>
      </c>
      <c r="J3713" s="120" t="s">
        <v>48</v>
      </c>
      <c r="K3713" s="120" t="s">
        <v>1480</v>
      </c>
      <c r="L3713" s="120"/>
      <c r="M3713" s="146" t="s">
        <v>119</v>
      </c>
      <c r="N3713" s="710">
        <v>65056</v>
      </c>
      <c r="O3713" s="710">
        <v>65056</v>
      </c>
      <c r="P3713" s="1107">
        <v>65070</v>
      </c>
      <c r="Q3713" s="240" t="s">
        <v>51</v>
      </c>
      <c r="R3713" s="120"/>
      <c r="S3713" s="146"/>
    </row>
    <row r="3714" spans="1:19" ht="18">
      <c r="A3714" s="512">
        <f t="shared" si="50"/>
        <v>2867</v>
      </c>
      <c r="B3714" s="896" t="s">
        <v>43</v>
      </c>
      <c r="C3714" s="120" t="s">
        <v>44</v>
      </c>
      <c r="D3714" s="120" t="s">
        <v>45</v>
      </c>
      <c r="E3714" s="130" t="s">
        <v>4283</v>
      </c>
      <c r="F3714" s="233" t="s">
        <v>1046</v>
      </c>
      <c r="G3714" s="150">
        <v>9847946576</v>
      </c>
      <c r="H3714" s="121"/>
      <c r="I3714" s="150">
        <v>70</v>
      </c>
      <c r="J3714" s="120" t="s">
        <v>90</v>
      </c>
      <c r="K3714" s="120" t="s">
        <v>1468</v>
      </c>
      <c r="L3714" s="120"/>
      <c r="M3714" s="146" t="s">
        <v>119</v>
      </c>
      <c r="N3714" s="710">
        <v>65056</v>
      </c>
      <c r="O3714" s="710">
        <v>65056</v>
      </c>
      <c r="P3714" s="1107">
        <v>65070</v>
      </c>
      <c r="Q3714" s="240" t="s">
        <v>51</v>
      </c>
      <c r="R3714" s="120"/>
      <c r="S3714" s="146"/>
    </row>
    <row r="3715" spans="1:19" ht="18">
      <c r="A3715" s="512">
        <f t="shared" si="50"/>
        <v>2868</v>
      </c>
      <c r="B3715" s="896" t="s">
        <v>43</v>
      </c>
      <c r="C3715" s="120" t="s">
        <v>44</v>
      </c>
      <c r="D3715" s="120" t="s">
        <v>45</v>
      </c>
      <c r="E3715" s="130" t="s">
        <v>4305</v>
      </c>
      <c r="F3715" s="233" t="s">
        <v>124</v>
      </c>
      <c r="G3715" s="150">
        <v>9863124477</v>
      </c>
      <c r="H3715" s="121"/>
      <c r="I3715" s="150">
        <v>48</v>
      </c>
      <c r="J3715" s="120" t="s">
        <v>48</v>
      </c>
      <c r="K3715" s="120" t="s">
        <v>1480</v>
      </c>
      <c r="L3715" s="120"/>
      <c r="M3715" s="146" t="s">
        <v>119</v>
      </c>
      <c r="N3715" s="710">
        <v>65056</v>
      </c>
      <c r="O3715" s="710">
        <v>65056</v>
      </c>
      <c r="P3715" s="1107">
        <v>65070</v>
      </c>
      <c r="Q3715" s="240" t="s">
        <v>51</v>
      </c>
      <c r="R3715" s="120"/>
      <c r="S3715" s="146"/>
    </row>
    <row r="3716" spans="1:19" ht="18">
      <c r="A3716" s="512">
        <f t="shared" si="50"/>
        <v>2869</v>
      </c>
      <c r="B3716" s="896" t="s">
        <v>43</v>
      </c>
      <c r="C3716" s="120" t="s">
        <v>44</v>
      </c>
      <c r="D3716" s="120" t="s">
        <v>45</v>
      </c>
      <c r="E3716" s="130" t="s">
        <v>4293</v>
      </c>
      <c r="F3716" s="233" t="s">
        <v>488</v>
      </c>
      <c r="G3716" s="150">
        <v>9847991899</v>
      </c>
      <c r="H3716" s="121"/>
      <c r="I3716" s="150">
        <v>55</v>
      </c>
      <c r="J3716" s="120" t="s">
        <v>90</v>
      </c>
      <c r="K3716" s="120" t="s">
        <v>1468</v>
      </c>
      <c r="L3716" s="120"/>
      <c r="M3716" s="146" t="s">
        <v>119</v>
      </c>
      <c r="N3716" s="710">
        <v>65056</v>
      </c>
      <c r="O3716" s="710">
        <v>65056</v>
      </c>
      <c r="P3716" s="1107">
        <v>65070</v>
      </c>
      <c r="Q3716" s="240" t="s">
        <v>51</v>
      </c>
      <c r="R3716" s="120"/>
      <c r="S3716" s="146"/>
    </row>
    <row r="3717" spans="1:19" ht="18">
      <c r="A3717" s="512">
        <f t="shared" si="50"/>
        <v>2870</v>
      </c>
      <c r="B3717" s="896" t="s">
        <v>43</v>
      </c>
      <c r="C3717" s="120" t="s">
        <v>44</v>
      </c>
      <c r="D3717" s="120" t="s">
        <v>45</v>
      </c>
      <c r="E3717" s="130" t="s">
        <v>4306</v>
      </c>
      <c r="F3717" s="233" t="s">
        <v>512</v>
      </c>
      <c r="G3717" s="150">
        <v>9742875859</v>
      </c>
      <c r="H3717" s="121"/>
      <c r="I3717" s="150">
        <v>37</v>
      </c>
      <c r="J3717" s="120" t="s">
        <v>48</v>
      </c>
      <c r="K3717" s="120" t="s">
        <v>1480</v>
      </c>
      <c r="L3717" s="120"/>
      <c r="M3717" s="146" t="s">
        <v>119</v>
      </c>
      <c r="N3717" s="710">
        <v>65056</v>
      </c>
      <c r="O3717" s="710">
        <v>65056</v>
      </c>
      <c r="P3717" s="1107">
        <v>65070</v>
      </c>
      <c r="Q3717" s="240" t="s">
        <v>51</v>
      </c>
      <c r="R3717" s="120"/>
      <c r="S3717" s="146"/>
    </row>
    <row r="3718" spans="1:19" ht="18">
      <c r="A3718" s="512">
        <f t="shared" si="50"/>
        <v>2871</v>
      </c>
      <c r="B3718" s="896" t="s">
        <v>43</v>
      </c>
      <c r="C3718" s="120" t="s">
        <v>44</v>
      </c>
      <c r="D3718" s="120" t="s">
        <v>45</v>
      </c>
      <c r="E3718" s="120" t="s">
        <v>4339</v>
      </c>
      <c r="F3718" s="894" t="s">
        <v>598</v>
      </c>
      <c r="G3718" s="150">
        <v>9847875093</v>
      </c>
      <c r="H3718" s="120"/>
      <c r="I3718" s="150">
        <v>37</v>
      </c>
      <c r="J3718" s="120" t="s">
        <v>48</v>
      </c>
      <c r="K3718" s="120" t="s">
        <v>345</v>
      </c>
      <c r="L3718" s="120"/>
      <c r="M3718" s="146" t="s">
        <v>119</v>
      </c>
      <c r="N3718" s="710">
        <v>65056</v>
      </c>
      <c r="O3718" s="710">
        <v>65056</v>
      </c>
      <c r="P3718" s="1107">
        <v>65070</v>
      </c>
      <c r="Q3718" s="240" t="s">
        <v>51</v>
      </c>
      <c r="R3718" s="120"/>
      <c r="S3718" s="146"/>
    </row>
    <row r="3719" spans="1:19" ht="18">
      <c r="A3719" s="512">
        <f t="shared" si="50"/>
        <v>2872</v>
      </c>
      <c r="B3719" s="896" t="s">
        <v>43</v>
      </c>
      <c r="C3719" s="120" t="s">
        <v>44</v>
      </c>
      <c r="D3719" s="120" t="s">
        <v>45</v>
      </c>
      <c r="E3719" s="130" t="s">
        <v>4307</v>
      </c>
      <c r="F3719" s="233" t="s">
        <v>512</v>
      </c>
      <c r="G3719" s="150">
        <v>9806246880</v>
      </c>
      <c r="H3719" s="121"/>
      <c r="I3719" s="150">
        <v>37</v>
      </c>
      <c r="J3719" s="120" t="s">
        <v>48</v>
      </c>
      <c r="K3719" s="120" t="s">
        <v>1480</v>
      </c>
      <c r="L3719" s="120"/>
      <c r="M3719" s="146" t="s">
        <v>119</v>
      </c>
      <c r="N3719" s="710">
        <v>65056</v>
      </c>
      <c r="O3719" s="710">
        <v>65056</v>
      </c>
      <c r="P3719" s="1107">
        <v>65070</v>
      </c>
      <c r="Q3719" s="240" t="s">
        <v>51</v>
      </c>
      <c r="R3719" s="120"/>
      <c r="S3719" s="146"/>
    </row>
    <row r="3720" spans="1:19" ht="18">
      <c r="A3720" s="512">
        <f t="shared" si="50"/>
        <v>2873</v>
      </c>
      <c r="B3720" s="896" t="s">
        <v>43</v>
      </c>
      <c r="C3720" s="120" t="s">
        <v>44</v>
      </c>
      <c r="D3720" s="120" t="s">
        <v>45</v>
      </c>
      <c r="E3720" s="130" t="s">
        <v>4301</v>
      </c>
      <c r="F3720" s="233" t="s">
        <v>598</v>
      </c>
      <c r="G3720" s="150">
        <v>9847910493</v>
      </c>
      <c r="H3720" s="121"/>
      <c r="I3720" s="150">
        <v>40</v>
      </c>
      <c r="J3720" s="120" t="s">
        <v>90</v>
      </c>
      <c r="K3720" s="120" t="s">
        <v>1468</v>
      </c>
      <c r="L3720" s="120"/>
      <c r="M3720" s="146" t="s">
        <v>119</v>
      </c>
      <c r="N3720" s="710">
        <v>65056</v>
      </c>
      <c r="O3720" s="710">
        <v>65056</v>
      </c>
      <c r="P3720" s="1107">
        <v>65070</v>
      </c>
      <c r="Q3720" s="240" t="s">
        <v>51</v>
      </c>
      <c r="R3720" s="120"/>
      <c r="S3720" s="146"/>
    </row>
    <row r="3721" spans="1:19" ht="18">
      <c r="A3721" s="512">
        <f t="shared" si="50"/>
        <v>2874</v>
      </c>
      <c r="B3721" s="896" t="s">
        <v>43</v>
      </c>
      <c r="C3721" s="120" t="s">
        <v>44</v>
      </c>
      <c r="D3721" s="120" t="s">
        <v>45</v>
      </c>
      <c r="E3721" s="120" t="s">
        <v>4340</v>
      </c>
      <c r="F3721" s="894" t="s">
        <v>598</v>
      </c>
      <c r="G3721" s="150">
        <v>9848019268</v>
      </c>
      <c r="H3721" s="120"/>
      <c r="I3721" s="150">
        <v>40</v>
      </c>
      <c r="J3721" s="120" t="s">
        <v>48</v>
      </c>
      <c r="K3721" s="120" t="s">
        <v>345</v>
      </c>
      <c r="L3721" s="120"/>
      <c r="M3721" s="146" t="s">
        <v>119</v>
      </c>
      <c r="N3721" s="710">
        <v>65056</v>
      </c>
      <c r="O3721" s="710">
        <v>65056</v>
      </c>
      <c r="P3721" s="1107">
        <v>65070</v>
      </c>
      <c r="Q3721" s="240" t="s">
        <v>51</v>
      </c>
      <c r="R3721" s="120"/>
      <c r="S3721" s="146"/>
    </row>
    <row r="3722" spans="1:19" ht="18">
      <c r="A3722" s="512">
        <f t="shared" si="50"/>
        <v>2875</v>
      </c>
      <c r="B3722" s="896" t="s">
        <v>43</v>
      </c>
      <c r="C3722" s="120" t="s">
        <v>44</v>
      </c>
      <c r="D3722" s="120" t="s">
        <v>45</v>
      </c>
      <c r="E3722" s="130" t="s">
        <v>4311</v>
      </c>
      <c r="F3722" s="233" t="s">
        <v>730</v>
      </c>
      <c r="G3722" s="150">
        <v>9847941290</v>
      </c>
      <c r="H3722" s="121"/>
      <c r="I3722" s="150">
        <v>32</v>
      </c>
      <c r="J3722" s="120" t="s">
        <v>90</v>
      </c>
      <c r="K3722" s="120" t="s">
        <v>1468</v>
      </c>
      <c r="L3722" s="120"/>
      <c r="M3722" s="146" t="s">
        <v>119</v>
      </c>
      <c r="N3722" s="710">
        <v>65056</v>
      </c>
      <c r="O3722" s="710">
        <v>65056</v>
      </c>
      <c r="P3722" s="1107">
        <v>65070</v>
      </c>
      <c r="Q3722" s="240" t="s">
        <v>51</v>
      </c>
      <c r="R3722" s="120"/>
      <c r="S3722" s="146"/>
    </row>
    <row r="3723" spans="1:19" ht="18">
      <c r="A3723" s="512">
        <f t="shared" si="50"/>
        <v>2876</v>
      </c>
      <c r="B3723" s="896" t="s">
        <v>43</v>
      </c>
      <c r="C3723" s="120" t="s">
        <v>44</v>
      </c>
      <c r="D3723" s="120" t="s">
        <v>45</v>
      </c>
      <c r="E3723" s="130" t="s">
        <v>4312</v>
      </c>
      <c r="F3723" s="233" t="s">
        <v>497</v>
      </c>
      <c r="G3723" s="150">
        <v>9822972360</v>
      </c>
      <c r="H3723" s="121"/>
      <c r="I3723" s="150">
        <v>25</v>
      </c>
      <c r="J3723" s="120" t="s">
        <v>90</v>
      </c>
      <c r="K3723" s="120" t="s">
        <v>53</v>
      </c>
      <c r="L3723" s="120"/>
      <c r="M3723" s="146" t="s">
        <v>119</v>
      </c>
      <c r="N3723" s="710">
        <v>65056</v>
      </c>
      <c r="O3723" s="710">
        <v>65056</v>
      </c>
      <c r="P3723" s="1107">
        <v>65070</v>
      </c>
      <c r="Q3723" s="240" t="s">
        <v>51</v>
      </c>
      <c r="R3723" s="120"/>
      <c r="S3723" s="146"/>
    </row>
    <row r="3724" spans="1:19" ht="18">
      <c r="A3724" s="512">
        <f t="shared" si="50"/>
        <v>2877</v>
      </c>
      <c r="B3724" s="896" t="s">
        <v>43</v>
      </c>
      <c r="C3724" s="120" t="s">
        <v>44</v>
      </c>
      <c r="D3724" s="120" t="s">
        <v>45</v>
      </c>
      <c r="E3724" s="130" t="s">
        <v>4289</v>
      </c>
      <c r="F3724" s="233" t="s">
        <v>1008</v>
      </c>
      <c r="G3724" s="150">
        <v>9847903903</v>
      </c>
      <c r="H3724" s="121"/>
      <c r="I3724" s="150">
        <v>41</v>
      </c>
      <c r="J3724" s="120" t="s">
        <v>48</v>
      </c>
      <c r="K3724" s="120" t="s">
        <v>1468</v>
      </c>
      <c r="L3724" s="120"/>
      <c r="M3724" s="146" t="s">
        <v>119</v>
      </c>
      <c r="N3724" s="710">
        <v>65056</v>
      </c>
      <c r="O3724" s="710">
        <v>65056</v>
      </c>
      <c r="P3724" s="1107">
        <v>65070</v>
      </c>
      <c r="Q3724" s="240" t="s">
        <v>51</v>
      </c>
      <c r="R3724" s="120"/>
      <c r="S3724" s="146"/>
    </row>
    <row r="3725" spans="1:19" ht="18">
      <c r="A3725" s="512">
        <f t="shared" si="50"/>
        <v>2878</v>
      </c>
      <c r="B3725" s="896" t="s">
        <v>43</v>
      </c>
      <c r="C3725" s="120" t="s">
        <v>44</v>
      </c>
      <c r="D3725" s="120" t="s">
        <v>45</v>
      </c>
      <c r="E3725" s="130" t="s">
        <v>4313</v>
      </c>
      <c r="F3725" s="233" t="s">
        <v>124</v>
      </c>
      <c r="G3725" s="150">
        <v>9843704287</v>
      </c>
      <c r="H3725" s="121"/>
      <c r="I3725" s="150">
        <v>25</v>
      </c>
      <c r="J3725" s="120" t="s">
        <v>48</v>
      </c>
      <c r="K3725" s="120" t="s">
        <v>53</v>
      </c>
      <c r="L3725" s="120"/>
      <c r="M3725" s="146" t="s">
        <v>119</v>
      </c>
      <c r="N3725" s="710">
        <v>65056</v>
      </c>
      <c r="O3725" s="710">
        <v>65056</v>
      </c>
      <c r="P3725" s="1107">
        <v>65070</v>
      </c>
      <c r="Q3725" s="240" t="s">
        <v>51</v>
      </c>
      <c r="R3725" s="120"/>
      <c r="S3725" s="146"/>
    </row>
    <row r="3726" spans="1:19" ht="18">
      <c r="A3726" s="512">
        <f t="shared" si="50"/>
        <v>2879</v>
      </c>
      <c r="B3726" s="896" t="s">
        <v>43</v>
      </c>
      <c r="C3726" s="120" t="s">
        <v>44</v>
      </c>
      <c r="D3726" s="120" t="s">
        <v>45</v>
      </c>
      <c r="E3726" s="130" t="s">
        <v>4295</v>
      </c>
      <c r="F3726" s="233" t="s">
        <v>488</v>
      </c>
      <c r="G3726" s="150">
        <v>9847991899</v>
      </c>
      <c r="H3726" s="121"/>
      <c r="I3726" s="150">
        <v>2</v>
      </c>
      <c r="J3726" s="120" t="s">
        <v>48</v>
      </c>
      <c r="K3726" s="120" t="s">
        <v>1468</v>
      </c>
      <c r="L3726" s="120"/>
      <c r="M3726" s="146" t="s">
        <v>119</v>
      </c>
      <c r="N3726" s="710">
        <v>65056</v>
      </c>
      <c r="O3726" s="710">
        <v>65056</v>
      </c>
      <c r="P3726" s="1107">
        <v>65070</v>
      </c>
      <c r="Q3726" s="240" t="s">
        <v>51</v>
      </c>
      <c r="R3726" s="120"/>
      <c r="S3726" s="146"/>
    </row>
    <row r="3727" spans="1:19" ht="18">
      <c r="A3727" s="512">
        <f t="shared" si="50"/>
        <v>2880</v>
      </c>
      <c r="B3727" s="896" t="s">
        <v>43</v>
      </c>
      <c r="C3727" s="120" t="s">
        <v>44</v>
      </c>
      <c r="D3727" s="120" t="s">
        <v>45</v>
      </c>
      <c r="E3727" s="120" t="s">
        <v>4341</v>
      </c>
      <c r="F3727" s="894" t="s">
        <v>598</v>
      </c>
      <c r="G3727" s="150">
        <v>9848019268</v>
      </c>
      <c r="H3727" s="120"/>
      <c r="I3727" s="150">
        <v>24</v>
      </c>
      <c r="J3727" s="120" t="s">
        <v>48</v>
      </c>
      <c r="K3727" s="120" t="s">
        <v>345</v>
      </c>
      <c r="L3727" s="120"/>
      <c r="M3727" s="146" t="s">
        <v>119</v>
      </c>
      <c r="N3727" s="710">
        <v>65056</v>
      </c>
      <c r="O3727" s="710">
        <v>65056</v>
      </c>
      <c r="P3727" s="1107">
        <v>65070</v>
      </c>
      <c r="Q3727" s="240" t="s">
        <v>51</v>
      </c>
      <c r="R3727" s="120"/>
      <c r="S3727" s="146"/>
    </row>
    <row r="3728" spans="1:19" ht="18">
      <c r="A3728" s="512">
        <f t="shared" si="50"/>
        <v>2881</v>
      </c>
      <c r="B3728" s="896" t="s">
        <v>43</v>
      </c>
      <c r="C3728" s="120" t="s">
        <v>44</v>
      </c>
      <c r="D3728" s="120" t="s">
        <v>45</v>
      </c>
      <c r="E3728" s="130" t="s">
        <v>4291</v>
      </c>
      <c r="F3728" s="233" t="s">
        <v>730</v>
      </c>
      <c r="G3728" s="150">
        <v>9812898259</v>
      </c>
      <c r="H3728" s="121"/>
      <c r="I3728" s="150">
        <v>75</v>
      </c>
      <c r="J3728" s="120" t="s">
        <v>90</v>
      </c>
      <c r="K3728" s="120" t="s">
        <v>1468</v>
      </c>
      <c r="L3728" s="120"/>
      <c r="M3728" s="146" t="s">
        <v>119</v>
      </c>
      <c r="N3728" s="710">
        <v>65056</v>
      </c>
      <c r="O3728" s="710">
        <v>65056</v>
      </c>
      <c r="P3728" s="1107">
        <v>65070</v>
      </c>
      <c r="Q3728" s="240" t="s">
        <v>51</v>
      </c>
      <c r="R3728" s="120"/>
      <c r="S3728" s="146"/>
    </row>
    <row r="3729" spans="1:20" ht="18">
      <c r="A3729" s="512">
        <f t="shared" si="50"/>
        <v>2882</v>
      </c>
      <c r="B3729" s="896" t="s">
        <v>43</v>
      </c>
      <c r="C3729" s="120" t="s">
        <v>44</v>
      </c>
      <c r="D3729" s="120" t="s">
        <v>45</v>
      </c>
      <c r="E3729" s="130" t="s">
        <v>4287</v>
      </c>
      <c r="F3729" s="233" t="s">
        <v>510</v>
      </c>
      <c r="G3729" s="150">
        <v>9818539284</v>
      </c>
      <c r="H3729" s="121"/>
      <c r="I3729" s="150">
        <v>56</v>
      </c>
      <c r="J3729" s="120" t="s">
        <v>90</v>
      </c>
      <c r="K3729" s="120" t="s">
        <v>1468</v>
      </c>
      <c r="L3729" s="120"/>
      <c r="M3729" s="146" t="s">
        <v>119</v>
      </c>
      <c r="N3729" s="710">
        <v>65056</v>
      </c>
      <c r="O3729" s="710">
        <v>65056</v>
      </c>
      <c r="P3729" s="1107">
        <v>65070</v>
      </c>
      <c r="Q3729" s="240" t="s">
        <v>51</v>
      </c>
      <c r="R3729" s="120"/>
      <c r="S3729" s="146"/>
    </row>
    <row r="3730" spans="1:20" ht="18">
      <c r="A3730" s="512">
        <f t="shared" ref="A3730:A3793" si="51">A3729+1</f>
        <v>2883</v>
      </c>
      <c r="B3730" s="896" t="s">
        <v>43</v>
      </c>
      <c r="C3730" s="120" t="s">
        <v>44</v>
      </c>
      <c r="D3730" s="120" t="s">
        <v>45</v>
      </c>
      <c r="E3730" s="130" t="s">
        <v>4292</v>
      </c>
      <c r="F3730" s="233" t="s">
        <v>488</v>
      </c>
      <c r="G3730" s="150">
        <v>9803699755</v>
      </c>
      <c r="H3730" s="121"/>
      <c r="I3730" s="150">
        <v>26</v>
      </c>
      <c r="J3730" s="120" t="s">
        <v>48</v>
      </c>
      <c r="K3730" s="120" t="s">
        <v>1468</v>
      </c>
      <c r="L3730" s="120"/>
      <c r="M3730" s="146" t="s">
        <v>119</v>
      </c>
      <c r="N3730" s="710">
        <v>65056</v>
      </c>
      <c r="O3730" s="710">
        <v>65056</v>
      </c>
      <c r="P3730" s="1107">
        <v>65070</v>
      </c>
      <c r="Q3730" s="240" t="s">
        <v>51</v>
      </c>
      <c r="R3730" s="120"/>
      <c r="S3730" s="146"/>
    </row>
    <row r="3731" spans="1:20" ht="18">
      <c r="A3731" s="512">
        <f t="shared" si="51"/>
        <v>2884</v>
      </c>
      <c r="B3731" s="896" t="s">
        <v>43</v>
      </c>
      <c r="C3731" s="120" t="s">
        <v>44</v>
      </c>
      <c r="D3731" s="120" t="s">
        <v>45</v>
      </c>
      <c r="E3731" s="130" t="s">
        <v>4284</v>
      </c>
      <c r="F3731" s="233" t="s">
        <v>488</v>
      </c>
      <c r="G3731" s="150">
        <v>9863355692</v>
      </c>
      <c r="H3731" s="121"/>
      <c r="I3731" s="150">
        <v>44</v>
      </c>
      <c r="J3731" s="120" t="s">
        <v>48</v>
      </c>
      <c r="K3731" s="120" t="s">
        <v>1468</v>
      </c>
      <c r="L3731" s="120"/>
      <c r="M3731" s="146" t="s">
        <v>119</v>
      </c>
      <c r="N3731" s="710">
        <v>65056</v>
      </c>
      <c r="O3731" s="710">
        <v>65056</v>
      </c>
      <c r="P3731" s="1107">
        <v>65070</v>
      </c>
      <c r="Q3731" s="240" t="s">
        <v>51</v>
      </c>
      <c r="R3731" s="120"/>
      <c r="S3731" s="146"/>
    </row>
    <row r="3732" spans="1:20" ht="18">
      <c r="A3732" s="512">
        <f t="shared" si="51"/>
        <v>2885</v>
      </c>
      <c r="B3732" s="896" t="s">
        <v>43</v>
      </c>
      <c r="C3732" s="120" t="s">
        <v>44</v>
      </c>
      <c r="D3732" s="120" t="s">
        <v>45</v>
      </c>
      <c r="E3732" s="130" t="s">
        <v>4294</v>
      </c>
      <c r="F3732" s="233" t="s">
        <v>488</v>
      </c>
      <c r="G3732" s="150">
        <v>9847991899</v>
      </c>
      <c r="H3732" s="121"/>
      <c r="I3732" s="150">
        <v>22</v>
      </c>
      <c r="J3732" s="120" t="s">
        <v>90</v>
      </c>
      <c r="K3732" s="120" t="s">
        <v>1468</v>
      </c>
      <c r="L3732" s="120"/>
      <c r="M3732" s="146" t="s">
        <v>119</v>
      </c>
      <c r="N3732" s="710">
        <v>65056</v>
      </c>
      <c r="O3732" s="710">
        <v>65056</v>
      </c>
      <c r="P3732" s="1107">
        <v>65070</v>
      </c>
      <c r="Q3732" s="240" t="s">
        <v>51</v>
      </c>
      <c r="R3732" s="120"/>
      <c r="S3732" s="146"/>
    </row>
    <row r="3733" spans="1:20" ht="18">
      <c r="A3733" s="512">
        <f t="shared" si="51"/>
        <v>2886</v>
      </c>
      <c r="B3733" s="896" t="s">
        <v>43</v>
      </c>
      <c r="C3733" s="120" t="s">
        <v>44</v>
      </c>
      <c r="D3733" s="120" t="s">
        <v>45</v>
      </c>
      <c r="E3733" s="130" t="s">
        <v>3957</v>
      </c>
      <c r="F3733" s="233" t="s">
        <v>1046</v>
      </c>
      <c r="G3733" s="150">
        <v>9822896810</v>
      </c>
      <c r="H3733" s="121"/>
      <c r="I3733" s="150">
        <v>27</v>
      </c>
      <c r="J3733" s="120" t="s">
        <v>90</v>
      </c>
      <c r="K3733" s="120" t="s">
        <v>53</v>
      </c>
      <c r="L3733" s="120"/>
      <c r="M3733" s="146" t="s">
        <v>119</v>
      </c>
      <c r="N3733" s="710">
        <v>65056</v>
      </c>
      <c r="O3733" s="710">
        <v>65056</v>
      </c>
      <c r="P3733" s="1107">
        <v>65070</v>
      </c>
      <c r="Q3733" s="240" t="s">
        <v>51</v>
      </c>
      <c r="R3733" s="120"/>
      <c r="S3733" s="146"/>
    </row>
    <row r="3734" spans="1:20" ht="18">
      <c r="A3734" s="512">
        <f t="shared" si="51"/>
        <v>2887</v>
      </c>
      <c r="B3734" s="896" t="s">
        <v>43</v>
      </c>
      <c r="C3734" s="120" t="s">
        <v>44</v>
      </c>
      <c r="D3734" s="120" t="s">
        <v>45</v>
      </c>
      <c r="E3734" s="130" t="s">
        <v>4309</v>
      </c>
      <c r="F3734" s="233" t="s">
        <v>497</v>
      </c>
      <c r="G3734" s="150">
        <v>9810962078</v>
      </c>
      <c r="H3734" s="121"/>
      <c r="I3734" s="150">
        <v>30</v>
      </c>
      <c r="J3734" s="120" t="s">
        <v>90</v>
      </c>
      <c r="K3734" s="120" t="s">
        <v>1480</v>
      </c>
      <c r="L3734" s="120"/>
      <c r="M3734" s="146" t="s">
        <v>119</v>
      </c>
      <c r="N3734" s="710">
        <v>65056</v>
      </c>
      <c r="O3734" s="710">
        <v>65056</v>
      </c>
      <c r="P3734" s="1107">
        <v>65070</v>
      </c>
      <c r="Q3734" s="240" t="s">
        <v>51</v>
      </c>
      <c r="R3734" s="120"/>
      <c r="S3734" s="146"/>
    </row>
    <row r="3735" spans="1:20" ht="18">
      <c r="A3735" s="512">
        <f t="shared" si="51"/>
        <v>2888</v>
      </c>
      <c r="B3735" s="896" t="s">
        <v>43</v>
      </c>
      <c r="C3735" s="120" t="s">
        <v>44</v>
      </c>
      <c r="D3735" s="120" t="s">
        <v>45</v>
      </c>
      <c r="E3735" s="130" t="s">
        <v>4314</v>
      </c>
      <c r="F3735" s="233" t="s">
        <v>1204</v>
      </c>
      <c r="G3735" s="150">
        <v>9857832346</v>
      </c>
      <c r="H3735" s="121"/>
      <c r="I3735" s="150">
        <v>65</v>
      </c>
      <c r="J3735" s="120" t="s">
        <v>90</v>
      </c>
      <c r="K3735" s="120" t="s">
        <v>53</v>
      </c>
      <c r="L3735" s="120"/>
      <c r="M3735" s="146" t="s">
        <v>119</v>
      </c>
      <c r="N3735" s="710">
        <v>65056</v>
      </c>
      <c r="O3735" s="710">
        <v>65056</v>
      </c>
      <c r="P3735" s="1107">
        <v>65070</v>
      </c>
      <c r="Q3735" s="240" t="s">
        <v>51</v>
      </c>
      <c r="R3735" s="120"/>
      <c r="S3735" s="146"/>
    </row>
    <row r="3736" spans="1:20" ht="18">
      <c r="A3736" s="512">
        <f t="shared" si="51"/>
        <v>2889</v>
      </c>
      <c r="B3736" s="896" t="s">
        <v>43</v>
      </c>
      <c r="C3736" s="120" t="s">
        <v>44</v>
      </c>
      <c r="D3736" s="120" t="s">
        <v>45</v>
      </c>
      <c r="E3736" s="130" t="s">
        <v>4308</v>
      </c>
      <c r="F3736" s="233" t="s">
        <v>1204</v>
      </c>
      <c r="G3736" s="150">
        <v>9866817000</v>
      </c>
      <c r="H3736" s="121"/>
      <c r="I3736" s="150">
        <v>60</v>
      </c>
      <c r="J3736" s="120" t="s">
        <v>48</v>
      </c>
      <c r="K3736" s="120" t="s">
        <v>1480</v>
      </c>
      <c r="L3736" s="120"/>
      <c r="M3736" s="146" t="s">
        <v>119</v>
      </c>
      <c r="N3736" s="710">
        <v>65056</v>
      </c>
      <c r="O3736" s="710">
        <v>65056</v>
      </c>
      <c r="P3736" s="1107">
        <v>65070</v>
      </c>
      <c r="Q3736" s="240" t="s">
        <v>51</v>
      </c>
      <c r="R3736" s="120"/>
      <c r="S3736" s="146"/>
    </row>
    <row r="3737" spans="1:20" ht="18">
      <c r="A3737" s="512">
        <f t="shared" si="51"/>
        <v>2890</v>
      </c>
      <c r="B3737" s="896" t="s">
        <v>43</v>
      </c>
      <c r="C3737" s="120" t="s">
        <v>44</v>
      </c>
      <c r="D3737" s="120" t="s">
        <v>45</v>
      </c>
      <c r="E3737" s="130" t="s">
        <v>4315</v>
      </c>
      <c r="F3737" s="233" t="s">
        <v>502</v>
      </c>
      <c r="G3737" s="150">
        <v>9866054432</v>
      </c>
      <c r="H3737" s="121"/>
      <c r="I3737" s="150">
        <v>22</v>
      </c>
      <c r="J3737" s="120" t="s">
        <v>90</v>
      </c>
      <c r="K3737" s="120" t="s">
        <v>53</v>
      </c>
      <c r="L3737" s="120"/>
      <c r="M3737" s="146" t="s">
        <v>119</v>
      </c>
      <c r="N3737" s="710">
        <v>65056</v>
      </c>
      <c r="O3737" s="710">
        <v>65056</v>
      </c>
      <c r="P3737" s="1107">
        <v>65070</v>
      </c>
      <c r="Q3737" s="240" t="s">
        <v>51</v>
      </c>
      <c r="R3737" s="120"/>
      <c r="S3737" s="146"/>
    </row>
    <row r="3738" spans="1:20" s="894" customFormat="1" ht="18">
      <c r="A3738" s="512">
        <f t="shared" si="51"/>
        <v>2891</v>
      </c>
      <c r="B3738" s="896" t="s">
        <v>43</v>
      </c>
      <c r="C3738" s="120" t="s">
        <v>44</v>
      </c>
      <c r="D3738" s="120" t="s">
        <v>45</v>
      </c>
      <c r="E3738" s="130" t="s">
        <v>4290</v>
      </c>
      <c r="F3738" s="233" t="s">
        <v>730</v>
      </c>
      <c r="G3738" s="150">
        <v>9812898259</v>
      </c>
      <c r="H3738" s="121"/>
      <c r="I3738" s="150">
        <v>75</v>
      </c>
      <c r="J3738" s="120" t="s">
        <v>90</v>
      </c>
      <c r="K3738" s="120" t="s">
        <v>1468</v>
      </c>
      <c r="L3738" s="120"/>
      <c r="M3738" s="146" t="s">
        <v>119</v>
      </c>
      <c r="N3738" s="710">
        <v>65056</v>
      </c>
      <c r="O3738" s="710">
        <v>65056</v>
      </c>
      <c r="P3738" s="1107">
        <v>65070</v>
      </c>
      <c r="Q3738" s="240" t="s">
        <v>51</v>
      </c>
      <c r="R3738" s="895"/>
      <c r="S3738" s="895"/>
      <c r="T3738" s="56"/>
    </row>
    <row r="3739" spans="1:20" s="894" customFormat="1" ht="18">
      <c r="A3739" s="512">
        <f t="shared" si="51"/>
        <v>2892</v>
      </c>
      <c r="B3739" s="896" t="s">
        <v>43</v>
      </c>
      <c r="C3739" s="120" t="s">
        <v>44</v>
      </c>
      <c r="D3739" s="120" t="s">
        <v>45</v>
      </c>
      <c r="E3739" s="130" t="s">
        <v>4316</v>
      </c>
      <c r="F3739" s="233" t="s">
        <v>491</v>
      </c>
      <c r="G3739" s="150">
        <v>9847909888</v>
      </c>
      <c r="H3739" s="121"/>
      <c r="I3739" s="150">
        <v>40</v>
      </c>
      <c r="J3739" s="120" t="s">
        <v>48</v>
      </c>
      <c r="K3739" s="120" t="s">
        <v>345</v>
      </c>
      <c r="L3739" s="120"/>
      <c r="M3739" s="146" t="s">
        <v>119</v>
      </c>
      <c r="N3739" s="710">
        <v>65056</v>
      </c>
      <c r="O3739" s="710">
        <v>65056</v>
      </c>
      <c r="P3739" s="1107">
        <v>65070</v>
      </c>
      <c r="Q3739" s="240" t="s">
        <v>51</v>
      </c>
      <c r="R3739" s="56"/>
      <c r="S3739" s="56"/>
      <c r="T3739" s="56"/>
    </row>
    <row r="3740" spans="1:20" s="894" customFormat="1" ht="18">
      <c r="A3740" s="512">
        <f t="shared" si="51"/>
        <v>2893</v>
      </c>
      <c r="B3740" s="896" t="s">
        <v>43</v>
      </c>
      <c r="C3740" s="120" t="s">
        <v>44</v>
      </c>
      <c r="D3740" s="120" t="s">
        <v>45</v>
      </c>
      <c r="E3740" s="130" t="s">
        <v>4282</v>
      </c>
      <c r="F3740" s="233" t="s">
        <v>510</v>
      </c>
      <c r="G3740" s="150">
        <v>9847990441</v>
      </c>
      <c r="H3740" s="121"/>
      <c r="I3740" s="150">
        <v>30</v>
      </c>
      <c r="J3740" s="120" t="s">
        <v>48</v>
      </c>
      <c r="K3740" s="120" t="s">
        <v>1468</v>
      </c>
      <c r="L3740" s="120"/>
      <c r="M3740" s="146" t="s">
        <v>119</v>
      </c>
      <c r="N3740" s="710">
        <v>65056</v>
      </c>
      <c r="O3740" s="710">
        <v>65056</v>
      </c>
      <c r="P3740" s="1107">
        <v>65070</v>
      </c>
      <c r="Q3740" s="240" t="s">
        <v>51</v>
      </c>
      <c r="R3740" s="56"/>
      <c r="S3740" s="56"/>
      <c r="T3740" s="56"/>
    </row>
    <row r="3741" spans="1:20" s="894" customFormat="1" ht="18">
      <c r="A3741" s="512">
        <f t="shared" si="51"/>
        <v>2894</v>
      </c>
      <c r="B3741" s="896" t="s">
        <v>43</v>
      </c>
      <c r="C3741" s="120" t="s">
        <v>44</v>
      </c>
      <c r="D3741" s="120" t="s">
        <v>45</v>
      </c>
      <c r="E3741" s="130" t="s">
        <v>4310</v>
      </c>
      <c r="F3741" s="233" t="s">
        <v>1204</v>
      </c>
      <c r="G3741" s="150">
        <v>9813927672</v>
      </c>
      <c r="H3741" s="121"/>
      <c r="I3741" s="150">
        <v>25</v>
      </c>
      <c r="J3741" s="120" t="s">
        <v>90</v>
      </c>
      <c r="K3741" s="120" t="s">
        <v>1480</v>
      </c>
      <c r="L3741" s="120"/>
      <c r="M3741" s="146" t="s">
        <v>119</v>
      </c>
      <c r="N3741" s="710">
        <v>65056</v>
      </c>
      <c r="O3741" s="710">
        <v>65056</v>
      </c>
      <c r="P3741" s="1107">
        <v>65070</v>
      </c>
      <c r="Q3741" s="240" t="s">
        <v>51</v>
      </c>
      <c r="R3741" s="56"/>
      <c r="S3741" s="56"/>
      <c r="T3741" s="56"/>
    </row>
    <row r="3742" spans="1:20" s="894" customFormat="1" ht="18">
      <c r="A3742" s="512">
        <f t="shared" si="51"/>
        <v>2895</v>
      </c>
      <c r="B3742" s="896" t="s">
        <v>43</v>
      </c>
      <c r="C3742" s="120" t="s">
        <v>44</v>
      </c>
      <c r="D3742" s="120" t="s">
        <v>45</v>
      </c>
      <c r="E3742" s="120" t="s">
        <v>4342</v>
      </c>
      <c r="F3742" s="894" t="s">
        <v>510</v>
      </c>
      <c r="G3742" s="150">
        <v>9847866117</v>
      </c>
      <c r="H3742" s="120"/>
      <c r="I3742" s="150">
        <v>36</v>
      </c>
      <c r="J3742" s="120" t="s">
        <v>90</v>
      </c>
      <c r="K3742" s="120" t="s">
        <v>1468</v>
      </c>
      <c r="L3742" s="120"/>
      <c r="M3742" s="146" t="s">
        <v>119</v>
      </c>
      <c r="N3742" s="710">
        <v>65057</v>
      </c>
      <c r="O3742" s="710">
        <v>65057</v>
      </c>
      <c r="P3742" s="1138">
        <v>65071</v>
      </c>
      <c r="Q3742" s="1139" t="s">
        <v>51</v>
      </c>
      <c r="R3742" s="56"/>
      <c r="S3742" s="56"/>
      <c r="T3742" s="56"/>
    </row>
    <row r="3743" spans="1:20" s="894" customFormat="1" ht="18">
      <c r="A3743" s="512">
        <f t="shared" si="51"/>
        <v>2896</v>
      </c>
      <c r="B3743" s="896" t="s">
        <v>43</v>
      </c>
      <c r="C3743" s="120" t="s">
        <v>44</v>
      </c>
      <c r="D3743" s="120" t="s">
        <v>45</v>
      </c>
      <c r="E3743" s="120" t="s">
        <v>4343</v>
      </c>
      <c r="F3743" s="894" t="s">
        <v>502</v>
      </c>
      <c r="G3743" s="150">
        <v>9810978824</v>
      </c>
      <c r="H3743" s="120"/>
      <c r="I3743" s="150">
        <v>45</v>
      </c>
      <c r="J3743" s="120" t="s">
        <v>48</v>
      </c>
      <c r="K3743" s="120" t="s">
        <v>1468</v>
      </c>
      <c r="L3743" s="120"/>
      <c r="M3743" s="146" t="s">
        <v>119</v>
      </c>
      <c r="N3743" s="710">
        <v>65057</v>
      </c>
      <c r="O3743" s="710">
        <v>65057</v>
      </c>
      <c r="P3743" s="1138">
        <v>65071</v>
      </c>
      <c r="Q3743" s="1139" t="s">
        <v>51</v>
      </c>
      <c r="R3743" s="56"/>
      <c r="S3743" s="56"/>
      <c r="T3743" s="56"/>
    </row>
    <row r="3744" spans="1:20" s="894" customFormat="1" ht="18">
      <c r="A3744" s="512">
        <f t="shared" si="51"/>
        <v>2897</v>
      </c>
      <c r="B3744" s="896" t="s">
        <v>43</v>
      </c>
      <c r="C3744" s="120" t="s">
        <v>44</v>
      </c>
      <c r="D3744" s="120" t="s">
        <v>45</v>
      </c>
      <c r="E3744" s="120" t="s">
        <v>4344</v>
      </c>
      <c r="F3744" s="894" t="s">
        <v>502</v>
      </c>
      <c r="G3744" s="150">
        <v>9847878176</v>
      </c>
      <c r="H3744" s="120"/>
      <c r="I3744" s="150">
        <v>34</v>
      </c>
      <c r="J3744" s="120" t="s">
        <v>48</v>
      </c>
      <c r="K3744" s="120" t="s">
        <v>1468</v>
      </c>
      <c r="L3744" s="120"/>
      <c r="M3744" s="146" t="s">
        <v>119</v>
      </c>
      <c r="N3744" s="710">
        <v>65057</v>
      </c>
      <c r="O3744" s="710">
        <v>65057</v>
      </c>
      <c r="P3744" s="1138">
        <v>65071</v>
      </c>
      <c r="Q3744" s="1139" t="s">
        <v>51</v>
      </c>
      <c r="R3744" s="56"/>
      <c r="S3744" s="56"/>
      <c r="T3744" s="56"/>
    </row>
    <row r="3745" spans="1:20" s="894" customFormat="1" ht="18">
      <c r="A3745" s="512">
        <f t="shared" si="51"/>
        <v>2898</v>
      </c>
      <c r="B3745" s="896" t="s">
        <v>43</v>
      </c>
      <c r="C3745" s="120" t="s">
        <v>44</v>
      </c>
      <c r="D3745" s="120" t="s">
        <v>45</v>
      </c>
      <c r="E3745" s="704" t="s">
        <v>4391</v>
      </c>
      <c r="F3745" s="56" t="s">
        <v>441</v>
      </c>
      <c r="G3745" s="705">
        <v>9841863064</v>
      </c>
      <c r="H3745" s="432"/>
      <c r="I3745" s="705">
        <v>7</v>
      </c>
      <c r="J3745" s="120" t="s">
        <v>48</v>
      </c>
      <c r="K3745" s="120" t="s">
        <v>53</v>
      </c>
      <c r="L3745" s="120"/>
      <c r="M3745" s="146" t="s">
        <v>119</v>
      </c>
      <c r="N3745" s="710">
        <v>65057</v>
      </c>
      <c r="O3745" s="710">
        <v>65057</v>
      </c>
      <c r="P3745" s="1138">
        <v>65071</v>
      </c>
      <c r="Q3745" s="1139" t="s">
        <v>51</v>
      </c>
      <c r="R3745" s="56"/>
      <c r="S3745" s="56"/>
      <c r="T3745" s="56"/>
    </row>
    <row r="3746" spans="1:20" s="894" customFormat="1" ht="18">
      <c r="A3746" s="512">
        <f t="shared" si="51"/>
        <v>2899</v>
      </c>
      <c r="B3746" s="896" t="s">
        <v>43</v>
      </c>
      <c r="C3746" s="120" t="s">
        <v>44</v>
      </c>
      <c r="D3746" s="120" t="s">
        <v>45</v>
      </c>
      <c r="E3746" s="120" t="s">
        <v>4345</v>
      </c>
      <c r="F3746" s="894" t="s">
        <v>502</v>
      </c>
      <c r="G3746" s="150">
        <v>9847963353</v>
      </c>
      <c r="H3746" s="120"/>
      <c r="I3746" s="150">
        <v>29</v>
      </c>
      <c r="J3746" s="120" t="s">
        <v>90</v>
      </c>
      <c r="K3746" s="120" t="s">
        <v>1468</v>
      </c>
      <c r="L3746" s="120"/>
      <c r="M3746" s="146" t="s">
        <v>119</v>
      </c>
      <c r="N3746" s="710">
        <v>65057</v>
      </c>
      <c r="O3746" s="710">
        <v>65057</v>
      </c>
      <c r="P3746" s="1138">
        <v>65071</v>
      </c>
      <c r="Q3746" s="1139" t="s">
        <v>51</v>
      </c>
      <c r="R3746" s="56"/>
      <c r="S3746" s="56"/>
      <c r="T3746" s="56"/>
    </row>
    <row r="3747" spans="1:20" s="983" customFormat="1" ht="18">
      <c r="A3747" s="512">
        <f t="shared" si="51"/>
        <v>2900</v>
      </c>
      <c r="B3747" s="896" t="s">
        <v>43</v>
      </c>
      <c r="C3747" s="120" t="s">
        <v>44</v>
      </c>
      <c r="D3747" s="120" t="s">
        <v>45</v>
      </c>
      <c r="E3747" s="120" t="s">
        <v>4346</v>
      </c>
      <c r="F3747" s="894" t="s">
        <v>502</v>
      </c>
      <c r="G3747" s="1000">
        <v>9809794329</v>
      </c>
      <c r="H3747" s="120"/>
      <c r="I3747" s="150">
        <v>61</v>
      </c>
      <c r="J3747" s="120" t="s">
        <v>48</v>
      </c>
      <c r="K3747" s="120" t="s">
        <v>1468</v>
      </c>
      <c r="L3747" s="120"/>
      <c r="M3747" s="146" t="s">
        <v>119</v>
      </c>
      <c r="N3747" s="710">
        <v>65057</v>
      </c>
      <c r="O3747" s="710">
        <v>65057</v>
      </c>
      <c r="P3747" s="1138">
        <v>65071</v>
      </c>
      <c r="Q3747" s="1139" t="s">
        <v>51</v>
      </c>
      <c r="R3747" s="980"/>
      <c r="S3747" s="980"/>
      <c r="T3747" s="980"/>
    </row>
    <row r="3748" spans="1:20" s="983" customFormat="1" ht="18">
      <c r="A3748" s="512">
        <f t="shared" si="51"/>
        <v>2901</v>
      </c>
      <c r="B3748" s="977" t="s">
        <v>43</v>
      </c>
      <c r="C3748" s="249" t="s">
        <v>44</v>
      </c>
      <c r="D3748" s="249" t="s">
        <v>45</v>
      </c>
      <c r="E3748" s="249" t="s">
        <v>4358</v>
      </c>
      <c r="F3748" s="579" t="s">
        <v>791</v>
      </c>
      <c r="G3748" s="1068">
        <v>9847824904</v>
      </c>
      <c r="H3748" s="249"/>
      <c r="I3748" s="254">
        <v>70</v>
      </c>
      <c r="J3748" s="249" t="s">
        <v>90</v>
      </c>
      <c r="K3748" s="249" t="s">
        <v>49</v>
      </c>
      <c r="L3748" s="249"/>
      <c r="M3748" s="975" t="s">
        <v>119</v>
      </c>
      <c r="N3748" s="976">
        <v>65057</v>
      </c>
      <c r="O3748" s="976">
        <v>65057</v>
      </c>
      <c r="P3748" s="582">
        <v>65065</v>
      </c>
      <c r="Q3748" s="578" t="s">
        <v>51</v>
      </c>
      <c r="R3748" s="980"/>
      <c r="S3748" s="980"/>
      <c r="T3748" s="980"/>
    </row>
    <row r="3749" spans="1:20" s="894" customFormat="1" ht="18">
      <c r="A3749" s="512">
        <f t="shared" si="51"/>
        <v>2902</v>
      </c>
      <c r="B3749" s="1196" t="s">
        <v>43</v>
      </c>
      <c r="C3749" s="1191" t="s">
        <v>44</v>
      </c>
      <c r="D3749" s="1191" t="s">
        <v>45</v>
      </c>
      <c r="E3749" s="1191" t="s">
        <v>4355</v>
      </c>
      <c r="F3749" s="576" t="s">
        <v>730</v>
      </c>
      <c r="G3749" s="1197">
        <v>9866472072</v>
      </c>
      <c r="H3749" s="1191"/>
      <c r="I3749" s="1197">
        <v>50</v>
      </c>
      <c r="J3749" s="1191" t="s">
        <v>48</v>
      </c>
      <c r="K3749" s="1191" t="s">
        <v>49</v>
      </c>
      <c r="L3749" s="1191"/>
      <c r="M3749" s="1191" t="s">
        <v>54</v>
      </c>
      <c r="N3749" s="1194">
        <v>65057</v>
      </c>
      <c r="O3749" s="1194">
        <v>65057</v>
      </c>
      <c r="P3749" s="541">
        <v>65076</v>
      </c>
      <c r="Q3749" s="533" t="s">
        <v>51</v>
      </c>
      <c r="R3749" s="56"/>
      <c r="S3749" s="56"/>
      <c r="T3749" s="56"/>
    </row>
    <row r="3750" spans="1:20" s="894" customFormat="1" ht="18">
      <c r="A3750" s="512">
        <f t="shared" si="51"/>
        <v>2903</v>
      </c>
      <c r="B3750" s="896" t="s">
        <v>43</v>
      </c>
      <c r="C3750" s="120" t="s">
        <v>44</v>
      </c>
      <c r="D3750" s="120" t="s">
        <v>45</v>
      </c>
      <c r="E3750" s="704" t="s">
        <v>4392</v>
      </c>
      <c r="F3750" s="56" t="s">
        <v>502</v>
      </c>
      <c r="G3750" s="705">
        <v>9857820615</v>
      </c>
      <c r="H3750" s="432"/>
      <c r="I3750" s="705">
        <v>5</v>
      </c>
      <c r="J3750" s="120" t="s">
        <v>48</v>
      </c>
      <c r="K3750" s="120" t="s">
        <v>53</v>
      </c>
      <c r="L3750" s="120"/>
      <c r="M3750" s="146" t="s">
        <v>119</v>
      </c>
      <c r="N3750" s="710">
        <v>65057</v>
      </c>
      <c r="O3750" s="710">
        <v>65057</v>
      </c>
      <c r="P3750" s="1138">
        <v>65071</v>
      </c>
      <c r="Q3750" s="1139" t="s">
        <v>51</v>
      </c>
      <c r="R3750" s="56"/>
      <c r="S3750" s="56"/>
      <c r="T3750" s="56"/>
    </row>
    <row r="3751" spans="1:20" s="1128" customFormat="1" ht="18">
      <c r="A3751" s="512">
        <f t="shared" si="51"/>
        <v>2904</v>
      </c>
      <c r="B3751" s="1129" t="s">
        <v>43</v>
      </c>
      <c r="C3751" s="253" t="s">
        <v>44</v>
      </c>
      <c r="D3751" s="253" t="s">
        <v>45</v>
      </c>
      <c r="E3751" s="253" t="s">
        <v>4347</v>
      </c>
      <c r="F3751" s="1114" t="s">
        <v>502</v>
      </c>
      <c r="G3751" s="1110">
        <v>9810842934</v>
      </c>
      <c r="H3751" s="253"/>
      <c r="I3751" s="251">
        <v>63</v>
      </c>
      <c r="J3751" s="253" t="s">
        <v>48</v>
      </c>
      <c r="K3751" s="253" t="s">
        <v>1468</v>
      </c>
      <c r="L3751" s="253"/>
      <c r="M3751" s="253" t="s">
        <v>54</v>
      </c>
      <c r="N3751" s="1115">
        <v>65057</v>
      </c>
      <c r="O3751" s="1115">
        <v>65057</v>
      </c>
      <c r="P3751" s="1131">
        <v>65070</v>
      </c>
      <c r="Q3751" s="1130" t="s">
        <v>51</v>
      </c>
    </row>
    <row r="3752" spans="1:20" ht="18">
      <c r="A3752" s="512">
        <f t="shared" si="51"/>
        <v>2905</v>
      </c>
      <c r="B3752" s="896" t="s">
        <v>43</v>
      </c>
      <c r="C3752" s="120" t="s">
        <v>44</v>
      </c>
      <c r="D3752" s="120" t="s">
        <v>45</v>
      </c>
      <c r="E3752" s="704" t="s">
        <v>4393</v>
      </c>
      <c r="F3752" s="56" t="s">
        <v>1008</v>
      </c>
      <c r="G3752" s="705">
        <v>9847941415</v>
      </c>
      <c r="I3752" s="705">
        <v>18</v>
      </c>
      <c r="J3752" s="120" t="s">
        <v>48</v>
      </c>
      <c r="K3752" s="120" t="s">
        <v>53</v>
      </c>
      <c r="L3752" s="120"/>
      <c r="M3752" s="146" t="s">
        <v>119</v>
      </c>
      <c r="N3752" s="710">
        <v>65057</v>
      </c>
      <c r="O3752" s="710">
        <v>65057</v>
      </c>
      <c r="P3752" s="1138">
        <v>65071</v>
      </c>
      <c r="Q3752" s="1139" t="s">
        <v>51</v>
      </c>
    </row>
    <row r="3753" spans="1:20" s="362" customFormat="1" ht="18">
      <c r="A3753" s="512">
        <f t="shared" si="51"/>
        <v>2906</v>
      </c>
      <c r="B3753" s="1238" t="s">
        <v>43</v>
      </c>
      <c r="C3753" s="1239" t="s">
        <v>44</v>
      </c>
      <c r="D3753" s="1239" t="s">
        <v>45</v>
      </c>
      <c r="E3753" s="1239" t="s">
        <v>4453</v>
      </c>
      <c r="F3753" s="1240" t="s">
        <v>512</v>
      </c>
      <c r="G3753" s="1202">
        <v>9809541309</v>
      </c>
      <c r="H3753" s="1239"/>
      <c r="I3753" s="1246">
        <v>37</v>
      </c>
      <c r="J3753" s="1239" t="s">
        <v>48</v>
      </c>
      <c r="K3753" s="1239"/>
      <c r="L3753" s="1239"/>
      <c r="M3753" s="1239" t="s">
        <v>54</v>
      </c>
      <c r="N3753" s="1241">
        <v>65057</v>
      </c>
      <c r="O3753" s="1241">
        <v>65057</v>
      </c>
      <c r="P3753" s="1243">
        <v>65080</v>
      </c>
      <c r="Q3753" s="1242" t="s">
        <v>51</v>
      </c>
    </row>
    <row r="3754" spans="1:20" ht="18">
      <c r="A3754" s="512">
        <f t="shared" si="51"/>
        <v>2907</v>
      </c>
      <c r="B3754" s="896" t="s">
        <v>43</v>
      </c>
      <c r="C3754" s="120" t="s">
        <v>44</v>
      </c>
      <c r="D3754" s="120" t="s">
        <v>45</v>
      </c>
      <c r="E3754" s="120" t="s">
        <v>4348</v>
      </c>
      <c r="F3754" s="894" t="s">
        <v>502</v>
      </c>
      <c r="G3754" s="150">
        <v>9845454547</v>
      </c>
      <c r="H3754" s="120"/>
      <c r="I3754" s="150">
        <v>45</v>
      </c>
      <c r="J3754" s="120" t="s">
        <v>48</v>
      </c>
      <c r="K3754" s="120" t="s">
        <v>1468</v>
      </c>
      <c r="L3754" s="120"/>
      <c r="M3754" s="146" t="s">
        <v>119</v>
      </c>
      <c r="N3754" s="710">
        <v>65057</v>
      </c>
      <c r="O3754" s="710">
        <v>65057</v>
      </c>
      <c r="P3754" s="1138">
        <v>65071</v>
      </c>
      <c r="Q3754" s="1139" t="s">
        <v>51</v>
      </c>
    </row>
    <row r="3755" spans="1:20" s="357" customFormat="1" ht="18">
      <c r="A3755" s="512">
        <f t="shared" si="51"/>
        <v>2908</v>
      </c>
      <c r="B3755" s="896" t="s">
        <v>43</v>
      </c>
      <c r="C3755" s="120" t="s">
        <v>44</v>
      </c>
      <c r="D3755" s="120" t="s">
        <v>45</v>
      </c>
      <c r="E3755" s="120" t="s">
        <v>4349</v>
      </c>
      <c r="F3755" s="894" t="s">
        <v>491</v>
      </c>
      <c r="G3755" s="150">
        <v>9861379596</v>
      </c>
      <c r="H3755" s="120"/>
      <c r="I3755" s="150">
        <v>70</v>
      </c>
      <c r="J3755" s="120" t="s">
        <v>90</v>
      </c>
      <c r="K3755" s="120" t="s">
        <v>1468</v>
      </c>
      <c r="L3755" s="120"/>
      <c r="M3755" s="146" t="s">
        <v>119</v>
      </c>
      <c r="N3755" s="710">
        <v>65057</v>
      </c>
      <c r="O3755" s="710">
        <v>65057</v>
      </c>
      <c r="P3755" s="1138">
        <v>65071</v>
      </c>
      <c r="Q3755" s="1139" t="s">
        <v>51</v>
      </c>
    </row>
    <row r="3756" spans="1:20" s="163" customFormat="1" ht="18">
      <c r="A3756" s="512">
        <f t="shared" si="51"/>
        <v>2909</v>
      </c>
      <c r="B3756" s="896" t="s">
        <v>43</v>
      </c>
      <c r="C3756" s="120" t="s">
        <v>44</v>
      </c>
      <c r="D3756" s="120" t="s">
        <v>45</v>
      </c>
      <c r="E3756" s="120" t="s">
        <v>4350</v>
      </c>
      <c r="F3756" s="434" t="s">
        <v>491</v>
      </c>
      <c r="G3756" s="150">
        <v>9866853364</v>
      </c>
      <c r="H3756" s="120"/>
      <c r="I3756" s="150">
        <v>25</v>
      </c>
      <c r="J3756" s="120" t="s">
        <v>90</v>
      </c>
      <c r="K3756" s="120" t="s">
        <v>1468</v>
      </c>
      <c r="L3756" s="120"/>
      <c r="M3756" s="146" t="s">
        <v>119</v>
      </c>
      <c r="N3756" s="710">
        <v>65057</v>
      </c>
      <c r="O3756" s="710">
        <v>65057</v>
      </c>
      <c r="P3756" s="1138">
        <v>65071</v>
      </c>
      <c r="Q3756" s="1139" t="s">
        <v>51</v>
      </c>
    </row>
    <row r="3757" spans="1:20" ht="18">
      <c r="A3757" s="512">
        <f t="shared" si="51"/>
        <v>2910</v>
      </c>
      <c r="B3757" s="896" t="s">
        <v>43</v>
      </c>
      <c r="C3757" s="120" t="s">
        <v>44</v>
      </c>
      <c r="D3757" s="120" t="s">
        <v>45</v>
      </c>
      <c r="E3757" s="120" t="s">
        <v>4351</v>
      </c>
      <c r="F3757" s="434" t="s">
        <v>491</v>
      </c>
      <c r="G3757" s="150">
        <v>9809506295</v>
      </c>
      <c r="H3757" s="120"/>
      <c r="I3757" s="150">
        <v>29</v>
      </c>
      <c r="J3757" s="120" t="s">
        <v>48</v>
      </c>
      <c r="K3757" s="120" t="s">
        <v>1468</v>
      </c>
      <c r="L3757" s="120"/>
      <c r="M3757" s="146" t="s">
        <v>119</v>
      </c>
      <c r="N3757" s="710">
        <v>65057</v>
      </c>
      <c r="O3757" s="710">
        <v>65057</v>
      </c>
      <c r="P3757" s="1138">
        <v>65071</v>
      </c>
      <c r="Q3757" s="1139" t="s">
        <v>51</v>
      </c>
    </row>
    <row r="3758" spans="1:20" ht="18">
      <c r="A3758" s="512">
        <f t="shared" si="51"/>
        <v>2911</v>
      </c>
      <c r="B3758" s="896" t="s">
        <v>43</v>
      </c>
      <c r="C3758" s="120" t="s">
        <v>44</v>
      </c>
      <c r="D3758" s="120" t="s">
        <v>45</v>
      </c>
      <c r="E3758" s="120" t="s">
        <v>4352</v>
      </c>
      <c r="F3758" s="434" t="s">
        <v>491</v>
      </c>
      <c r="G3758" s="150">
        <v>9849248349</v>
      </c>
      <c r="H3758" s="120"/>
      <c r="I3758" s="150">
        <v>60</v>
      </c>
      <c r="J3758" s="120" t="s">
        <v>90</v>
      </c>
      <c r="K3758" s="120" t="s">
        <v>1468</v>
      </c>
      <c r="L3758" s="120"/>
      <c r="M3758" s="146" t="s">
        <v>119</v>
      </c>
      <c r="N3758" s="710">
        <v>65057</v>
      </c>
      <c r="O3758" s="710">
        <v>65057</v>
      </c>
      <c r="P3758" s="1138">
        <v>65071</v>
      </c>
      <c r="Q3758" s="1139" t="s">
        <v>51</v>
      </c>
    </row>
    <row r="3759" spans="1:20" ht="18">
      <c r="A3759" s="512">
        <f t="shared" si="51"/>
        <v>2912</v>
      </c>
      <c r="B3759" s="896" t="s">
        <v>43</v>
      </c>
      <c r="C3759" s="120" t="s">
        <v>44</v>
      </c>
      <c r="D3759" s="120" t="s">
        <v>45</v>
      </c>
      <c r="E3759" s="120" t="s">
        <v>4353</v>
      </c>
      <c r="F3759" s="434" t="s">
        <v>441</v>
      </c>
      <c r="G3759" s="150">
        <v>9822820798</v>
      </c>
      <c r="H3759" s="120"/>
      <c r="I3759" s="150">
        <v>21</v>
      </c>
      <c r="J3759" s="120" t="s">
        <v>48</v>
      </c>
      <c r="K3759" s="120" t="s">
        <v>1468</v>
      </c>
      <c r="L3759" s="120"/>
      <c r="M3759" s="146" t="s">
        <v>119</v>
      </c>
      <c r="N3759" s="710">
        <v>65057</v>
      </c>
      <c r="O3759" s="710">
        <v>65057</v>
      </c>
      <c r="P3759" s="1138">
        <v>65071</v>
      </c>
      <c r="Q3759" s="1139" t="s">
        <v>51</v>
      </c>
    </row>
    <row r="3760" spans="1:20" ht="18">
      <c r="A3760" s="512">
        <f t="shared" si="51"/>
        <v>2913</v>
      </c>
      <c r="B3760" s="896" t="s">
        <v>43</v>
      </c>
      <c r="C3760" s="120" t="s">
        <v>44</v>
      </c>
      <c r="D3760" s="120" t="s">
        <v>45</v>
      </c>
      <c r="E3760" s="704" t="s">
        <v>4394</v>
      </c>
      <c r="F3760" s="56" t="s">
        <v>502</v>
      </c>
      <c r="G3760" s="705">
        <v>9847836912</v>
      </c>
      <c r="I3760" s="705">
        <v>5</v>
      </c>
      <c r="J3760" s="120" t="s">
        <v>90</v>
      </c>
      <c r="K3760" s="120" t="s">
        <v>53</v>
      </c>
      <c r="L3760" s="120"/>
      <c r="M3760" s="146" t="s">
        <v>119</v>
      </c>
      <c r="N3760" s="710">
        <v>65057</v>
      </c>
      <c r="O3760" s="710">
        <v>65057</v>
      </c>
      <c r="P3760" s="1138">
        <v>65071</v>
      </c>
      <c r="Q3760" s="1139" t="s">
        <v>51</v>
      </c>
    </row>
    <row r="3761" spans="1:17" s="163" customFormat="1" ht="18">
      <c r="A3761" s="512">
        <f t="shared" si="51"/>
        <v>2914</v>
      </c>
      <c r="B3761" s="1074" t="s">
        <v>43</v>
      </c>
      <c r="C3761" s="172" t="s">
        <v>44</v>
      </c>
      <c r="D3761" s="172" t="s">
        <v>45</v>
      </c>
      <c r="E3761" s="172" t="s">
        <v>4356</v>
      </c>
      <c r="F3761" s="438" t="s">
        <v>791</v>
      </c>
      <c r="G3761" s="191">
        <v>9822964689</v>
      </c>
      <c r="H3761" s="172"/>
      <c r="I3761" s="191">
        <v>42</v>
      </c>
      <c r="J3761" s="172" t="s">
        <v>48</v>
      </c>
      <c r="K3761" s="172" t="s">
        <v>49</v>
      </c>
      <c r="L3761" s="172"/>
      <c r="M3761" s="149" t="s">
        <v>4629</v>
      </c>
      <c r="N3761" s="978">
        <v>65057</v>
      </c>
      <c r="O3761" s="978">
        <v>65057</v>
      </c>
      <c r="P3761" s="465">
        <v>65086</v>
      </c>
      <c r="Q3761" s="1139" t="s">
        <v>51</v>
      </c>
    </row>
    <row r="3762" spans="1:17" ht="18">
      <c r="A3762" s="512">
        <f t="shared" si="51"/>
        <v>2915</v>
      </c>
      <c r="B3762" s="977" t="s">
        <v>43</v>
      </c>
      <c r="C3762" s="249" t="s">
        <v>44</v>
      </c>
      <c r="D3762" s="249" t="s">
        <v>45</v>
      </c>
      <c r="E3762" s="249" t="s">
        <v>4354</v>
      </c>
      <c r="F3762" s="579" t="s">
        <v>510</v>
      </c>
      <c r="G3762" s="254">
        <v>9806250271</v>
      </c>
      <c r="H3762" s="249"/>
      <c r="I3762" s="254">
        <v>47</v>
      </c>
      <c r="J3762" s="249" t="s">
        <v>48</v>
      </c>
      <c r="K3762" s="249" t="s">
        <v>1468</v>
      </c>
      <c r="L3762" s="249"/>
      <c r="M3762" s="975" t="s">
        <v>119</v>
      </c>
      <c r="N3762" s="976">
        <v>65057</v>
      </c>
      <c r="O3762" s="976">
        <v>65057</v>
      </c>
      <c r="P3762" s="582">
        <v>65061</v>
      </c>
      <c r="Q3762" s="578" t="s">
        <v>51</v>
      </c>
    </row>
    <row r="3763" spans="1:17" ht="18">
      <c r="A3763" s="512">
        <f t="shared" si="51"/>
        <v>2916</v>
      </c>
      <c r="B3763" s="896" t="s">
        <v>43</v>
      </c>
      <c r="C3763" s="120" t="s">
        <v>44</v>
      </c>
      <c r="D3763" s="120" t="s">
        <v>45</v>
      </c>
      <c r="E3763" s="120" t="s">
        <v>4359</v>
      </c>
      <c r="F3763" s="434" t="s">
        <v>502</v>
      </c>
      <c r="G3763" s="150">
        <v>9843865946</v>
      </c>
      <c r="H3763" s="120"/>
      <c r="I3763" s="150">
        <v>32</v>
      </c>
      <c r="J3763" s="120" t="s">
        <v>90</v>
      </c>
      <c r="K3763" s="120" t="s">
        <v>49</v>
      </c>
      <c r="L3763" s="120"/>
      <c r="M3763" s="146" t="s">
        <v>119</v>
      </c>
      <c r="N3763" s="710">
        <v>65057</v>
      </c>
      <c r="O3763" s="710">
        <v>65057</v>
      </c>
      <c r="P3763" s="1138">
        <v>65071</v>
      </c>
      <c r="Q3763" s="1139" t="s">
        <v>51</v>
      </c>
    </row>
    <row r="3764" spans="1:17" ht="18">
      <c r="A3764" s="512">
        <f t="shared" si="51"/>
        <v>2917</v>
      </c>
      <c r="B3764" s="896" t="s">
        <v>43</v>
      </c>
      <c r="C3764" s="120" t="s">
        <v>44</v>
      </c>
      <c r="D3764" s="120" t="s">
        <v>45</v>
      </c>
      <c r="E3764" s="120" t="s">
        <v>4360</v>
      </c>
      <c r="F3764" s="434" t="s">
        <v>502</v>
      </c>
      <c r="G3764" s="150">
        <v>9847912983</v>
      </c>
      <c r="H3764" s="120"/>
      <c r="I3764" s="150">
        <v>28</v>
      </c>
      <c r="J3764" s="120" t="s">
        <v>90</v>
      </c>
      <c r="K3764" s="120" t="s">
        <v>49</v>
      </c>
      <c r="L3764" s="120"/>
      <c r="M3764" s="146" t="s">
        <v>119</v>
      </c>
      <c r="N3764" s="710">
        <v>65057</v>
      </c>
      <c r="O3764" s="710">
        <v>65057</v>
      </c>
      <c r="P3764" s="1138">
        <v>65071</v>
      </c>
      <c r="Q3764" s="1139" t="s">
        <v>51</v>
      </c>
    </row>
    <row r="3765" spans="1:17" ht="18">
      <c r="A3765" s="512">
        <f t="shared" si="51"/>
        <v>2918</v>
      </c>
      <c r="B3765" s="896" t="s">
        <v>43</v>
      </c>
      <c r="C3765" s="120" t="s">
        <v>44</v>
      </c>
      <c r="D3765" s="120" t="s">
        <v>45</v>
      </c>
      <c r="E3765" s="120" t="s">
        <v>4361</v>
      </c>
      <c r="F3765" s="434" t="s">
        <v>1046</v>
      </c>
      <c r="G3765" s="150">
        <v>9847852772</v>
      </c>
      <c r="H3765" s="120"/>
      <c r="I3765" s="150">
        <v>47</v>
      </c>
      <c r="J3765" s="120" t="s">
        <v>90</v>
      </c>
      <c r="K3765" s="120" t="s">
        <v>49</v>
      </c>
      <c r="L3765" s="120"/>
      <c r="M3765" s="146" t="s">
        <v>119</v>
      </c>
      <c r="N3765" s="710">
        <v>65057</v>
      </c>
      <c r="O3765" s="710">
        <v>65057</v>
      </c>
      <c r="P3765" s="1138">
        <v>65071</v>
      </c>
      <c r="Q3765" s="1139" t="s">
        <v>51</v>
      </c>
    </row>
    <row r="3766" spans="1:17" ht="18">
      <c r="A3766" s="512">
        <f t="shared" si="51"/>
        <v>2919</v>
      </c>
      <c r="B3766" s="896" t="s">
        <v>43</v>
      </c>
      <c r="C3766" s="120" t="s">
        <v>44</v>
      </c>
      <c r="D3766" s="120" t="s">
        <v>45</v>
      </c>
      <c r="E3766" s="120" t="s">
        <v>4364</v>
      </c>
      <c r="F3766" s="434" t="s">
        <v>557</v>
      </c>
      <c r="G3766" s="150">
        <v>9829590901</v>
      </c>
      <c r="H3766" s="120"/>
      <c r="I3766" s="150">
        <v>18</v>
      </c>
      <c r="J3766" s="120" t="s">
        <v>48</v>
      </c>
      <c r="K3766" s="120" t="s">
        <v>1468</v>
      </c>
      <c r="L3766" s="120"/>
      <c r="M3766" s="146" t="s">
        <v>119</v>
      </c>
      <c r="N3766" s="710">
        <v>65057</v>
      </c>
      <c r="O3766" s="710">
        <v>65057</v>
      </c>
      <c r="P3766" s="1138">
        <v>65071</v>
      </c>
      <c r="Q3766" s="1139" t="s">
        <v>51</v>
      </c>
    </row>
    <row r="3767" spans="1:17" ht="18">
      <c r="A3767" s="512">
        <f t="shared" si="51"/>
        <v>2920</v>
      </c>
      <c r="B3767" s="896" t="s">
        <v>43</v>
      </c>
      <c r="C3767" s="120" t="s">
        <v>44</v>
      </c>
      <c r="D3767" s="120" t="s">
        <v>45</v>
      </c>
      <c r="E3767" s="120" t="s">
        <v>4365</v>
      </c>
      <c r="F3767" s="434" t="s">
        <v>730</v>
      </c>
      <c r="G3767" s="150">
        <v>9847904394</v>
      </c>
      <c r="H3767" s="120"/>
      <c r="I3767" s="150">
        <v>39</v>
      </c>
      <c r="J3767" s="120" t="s">
        <v>48</v>
      </c>
      <c r="K3767" s="120" t="s">
        <v>1468</v>
      </c>
      <c r="L3767" s="120"/>
      <c r="M3767" s="146" t="s">
        <v>119</v>
      </c>
      <c r="N3767" s="710">
        <v>65057</v>
      </c>
      <c r="O3767" s="710">
        <v>65057</v>
      </c>
      <c r="P3767" s="1138">
        <v>65071</v>
      </c>
      <c r="Q3767" s="1139" t="s">
        <v>51</v>
      </c>
    </row>
    <row r="3768" spans="1:17" ht="18">
      <c r="A3768" s="512">
        <f t="shared" si="51"/>
        <v>2921</v>
      </c>
      <c r="B3768" s="896" t="s">
        <v>43</v>
      </c>
      <c r="C3768" s="120" t="s">
        <v>44</v>
      </c>
      <c r="D3768" s="120" t="s">
        <v>45</v>
      </c>
      <c r="E3768" s="120" t="s">
        <v>2636</v>
      </c>
      <c r="F3768" s="434" t="s">
        <v>730</v>
      </c>
      <c r="G3768" s="150">
        <v>9857823496</v>
      </c>
      <c r="H3768" s="120"/>
      <c r="I3768" s="150">
        <v>35</v>
      </c>
      <c r="J3768" s="120" t="s">
        <v>90</v>
      </c>
      <c r="K3768" s="120" t="s">
        <v>1468</v>
      </c>
      <c r="L3768" s="120"/>
      <c r="M3768" s="146" t="s">
        <v>119</v>
      </c>
      <c r="N3768" s="710">
        <v>65057</v>
      </c>
      <c r="O3768" s="710">
        <v>65057</v>
      </c>
      <c r="P3768" s="1138">
        <v>65071</v>
      </c>
      <c r="Q3768" s="1139" t="s">
        <v>51</v>
      </c>
    </row>
    <row r="3769" spans="1:17" ht="18">
      <c r="A3769" s="512">
        <f t="shared" si="51"/>
        <v>2922</v>
      </c>
      <c r="B3769" s="896" t="s">
        <v>43</v>
      </c>
      <c r="C3769" s="120" t="s">
        <v>44</v>
      </c>
      <c r="D3769" s="120" t="s">
        <v>45</v>
      </c>
      <c r="E3769" s="120" t="s">
        <v>4366</v>
      </c>
      <c r="F3769" s="434" t="s">
        <v>1008</v>
      </c>
      <c r="G3769" s="150">
        <v>9843500854</v>
      </c>
      <c r="H3769" s="120"/>
      <c r="I3769" s="150">
        <v>52</v>
      </c>
      <c r="J3769" s="120" t="s">
        <v>90</v>
      </c>
      <c r="K3769" s="120" t="s">
        <v>1468</v>
      </c>
      <c r="L3769" s="120"/>
      <c r="M3769" s="146" t="s">
        <v>119</v>
      </c>
      <c r="N3769" s="710">
        <v>65057</v>
      </c>
      <c r="O3769" s="710">
        <v>65057</v>
      </c>
      <c r="P3769" s="1138">
        <v>65071</v>
      </c>
      <c r="Q3769" s="1139" t="s">
        <v>51</v>
      </c>
    </row>
    <row r="3770" spans="1:17" ht="18">
      <c r="A3770" s="512">
        <f t="shared" si="51"/>
        <v>2923</v>
      </c>
      <c r="B3770" s="896" t="s">
        <v>43</v>
      </c>
      <c r="C3770" s="120" t="s">
        <v>44</v>
      </c>
      <c r="D3770" s="120" t="s">
        <v>45</v>
      </c>
      <c r="E3770" s="120" t="s">
        <v>4362</v>
      </c>
      <c r="F3770" s="434" t="s">
        <v>1046</v>
      </c>
      <c r="G3770" s="150">
        <v>9857822606</v>
      </c>
      <c r="H3770" s="120"/>
      <c r="I3770" s="150">
        <v>27</v>
      </c>
      <c r="J3770" s="120" t="s">
        <v>90</v>
      </c>
      <c r="K3770" s="120" t="s">
        <v>49</v>
      </c>
      <c r="L3770" s="120"/>
      <c r="M3770" s="146" t="s">
        <v>119</v>
      </c>
      <c r="N3770" s="710">
        <v>65057</v>
      </c>
      <c r="O3770" s="710">
        <v>65057</v>
      </c>
      <c r="P3770" s="1138">
        <v>65071</v>
      </c>
      <c r="Q3770" s="1139" t="s">
        <v>51</v>
      </c>
    </row>
    <row r="3771" spans="1:17" ht="18">
      <c r="A3771" s="512">
        <f t="shared" si="51"/>
        <v>2924</v>
      </c>
      <c r="B3771" s="896" t="s">
        <v>43</v>
      </c>
      <c r="C3771" s="120" t="s">
        <v>44</v>
      </c>
      <c r="D3771" s="120" t="s">
        <v>45</v>
      </c>
      <c r="E3771" s="120" t="s">
        <v>4367</v>
      </c>
      <c r="F3771" s="434" t="s">
        <v>1008</v>
      </c>
      <c r="G3771" s="150">
        <v>9866803061</v>
      </c>
      <c r="H3771" s="120"/>
      <c r="I3771" s="150">
        <v>59</v>
      </c>
      <c r="J3771" s="120" t="s">
        <v>48</v>
      </c>
      <c r="K3771" s="120" t="s">
        <v>1468</v>
      </c>
      <c r="L3771" s="120"/>
      <c r="M3771" s="146" t="s">
        <v>119</v>
      </c>
      <c r="N3771" s="710">
        <v>65057</v>
      </c>
      <c r="O3771" s="710">
        <v>65057</v>
      </c>
      <c r="P3771" s="1138">
        <v>65071</v>
      </c>
      <c r="Q3771" s="1139" t="s">
        <v>51</v>
      </c>
    </row>
    <row r="3772" spans="1:17" ht="18">
      <c r="A3772" s="512">
        <f t="shared" si="51"/>
        <v>2925</v>
      </c>
      <c r="B3772" s="1024" t="s">
        <v>43</v>
      </c>
      <c r="C3772" s="155" t="s">
        <v>44</v>
      </c>
      <c r="D3772" s="155" t="s">
        <v>45</v>
      </c>
      <c r="E3772" s="155" t="s">
        <v>4368</v>
      </c>
      <c r="F3772" s="423" t="s">
        <v>491</v>
      </c>
      <c r="G3772" s="248">
        <v>9866917249</v>
      </c>
      <c r="H3772" s="155"/>
      <c r="I3772" s="248">
        <v>65</v>
      </c>
      <c r="J3772" s="155" t="s">
        <v>90</v>
      </c>
      <c r="K3772" s="155" t="s">
        <v>1468</v>
      </c>
      <c r="L3772" s="155"/>
      <c r="M3772" s="155" t="s">
        <v>119</v>
      </c>
      <c r="N3772" s="282">
        <v>65057</v>
      </c>
      <c r="O3772" s="282">
        <v>65057</v>
      </c>
      <c r="P3772" s="476">
        <v>65065</v>
      </c>
      <c r="Q3772" s="422" t="s">
        <v>940</v>
      </c>
    </row>
    <row r="3773" spans="1:17" ht="18">
      <c r="A3773" s="512">
        <f t="shared" si="51"/>
        <v>2926</v>
      </c>
      <c r="B3773" s="896" t="s">
        <v>43</v>
      </c>
      <c r="C3773" s="120" t="s">
        <v>44</v>
      </c>
      <c r="D3773" s="120" t="s">
        <v>45</v>
      </c>
      <c r="E3773" s="120" t="s">
        <v>4363</v>
      </c>
      <c r="F3773" s="434" t="s">
        <v>488</v>
      </c>
      <c r="G3773" s="150">
        <v>9809807548</v>
      </c>
      <c r="H3773" s="120"/>
      <c r="I3773" s="150">
        <v>80</v>
      </c>
      <c r="J3773" s="120" t="s">
        <v>90</v>
      </c>
      <c r="K3773" s="120" t="s">
        <v>49</v>
      </c>
      <c r="L3773" s="120"/>
      <c r="M3773" s="146" t="s">
        <v>119</v>
      </c>
      <c r="N3773" s="710">
        <v>65057</v>
      </c>
      <c r="O3773" s="710">
        <v>65057</v>
      </c>
      <c r="P3773" s="1138">
        <v>65071</v>
      </c>
      <c r="Q3773" s="1139" t="s">
        <v>51</v>
      </c>
    </row>
    <row r="3774" spans="1:17" ht="18">
      <c r="A3774" s="512">
        <f t="shared" si="51"/>
        <v>2927</v>
      </c>
      <c r="B3774" s="896" t="s">
        <v>43</v>
      </c>
      <c r="C3774" s="120" t="s">
        <v>44</v>
      </c>
      <c r="D3774" s="120" t="s">
        <v>45</v>
      </c>
      <c r="E3774" s="120" t="s">
        <v>4369</v>
      </c>
      <c r="F3774" s="434" t="s">
        <v>1204</v>
      </c>
      <c r="G3774" s="150">
        <v>9868677124</v>
      </c>
      <c r="H3774" s="120"/>
      <c r="I3774" s="150">
        <v>25</v>
      </c>
      <c r="J3774" s="120" t="s">
        <v>90</v>
      </c>
      <c r="K3774" s="120" t="s">
        <v>1468</v>
      </c>
      <c r="L3774" s="120"/>
      <c r="M3774" s="146" t="s">
        <v>119</v>
      </c>
      <c r="N3774" s="710">
        <v>65057</v>
      </c>
      <c r="O3774" s="710">
        <v>65057</v>
      </c>
      <c r="P3774" s="1138">
        <v>65071</v>
      </c>
      <c r="Q3774" s="1139" t="s">
        <v>51</v>
      </c>
    </row>
    <row r="3775" spans="1:17" ht="18">
      <c r="A3775" s="512">
        <f t="shared" si="51"/>
        <v>2928</v>
      </c>
      <c r="B3775" s="896" t="s">
        <v>43</v>
      </c>
      <c r="C3775" s="120" t="s">
        <v>44</v>
      </c>
      <c r="D3775" s="120" t="s">
        <v>45</v>
      </c>
      <c r="E3775" s="120" t="s">
        <v>4370</v>
      </c>
      <c r="F3775" s="434" t="s">
        <v>502</v>
      </c>
      <c r="G3775" s="150">
        <v>9806275988</v>
      </c>
      <c r="H3775" s="120"/>
      <c r="I3775" s="150">
        <v>42</v>
      </c>
      <c r="J3775" s="120" t="s">
        <v>90</v>
      </c>
      <c r="K3775" s="120" t="s">
        <v>1468</v>
      </c>
      <c r="L3775" s="120"/>
      <c r="M3775" s="146" t="s">
        <v>119</v>
      </c>
      <c r="N3775" s="710">
        <v>65057</v>
      </c>
      <c r="O3775" s="710">
        <v>65057</v>
      </c>
      <c r="P3775" s="1138">
        <v>65071</v>
      </c>
      <c r="Q3775" s="1139" t="s">
        <v>51</v>
      </c>
    </row>
    <row r="3776" spans="1:17" ht="18">
      <c r="A3776" s="512">
        <f t="shared" si="51"/>
        <v>2929</v>
      </c>
      <c r="B3776" s="896" t="s">
        <v>43</v>
      </c>
      <c r="C3776" s="120" t="s">
        <v>44</v>
      </c>
      <c r="D3776" s="120" t="s">
        <v>45</v>
      </c>
      <c r="E3776" s="120" t="s">
        <v>4371</v>
      </c>
      <c r="F3776" s="434" t="s">
        <v>502</v>
      </c>
      <c r="G3776" s="150">
        <v>9847846005</v>
      </c>
      <c r="H3776" s="120"/>
      <c r="I3776" s="150">
        <v>57</v>
      </c>
      <c r="J3776" s="120" t="s">
        <v>48</v>
      </c>
      <c r="K3776" s="120" t="s">
        <v>1468</v>
      </c>
      <c r="L3776" s="120"/>
      <c r="M3776" s="146" t="s">
        <v>119</v>
      </c>
      <c r="N3776" s="710">
        <v>65057</v>
      </c>
      <c r="O3776" s="710">
        <v>65057</v>
      </c>
      <c r="P3776" s="1138">
        <v>65071</v>
      </c>
      <c r="Q3776" s="1139" t="s">
        <v>51</v>
      </c>
    </row>
    <row r="3777" spans="1:17" ht="18">
      <c r="A3777" s="512">
        <f t="shared" si="51"/>
        <v>2930</v>
      </c>
      <c r="B3777" s="896" t="s">
        <v>43</v>
      </c>
      <c r="C3777" s="120" t="s">
        <v>44</v>
      </c>
      <c r="D3777" s="120" t="s">
        <v>45</v>
      </c>
      <c r="E3777" s="120" t="s">
        <v>4357</v>
      </c>
      <c r="F3777" s="434" t="s">
        <v>529</v>
      </c>
      <c r="G3777" s="150">
        <v>9811572456</v>
      </c>
      <c r="H3777" s="120"/>
      <c r="I3777" s="150">
        <v>56</v>
      </c>
      <c r="J3777" s="120" t="s">
        <v>48</v>
      </c>
      <c r="K3777" s="120" t="s">
        <v>49</v>
      </c>
      <c r="L3777" s="120"/>
      <c r="M3777" s="146" t="s">
        <v>119</v>
      </c>
      <c r="N3777" s="710">
        <v>65057</v>
      </c>
      <c r="O3777" s="710">
        <v>65057</v>
      </c>
      <c r="P3777" s="1138">
        <v>65071</v>
      </c>
      <c r="Q3777" s="1139" t="s">
        <v>51</v>
      </c>
    </row>
    <row r="3778" spans="1:17" ht="18">
      <c r="A3778" s="512">
        <f t="shared" si="51"/>
        <v>2931</v>
      </c>
      <c r="B3778" s="896" t="s">
        <v>43</v>
      </c>
      <c r="C3778" s="120" t="s">
        <v>44</v>
      </c>
      <c r="D3778" s="120" t="s">
        <v>45</v>
      </c>
      <c r="E3778" s="704" t="s">
        <v>4395</v>
      </c>
      <c r="F3778" s="56" t="s">
        <v>1008</v>
      </c>
      <c r="G3778" s="705">
        <v>9809823470</v>
      </c>
      <c r="I3778" s="705">
        <v>18</v>
      </c>
      <c r="J3778" s="704" t="s">
        <v>90</v>
      </c>
      <c r="K3778" s="120" t="s">
        <v>53</v>
      </c>
      <c r="L3778" s="120"/>
      <c r="M3778" s="146" t="s">
        <v>119</v>
      </c>
      <c r="N3778" s="710">
        <v>65057</v>
      </c>
      <c r="O3778" s="710">
        <v>65057</v>
      </c>
      <c r="P3778" s="1138">
        <v>65071</v>
      </c>
      <c r="Q3778" s="1139" t="s">
        <v>51</v>
      </c>
    </row>
    <row r="3779" spans="1:17" ht="18">
      <c r="A3779" s="512">
        <f t="shared" si="51"/>
        <v>2932</v>
      </c>
      <c r="B3779" s="896" t="s">
        <v>43</v>
      </c>
      <c r="C3779" s="120" t="s">
        <v>44</v>
      </c>
      <c r="D3779" s="120" t="s">
        <v>45</v>
      </c>
      <c r="E3779" s="704" t="s">
        <v>4396</v>
      </c>
      <c r="F3779" s="56" t="s">
        <v>502</v>
      </c>
      <c r="G3779" s="705">
        <v>9867339275</v>
      </c>
      <c r="I3779" s="705">
        <v>5</v>
      </c>
      <c r="J3779" s="120" t="s">
        <v>48</v>
      </c>
      <c r="K3779" s="120" t="s">
        <v>53</v>
      </c>
      <c r="L3779" s="120"/>
      <c r="M3779" s="146" t="s">
        <v>119</v>
      </c>
      <c r="N3779" s="710">
        <v>65057</v>
      </c>
      <c r="O3779" s="710">
        <v>65057</v>
      </c>
      <c r="P3779" s="1138">
        <v>65071</v>
      </c>
      <c r="Q3779" s="1139" t="s">
        <v>51</v>
      </c>
    </row>
    <row r="3780" spans="1:17" ht="18">
      <c r="A3780" s="512">
        <f t="shared" si="51"/>
        <v>2933</v>
      </c>
      <c r="B3780" s="896" t="s">
        <v>43</v>
      </c>
      <c r="C3780" s="120" t="s">
        <v>44</v>
      </c>
      <c r="D3780" s="120" t="s">
        <v>45</v>
      </c>
      <c r="E3780" s="120" t="s">
        <v>4397</v>
      </c>
      <c r="F3780" s="56" t="s">
        <v>1008</v>
      </c>
      <c r="G3780" s="150">
        <v>9805126208</v>
      </c>
      <c r="I3780" s="150">
        <v>22</v>
      </c>
      <c r="J3780" s="120" t="s">
        <v>48</v>
      </c>
      <c r="K3780" s="120" t="s">
        <v>1468</v>
      </c>
      <c r="L3780" s="120"/>
      <c r="M3780" s="146" t="s">
        <v>119</v>
      </c>
      <c r="N3780" s="710">
        <v>65058</v>
      </c>
      <c r="O3780" s="710">
        <v>65058</v>
      </c>
      <c r="P3780" s="459">
        <v>65072</v>
      </c>
      <c r="Q3780" s="432" t="s">
        <v>51</v>
      </c>
    </row>
    <row r="3781" spans="1:17" ht="18">
      <c r="A3781" s="512">
        <f t="shared" si="51"/>
        <v>2934</v>
      </c>
      <c r="B3781" s="896" t="s">
        <v>43</v>
      </c>
      <c r="C3781" s="120" t="s">
        <v>44</v>
      </c>
      <c r="D3781" s="120" t="s">
        <v>45</v>
      </c>
      <c r="E3781" s="120" t="s">
        <v>4403</v>
      </c>
      <c r="F3781" s="56" t="s">
        <v>529</v>
      </c>
      <c r="G3781" s="150">
        <v>9849159068</v>
      </c>
      <c r="I3781" s="150">
        <v>29</v>
      </c>
      <c r="J3781" s="120" t="s">
        <v>48</v>
      </c>
      <c r="K3781" s="120" t="s">
        <v>1480</v>
      </c>
      <c r="L3781" s="120"/>
      <c r="M3781" s="146" t="s">
        <v>119</v>
      </c>
      <c r="N3781" s="710">
        <v>65058</v>
      </c>
      <c r="O3781" s="710">
        <v>65058</v>
      </c>
      <c r="P3781" s="459">
        <v>65072</v>
      </c>
      <c r="Q3781" s="432" t="s">
        <v>51</v>
      </c>
    </row>
    <row r="3782" spans="1:17" ht="18">
      <c r="A3782" s="512">
        <f t="shared" si="51"/>
        <v>2935</v>
      </c>
      <c r="B3782" s="896" t="s">
        <v>43</v>
      </c>
      <c r="C3782" s="120" t="s">
        <v>44</v>
      </c>
      <c r="D3782" s="120" t="s">
        <v>45</v>
      </c>
      <c r="E3782" s="120" t="s">
        <v>3401</v>
      </c>
      <c r="F3782" s="56" t="s">
        <v>491</v>
      </c>
      <c r="G3782" s="150">
        <v>9847822937</v>
      </c>
      <c r="I3782" s="150">
        <v>29</v>
      </c>
      <c r="J3782" s="120" t="s">
        <v>90</v>
      </c>
      <c r="K3782" s="120" t="s">
        <v>1468</v>
      </c>
      <c r="L3782" s="120"/>
      <c r="M3782" s="146" t="s">
        <v>119</v>
      </c>
      <c r="N3782" s="710">
        <v>65058</v>
      </c>
      <c r="O3782" s="710">
        <v>65058</v>
      </c>
      <c r="P3782" s="459">
        <v>65072</v>
      </c>
      <c r="Q3782" s="432" t="s">
        <v>51</v>
      </c>
    </row>
    <row r="3783" spans="1:17" ht="18">
      <c r="A3783" s="512">
        <f t="shared" si="51"/>
        <v>2936</v>
      </c>
      <c r="B3783" s="896" t="s">
        <v>43</v>
      </c>
      <c r="C3783" s="120" t="s">
        <v>44</v>
      </c>
      <c r="D3783" s="120" t="s">
        <v>45</v>
      </c>
      <c r="E3783" s="120" t="s">
        <v>4398</v>
      </c>
      <c r="F3783" s="56" t="s">
        <v>557</v>
      </c>
      <c r="G3783" s="150">
        <v>9806203743</v>
      </c>
      <c r="I3783" s="150">
        <v>56</v>
      </c>
      <c r="J3783" s="120" t="s">
        <v>48</v>
      </c>
      <c r="K3783" s="120" t="s">
        <v>1468</v>
      </c>
      <c r="L3783" s="120"/>
      <c r="M3783" s="146" t="s">
        <v>119</v>
      </c>
      <c r="N3783" s="710">
        <v>65058</v>
      </c>
      <c r="O3783" s="710">
        <v>65058</v>
      </c>
      <c r="P3783" s="459">
        <v>65072</v>
      </c>
      <c r="Q3783" s="432" t="s">
        <v>51</v>
      </c>
    </row>
    <row r="3784" spans="1:17" ht="18">
      <c r="A3784" s="512">
        <f t="shared" si="51"/>
        <v>2937</v>
      </c>
      <c r="B3784" s="896" t="s">
        <v>43</v>
      </c>
      <c r="C3784" s="120" t="s">
        <v>44</v>
      </c>
      <c r="D3784" s="120" t="s">
        <v>45</v>
      </c>
      <c r="E3784" s="120" t="s">
        <v>4399</v>
      </c>
      <c r="F3784" s="56" t="s">
        <v>1204</v>
      </c>
      <c r="G3784" s="150">
        <v>9823092652</v>
      </c>
      <c r="I3784" s="150">
        <v>52</v>
      </c>
      <c r="J3784" s="120" t="s">
        <v>48</v>
      </c>
      <c r="K3784" s="120" t="s">
        <v>1468</v>
      </c>
      <c r="L3784" s="120"/>
      <c r="M3784" s="146" t="s">
        <v>119</v>
      </c>
      <c r="N3784" s="710">
        <v>65058</v>
      </c>
      <c r="O3784" s="710">
        <v>65058</v>
      </c>
      <c r="P3784" s="459">
        <v>65072</v>
      </c>
      <c r="Q3784" s="432" t="s">
        <v>51</v>
      </c>
    </row>
    <row r="3785" spans="1:17" ht="18">
      <c r="A3785" s="512">
        <f t="shared" si="51"/>
        <v>2938</v>
      </c>
      <c r="B3785" s="896" t="s">
        <v>43</v>
      </c>
      <c r="C3785" s="120" t="s">
        <v>44</v>
      </c>
      <c r="D3785" s="120" t="s">
        <v>45</v>
      </c>
      <c r="E3785" s="120" t="s">
        <v>4404</v>
      </c>
      <c r="F3785" s="56" t="s">
        <v>1009</v>
      </c>
      <c r="G3785" s="150">
        <v>9809728546</v>
      </c>
      <c r="I3785" s="150">
        <v>51</v>
      </c>
      <c r="J3785" s="120" t="s">
        <v>48</v>
      </c>
      <c r="K3785" s="120" t="s">
        <v>1480</v>
      </c>
      <c r="L3785" s="120"/>
      <c r="M3785" s="146" t="s">
        <v>119</v>
      </c>
      <c r="N3785" s="710">
        <v>65058</v>
      </c>
      <c r="O3785" s="710">
        <v>65058</v>
      </c>
      <c r="P3785" s="459">
        <v>65072</v>
      </c>
      <c r="Q3785" s="432" t="s">
        <v>51</v>
      </c>
    </row>
    <row r="3786" spans="1:17" s="981" customFormat="1" ht="18">
      <c r="A3786" s="512">
        <f t="shared" si="51"/>
        <v>2939</v>
      </c>
      <c r="B3786" s="896" t="s">
        <v>43</v>
      </c>
      <c r="C3786" s="120" t="s">
        <v>44</v>
      </c>
      <c r="D3786" s="120" t="s">
        <v>45</v>
      </c>
      <c r="E3786" s="120" t="s">
        <v>2680</v>
      </c>
      <c r="F3786" s="56" t="s">
        <v>441</v>
      </c>
      <c r="G3786" s="150">
        <v>9868570445</v>
      </c>
      <c r="H3786" s="432"/>
      <c r="I3786" s="150">
        <v>25</v>
      </c>
      <c r="J3786" s="120" t="s">
        <v>90</v>
      </c>
      <c r="K3786" s="120" t="s">
        <v>1468</v>
      </c>
      <c r="L3786" s="120"/>
      <c r="M3786" s="146" t="s">
        <v>119</v>
      </c>
      <c r="N3786" s="710">
        <v>65058</v>
      </c>
      <c r="O3786" s="710">
        <v>65058</v>
      </c>
      <c r="P3786" s="459">
        <v>65072</v>
      </c>
      <c r="Q3786" s="432" t="s">
        <v>51</v>
      </c>
    </row>
    <row r="3787" spans="1:17" ht="18">
      <c r="A3787" s="512">
        <f t="shared" si="51"/>
        <v>2940</v>
      </c>
      <c r="B3787" s="896" t="s">
        <v>43</v>
      </c>
      <c r="C3787" s="120" t="s">
        <v>44</v>
      </c>
      <c r="D3787" s="120" t="s">
        <v>45</v>
      </c>
      <c r="E3787" s="120" t="s">
        <v>4400</v>
      </c>
      <c r="F3787" s="56" t="s">
        <v>636</v>
      </c>
      <c r="G3787" s="150">
        <v>9816558452</v>
      </c>
      <c r="I3787" s="150">
        <v>54</v>
      </c>
      <c r="J3787" s="120" t="s">
        <v>90</v>
      </c>
      <c r="K3787" s="120" t="s">
        <v>1468</v>
      </c>
      <c r="L3787" s="120"/>
      <c r="M3787" s="146" t="s">
        <v>119</v>
      </c>
      <c r="N3787" s="710">
        <v>65058</v>
      </c>
      <c r="O3787" s="710">
        <v>65058</v>
      </c>
      <c r="P3787" s="459">
        <v>65072</v>
      </c>
      <c r="Q3787" s="432" t="s">
        <v>51</v>
      </c>
    </row>
    <row r="3788" spans="1:17" ht="18">
      <c r="A3788" s="512">
        <f t="shared" si="51"/>
        <v>2941</v>
      </c>
      <c r="B3788" s="896" t="s">
        <v>43</v>
      </c>
      <c r="C3788" s="120" t="s">
        <v>44</v>
      </c>
      <c r="D3788" s="120" t="s">
        <v>45</v>
      </c>
      <c r="E3788" s="120" t="s">
        <v>4406</v>
      </c>
      <c r="F3788" s="56" t="s">
        <v>1046</v>
      </c>
      <c r="G3788" s="150">
        <v>9847876019</v>
      </c>
      <c r="I3788" s="150">
        <v>50</v>
      </c>
      <c r="J3788" s="120" t="s">
        <v>90</v>
      </c>
      <c r="K3788" s="120" t="s">
        <v>1480</v>
      </c>
      <c r="L3788" s="120"/>
      <c r="M3788" s="146" t="s">
        <v>119</v>
      </c>
      <c r="N3788" s="710">
        <v>65058</v>
      </c>
      <c r="O3788" s="710">
        <v>65058</v>
      </c>
      <c r="P3788" s="459">
        <v>65072</v>
      </c>
      <c r="Q3788" s="432" t="s">
        <v>51</v>
      </c>
    </row>
    <row r="3789" spans="1:17" ht="18">
      <c r="A3789" s="512">
        <f t="shared" si="51"/>
        <v>2942</v>
      </c>
      <c r="B3789" s="262" t="s">
        <v>43</v>
      </c>
      <c r="C3789" s="1025" t="s">
        <v>44</v>
      </c>
      <c r="D3789" s="1025" t="s">
        <v>45</v>
      </c>
      <c r="E3789" s="1025" t="s">
        <v>4401</v>
      </c>
      <c r="F3789" s="277" t="s">
        <v>1046</v>
      </c>
      <c r="G3789" s="1026">
        <v>9864850048</v>
      </c>
      <c r="H3789" s="527"/>
      <c r="I3789" s="1026">
        <v>68</v>
      </c>
      <c r="J3789" s="1025" t="s">
        <v>90</v>
      </c>
      <c r="K3789" s="1025" t="s">
        <v>1468</v>
      </c>
      <c r="L3789" s="1025"/>
      <c r="M3789" s="1025" t="s">
        <v>54</v>
      </c>
      <c r="N3789" s="1028">
        <v>65058</v>
      </c>
      <c r="O3789" s="1028">
        <v>65058</v>
      </c>
      <c r="P3789" s="559">
        <v>65061</v>
      </c>
      <c r="Q3789" s="527" t="s">
        <v>940</v>
      </c>
    </row>
    <row r="3790" spans="1:17" ht="18">
      <c r="A3790" s="512">
        <f t="shared" si="51"/>
        <v>2943</v>
      </c>
      <c r="B3790" s="896" t="s">
        <v>43</v>
      </c>
      <c r="C3790" s="120" t="s">
        <v>44</v>
      </c>
      <c r="D3790" s="120" t="s">
        <v>45</v>
      </c>
      <c r="E3790" s="120" t="s">
        <v>2722</v>
      </c>
      <c r="F3790" s="56" t="s">
        <v>1008</v>
      </c>
      <c r="G3790" s="150">
        <v>9847836068</v>
      </c>
      <c r="I3790" s="150">
        <v>38</v>
      </c>
      <c r="J3790" s="120" t="s">
        <v>90</v>
      </c>
      <c r="K3790" s="120" t="s">
        <v>1480</v>
      </c>
      <c r="L3790" s="120"/>
      <c r="M3790" s="146" t="s">
        <v>119</v>
      </c>
      <c r="N3790" s="710">
        <v>65058</v>
      </c>
      <c r="O3790" s="710">
        <v>65058</v>
      </c>
      <c r="P3790" s="459">
        <v>65072</v>
      </c>
      <c r="Q3790" s="432" t="s">
        <v>51</v>
      </c>
    </row>
    <row r="3791" spans="1:17" s="981" customFormat="1" ht="18">
      <c r="A3791" s="512">
        <f t="shared" si="51"/>
        <v>2944</v>
      </c>
      <c r="B3791" s="896" t="s">
        <v>43</v>
      </c>
      <c r="C3791" s="120" t="s">
        <v>44</v>
      </c>
      <c r="D3791" s="120" t="s">
        <v>45</v>
      </c>
      <c r="E3791" s="120" t="s">
        <v>1917</v>
      </c>
      <c r="F3791" s="56" t="s">
        <v>617</v>
      </c>
      <c r="G3791" s="150">
        <v>9809570910</v>
      </c>
      <c r="H3791" s="432"/>
      <c r="I3791" s="150">
        <v>44</v>
      </c>
      <c r="J3791" s="120" t="s">
        <v>90</v>
      </c>
      <c r="K3791" s="120" t="s">
        <v>1468</v>
      </c>
      <c r="L3791" s="120"/>
      <c r="M3791" s="146" t="s">
        <v>119</v>
      </c>
      <c r="N3791" s="710">
        <v>65058</v>
      </c>
      <c r="O3791" s="710">
        <v>65058</v>
      </c>
      <c r="P3791" s="459">
        <v>65072</v>
      </c>
      <c r="Q3791" s="432" t="s">
        <v>51</v>
      </c>
    </row>
    <row r="3792" spans="1:17" ht="18">
      <c r="A3792" s="512">
        <f t="shared" si="51"/>
        <v>2945</v>
      </c>
      <c r="B3792" s="896" t="s">
        <v>43</v>
      </c>
      <c r="C3792" s="120" t="s">
        <v>44</v>
      </c>
      <c r="D3792" s="120" t="s">
        <v>45</v>
      </c>
      <c r="E3792" s="120" t="s">
        <v>4407</v>
      </c>
      <c r="F3792" s="56" t="s">
        <v>1008</v>
      </c>
      <c r="G3792" s="150">
        <v>9847836068</v>
      </c>
      <c r="I3792" s="150">
        <v>18</v>
      </c>
      <c r="J3792" s="120" t="s">
        <v>90</v>
      </c>
      <c r="K3792" s="120" t="s">
        <v>1480</v>
      </c>
      <c r="L3792" s="120"/>
      <c r="M3792" s="146" t="s">
        <v>119</v>
      </c>
      <c r="N3792" s="710">
        <v>65058</v>
      </c>
      <c r="O3792" s="710">
        <v>65058</v>
      </c>
      <c r="P3792" s="459">
        <v>65072</v>
      </c>
      <c r="Q3792" s="432" t="s">
        <v>51</v>
      </c>
    </row>
    <row r="3793" spans="1:17" s="1128" customFormat="1" ht="18">
      <c r="A3793" s="512">
        <f t="shared" si="51"/>
        <v>2946</v>
      </c>
      <c r="B3793" s="1129" t="s">
        <v>43</v>
      </c>
      <c r="C3793" s="253" t="s">
        <v>44</v>
      </c>
      <c r="D3793" s="253" t="s">
        <v>45</v>
      </c>
      <c r="E3793" s="253" t="s">
        <v>4402</v>
      </c>
      <c r="F3793" s="1111" t="s">
        <v>1204</v>
      </c>
      <c r="G3793" s="251">
        <v>9840671897</v>
      </c>
      <c r="H3793" s="1116"/>
      <c r="I3793" s="251">
        <v>73</v>
      </c>
      <c r="J3793" s="253" t="s">
        <v>48</v>
      </c>
      <c r="K3793" s="253" t="s">
        <v>1468</v>
      </c>
      <c r="L3793" s="253"/>
      <c r="M3793" s="253" t="s">
        <v>54</v>
      </c>
      <c r="N3793" s="1115">
        <v>65058</v>
      </c>
      <c r="O3793" s="1115">
        <v>65058</v>
      </c>
      <c r="P3793" s="1126">
        <v>65070</v>
      </c>
      <c r="Q3793" s="1116" t="s">
        <v>51</v>
      </c>
    </row>
    <row r="3794" spans="1:17" ht="18">
      <c r="A3794" s="512">
        <f t="shared" ref="A3794:A3857" si="52">A3793+1</f>
        <v>2947</v>
      </c>
      <c r="B3794" s="896" t="s">
        <v>43</v>
      </c>
      <c r="C3794" s="120" t="s">
        <v>44</v>
      </c>
      <c r="D3794" s="120" t="s">
        <v>45</v>
      </c>
      <c r="E3794" s="120" t="s">
        <v>3889</v>
      </c>
      <c r="F3794" s="56" t="s">
        <v>730</v>
      </c>
      <c r="G3794" s="150">
        <v>9829570363</v>
      </c>
      <c r="I3794" s="150">
        <v>22</v>
      </c>
      <c r="J3794" s="120" t="s">
        <v>48</v>
      </c>
      <c r="K3794" s="120" t="s">
        <v>1468</v>
      </c>
      <c r="L3794" s="120"/>
      <c r="M3794" s="146" t="s">
        <v>119</v>
      </c>
      <c r="N3794" s="710">
        <v>65058</v>
      </c>
      <c r="O3794" s="710">
        <v>65058</v>
      </c>
      <c r="P3794" s="459">
        <v>65072</v>
      </c>
      <c r="Q3794" s="432" t="s">
        <v>51</v>
      </c>
    </row>
    <row r="3795" spans="1:17" ht="18">
      <c r="A3795" s="512">
        <f t="shared" si="52"/>
        <v>2948</v>
      </c>
      <c r="B3795" s="896" t="s">
        <v>43</v>
      </c>
      <c r="C3795" s="120" t="s">
        <v>44</v>
      </c>
      <c r="D3795" s="120" t="s">
        <v>45</v>
      </c>
      <c r="E3795" s="120" t="s">
        <v>4410</v>
      </c>
      <c r="F3795" s="56" t="s">
        <v>441</v>
      </c>
      <c r="G3795" s="150">
        <v>9845016995</v>
      </c>
      <c r="I3795" s="150">
        <v>35</v>
      </c>
      <c r="J3795" s="120" t="s">
        <v>90</v>
      </c>
      <c r="K3795" s="120" t="s">
        <v>1468</v>
      </c>
      <c r="L3795" s="120"/>
      <c r="M3795" s="146" t="s">
        <v>119</v>
      </c>
      <c r="N3795" s="710">
        <v>65058</v>
      </c>
      <c r="O3795" s="710">
        <v>65058</v>
      </c>
      <c r="P3795" s="459">
        <v>65072</v>
      </c>
      <c r="Q3795" s="432" t="s">
        <v>51</v>
      </c>
    </row>
    <row r="3796" spans="1:17" ht="18">
      <c r="A3796" s="512">
        <f t="shared" si="52"/>
        <v>2949</v>
      </c>
      <c r="B3796" s="896" t="s">
        <v>43</v>
      </c>
      <c r="C3796" s="120" t="s">
        <v>44</v>
      </c>
      <c r="D3796" s="120" t="s">
        <v>45</v>
      </c>
      <c r="E3796" s="704" t="s">
        <v>1275</v>
      </c>
      <c r="F3796" s="56" t="s">
        <v>730</v>
      </c>
      <c r="G3796" s="705">
        <v>9844938585</v>
      </c>
      <c r="I3796" s="705">
        <v>55</v>
      </c>
      <c r="J3796" s="704" t="s">
        <v>90</v>
      </c>
      <c r="K3796" s="120" t="s">
        <v>53</v>
      </c>
      <c r="L3796" s="120"/>
      <c r="M3796" s="146" t="s">
        <v>119</v>
      </c>
      <c r="N3796" s="710">
        <v>65058</v>
      </c>
      <c r="O3796" s="710">
        <v>65058</v>
      </c>
      <c r="P3796" s="459">
        <v>65072</v>
      </c>
      <c r="Q3796" s="432" t="s">
        <v>51</v>
      </c>
    </row>
    <row r="3797" spans="1:17" ht="18">
      <c r="A3797" s="512">
        <f t="shared" si="52"/>
        <v>2950</v>
      </c>
      <c r="B3797" s="896" t="s">
        <v>43</v>
      </c>
      <c r="C3797" s="120" t="s">
        <v>44</v>
      </c>
      <c r="D3797" s="120" t="s">
        <v>45</v>
      </c>
      <c r="E3797" s="120" t="s">
        <v>4411</v>
      </c>
      <c r="F3797" s="56" t="s">
        <v>488</v>
      </c>
      <c r="G3797" s="150">
        <v>9864395035</v>
      </c>
      <c r="I3797" s="150">
        <v>30</v>
      </c>
      <c r="J3797" s="120" t="s">
        <v>90</v>
      </c>
      <c r="K3797" s="120" t="s">
        <v>1468</v>
      </c>
      <c r="L3797" s="120"/>
      <c r="M3797" s="146" t="s">
        <v>119</v>
      </c>
      <c r="N3797" s="710">
        <v>65058</v>
      </c>
      <c r="O3797" s="710">
        <v>65058</v>
      </c>
      <c r="P3797" s="459">
        <v>65072</v>
      </c>
      <c r="Q3797" s="432" t="s">
        <v>51</v>
      </c>
    </row>
    <row r="3798" spans="1:17" ht="18">
      <c r="A3798" s="512">
        <f t="shared" si="52"/>
        <v>2951</v>
      </c>
      <c r="B3798" s="896" t="s">
        <v>43</v>
      </c>
      <c r="C3798" s="120" t="s">
        <v>44</v>
      </c>
      <c r="D3798" s="120" t="s">
        <v>45</v>
      </c>
      <c r="E3798" s="120" t="s">
        <v>4405</v>
      </c>
      <c r="F3798" s="56" t="s">
        <v>124</v>
      </c>
      <c r="G3798" s="150">
        <v>9857822337</v>
      </c>
      <c r="I3798" s="150">
        <v>47</v>
      </c>
      <c r="J3798" s="120" t="s">
        <v>48</v>
      </c>
      <c r="K3798" s="120" t="s">
        <v>1480</v>
      </c>
      <c r="L3798" s="120"/>
      <c r="M3798" s="146" t="s">
        <v>119</v>
      </c>
      <c r="N3798" s="710">
        <v>65058</v>
      </c>
      <c r="O3798" s="710">
        <v>65058</v>
      </c>
      <c r="P3798" s="459">
        <v>65072</v>
      </c>
      <c r="Q3798" s="432" t="s">
        <v>51</v>
      </c>
    </row>
    <row r="3799" spans="1:17" ht="18">
      <c r="A3799" s="512">
        <f t="shared" si="52"/>
        <v>2952</v>
      </c>
      <c r="B3799" s="896" t="s">
        <v>43</v>
      </c>
      <c r="C3799" s="120" t="s">
        <v>44</v>
      </c>
      <c r="D3799" s="120" t="s">
        <v>45</v>
      </c>
      <c r="E3799" s="120" t="s">
        <v>4412</v>
      </c>
      <c r="F3799" s="56" t="s">
        <v>502</v>
      </c>
      <c r="G3799" s="150">
        <v>9847941354</v>
      </c>
      <c r="I3799" s="150">
        <v>46</v>
      </c>
      <c r="J3799" s="120" t="s">
        <v>48</v>
      </c>
      <c r="K3799" s="120" t="s">
        <v>1468</v>
      </c>
      <c r="L3799" s="120"/>
      <c r="M3799" s="146" t="s">
        <v>119</v>
      </c>
      <c r="N3799" s="710">
        <v>65058</v>
      </c>
      <c r="O3799" s="710">
        <v>65058</v>
      </c>
      <c r="P3799" s="459">
        <v>65072</v>
      </c>
      <c r="Q3799" s="432" t="s">
        <v>51</v>
      </c>
    </row>
    <row r="3800" spans="1:17" ht="18">
      <c r="A3800" s="512">
        <f t="shared" si="52"/>
        <v>2953</v>
      </c>
      <c r="B3800" s="1024" t="s">
        <v>43</v>
      </c>
      <c r="C3800" s="155" t="s">
        <v>44</v>
      </c>
      <c r="D3800" s="155" t="s">
        <v>45</v>
      </c>
      <c r="E3800" s="155" t="s">
        <v>4408</v>
      </c>
      <c r="F3800" s="69" t="s">
        <v>488</v>
      </c>
      <c r="G3800" s="248">
        <v>9843735062</v>
      </c>
      <c r="H3800" s="422"/>
      <c r="I3800" s="248">
        <v>22</v>
      </c>
      <c r="J3800" s="155" t="s">
        <v>90</v>
      </c>
      <c r="K3800" s="155" t="s">
        <v>1480</v>
      </c>
      <c r="L3800" s="155"/>
      <c r="M3800" s="155" t="s">
        <v>119</v>
      </c>
      <c r="N3800" s="282">
        <v>65058</v>
      </c>
      <c r="O3800" s="282">
        <v>65058</v>
      </c>
      <c r="P3800" s="476">
        <v>65060</v>
      </c>
      <c r="Q3800" s="422" t="s">
        <v>940</v>
      </c>
    </row>
    <row r="3801" spans="1:17" ht="18">
      <c r="A3801" s="512">
        <f t="shared" si="52"/>
        <v>2954</v>
      </c>
      <c r="B3801" s="938" t="s">
        <v>43</v>
      </c>
      <c r="C3801" s="932" t="s">
        <v>44</v>
      </c>
      <c r="D3801" s="932" t="s">
        <v>45</v>
      </c>
      <c r="E3801" s="932" t="s">
        <v>4409</v>
      </c>
      <c r="F3801" s="939" t="s">
        <v>617</v>
      </c>
      <c r="G3801" s="709">
        <v>9829556463</v>
      </c>
      <c r="H3801" s="892"/>
      <c r="I3801" s="709">
        <v>70</v>
      </c>
      <c r="J3801" s="932" t="s">
        <v>90</v>
      </c>
      <c r="K3801" s="932" t="s">
        <v>1706</v>
      </c>
      <c r="L3801" s="932"/>
      <c r="M3801" s="933" t="s">
        <v>119</v>
      </c>
      <c r="N3801" s="934">
        <v>65058</v>
      </c>
      <c r="O3801" s="934">
        <v>65058</v>
      </c>
      <c r="P3801" s="459">
        <v>65072</v>
      </c>
      <c r="Q3801" s="432" t="s">
        <v>51</v>
      </c>
    </row>
    <row r="3802" spans="1:17" ht="18">
      <c r="A3802" s="512">
        <f t="shared" si="52"/>
        <v>2955</v>
      </c>
      <c r="B3802" s="942" t="s">
        <v>43</v>
      </c>
      <c r="C3802" s="943" t="s">
        <v>44</v>
      </c>
      <c r="D3802" s="943" t="s">
        <v>45</v>
      </c>
      <c r="E3802" s="943" t="s">
        <v>4416</v>
      </c>
      <c r="F3802" s="943" t="s">
        <v>124</v>
      </c>
      <c r="G3802" s="300"/>
      <c r="H3802" s="509"/>
      <c r="I3802" s="300">
        <v>32</v>
      </c>
      <c r="J3802" s="943" t="s">
        <v>90</v>
      </c>
      <c r="K3802" s="943" t="s">
        <v>1468</v>
      </c>
      <c r="L3802" s="943"/>
      <c r="M3802" s="944" t="s">
        <v>119</v>
      </c>
      <c r="N3802" s="945">
        <v>65059</v>
      </c>
      <c r="O3802" s="945">
        <v>65059</v>
      </c>
      <c r="P3802" s="582">
        <v>65073</v>
      </c>
      <c r="Q3802" s="578" t="s">
        <v>51</v>
      </c>
    </row>
    <row r="3803" spans="1:17" ht="18">
      <c r="A3803" s="512">
        <f t="shared" si="52"/>
        <v>2956</v>
      </c>
      <c r="B3803" s="942" t="s">
        <v>43</v>
      </c>
      <c r="C3803" s="943" t="s">
        <v>44</v>
      </c>
      <c r="D3803" s="943" t="s">
        <v>45</v>
      </c>
      <c r="E3803" s="943" t="s">
        <v>4426</v>
      </c>
      <c r="F3803" s="943" t="s">
        <v>510</v>
      </c>
      <c r="G3803" s="300">
        <v>9847704768</v>
      </c>
      <c r="H3803" s="509"/>
      <c r="I3803" s="300">
        <v>62</v>
      </c>
      <c r="J3803" s="943" t="s">
        <v>48</v>
      </c>
      <c r="K3803" s="943" t="s">
        <v>1480</v>
      </c>
      <c r="L3803" s="943"/>
      <c r="M3803" s="944" t="s">
        <v>119</v>
      </c>
      <c r="N3803" s="945">
        <v>65059</v>
      </c>
      <c r="O3803" s="945">
        <v>65059</v>
      </c>
      <c r="P3803" s="582">
        <v>65073</v>
      </c>
      <c r="Q3803" s="578" t="s">
        <v>51</v>
      </c>
    </row>
    <row r="3804" spans="1:17" ht="18">
      <c r="A3804" s="512">
        <f t="shared" si="52"/>
        <v>2957</v>
      </c>
      <c r="B3804" s="942" t="s">
        <v>43</v>
      </c>
      <c r="C3804" s="943" t="s">
        <v>44</v>
      </c>
      <c r="D3804" s="943" t="s">
        <v>45</v>
      </c>
      <c r="E3804" s="943" t="s">
        <v>2880</v>
      </c>
      <c r="F3804" s="943" t="s">
        <v>510</v>
      </c>
      <c r="G3804" s="300"/>
      <c r="H3804" s="509"/>
      <c r="I3804" s="300">
        <v>30</v>
      </c>
      <c r="J3804" s="943" t="s">
        <v>48</v>
      </c>
      <c r="K3804" s="943" t="s">
        <v>1468</v>
      </c>
      <c r="L3804" s="943"/>
      <c r="M3804" s="944" t="s">
        <v>119</v>
      </c>
      <c r="N3804" s="945">
        <v>65059</v>
      </c>
      <c r="O3804" s="945">
        <v>65059</v>
      </c>
      <c r="P3804" s="582">
        <v>65073</v>
      </c>
      <c r="Q3804" s="578" t="s">
        <v>51</v>
      </c>
    </row>
    <row r="3805" spans="1:17" ht="18">
      <c r="A3805" s="512">
        <f t="shared" si="52"/>
        <v>2958</v>
      </c>
      <c r="B3805" s="942" t="s">
        <v>43</v>
      </c>
      <c r="C3805" s="943" t="s">
        <v>44</v>
      </c>
      <c r="D3805" s="943" t="s">
        <v>45</v>
      </c>
      <c r="E3805" s="943" t="s">
        <v>4417</v>
      </c>
      <c r="F3805" s="943" t="s">
        <v>730</v>
      </c>
      <c r="G3805" s="300">
        <v>9847825576</v>
      </c>
      <c r="H3805" s="509"/>
      <c r="I3805" s="300">
        <v>35</v>
      </c>
      <c r="J3805" s="943" t="s">
        <v>90</v>
      </c>
      <c r="K3805" s="943" t="s">
        <v>53</v>
      </c>
      <c r="L3805" s="943"/>
      <c r="M3805" s="944" t="s">
        <v>119</v>
      </c>
      <c r="N3805" s="945">
        <v>65059</v>
      </c>
      <c r="O3805" s="945">
        <v>65059</v>
      </c>
      <c r="P3805" s="582">
        <v>65073</v>
      </c>
      <c r="Q3805" s="578" t="s">
        <v>51</v>
      </c>
    </row>
    <row r="3806" spans="1:17" ht="18">
      <c r="A3806" s="512">
        <f t="shared" si="52"/>
        <v>2959</v>
      </c>
      <c r="B3806" s="942" t="s">
        <v>43</v>
      </c>
      <c r="C3806" s="943" t="s">
        <v>44</v>
      </c>
      <c r="D3806" s="943" t="s">
        <v>45</v>
      </c>
      <c r="E3806" s="943" t="s">
        <v>4418</v>
      </c>
      <c r="F3806" s="943" t="s">
        <v>730</v>
      </c>
      <c r="G3806" s="300">
        <v>9857844711</v>
      </c>
      <c r="H3806" s="509"/>
      <c r="I3806" s="300">
        <v>46</v>
      </c>
      <c r="J3806" s="943" t="s">
        <v>48</v>
      </c>
      <c r="K3806" s="943" t="s">
        <v>53</v>
      </c>
      <c r="L3806" s="943"/>
      <c r="M3806" s="944" t="s">
        <v>119</v>
      </c>
      <c r="N3806" s="945">
        <v>65059</v>
      </c>
      <c r="O3806" s="945">
        <v>65059</v>
      </c>
      <c r="P3806" s="582">
        <v>65073</v>
      </c>
      <c r="Q3806" s="578" t="s">
        <v>51</v>
      </c>
    </row>
    <row r="3807" spans="1:17" ht="18">
      <c r="A3807" s="512">
        <f t="shared" si="52"/>
        <v>2960</v>
      </c>
      <c r="B3807" s="942" t="s">
        <v>43</v>
      </c>
      <c r="C3807" s="943" t="s">
        <v>44</v>
      </c>
      <c r="D3807" s="943" t="s">
        <v>45</v>
      </c>
      <c r="E3807" s="943" t="s">
        <v>4419</v>
      </c>
      <c r="F3807" s="943" t="s">
        <v>529</v>
      </c>
      <c r="G3807" s="300">
        <v>9857824470</v>
      </c>
      <c r="H3807" s="509"/>
      <c r="I3807" s="300">
        <v>31</v>
      </c>
      <c r="J3807" s="943" t="s">
        <v>90</v>
      </c>
      <c r="K3807" s="943" t="s">
        <v>53</v>
      </c>
      <c r="L3807" s="943"/>
      <c r="M3807" s="944" t="s">
        <v>119</v>
      </c>
      <c r="N3807" s="945">
        <v>65059</v>
      </c>
      <c r="O3807" s="945">
        <v>65059</v>
      </c>
      <c r="P3807" s="582">
        <v>65073</v>
      </c>
      <c r="Q3807" s="578" t="s">
        <v>51</v>
      </c>
    </row>
    <row r="3808" spans="1:17" ht="18">
      <c r="A3808" s="512">
        <f t="shared" si="52"/>
        <v>2961</v>
      </c>
      <c r="B3808" s="942" t="s">
        <v>43</v>
      </c>
      <c r="C3808" s="943" t="s">
        <v>44</v>
      </c>
      <c r="D3808" s="943" t="s">
        <v>45</v>
      </c>
      <c r="E3808" s="943" t="s">
        <v>4431</v>
      </c>
      <c r="F3808" s="943" t="s">
        <v>1008</v>
      </c>
      <c r="G3808" s="300">
        <v>9866828940</v>
      </c>
      <c r="H3808" s="509"/>
      <c r="I3808" s="300">
        <v>38</v>
      </c>
      <c r="J3808" s="943" t="s">
        <v>90</v>
      </c>
      <c r="K3808" s="943" t="s">
        <v>1480</v>
      </c>
      <c r="L3808" s="943"/>
      <c r="M3808" s="944" t="s">
        <v>119</v>
      </c>
      <c r="N3808" s="945">
        <v>65059</v>
      </c>
      <c r="O3808" s="945">
        <v>65059</v>
      </c>
      <c r="P3808" s="582">
        <v>65073</v>
      </c>
      <c r="Q3808" s="578" t="s">
        <v>51</v>
      </c>
    </row>
    <row r="3809" spans="1:17" ht="18">
      <c r="A3809" s="512">
        <f t="shared" si="52"/>
        <v>2962</v>
      </c>
      <c r="B3809" s="942" t="s">
        <v>43</v>
      </c>
      <c r="C3809" s="943" t="s">
        <v>44</v>
      </c>
      <c r="D3809" s="943" t="s">
        <v>45</v>
      </c>
      <c r="E3809" s="943" t="s">
        <v>4427</v>
      </c>
      <c r="F3809" s="943" t="s">
        <v>1008</v>
      </c>
      <c r="G3809" s="300">
        <v>9866828640</v>
      </c>
      <c r="H3809" s="509"/>
      <c r="I3809" s="300">
        <v>42</v>
      </c>
      <c r="J3809" s="943" t="s">
        <v>48</v>
      </c>
      <c r="K3809" s="943" t="s">
        <v>1480</v>
      </c>
      <c r="L3809" s="943"/>
      <c r="M3809" s="944" t="s">
        <v>119</v>
      </c>
      <c r="N3809" s="945">
        <v>65059</v>
      </c>
      <c r="O3809" s="945">
        <v>65059</v>
      </c>
      <c r="P3809" s="582">
        <v>65073</v>
      </c>
      <c r="Q3809" s="578" t="s">
        <v>51</v>
      </c>
    </row>
    <row r="3810" spans="1:17" ht="18">
      <c r="A3810" s="512">
        <f t="shared" si="52"/>
        <v>2963</v>
      </c>
      <c r="B3810" s="942" t="s">
        <v>43</v>
      </c>
      <c r="C3810" s="943" t="s">
        <v>44</v>
      </c>
      <c r="D3810" s="943" t="s">
        <v>45</v>
      </c>
      <c r="E3810" s="943" t="s">
        <v>4420</v>
      </c>
      <c r="F3810" s="943" t="s">
        <v>124</v>
      </c>
      <c r="G3810" s="300"/>
      <c r="H3810" s="509"/>
      <c r="I3810" s="300">
        <v>68</v>
      </c>
      <c r="J3810" s="943" t="s">
        <v>90</v>
      </c>
      <c r="K3810" s="943" t="s">
        <v>1468</v>
      </c>
      <c r="L3810" s="943"/>
      <c r="M3810" s="944" t="s">
        <v>119</v>
      </c>
      <c r="N3810" s="945">
        <v>65059</v>
      </c>
      <c r="O3810" s="945">
        <v>65059</v>
      </c>
      <c r="P3810" s="582">
        <v>65073</v>
      </c>
      <c r="Q3810" s="578" t="s">
        <v>51</v>
      </c>
    </row>
    <row r="3811" spans="1:17" ht="18">
      <c r="A3811" s="512">
        <f t="shared" si="52"/>
        <v>2964</v>
      </c>
      <c r="B3811" s="942" t="s">
        <v>43</v>
      </c>
      <c r="C3811" s="943" t="s">
        <v>44</v>
      </c>
      <c r="D3811" s="943" t="s">
        <v>45</v>
      </c>
      <c r="E3811" s="943" t="s">
        <v>4421</v>
      </c>
      <c r="F3811" s="943" t="s">
        <v>1008</v>
      </c>
      <c r="G3811" s="300"/>
      <c r="H3811" s="509"/>
      <c r="I3811" s="300">
        <v>52</v>
      </c>
      <c r="J3811" s="943" t="s">
        <v>90</v>
      </c>
      <c r="K3811" s="943" t="s">
        <v>1468</v>
      </c>
      <c r="L3811" s="943"/>
      <c r="M3811" s="944" t="s">
        <v>119</v>
      </c>
      <c r="N3811" s="945">
        <v>65059</v>
      </c>
      <c r="O3811" s="945">
        <v>65059</v>
      </c>
      <c r="P3811" s="582">
        <v>65073</v>
      </c>
      <c r="Q3811" s="578" t="s">
        <v>51</v>
      </c>
    </row>
    <row r="3812" spans="1:17" ht="18">
      <c r="A3812" s="512">
        <f t="shared" si="52"/>
        <v>2965</v>
      </c>
      <c r="B3812" s="942" t="s">
        <v>43</v>
      </c>
      <c r="C3812" s="943" t="s">
        <v>44</v>
      </c>
      <c r="D3812" s="943" t="s">
        <v>45</v>
      </c>
      <c r="E3812" s="943" t="s">
        <v>4432</v>
      </c>
      <c r="F3812" s="943" t="s">
        <v>502</v>
      </c>
      <c r="G3812" s="300">
        <v>9857826386</v>
      </c>
      <c r="H3812" s="509"/>
      <c r="I3812" s="300">
        <v>29</v>
      </c>
      <c r="J3812" s="943" t="s">
        <v>90</v>
      </c>
      <c r="K3812" s="943" t="s">
        <v>1480</v>
      </c>
      <c r="L3812" s="943"/>
      <c r="M3812" s="944" t="s">
        <v>119</v>
      </c>
      <c r="N3812" s="945">
        <v>65059</v>
      </c>
      <c r="O3812" s="945">
        <v>65059</v>
      </c>
      <c r="P3812" s="582">
        <v>65073</v>
      </c>
      <c r="Q3812" s="578" t="s">
        <v>51</v>
      </c>
    </row>
    <row r="3813" spans="1:17" ht="18">
      <c r="A3813" s="512">
        <f t="shared" si="52"/>
        <v>2966</v>
      </c>
      <c r="B3813" s="942" t="s">
        <v>43</v>
      </c>
      <c r="C3813" s="943" t="s">
        <v>44</v>
      </c>
      <c r="D3813" s="943" t="s">
        <v>45</v>
      </c>
      <c r="E3813" s="943" t="s">
        <v>1917</v>
      </c>
      <c r="F3813" s="943" t="s">
        <v>491</v>
      </c>
      <c r="G3813" s="300"/>
      <c r="H3813" s="509"/>
      <c r="I3813" s="300">
        <v>46</v>
      </c>
      <c r="J3813" s="943" t="s">
        <v>90</v>
      </c>
      <c r="K3813" s="943" t="s">
        <v>1468</v>
      </c>
      <c r="L3813" s="943"/>
      <c r="M3813" s="944" t="s">
        <v>119</v>
      </c>
      <c r="N3813" s="945">
        <v>65059</v>
      </c>
      <c r="O3813" s="945">
        <v>65059</v>
      </c>
      <c r="P3813" s="582">
        <v>65073</v>
      </c>
      <c r="Q3813" s="578" t="s">
        <v>51</v>
      </c>
    </row>
    <row r="3814" spans="1:17" ht="18">
      <c r="A3814" s="512">
        <f t="shared" si="52"/>
        <v>2967</v>
      </c>
      <c r="B3814" s="942" t="s">
        <v>43</v>
      </c>
      <c r="C3814" s="943" t="s">
        <v>44</v>
      </c>
      <c r="D3814" s="943" t="s">
        <v>45</v>
      </c>
      <c r="E3814" s="943" t="s">
        <v>4422</v>
      </c>
      <c r="F3814" s="943" t="s">
        <v>1008</v>
      </c>
      <c r="G3814" s="300"/>
      <c r="H3814" s="509"/>
      <c r="I3814" s="300">
        <v>47</v>
      </c>
      <c r="J3814" s="943" t="s">
        <v>90</v>
      </c>
      <c r="K3814" s="943" t="s">
        <v>1468</v>
      </c>
      <c r="L3814" s="943"/>
      <c r="M3814" s="944" t="s">
        <v>119</v>
      </c>
      <c r="N3814" s="945">
        <v>65059</v>
      </c>
      <c r="O3814" s="945">
        <v>65059</v>
      </c>
      <c r="P3814" s="582">
        <v>65073</v>
      </c>
      <c r="Q3814" s="578" t="s">
        <v>51</v>
      </c>
    </row>
    <row r="3815" spans="1:17" ht="18">
      <c r="A3815" s="512">
        <f t="shared" si="52"/>
        <v>2968</v>
      </c>
      <c r="B3815" s="942" t="s">
        <v>43</v>
      </c>
      <c r="C3815" s="943" t="s">
        <v>44</v>
      </c>
      <c r="D3815" s="943" t="s">
        <v>45</v>
      </c>
      <c r="E3815" s="943" t="s">
        <v>4423</v>
      </c>
      <c r="F3815" s="943" t="s">
        <v>510</v>
      </c>
      <c r="G3815" s="300"/>
      <c r="H3815" s="509"/>
      <c r="I3815" s="300">
        <v>42</v>
      </c>
      <c r="J3815" s="943" t="s">
        <v>90</v>
      </c>
      <c r="K3815" s="943" t="s">
        <v>1468</v>
      </c>
      <c r="L3815" s="943"/>
      <c r="M3815" s="944" t="s">
        <v>119</v>
      </c>
      <c r="N3815" s="945">
        <v>65059</v>
      </c>
      <c r="O3815" s="945">
        <v>65059</v>
      </c>
      <c r="P3815" s="582">
        <v>65073</v>
      </c>
      <c r="Q3815" s="578" t="s">
        <v>51</v>
      </c>
    </row>
    <row r="3816" spans="1:17" ht="18">
      <c r="A3816" s="512">
        <f t="shared" si="52"/>
        <v>2969</v>
      </c>
      <c r="B3816" s="942" t="s">
        <v>43</v>
      </c>
      <c r="C3816" s="943" t="s">
        <v>44</v>
      </c>
      <c r="D3816" s="943" t="s">
        <v>45</v>
      </c>
      <c r="E3816" s="943" t="s">
        <v>4428</v>
      </c>
      <c r="F3816" s="943" t="s">
        <v>502</v>
      </c>
      <c r="G3816" s="300">
        <v>9866901391</v>
      </c>
      <c r="H3816" s="509"/>
      <c r="I3816" s="300">
        <v>36</v>
      </c>
      <c r="J3816" s="943" t="s">
        <v>48</v>
      </c>
      <c r="K3816" s="943" t="s">
        <v>1480</v>
      </c>
      <c r="L3816" s="943"/>
      <c r="M3816" s="944" t="s">
        <v>119</v>
      </c>
      <c r="N3816" s="945">
        <v>65059</v>
      </c>
      <c r="O3816" s="945">
        <v>65059</v>
      </c>
      <c r="P3816" s="582">
        <v>65073</v>
      </c>
      <c r="Q3816" s="578" t="s">
        <v>51</v>
      </c>
    </row>
    <row r="3817" spans="1:17" ht="18">
      <c r="A3817" s="512">
        <f t="shared" si="52"/>
        <v>2970</v>
      </c>
      <c r="B3817" s="942" t="s">
        <v>43</v>
      </c>
      <c r="C3817" s="943" t="s">
        <v>44</v>
      </c>
      <c r="D3817" s="943" t="s">
        <v>45</v>
      </c>
      <c r="E3817" s="943" t="s">
        <v>4424</v>
      </c>
      <c r="F3817" s="943" t="s">
        <v>441</v>
      </c>
      <c r="G3817" s="300"/>
      <c r="H3817" s="509"/>
      <c r="I3817" s="300">
        <v>29</v>
      </c>
      <c r="J3817" s="943" t="s">
        <v>90</v>
      </c>
      <c r="K3817" s="943" t="s">
        <v>1468</v>
      </c>
      <c r="L3817" s="943"/>
      <c r="M3817" s="944" t="s">
        <v>119</v>
      </c>
      <c r="N3817" s="945">
        <v>65059</v>
      </c>
      <c r="O3817" s="945">
        <v>65059</v>
      </c>
      <c r="P3817" s="582">
        <v>65073</v>
      </c>
      <c r="Q3817" s="578" t="s">
        <v>51</v>
      </c>
    </row>
    <row r="3818" spans="1:17" ht="18">
      <c r="A3818" s="512">
        <f t="shared" si="52"/>
        <v>2971</v>
      </c>
      <c r="B3818" s="942" t="s">
        <v>43</v>
      </c>
      <c r="C3818" s="943" t="s">
        <v>44</v>
      </c>
      <c r="D3818" s="943" t="s">
        <v>45</v>
      </c>
      <c r="E3818" s="943" t="s">
        <v>4425</v>
      </c>
      <c r="F3818" s="943" t="s">
        <v>529</v>
      </c>
      <c r="G3818" s="300">
        <v>9857824470</v>
      </c>
      <c r="H3818" s="509"/>
      <c r="I3818" s="300">
        <v>33</v>
      </c>
      <c r="J3818" s="943" t="s">
        <v>48</v>
      </c>
      <c r="K3818" s="943" t="s">
        <v>53</v>
      </c>
      <c r="L3818" s="943"/>
      <c r="M3818" s="944" t="s">
        <v>119</v>
      </c>
      <c r="N3818" s="945">
        <v>65059</v>
      </c>
      <c r="O3818" s="945">
        <v>65059</v>
      </c>
      <c r="P3818" s="582">
        <v>65073</v>
      </c>
      <c r="Q3818" s="578" t="s">
        <v>51</v>
      </c>
    </row>
    <row r="3819" spans="1:17" ht="18">
      <c r="A3819" s="512">
        <f t="shared" si="52"/>
        <v>2972</v>
      </c>
      <c r="B3819" s="942" t="s">
        <v>43</v>
      </c>
      <c r="C3819" s="943" t="s">
        <v>44</v>
      </c>
      <c r="D3819" s="943" t="s">
        <v>45</v>
      </c>
      <c r="E3819" s="943" t="s">
        <v>3376</v>
      </c>
      <c r="F3819" s="943" t="s">
        <v>491</v>
      </c>
      <c r="G3819" s="300">
        <v>9810988811</v>
      </c>
      <c r="H3819" s="509"/>
      <c r="I3819" s="300">
        <v>48</v>
      </c>
      <c r="J3819" s="943" t="s">
        <v>90</v>
      </c>
      <c r="K3819" s="943" t="s">
        <v>1480</v>
      </c>
      <c r="L3819" s="943"/>
      <c r="M3819" s="944" t="s">
        <v>119</v>
      </c>
      <c r="N3819" s="945">
        <v>65059</v>
      </c>
      <c r="O3819" s="945">
        <v>65059</v>
      </c>
      <c r="P3819" s="582">
        <v>65073</v>
      </c>
      <c r="Q3819" s="578" t="s">
        <v>51</v>
      </c>
    </row>
    <row r="3820" spans="1:17" ht="18">
      <c r="A3820" s="512">
        <f t="shared" si="52"/>
        <v>2973</v>
      </c>
      <c r="B3820" s="942" t="s">
        <v>43</v>
      </c>
      <c r="C3820" s="943" t="s">
        <v>44</v>
      </c>
      <c r="D3820" s="943" t="s">
        <v>45</v>
      </c>
      <c r="E3820" s="943" t="s">
        <v>4429</v>
      </c>
      <c r="F3820" s="943" t="s">
        <v>502</v>
      </c>
      <c r="G3820" s="300">
        <v>9847842696</v>
      </c>
      <c r="H3820" s="509"/>
      <c r="I3820" s="300">
        <v>82</v>
      </c>
      <c r="J3820" s="943" t="s">
        <v>48</v>
      </c>
      <c r="K3820" s="943" t="s">
        <v>1480</v>
      </c>
      <c r="L3820" s="943"/>
      <c r="M3820" s="944" t="s">
        <v>119</v>
      </c>
      <c r="N3820" s="945">
        <v>65059</v>
      </c>
      <c r="O3820" s="945">
        <v>65059</v>
      </c>
      <c r="P3820" s="582">
        <v>65073</v>
      </c>
      <c r="Q3820" s="578" t="s">
        <v>51</v>
      </c>
    </row>
    <row r="3821" spans="1:17" ht="18">
      <c r="A3821" s="1319">
        <f t="shared" si="52"/>
        <v>2974</v>
      </c>
      <c r="B3821" s="262" t="s">
        <v>43</v>
      </c>
      <c r="C3821" s="1025" t="s">
        <v>44</v>
      </c>
      <c r="D3821" s="1025" t="s">
        <v>45</v>
      </c>
      <c r="E3821" s="1025" t="s">
        <v>4434</v>
      </c>
      <c r="F3821" s="1025" t="s">
        <v>1008</v>
      </c>
      <c r="G3821" s="1026">
        <v>9848352606</v>
      </c>
      <c r="H3821" s="527"/>
      <c r="I3821" s="1026">
        <v>54</v>
      </c>
      <c r="J3821" s="1025" t="s">
        <v>48</v>
      </c>
      <c r="K3821" s="1025" t="s">
        <v>1468</v>
      </c>
      <c r="L3821" s="1025"/>
      <c r="M3821" s="1025" t="s">
        <v>2648</v>
      </c>
      <c r="N3821" s="1320">
        <v>65059</v>
      </c>
      <c r="O3821" s="1320">
        <v>65059</v>
      </c>
      <c r="P3821" s="559">
        <v>65091</v>
      </c>
      <c r="Q3821" s="527" t="s">
        <v>940</v>
      </c>
    </row>
    <row r="3822" spans="1:17" ht="18">
      <c r="A3822" s="512">
        <f t="shared" si="52"/>
        <v>2975</v>
      </c>
      <c r="B3822" s="942" t="s">
        <v>43</v>
      </c>
      <c r="C3822" s="943" t="s">
        <v>44</v>
      </c>
      <c r="D3822" s="943" t="s">
        <v>45</v>
      </c>
      <c r="E3822" s="943" t="s">
        <v>4435</v>
      </c>
      <c r="F3822" s="943" t="s">
        <v>502</v>
      </c>
      <c r="G3822" s="300"/>
      <c r="H3822" s="509"/>
      <c r="I3822" s="300">
        <v>21</v>
      </c>
      <c r="J3822" s="943" t="s">
        <v>48</v>
      </c>
      <c r="K3822" s="943" t="s">
        <v>1468</v>
      </c>
      <c r="L3822" s="943"/>
      <c r="M3822" s="944" t="s">
        <v>119</v>
      </c>
      <c r="N3822" s="945">
        <v>65059</v>
      </c>
      <c r="O3822" s="945">
        <v>65059</v>
      </c>
      <c r="P3822" s="582">
        <v>65073</v>
      </c>
      <c r="Q3822" s="578" t="s">
        <v>51</v>
      </c>
    </row>
    <row r="3823" spans="1:17" ht="18">
      <c r="A3823" s="512">
        <f t="shared" si="52"/>
        <v>2976</v>
      </c>
      <c r="B3823" s="942" t="s">
        <v>43</v>
      </c>
      <c r="C3823" s="943" t="s">
        <v>44</v>
      </c>
      <c r="D3823" s="943" t="s">
        <v>45</v>
      </c>
      <c r="E3823" s="943" t="s">
        <v>4436</v>
      </c>
      <c r="F3823" s="943" t="s">
        <v>1046</v>
      </c>
      <c r="G3823" s="300"/>
      <c r="H3823" s="509"/>
      <c r="I3823" s="300">
        <v>14</v>
      </c>
      <c r="J3823" s="943" t="s">
        <v>48</v>
      </c>
      <c r="K3823" s="943" t="s">
        <v>1468</v>
      </c>
      <c r="L3823" s="943"/>
      <c r="M3823" s="944" t="s">
        <v>119</v>
      </c>
      <c r="N3823" s="945">
        <v>65059</v>
      </c>
      <c r="O3823" s="945">
        <v>65059</v>
      </c>
      <c r="P3823" s="582">
        <v>65073</v>
      </c>
      <c r="Q3823" s="578" t="s">
        <v>51</v>
      </c>
    </row>
    <row r="3824" spans="1:17" ht="18">
      <c r="A3824" s="512">
        <f t="shared" si="52"/>
        <v>2977</v>
      </c>
      <c r="B3824" s="262" t="s">
        <v>43</v>
      </c>
      <c r="C3824" s="1025" t="s">
        <v>44</v>
      </c>
      <c r="D3824" s="1025" t="s">
        <v>45</v>
      </c>
      <c r="E3824" s="1025" t="s">
        <v>4437</v>
      </c>
      <c r="F3824" s="1025" t="s">
        <v>1046</v>
      </c>
      <c r="G3824" s="1026">
        <v>9847881578</v>
      </c>
      <c r="H3824" s="527"/>
      <c r="I3824" s="1026">
        <v>52</v>
      </c>
      <c r="J3824" s="1025" t="s">
        <v>90</v>
      </c>
      <c r="K3824" s="1025" t="s">
        <v>53</v>
      </c>
      <c r="L3824" s="1025"/>
      <c r="M3824" s="1025" t="s">
        <v>54</v>
      </c>
      <c r="N3824" s="1028">
        <v>65059</v>
      </c>
      <c r="O3824" s="1028">
        <v>65059</v>
      </c>
      <c r="P3824" s="559">
        <v>65063</v>
      </c>
      <c r="Q3824" s="527" t="s">
        <v>940</v>
      </c>
    </row>
    <row r="3825" spans="1:103" ht="18">
      <c r="A3825" s="512">
        <f t="shared" si="52"/>
        <v>2978</v>
      </c>
      <c r="B3825" s="942" t="s">
        <v>43</v>
      </c>
      <c r="C3825" s="943" t="s">
        <v>44</v>
      </c>
      <c r="D3825" s="943" t="s">
        <v>45</v>
      </c>
      <c r="E3825" s="943" t="s">
        <v>4438</v>
      </c>
      <c r="F3825" s="943" t="s">
        <v>491</v>
      </c>
      <c r="G3825" s="300"/>
      <c r="H3825" s="509"/>
      <c r="I3825" s="300">
        <v>73</v>
      </c>
      <c r="J3825" s="943" t="s">
        <v>48</v>
      </c>
      <c r="K3825" s="943" t="s">
        <v>1468</v>
      </c>
      <c r="L3825" s="943"/>
      <c r="M3825" s="944" t="s">
        <v>119</v>
      </c>
      <c r="N3825" s="945">
        <v>65059</v>
      </c>
      <c r="O3825" s="945">
        <v>65059</v>
      </c>
      <c r="P3825" s="582">
        <v>65073</v>
      </c>
      <c r="Q3825" s="578" t="s">
        <v>51</v>
      </c>
    </row>
    <row r="3826" spans="1:103" s="981" customFormat="1" ht="18">
      <c r="A3826" s="512">
        <f t="shared" si="52"/>
        <v>2979</v>
      </c>
      <c r="B3826" s="942" t="s">
        <v>43</v>
      </c>
      <c r="C3826" s="943" t="s">
        <v>44</v>
      </c>
      <c r="D3826" s="943" t="s">
        <v>45</v>
      </c>
      <c r="E3826" s="943" t="s">
        <v>4439</v>
      </c>
      <c r="F3826" s="943" t="s">
        <v>1204</v>
      </c>
      <c r="G3826" s="300"/>
      <c r="H3826" s="509"/>
      <c r="I3826" s="300">
        <v>50</v>
      </c>
      <c r="J3826" s="943" t="s">
        <v>90</v>
      </c>
      <c r="K3826" s="943" t="s">
        <v>1468</v>
      </c>
      <c r="L3826" s="943"/>
      <c r="M3826" s="944" t="s">
        <v>119</v>
      </c>
      <c r="N3826" s="945">
        <v>65059</v>
      </c>
      <c r="O3826" s="945">
        <v>65059</v>
      </c>
      <c r="P3826" s="582">
        <v>65073</v>
      </c>
      <c r="Q3826" s="578" t="s">
        <v>51</v>
      </c>
      <c r="R3826" s="988"/>
      <c r="S3826" s="988"/>
      <c r="T3826" s="988"/>
      <c r="U3826" s="988"/>
      <c r="V3826" s="988"/>
      <c r="W3826" s="988"/>
      <c r="X3826" s="988"/>
      <c r="Y3826" s="988"/>
      <c r="Z3826" s="988"/>
      <c r="AA3826" s="988"/>
      <c r="AB3826" s="988"/>
      <c r="AC3826" s="988"/>
      <c r="AD3826" s="988"/>
      <c r="AE3826" s="988"/>
      <c r="AF3826" s="988"/>
      <c r="AG3826" s="988"/>
      <c r="AH3826" s="988"/>
      <c r="AI3826" s="988"/>
      <c r="AJ3826" s="988"/>
      <c r="AK3826" s="988"/>
      <c r="AL3826" s="988"/>
      <c r="AM3826" s="988"/>
      <c r="AN3826" s="988"/>
      <c r="AO3826" s="988"/>
      <c r="AP3826" s="988"/>
      <c r="AQ3826" s="988"/>
      <c r="AR3826" s="988"/>
      <c r="AS3826" s="988"/>
      <c r="AT3826" s="988"/>
      <c r="AU3826" s="988"/>
      <c r="AV3826" s="988"/>
      <c r="AW3826" s="988"/>
      <c r="AX3826" s="988"/>
      <c r="AY3826" s="988"/>
      <c r="AZ3826" s="988"/>
      <c r="BA3826" s="988"/>
      <c r="BB3826" s="988"/>
      <c r="BC3826" s="988"/>
      <c r="BD3826" s="988"/>
      <c r="BE3826" s="988"/>
      <c r="BF3826" s="988"/>
      <c r="BG3826" s="988"/>
      <c r="BH3826" s="988"/>
      <c r="BI3826" s="988"/>
      <c r="BJ3826" s="988"/>
      <c r="BK3826" s="988"/>
      <c r="BL3826" s="988"/>
      <c r="BM3826" s="988"/>
      <c r="BN3826" s="988"/>
      <c r="BO3826" s="988"/>
      <c r="BP3826" s="988"/>
      <c r="BQ3826" s="988"/>
      <c r="BR3826" s="988"/>
      <c r="BS3826" s="988"/>
      <c r="BT3826" s="988"/>
      <c r="BU3826" s="988"/>
      <c r="BV3826" s="988"/>
      <c r="BW3826" s="988"/>
      <c r="BX3826" s="988"/>
      <c r="BY3826" s="988"/>
      <c r="BZ3826" s="988"/>
      <c r="CA3826" s="988"/>
      <c r="CB3826" s="988"/>
      <c r="CC3826" s="988"/>
      <c r="CD3826" s="988"/>
      <c r="CE3826" s="988"/>
      <c r="CF3826" s="988"/>
      <c r="CG3826" s="988"/>
      <c r="CH3826" s="988"/>
      <c r="CI3826" s="988"/>
      <c r="CJ3826" s="988"/>
      <c r="CK3826" s="988"/>
      <c r="CL3826" s="988"/>
      <c r="CM3826" s="988"/>
      <c r="CN3826" s="988"/>
      <c r="CO3826" s="988"/>
      <c r="CP3826" s="988"/>
      <c r="CQ3826" s="988"/>
      <c r="CR3826" s="988"/>
      <c r="CS3826" s="988"/>
      <c r="CT3826" s="988"/>
      <c r="CU3826" s="988"/>
      <c r="CV3826" s="988"/>
      <c r="CW3826" s="988"/>
      <c r="CX3826" s="988"/>
      <c r="CY3826" s="988"/>
    </row>
    <row r="3827" spans="1:103" ht="18">
      <c r="A3827" s="512">
        <f t="shared" si="52"/>
        <v>2980</v>
      </c>
      <c r="B3827" s="942" t="s">
        <v>43</v>
      </c>
      <c r="C3827" s="943" t="s">
        <v>44</v>
      </c>
      <c r="D3827" s="943" t="s">
        <v>45</v>
      </c>
      <c r="E3827" s="943" t="s">
        <v>4440</v>
      </c>
      <c r="F3827" s="943" t="s">
        <v>1046</v>
      </c>
      <c r="G3827" s="300"/>
      <c r="H3827" s="509"/>
      <c r="I3827" s="300">
        <v>30</v>
      </c>
      <c r="J3827" s="943" t="s">
        <v>48</v>
      </c>
      <c r="K3827" s="943" t="s">
        <v>1468</v>
      </c>
      <c r="L3827" s="943"/>
      <c r="M3827" s="944" t="s">
        <v>119</v>
      </c>
      <c r="N3827" s="945">
        <v>65059</v>
      </c>
      <c r="O3827" s="945">
        <v>65059</v>
      </c>
      <c r="P3827" s="582">
        <v>65073</v>
      </c>
      <c r="Q3827" s="578" t="s">
        <v>51</v>
      </c>
    </row>
    <row r="3828" spans="1:103" ht="18">
      <c r="A3828" s="512">
        <f t="shared" si="52"/>
        <v>2981</v>
      </c>
      <c r="B3828" s="942" t="s">
        <v>43</v>
      </c>
      <c r="C3828" s="943" t="s">
        <v>44</v>
      </c>
      <c r="D3828" s="943" t="s">
        <v>45</v>
      </c>
      <c r="E3828" s="943" t="s">
        <v>4441</v>
      </c>
      <c r="F3828" s="943" t="s">
        <v>1008</v>
      </c>
      <c r="G3828" s="300"/>
      <c r="H3828" s="509"/>
      <c r="I3828" s="300">
        <v>55</v>
      </c>
      <c r="J3828" s="943" t="s">
        <v>90</v>
      </c>
      <c r="K3828" s="943" t="s">
        <v>1468</v>
      </c>
      <c r="L3828" s="943"/>
      <c r="M3828" s="944" t="s">
        <v>119</v>
      </c>
      <c r="N3828" s="945">
        <v>65059</v>
      </c>
      <c r="O3828" s="945">
        <v>65059</v>
      </c>
      <c r="P3828" s="582">
        <v>65073</v>
      </c>
      <c r="Q3828" s="578" t="s">
        <v>51</v>
      </c>
    </row>
    <row r="3829" spans="1:103" ht="18">
      <c r="A3829" s="512">
        <f t="shared" si="52"/>
        <v>2982</v>
      </c>
      <c r="B3829" s="942" t="s">
        <v>43</v>
      </c>
      <c r="C3829" s="943" t="s">
        <v>44</v>
      </c>
      <c r="D3829" s="943" t="s">
        <v>45</v>
      </c>
      <c r="E3829" s="943" t="s">
        <v>4442</v>
      </c>
      <c r="F3829" s="943" t="s">
        <v>1046</v>
      </c>
      <c r="G3829" s="300"/>
      <c r="H3829" s="509"/>
      <c r="I3829" s="300">
        <v>30</v>
      </c>
      <c r="J3829" s="943" t="s">
        <v>90</v>
      </c>
      <c r="K3829" s="943" t="s">
        <v>1468</v>
      </c>
      <c r="L3829" s="943"/>
      <c r="M3829" s="944" t="s">
        <v>119</v>
      </c>
      <c r="N3829" s="945">
        <v>65059</v>
      </c>
      <c r="O3829" s="945">
        <v>65059</v>
      </c>
      <c r="P3829" s="582">
        <v>65073</v>
      </c>
      <c r="Q3829" s="578" t="s">
        <v>51</v>
      </c>
    </row>
    <row r="3830" spans="1:103" ht="18">
      <c r="A3830" s="512">
        <f t="shared" si="52"/>
        <v>2983</v>
      </c>
      <c r="B3830" s="942" t="s">
        <v>43</v>
      </c>
      <c r="C3830" s="943" t="s">
        <v>44</v>
      </c>
      <c r="D3830" s="943" t="s">
        <v>45</v>
      </c>
      <c r="E3830" s="943" t="s">
        <v>4430</v>
      </c>
      <c r="F3830" s="943" t="s">
        <v>510</v>
      </c>
      <c r="G3830" s="300">
        <v>9806279661</v>
      </c>
      <c r="H3830" s="509"/>
      <c r="I3830" s="300">
        <v>30</v>
      </c>
      <c r="J3830" s="943" t="s">
        <v>90</v>
      </c>
      <c r="K3830" s="943" t="s">
        <v>1480</v>
      </c>
      <c r="L3830" s="943"/>
      <c r="M3830" s="944" t="s">
        <v>119</v>
      </c>
      <c r="N3830" s="945">
        <v>65059</v>
      </c>
      <c r="O3830" s="945">
        <v>65059</v>
      </c>
      <c r="P3830" s="582">
        <v>65073</v>
      </c>
      <c r="Q3830" s="578" t="s">
        <v>51</v>
      </c>
    </row>
    <row r="3831" spans="1:103" ht="18">
      <c r="A3831" s="512">
        <f t="shared" si="52"/>
        <v>2984</v>
      </c>
      <c r="B3831" s="942" t="s">
        <v>43</v>
      </c>
      <c r="C3831" s="943" t="s">
        <v>44</v>
      </c>
      <c r="D3831" s="943" t="s">
        <v>45</v>
      </c>
      <c r="E3831" s="943" t="s">
        <v>4443</v>
      </c>
      <c r="F3831" s="943" t="s">
        <v>1204</v>
      </c>
      <c r="G3831" s="300"/>
      <c r="H3831" s="509"/>
      <c r="I3831" s="300">
        <v>31</v>
      </c>
      <c r="J3831" s="943" t="s">
        <v>90</v>
      </c>
      <c r="K3831" s="943" t="s">
        <v>1468</v>
      </c>
      <c r="L3831" s="943"/>
      <c r="M3831" s="944" t="s">
        <v>119</v>
      </c>
      <c r="N3831" s="945">
        <v>65059</v>
      </c>
      <c r="O3831" s="945">
        <v>65059</v>
      </c>
      <c r="P3831" s="582">
        <v>65073</v>
      </c>
      <c r="Q3831" s="578" t="s">
        <v>51</v>
      </c>
    </row>
    <row r="3832" spans="1:103" ht="18">
      <c r="A3832" s="512">
        <f t="shared" si="52"/>
        <v>2985</v>
      </c>
      <c r="B3832" s="942" t="s">
        <v>43</v>
      </c>
      <c r="C3832" s="943" t="s">
        <v>44</v>
      </c>
      <c r="D3832" s="943" t="s">
        <v>45</v>
      </c>
      <c r="E3832" s="943" t="s">
        <v>4444</v>
      </c>
      <c r="F3832" s="943" t="s">
        <v>510</v>
      </c>
      <c r="G3832" s="300">
        <v>9866838252</v>
      </c>
      <c r="H3832" s="509"/>
      <c r="I3832" s="300">
        <v>35</v>
      </c>
      <c r="J3832" s="943" t="s">
        <v>90</v>
      </c>
      <c r="K3832" s="943" t="s">
        <v>53</v>
      </c>
      <c r="L3832" s="943"/>
      <c r="M3832" s="944" t="s">
        <v>119</v>
      </c>
      <c r="N3832" s="945">
        <v>65059</v>
      </c>
      <c r="O3832" s="945">
        <v>65059</v>
      </c>
      <c r="P3832" s="582">
        <v>65073</v>
      </c>
      <c r="Q3832" s="578" t="s">
        <v>51</v>
      </c>
    </row>
    <row r="3833" spans="1:103" s="1128" customFormat="1" ht="18">
      <c r="A3833" s="512">
        <f t="shared" si="52"/>
        <v>2986</v>
      </c>
      <c r="B3833" s="1129" t="s">
        <v>43</v>
      </c>
      <c r="C3833" s="253" t="s">
        <v>44</v>
      </c>
      <c r="D3833" s="253" t="s">
        <v>45</v>
      </c>
      <c r="E3833" s="253" t="s">
        <v>4455</v>
      </c>
      <c r="F3833" s="253" t="s">
        <v>1008</v>
      </c>
      <c r="G3833" s="253"/>
      <c r="H3833" s="253"/>
      <c r="I3833" s="251">
        <v>38</v>
      </c>
      <c r="J3833" s="253" t="s">
        <v>48</v>
      </c>
      <c r="K3833" s="253" t="s">
        <v>53</v>
      </c>
      <c r="L3833" s="1114"/>
      <c r="M3833" s="253" t="s">
        <v>54</v>
      </c>
      <c r="N3833" s="1115">
        <v>65059</v>
      </c>
      <c r="O3833" s="1115">
        <v>65059</v>
      </c>
      <c r="P3833" s="1135">
        <v>65070</v>
      </c>
      <c r="Q3833" s="1116" t="s">
        <v>51</v>
      </c>
    </row>
    <row r="3834" spans="1:103" ht="18">
      <c r="A3834" s="512">
        <f t="shared" si="52"/>
        <v>2987</v>
      </c>
      <c r="B3834" s="942" t="s">
        <v>43</v>
      </c>
      <c r="C3834" s="943" t="s">
        <v>44</v>
      </c>
      <c r="D3834" s="943" t="s">
        <v>45</v>
      </c>
      <c r="E3834" s="943" t="s">
        <v>4445</v>
      </c>
      <c r="F3834" s="943" t="s">
        <v>488</v>
      </c>
      <c r="G3834" s="300"/>
      <c r="H3834" s="509"/>
      <c r="I3834" s="300">
        <v>45</v>
      </c>
      <c r="J3834" s="943" t="s">
        <v>48</v>
      </c>
      <c r="K3834" s="943" t="s">
        <v>1468</v>
      </c>
      <c r="L3834" s="943"/>
      <c r="M3834" s="944" t="s">
        <v>119</v>
      </c>
      <c r="N3834" s="945">
        <v>65059</v>
      </c>
      <c r="O3834" s="945">
        <v>65059</v>
      </c>
      <c r="P3834" s="582">
        <v>65073</v>
      </c>
      <c r="Q3834" s="578" t="s">
        <v>51</v>
      </c>
    </row>
    <row r="3835" spans="1:103" ht="18.75" thickBot="1">
      <c r="A3835" s="512">
        <f t="shared" si="52"/>
        <v>2988</v>
      </c>
      <c r="B3835" s="942" t="s">
        <v>43</v>
      </c>
      <c r="C3835" s="943" t="s">
        <v>44</v>
      </c>
      <c r="D3835" s="943" t="s">
        <v>45</v>
      </c>
      <c r="E3835" s="943" t="s">
        <v>4446</v>
      </c>
      <c r="F3835" s="943" t="s">
        <v>502</v>
      </c>
      <c r="G3835" s="300">
        <v>9849035898</v>
      </c>
      <c r="H3835" s="509"/>
      <c r="I3835" s="300">
        <v>25</v>
      </c>
      <c r="J3835" s="943" t="s">
        <v>90</v>
      </c>
      <c r="K3835" s="943" t="s">
        <v>1459</v>
      </c>
      <c r="L3835" s="943"/>
      <c r="M3835" s="944" t="s">
        <v>119</v>
      </c>
      <c r="N3835" s="945">
        <v>65059</v>
      </c>
      <c r="O3835" s="945">
        <v>65059</v>
      </c>
      <c r="P3835" s="582">
        <v>65073</v>
      </c>
      <c r="Q3835" s="578" t="s">
        <v>51</v>
      </c>
    </row>
    <row r="3836" spans="1:103" ht="18">
      <c r="A3836" s="512">
        <f t="shared" si="52"/>
        <v>2989</v>
      </c>
      <c r="B3836" s="942" t="s">
        <v>43</v>
      </c>
      <c r="C3836" s="943" t="s">
        <v>44</v>
      </c>
      <c r="D3836" s="943" t="s">
        <v>45</v>
      </c>
      <c r="E3836" s="995" t="s">
        <v>4433</v>
      </c>
      <c r="F3836" s="995" t="s">
        <v>491</v>
      </c>
      <c r="G3836" s="1001">
        <v>9806221552</v>
      </c>
      <c r="H3836" s="1003"/>
      <c r="I3836" s="1001">
        <v>26</v>
      </c>
      <c r="J3836" s="995" t="s">
        <v>90</v>
      </c>
      <c r="K3836" s="995" t="s">
        <v>1480</v>
      </c>
      <c r="L3836" s="1005"/>
      <c r="M3836" s="1008" t="s">
        <v>119</v>
      </c>
      <c r="N3836" s="1012">
        <v>65059</v>
      </c>
      <c r="O3836" s="1012">
        <v>65059</v>
      </c>
      <c r="P3836" s="582">
        <v>65073</v>
      </c>
      <c r="Q3836" s="578" t="s">
        <v>51</v>
      </c>
    </row>
    <row r="3837" spans="1:103" ht="18">
      <c r="A3837" s="512">
        <f t="shared" si="52"/>
        <v>2990</v>
      </c>
      <c r="B3837" s="942" t="s">
        <v>43</v>
      </c>
      <c r="C3837" s="943" t="s">
        <v>44</v>
      </c>
      <c r="D3837" s="990" t="s">
        <v>45</v>
      </c>
      <c r="E3837" s="130" t="s">
        <v>4465</v>
      </c>
      <c r="F3837" s="130" t="s">
        <v>124</v>
      </c>
      <c r="G3837" s="991">
        <v>9865712557</v>
      </c>
      <c r="H3837" s="130"/>
      <c r="I3837" s="227">
        <v>21</v>
      </c>
      <c r="J3837" s="130" t="s">
        <v>48</v>
      </c>
      <c r="K3837" s="130" t="s">
        <v>1480</v>
      </c>
      <c r="L3837" s="992"/>
      <c r="M3837" s="130" t="s">
        <v>119</v>
      </c>
      <c r="N3837" s="786">
        <v>65060</v>
      </c>
      <c r="O3837" s="786">
        <v>65060</v>
      </c>
      <c r="P3837" s="1150">
        <v>65074</v>
      </c>
      <c r="Q3837" s="512" t="s">
        <v>51</v>
      </c>
    </row>
    <row r="3838" spans="1:103" ht="18">
      <c r="A3838" s="512">
        <f t="shared" si="52"/>
        <v>2991</v>
      </c>
      <c r="B3838" s="942" t="s">
        <v>43</v>
      </c>
      <c r="C3838" s="943" t="s">
        <v>44</v>
      </c>
      <c r="D3838" s="990" t="s">
        <v>45</v>
      </c>
      <c r="E3838" s="130" t="s">
        <v>4456</v>
      </c>
      <c r="F3838" s="130" t="s">
        <v>491</v>
      </c>
      <c r="G3838" s="991">
        <v>98028300</v>
      </c>
      <c r="H3838" s="130"/>
      <c r="I3838" s="227">
        <v>22</v>
      </c>
      <c r="J3838" s="130" t="s">
        <v>48</v>
      </c>
      <c r="K3838" s="130" t="s">
        <v>1468</v>
      </c>
      <c r="L3838" s="992"/>
      <c r="M3838" s="130" t="s">
        <v>119</v>
      </c>
      <c r="N3838" s="786">
        <v>65060</v>
      </c>
      <c r="O3838" s="786">
        <v>65060</v>
      </c>
      <c r="P3838" s="1150">
        <v>65074</v>
      </c>
      <c r="Q3838" s="512" t="s">
        <v>51</v>
      </c>
    </row>
    <row r="3839" spans="1:103" ht="18">
      <c r="A3839" s="512">
        <f t="shared" si="52"/>
        <v>2992</v>
      </c>
      <c r="B3839" s="942" t="s">
        <v>43</v>
      </c>
      <c r="C3839" s="943" t="s">
        <v>44</v>
      </c>
      <c r="D3839" s="990" t="s">
        <v>45</v>
      </c>
      <c r="E3839" s="130" t="s">
        <v>4457</v>
      </c>
      <c r="F3839" s="130" t="s">
        <v>441</v>
      </c>
      <c r="G3839" s="991">
        <v>9847837297</v>
      </c>
      <c r="H3839" s="130"/>
      <c r="I3839" s="227">
        <v>2</v>
      </c>
      <c r="J3839" s="130" t="s">
        <v>90</v>
      </c>
      <c r="K3839" s="130" t="s">
        <v>1480</v>
      </c>
      <c r="L3839" s="992"/>
      <c r="M3839" s="130" t="s">
        <v>119</v>
      </c>
      <c r="N3839" s="786">
        <v>65060</v>
      </c>
      <c r="O3839" s="786">
        <v>65060</v>
      </c>
      <c r="P3839" s="1150">
        <v>65074</v>
      </c>
      <c r="Q3839" s="512" t="s">
        <v>51</v>
      </c>
    </row>
    <row r="3840" spans="1:103" ht="18">
      <c r="A3840" s="512">
        <f t="shared" si="52"/>
        <v>2993</v>
      </c>
      <c r="B3840" s="942" t="s">
        <v>43</v>
      </c>
      <c r="C3840" s="943" t="s">
        <v>44</v>
      </c>
      <c r="D3840" s="990" t="s">
        <v>45</v>
      </c>
      <c r="E3840" s="130" t="s">
        <v>4458</v>
      </c>
      <c r="F3840" s="130" t="s">
        <v>1008</v>
      </c>
      <c r="G3840" s="991">
        <v>9809750204</v>
      </c>
      <c r="H3840" s="130"/>
      <c r="I3840" s="227">
        <v>50</v>
      </c>
      <c r="J3840" s="130" t="s">
        <v>90</v>
      </c>
      <c r="K3840" s="130" t="s">
        <v>1468</v>
      </c>
      <c r="L3840" s="992"/>
      <c r="M3840" s="130" t="s">
        <v>119</v>
      </c>
      <c r="N3840" s="786">
        <v>65060</v>
      </c>
      <c r="O3840" s="786">
        <v>65060</v>
      </c>
      <c r="P3840" s="1150">
        <v>65074</v>
      </c>
      <c r="Q3840" s="512" t="s">
        <v>51</v>
      </c>
    </row>
    <row r="3841" spans="1:17" ht="18">
      <c r="A3841" s="512">
        <f t="shared" si="52"/>
        <v>2994</v>
      </c>
      <c r="B3841" s="942" t="s">
        <v>43</v>
      </c>
      <c r="C3841" s="943" t="s">
        <v>44</v>
      </c>
      <c r="D3841" s="990" t="s">
        <v>45</v>
      </c>
      <c r="E3841" s="509" t="s">
        <v>4490</v>
      </c>
      <c r="F3841" s="434" t="s">
        <v>557</v>
      </c>
      <c r="G3841" s="1032">
        <v>9822920189</v>
      </c>
      <c r="I3841" s="490">
        <v>32</v>
      </c>
      <c r="J3841" s="490" t="s">
        <v>453</v>
      </c>
      <c r="K3841" s="130" t="s">
        <v>1468</v>
      </c>
      <c r="M3841" s="130" t="s">
        <v>119</v>
      </c>
      <c r="N3841" s="1036">
        <v>65060</v>
      </c>
      <c r="O3841" s="1036">
        <v>65060</v>
      </c>
      <c r="P3841" s="1150">
        <v>65074</v>
      </c>
      <c r="Q3841" s="512" t="s">
        <v>51</v>
      </c>
    </row>
    <row r="3842" spans="1:17" ht="18">
      <c r="A3842" s="512">
        <f t="shared" si="52"/>
        <v>2995</v>
      </c>
      <c r="B3842" s="942" t="s">
        <v>43</v>
      </c>
      <c r="C3842" s="943" t="s">
        <v>44</v>
      </c>
      <c r="D3842" s="990" t="s">
        <v>45</v>
      </c>
      <c r="E3842" s="130" t="s">
        <v>4467</v>
      </c>
      <c r="F3842" s="130" t="s">
        <v>491</v>
      </c>
      <c r="G3842" s="991">
        <v>9847993221</v>
      </c>
      <c r="H3842" s="130"/>
      <c r="I3842" s="227">
        <v>39</v>
      </c>
      <c r="J3842" s="130" t="s">
        <v>90</v>
      </c>
      <c r="K3842" s="130" t="s">
        <v>1480</v>
      </c>
      <c r="L3842" s="992"/>
      <c r="M3842" s="130" t="s">
        <v>119</v>
      </c>
      <c r="N3842" s="786">
        <v>65060</v>
      </c>
      <c r="O3842" s="786">
        <v>65060</v>
      </c>
      <c r="P3842" s="1150">
        <v>65074</v>
      </c>
      <c r="Q3842" s="512" t="s">
        <v>51</v>
      </c>
    </row>
    <row r="3843" spans="1:17" ht="18">
      <c r="A3843" s="512">
        <f t="shared" si="52"/>
        <v>2996</v>
      </c>
      <c r="B3843" s="942" t="s">
        <v>43</v>
      </c>
      <c r="C3843" s="943" t="s">
        <v>44</v>
      </c>
      <c r="D3843" s="990" t="s">
        <v>45</v>
      </c>
      <c r="E3843" s="130" t="s">
        <v>4459</v>
      </c>
      <c r="F3843" s="130" t="s">
        <v>1008</v>
      </c>
      <c r="G3843" s="991">
        <v>9829536703</v>
      </c>
      <c r="H3843" s="130"/>
      <c r="I3843" s="227">
        <v>34</v>
      </c>
      <c r="J3843" s="130" t="s">
        <v>90</v>
      </c>
      <c r="K3843" s="130" t="s">
        <v>1468</v>
      </c>
      <c r="L3843" s="992"/>
      <c r="M3843" s="130" t="s">
        <v>119</v>
      </c>
      <c r="N3843" s="786">
        <v>65060</v>
      </c>
      <c r="O3843" s="786">
        <v>65060</v>
      </c>
      <c r="P3843" s="1150">
        <v>65074</v>
      </c>
      <c r="Q3843" s="512" t="s">
        <v>51</v>
      </c>
    </row>
    <row r="3844" spans="1:17" ht="18">
      <c r="A3844" s="512">
        <f t="shared" si="52"/>
        <v>2997</v>
      </c>
      <c r="B3844" s="942" t="s">
        <v>43</v>
      </c>
      <c r="C3844" s="943" t="s">
        <v>44</v>
      </c>
      <c r="D3844" s="990" t="s">
        <v>45</v>
      </c>
      <c r="E3844" s="130" t="s">
        <v>4460</v>
      </c>
      <c r="F3844" s="130" t="s">
        <v>502</v>
      </c>
      <c r="G3844" s="991">
        <v>9847813999</v>
      </c>
      <c r="H3844" s="130"/>
      <c r="I3844" s="227">
        <v>66</v>
      </c>
      <c r="J3844" s="130" t="s">
        <v>48</v>
      </c>
      <c r="K3844" s="130" t="s">
        <v>1468</v>
      </c>
      <c r="L3844" s="992"/>
      <c r="M3844" s="130" t="s">
        <v>119</v>
      </c>
      <c r="N3844" s="786">
        <v>65060</v>
      </c>
      <c r="O3844" s="786">
        <v>65060</v>
      </c>
      <c r="P3844" s="1150">
        <v>65074</v>
      </c>
      <c r="Q3844" s="512" t="s">
        <v>51</v>
      </c>
    </row>
    <row r="3845" spans="1:17" ht="18">
      <c r="A3845" s="512">
        <f t="shared" si="52"/>
        <v>2998</v>
      </c>
      <c r="B3845" s="942" t="s">
        <v>43</v>
      </c>
      <c r="C3845" s="943" t="s">
        <v>44</v>
      </c>
      <c r="D3845" s="990" t="s">
        <v>45</v>
      </c>
      <c r="E3845" s="130" t="s">
        <v>4466</v>
      </c>
      <c r="F3845" s="130" t="s">
        <v>598</v>
      </c>
      <c r="G3845" s="991">
        <v>9810875524</v>
      </c>
      <c r="H3845" s="130"/>
      <c r="I3845" s="227">
        <v>63</v>
      </c>
      <c r="J3845" s="130" t="s">
        <v>48</v>
      </c>
      <c r="K3845" s="130" t="s">
        <v>1480</v>
      </c>
      <c r="L3845" s="992"/>
      <c r="M3845" s="130" t="s">
        <v>119</v>
      </c>
      <c r="N3845" s="786">
        <v>65060</v>
      </c>
      <c r="O3845" s="786">
        <v>65060</v>
      </c>
      <c r="P3845" s="1150">
        <v>65074</v>
      </c>
      <c r="Q3845" s="512" t="s">
        <v>51</v>
      </c>
    </row>
    <row r="3846" spans="1:17" ht="18">
      <c r="A3846" s="512">
        <f t="shared" si="52"/>
        <v>2999</v>
      </c>
      <c r="B3846" s="942" t="s">
        <v>43</v>
      </c>
      <c r="C3846" s="943" t="s">
        <v>44</v>
      </c>
      <c r="D3846" s="990" t="s">
        <v>45</v>
      </c>
      <c r="E3846" s="130" t="s">
        <v>4468</v>
      </c>
      <c r="F3846" s="130" t="s">
        <v>502</v>
      </c>
      <c r="G3846" s="991">
        <v>9812814207</v>
      </c>
      <c r="H3846" s="130"/>
      <c r="I3846" s="227">
        <v>50</v>
      </c>
      <c r="J3846" s="130" t="s">
        <v>90</v>
      </c>
      <c r="K3846" s="130" t="s">
        <v>1480</v>
      </c>
      <c r="L3846" s="992"/>
      <c r="M3846" s="130" t="s">
        <v>119</v>
      </c>
      <c r="N3846" s="786">
        <v>65060</v>
      </c>
      <c r="O3846" s="786">
        <v>65060</v>
      </c>
      <c r="P3846" s="1150">
        <v>65074</v>
      </c>
      <c r="Q3846" s="512" t="s">
        <v>51</v>
      </c>
    </row>
    <row r="3847" spans="1:17" ht="18">
      <c r="A3847" s="512">
        <f t="shared" si="52"/>
        <v>3000</v>
      </c>
      <c r="B3847" s="942" t="s">
        <v>43</v>
      </c>
      <c r="C3847" s="943" t="s">
        <v>44</v>
      </c>
      <c r="D3847" s="990" t="s">
        <v>45</v>
      </c>
      <c r="E3847" s="130" t="s">
        <v>2888</v>
      </c>
      <c r="F3847" s="130" t="s">
        <v>1204</v>
      </c>
      <c r="G3847" s="991">
        <v>9848542214</v>
      </c>
      <c r="H3847" s="130"/>
      <c r="I3847" s="227">
        <v>34</v>
      </c>
      <c r="J3847" s="130" t="s">
        <v>48</v>
      </c>
      <c r="K3847" s="130" t="s">
        <v>1468</v>
      </c>
      <c r="L3847" s="992"/>
      <c r="M3847" s="130" t="s">
        <v>119</v>
      </c>
      <c r="N3847" s="786">
        <v>65060</v>
      </c>
      <c r="O3847" s="786">
        <v>65060</v>
      </c>
      <c r="P3847" s="1150">
        <v>65074</v>
      </c>
      <c r="Q3847" s="512" t="s">
        <v>51</v>
      </c>
    </row>
    <row r="3848" spans="1:17" ht="18">
      <c r="A3848" s="512">
        <f t="shared" si="52"/>
        <v>3001</v>
      </c>
      <c r="B3848" s="942" t="s">
        <v>43</v>
      </c>
      <c r="C3848" s="943" t="s">
        <v>44</v>
      </c>
      <c r="D3848" s="990" t="s">
        <v>45</v>
      </c>
      <c r="E3848" s="130" t="s">
        <v>4461</v>
      </c>
      <c r="F3848" s="130" t="s">
        <v>497</v>
      </c>
      <c r="G3848" s="991">
        <v>9865573345</v>
      </c>
      <c r="H3848" s="130"/>
      <c r="I3848" s="227">
        <v>34</v>
      </c>
      <c r="J3848" s="130" t="s">
        <v>48</v>
      </c>
      <c r="K3848" s="130" t="s">
        <v>53</v>
      </c>
      <c r="L3848" s="992"/>
      <c r="M3848" s="130" t="s">
        <v>119</v>
      </c>
      <c r="N3848" s="786">
        <v>65060</v>
      </c>
      <c r="O3848" s="786">
        <v>65060</v>
      </c>
      <c r="P3848" s="1150">
        <v>65074</v>
      </c>
      <c r="Q3848" s="512" t="s">
        <v>51</v>
      </c>
    </row>
    <row r="3849" spans="1:17" ht="18">
      <c r="A3849" s="512">
        <f t="shared" si="52"/>
        <v>3002</v>
      </c>
      <c r="B3849" s="942" t="s">
        <v>43</v>
      </c>
      <c r="C3849" s="943" t="s">
        <v>44</v>
      </c>
      <c r="D3849" s="990" t="s">
        <v>45</v>
      </c>
      <c r="E3849" s="509" t="s">
        <v>4489</v>
      </c>
      <c r="F3849" s="659" t="s">
        <v>791</v>
      </c>
      <c r="G3849" s="1032">
        <v>9863412202</v>
      </c>
      <c r="H3849" s="989"/>
      <c r="I3849" s="490">
        <v>31</v>
      </c>
      <c r="J3849" s="490" t="s">
        <v>453</v>
      </c>
      <c r="K3849" s="130" t="s">
        <v>1468</v>
      </c>
      <c r="L3849" s="659"/>
      <c r="M3849" s="130" t="s">
        <v>119</v>
      </c>
      <c r="N3849" s="1036">
        <v>65060</v>
      </c>
      <c r="O3849" s="1036">
        <v>65060</v>
      </c>
      <c r="P3849" s="1150">
        <v>65074</v>
      </c>
      <c r="Q3849" s="512" t="s">
        <v>51</v>
      </c>
    </row>
    <row r="3850" spans="1:17" ht="18">
      <c r="A3850" s="512">
        <f t="shared" si="52"/>
        <v>3003</v>
      </c>
      <c r="B3850" s="942" t="s">
        <v>43</v>
      </c>
      <c r="C3850" s="943" t="s">
        <v>44</v>
      </c>
      <c r="D3850" s="990" t="s">
        <v>45</v>
      </c>
      <c r="E3850" s="130" t="s">
        <v>4462</v>
      </c>
      <c r="F3850" s="130" t="s">
        <v>1008</v>
      </c>
      <c r="G3850" s="991">
        <v>9806241127</v>
      </c>
      <c r="H3850" s="130"/>
      <c r="I3850" s="227">
        <v>40</v>
      </c>
      <c r="J3850" s="130" t="s">
        <v>90</v>
      </c>
      <c r="K3850" s="130" t="s">
        <v>53</v>
      </c>
      <c r="L3850" s="992"/>
      <c r="M3850" s="130" t="s">
        <v>119</v>
      </c>
      <c r="N3850" s="786">
        <v>65060</v>
      </c>
      <c r="O3850" s="786">
        <v>65060</v>
      </c>
      <c r="P3850" s="1150">
        <v>65074</v>
      </c>
      <c r="Q3850" s="512" t="s">
        <v>51</v>
      </c>
    </row>
    <row r="3851" spans="1:17" ht="18">
      <c r="A3851" s="512">
        <f t="shared" si="52"/>
        <v>3004</v>
      </c>
      <c r="B3851" s="942" t="s">
        <v>43</v>
      </c>
      <c r="C3851" s="943" t="s">
        <v>44</v>
      </c>
      <c r="D3851" s="990" t="s">
        <v>45</v>
      </c>
      <c r="E3851" s="509" t="s">
        <v>4492</v>
      </c>
      <c r="F3851" s="434" t="s">
        <v>491</v>
      </c>
      <c r="G3851" s="1032">
        <v>9848925218</v>
      </c>
      <c r="I3851" s="490">
        <v>90</v>
      </c>
      <c r="J3851" s="490" t="s">
        <v>453</v>
      </c>
      <c r="K3851" s="130" t="s">
        <v>1468</v>
      </c>
      <c r="M3851" s="130" t="s">
        <v>119</v>
      </c>
      <c r="N3851" s="1036">
        <v>65060</v>
      </c>
      <c r="O3851" s="1036">
        <v>65060</v>
      </c>
      <c r="P3851" s="1150">
        <v>65074</v>
      </c>
      <c r="Q3851" s="512" t="s">
        <v>51</v>
      </c>
    </row>
    <row r="3852" spans="1:17" ht="18">
      <c r="A3852" s="512">
        <f t="shared" si="52"/>
        <v>3005</v>
      </c>
      <c r="B3852" s="942" t="s">
        <v>43</v>
      </c>
      <c r="C3852" s="943" t="s">
        <v>44</v>
      </c>
      <c r="D3852" s="990" t="s">
        <v>45</v>
      </c>
      <c r="E3852" s="130" t="s">
        <v>4463</v>
      </c>
      <c r="F3852" s="130" t="s">
        <v>497</v>
      </c>
      <c r="G3852" s="991">
        <v>9867155861</v>
      </c>
      <c r="H3852" s="130"/>
      <c r="I3852" s="227">
        <v>59</v>
      </c>
      <c r="J3852" s="130" t="s">
        <v>48</v>
      </c>
      <c r="K3852" s="130" t="s">
        <v>53</v>
      </c>
      <c r="L3852" s="992"/>
      <c r="M3852" s="130" t="s">
        <v>119</v>
      </c>
      <c r="N3852" s="786">
        <v>65060</v>
      </c>
      <c r="O3852" s="786">
        <v>65060</v>
      </c>
      <c r="P3852" s="1150">
        <v>65074</v>
      </c>
      <c r="Q3852" s="512" t="s">
        <v>51</v>
      </c>
    </row>
    <row r="3853" spans="1:17" ht="18">
      <c r="A3853" s="512">
        <f t="shared" si="52"/>
        <v>3006</v>
      </c>
      <c r="B3853" s="942" t="s">
        <v>43</v>
      </c>
      <c r="C3853" s="943" t="s">
        <v>44</v>
      </c>
      <c r="D3853" s="990" t="s">
        <v>45</v>
      </c>
      <c r="E3853" s="130" t="s">
        <v>4464</v>
      </c>
      <c r="F3853" s="130" t="s">
        <v>1008</v>
      </c>
      <c r="G3853" s="991">
        <v>9841395208</v>
      </c>
      <c r="H3853" s="130"/>
      <c r="I3853" s="227">
        <v>30</v>
      </c>
      <c r="J3853" s="130" t="s">
        <v>90</v>
      </c>
      <c r="K3853" s="130" t="s">
        <v>1468</v>
      </c>
      <c r="L3853" s="992"/>
      <c r="M3853" s="130" t="s">
        <v>119</v>
      </c>
      <c r="N3853" s="786">
        <v>65060</v>
      </c>
      <c r="O3853" s="786">
        <v>65060</v>
      </c>
      <c r="P3853" s="1150">
        <v>65074</v>
      </c>
      <c r="Q3853" s="512" t="s">
        <v>51</v>
      </c>
    </row>
    <row r="3854" spans="1:17" ht="18">
      <c r="A3854" s="512">
        <f t="shared" si="52"/>
        <v>3007</v>
      </c>
      <c r="B3854" s="942" t="s">
        <v>43</v>
      </c>
      <c r="C3854" s="943" t="s">
        <v>44</v>
      </c>
      <c r="D3854" s="990" t="s">
        <v>45</v>
      </c>
      <c r="E3854" s="509" t="s">
        <v>4073</v>
      </c>
      <c r="F3854" s="434" t="s">
        <v>1046</v>
      </c>
      <c r="G3854" s="1032">
        <v>9841626560</v>
      </c>
      <c r="I3854" s="490">
        <v>34</v>
      </c>
      <c r="J3854" s="490" t="s">
        <v>453</v>
      </c>
      <c r="K3854" s="130" t="s">
        <v>1468</v>
      </c>
      <c r="M3854" s="130" t="s">
        <v>119</v>
      </c>
      <c r="N3854" s="1036">
        <v>65060</v>
      </c>
      <c r="O3854" s="1036">
        <v>65060</v>
      </c>
      <c r="P3854" s="1150">
        <v>65074</v>
      </c>
      <c r="Q3854" s="512" t="s">
        <v>51</v>
      </c>
    </row>
    <row r="3855" spans="1:17" ht="18">
      <c r="A3855" s="512">
        <f t="shared" si="52"/>
        <v>3008</v>
      </c>
      <c r="B3855" s="942" t="s">
        <v>43</v>
      </c>
      <c r="C3855" s="943" t="s">
        <v>44</v>
      </c>
      <c r="D3855" s="990" t="s">
        <v>45</v>
      </c>
      <c r="E3855" s="130" t="s">
        <v>4469</v>
      </c>
      <c r="F3855" s="130" t="s">
        <v>598</v>
      </c>
      <c r="G3855" s="991">
        <v>9866917326</v>
      </c>
      <c r="H3855" s="130"/>
      <c r="I3855" s="227">
        <v>67</v>
      </c>
      <c r="J3855" s="130" t="s">
        <v>90</v>
      </c>
      <c r="K3855" s="130" t="s">
        <v>1480</v>
      </c>
      <c r="L3855" s="992"/>
      <c r="M3855" s="130" t="s">
        <v>119</v>
      </c>
      <c r="N3855" s="786">
        <v>65060</v>
      </c>
      <c r="O3855" s="786">
        <v>65060</v>
      </c>
      <c r="P3855" s="1150">
        <v>65074</v>
      </c>
      <c r="Q3855" s="512" t="s">
        <v>51</v>
      </c>
    </row>
    <row r="3856" spans="1:17" ht="18">
      <c r="A3856" s="512">
        <f t="shared" si="52"/>
        <v>3009</v>
      </c>
      <c r="B3856" s="942" t="s">
        <v>43</v>
      </c>
      <c r="C3856" s="943" t="s">
        <v>44</v>
      </c>
      <c r="D3856" s="990" t="s">
        <v>45</v>
      </c>
      <c r="E3856" s="130" t="s">
        <v>4472</v>
      </c>
      <c r="F3856" s="130" t="s">
        <v>441</v>
      </c>
      <c r="G3856" s="991">
        <v>9847813808</v>
      </c>
      <c r="H3856" s="130"/>
      <c r="I3856" s="227">
        <v>84</v>
      </c>
      <c r="J3856" s="130" t="s">
        <v>90</v>
      </c>
      <c r="K3856" s="130" t="s">
        <v>1468</v>
      </c>
      <c r="L3856" s="992"/>
      <c r="M3856" s="130" t="s">
        <v>119</v>
      </c>
      <c r="N3856" s="786">
        <v>65060</v>
      </c>
      <c r="O3856" s="786">
        <v>65060</v>
      </c>
      <c r="P3856" s="1150">
        <v>65074</v>
      </c>
      <c r="Q3856" s="512" t="s">
        <v>51</v>
      </c>
    </row>
    <row r="3857" spans="1:17" ht="18">
      <c r="A3857" s="512">
        <f t="shared" si="52"/>
        <v>3010</v>
      </c>
      <c r="B3857" s="942" t="s">
        <v>43</v>
      </c>
      <c r="C3857" s="943" t="s">
        <v>44</v>
      </c>
      <c r="D3857" s="990" t="s">
        <v>45</v>
      </c>
      <c r="E3857" s="130" t="s">
        <v>4473</v>
      </c>
      <c r="F3857" s="130" t="s">
        <v>636</v>
      </c>
      <c r="G3857" s="991">
        <v>9814443513</v>
      </c>
      <c r="H3857" s="130"/>
      <c r="I3857" s="227">
        <v>40</v>
      </c>
      <c r="J3857" s="130" t="s">
        <v>90</v>
      </c>
      <c r="K3857" s="130" t="s">
        <v>1468</v>
      </c>
      <c r="L3857" s="992"/>
      <c r="M3857" s="130" t="s">
        <v>119</v>
      </c>
      <c r="N3857" s="786">
        <v>65060</v>
      </c>
      <c r="O3857" s="786">
        <v>65060</v>
      </c>
      <c r="P3857" s="1150">
        <v>65074</v>
      </c>
      <c r="Q3857" s="512" t="s">
        <v>51</v>
      </c>
    </row>
    <row r="3858" spans="1:17" ht="18">
      <c r="A3858" s="512">
        <f t="shared" ref="A3858:A3921" si="53">A3857+1</f>
        <v>3011</v>
      </c>
      <c r="B3858" s="942" t="s">
        <v>43</v>
      </c>
      <c r="C3858" s="943" t="s">
        <v>44</v>
      </c>
      <c r="D3858" s="990" t="s">
        <v>45</v>
      </c>
      <c r="E3858" s="509" t="s">
        <v>4494</v>
      </c>
      <c r="F3858" s="434" t="s">
        <v>441</v>
      </c>
      <c r="G3858" s="1032">
        <v>9845440773</v>
      </c>
      <c r="I3858" s="490">
        <v>50</v>
      </c>
      <c r="J3858" s="490" t="s">
        <v>90</v>
      </c>
      <c r="K3858" s="130" t="s">
        <v>1468</v>
      </c>
      <c r="M3858" s="130" t="s">
        <v>119</v>
      </c>
      <c r="N3858" s="1036">
        <v>65060</v>
      </c>
      <c r="O3858" s="1036">
        <v>65060</v>
      </c>
      <c r="P3858" s="1150">
        <v>65074</v>
      </c>
      <c r="Q3858" s="512" t="s">
        <v>51</v>
      </c>
    </row>
    <row r="3859" spans="1:17" ht="18">
      <c r="A3859" s="512">
        <f t="shared" si="53"/>
        <v>3012</v>
      </c>
      <c r="B3859" s="942" t="s">
        <v>43</v>
      </c>
      <c r="C3859" s="943" t="s">
        <v>44</v>
      </c>
      <c r="D3859" s="990" t="s">
        <v>45</v>
      </c>
      <c r="E3859" s="130" t="s">
        <v>4474</v>
      </c>
      <c r="F3859" s="130" t="s">
        <v>491</v>
      </c>
      <c r="G3859" s="991">
        <v>9847837769</v>
      </c>
      <c r="H3859" s="130"/>
      <c r="I3859" s="227">
        <v>56</v>
      </c>
      <c r="J3859" s="130" t="s">
        <v>48</v>
      </c>
      <c r="K3859" s="130" t="s">
        <v>1468</v>
      </c>
      <c r="L3859" s="992"/>
      <c r="M3859" s="130" t="s">
        <v>119</v>
      </c>
      <c r="N3859" s="786">
        <v>65060</v>
      </c>
      <c r="O3859" s="786">
        <v>65060</v>
      </c>
      <c r="P3859" s="1150">
        <v>65074</v>
      </c>
      <c r="Q3859" s="512" t="s">
        <v>51</v>
      </c>
    </row>
    <row r="3860" spans="1:17" ht="18">
      <c r="A3860" s="512">
        <f t="shared" si="53"/>
        <v>3013</v>
      </c>
      <c r="B3860" s="942" t="s">
        <v>43</v>
      </c>
      <c r="C3860" s="943" t="s">
        <v>44</v>
      </c>
      <c r="D3860" s="990" t="s">
        <v>45</v>
      </c>
      <c r="E3860" s="509" t="s">
        <v>4493</v>
      </c>
      <c r="F3860" s="434" t="s">
        <v>491</v>
      </c>
      <c r="G3860" s="1032">
        <v>9847866394</v>
      </c>
      <c r="I3860" s="490">
        <v>45</v>
      </c>
      <c r="J3860" s="490" t="s">
        <v>453</v>
      </c>
      <c r="K3860" s="130" t="s">
        <v>1468</v>
      </c>
      <c r="M3860" s="130" t="s">
        <v>119</v>
      </c>
      <c r="N3860" s="1036">
        <v>65060</v>
      </c>
      <c r="O3860" s="1036">
        <v>65060</v>
      </c>
      <c r="P3860" s="1150">
        <v>65074</v>
      </c>
      <c r="Q3860" s="512" t="s">
        <v>51</v>
      </c>
    </row>
    <row r="3861" spans="1:17" ht="18">
      <c r="A3861" s="512">
        <f t="shared" si="53"/>
        <v>3014</v>
      </c>
      <c r="B3861" s="942" t="s">
        <v>43</v>
      </c>
      <c r="C3861" s="943" t="s">
        <v>44</v>
      </c>
      <c r="D3861" s="990" t="s">
        <v>45</v>
      </c>
      <c r="E3861" s="130" t="s">
        <v>4470</v>
      </c>
      <c r="F3861" s="130" t="s">
        <v>1008</v>
      </c>
      <c r="G3861" s="991">
        <v>9822911691</v>
      </c>
      <c r="H3861" s="130"/>
      <c r="I3861" s="227">
        <v>48</v>
      </c>
      <c r="J3861" s="130" t="s">
        <v>90</v>
      </c>
      <c r="K3861" s="130" t="s">
        <v>1480</v>
      </c>
      <c r="L3861" s="992"/>
      <c r="M3861" s="130" t="s">
        <v>119</v>
      </c>
      <c r="N3861" s="786">
        <v>65060</v>
      </c>
      <c r="O3861" s="786">
        <v>65060</v>
      </c>
      <c r="P3861" s="1150">
        <v>65074</v>
      </c>
      <c r="Q3861" s="512" t="s">
        <v>51</v>
      </c>
    </row>
    <row r="3862" spans="1:17" ht="18">
      <c r="A3862" s="512">
        <f t="shared" si="53"/>
        <v>3015</v>
      </c>
      <c r="B3862" s="942" t="s">
        <v>43</v>
      </c>
      <c r="C3862" s="943" t="s">
        <v>44</v>
      </c>
      <c r="D3862" s="990" t="s">
        <v>45</v>
      </c>
      <c r="E3862" s="130" t="s">
        <v>4475</v>
      </c>
      <c r="F3862" s="130" t="s">
        <v>529</v>
      </c>
      <c r="G3862" s="991">
        <v>9810899116</v>
      </c>
      <c r="H3862" s="130"/>
      <c r="I3862" s="227">
        <v>39</v>
      </c>
      <c r="J3862" s="130" t="s">
        <v>48</v>
      </c>
      <c r="K3862" s="130" t="s">
        <v>1468</v>
      </c>
      <c r="L3862" s="992"/>
      <c r="M3862" s="130" t="s">
        <v>119</v>
      </c>
      <c r="N3862" s="786">
        <v>65060</v>
      </c>
      <c r="O3862" s="786">
        <v>65060</v>
      </c>
      <c r="P3862" s="1150">
        <v>65074</v>
      </c>
      <c r="Q3862" s="512" t="s">
        <v>51</v>
      </c>
    </row>
    <row r="3863" spans="1:17" ht="18">
      <c r="A3863" s="512">
        <f t="shared" si="53"/>
        <v>3016</v>
      </c>
      <c r="B3863" s="942" t="s">
        <v>43</v>
      </c>
      <c r="C3863" s="943" t="s">
        <v>44</v>
      </c>
      <c r="D3863" s="990" t="s">
        <v>45</v>
      </c>
      <c r="E3863" s="130" t="s">
        <v>4476</v>
      </c>
      <c r="F3863" s="130" t="s">
        <v>636</v>
      </c>
      <c r="G3863" s="991">
        <v>9814443513</v>
      </c>
      <c r="H3863" s="130"/>
      <c r="I3863" s="227">
        <v>42</v>
      </c>
      <c r="J3863" s="130" t="s">
        <v>48</v>
      </c>
      <c r="K3863" s="130" t="s">
        <v>1468</v>
      </c>
      <c r="L3863" s="992"/>
      <c r="M3863" s="130" t="s">
        <v>119</v>
      </c>
      <c r="N3863" s="786">
        <v>65060</v>
      </c>
      <c r="O3863" s="786">
        <v>65060</v>
      </c>
      <c r="P3863" s="1150">
        <v>65074</v>
      </c>
      <c r="Q3863" s="512" t="s">
        <v>51</v>
      </c>
    </row>
    <row r="3864" spans="1:17" ht="18">
      <c r="A3864" s="512">
        <f t="shared" si="53"/>
        <v>3017</v>
      </c>
      <c r="B3864" s="942" t="s">
        <v>43</v>
      </c>
      <c r="C3864" s="943" t="s">
        <v>44</v>
      </c>
      <c r="D3864" s="990" t="s">
        <v>45</v>
      </c>
      <c r="E3864" s="130" t="s">
        <v>4477</v>
      </c>
      <c r="F3864" s="130" t="s">
        <v>491</v>
      </c>
      <c r="G3864" s="991">
        <v>9829801163</v>
      </c>
      <c r="H3864" s="130"/>
      <c r="I3864" s="227">
        <v>26</v>
      </c>
      <c r="J3864" s="130" t="s">
        <v>90</v>
      </c>
      <c r="K3864" s="130" t="s">
        <v>1468</v>
      </c>
      <c r="L3864" s="992"/>
      <c r="M3864" s="130" t="s">
        <v>119</v>
      </c>
      <c r="N3864" s="786">
        <v>65060</v>
      </c>
      <c r="O3864" s="786">
        <v>65060</v>
      </c>
      <c r="P3864" s="1150">
        <v>65074</v>
      </c>
      <c r="Q3864" s="512" t="s">
        <v>51</v>
      </c>
    </row>
    <row r="3865" spans="1:17" ht="18">
      <c r="A3865" s="512">
        <f t="shared" si="53"/>
        <v>3018</v>
      </c>
      <c r="B3865" s="942" t="s">
        <v>43</v>
      </c>
      <c r="C3865" s="943" t="s">
        <v>44</v>
      </c>
      <c r="D3865" s="990" t="s">
        <v>45</v>
      </c>
      <c r="E3865" s="130" t="s">
        <v>4478</v>
      </c>
      <c r="F3865" s="130" t="s">
        <v>1008</v>
      </c>
      <c r="G3865" s="991">
        <v>9809571871</v>
      </c>
      <c r="H3865" s="130"/>
      <c r="I3865" s="227">
        <v>29</v>
      </c>
      <c r="J3865" s="130" t="s">
        <v>48</v>
      </c>
      <c r="K3865" s="130" t="s">
        <v>1468</v>
      </c>
      <c r="L3865" s="992"/>
      <c r="M3865" s="130" t="s">
        <v>119</v>
      </c>
      <c r="N3865" s="786">
        <v>65060</v>
      </c>
      <c r="O3865" s="786">
        <v>65060</v>
      </c>
      <c r="P3865" s="1150">
        <v>65074</v>
      </c>
      <c r="Q3865" s="512" t="s">
        <v>51</v>
      </c>
    </row>
    <row r="3866" spans="1:17" ht="18">
      <c r="A3866" s="512">
        <f t="shared" si="53"/>
        <v>3019</v>
      </c>
      <c r="B3866" s="942" t="s">
        <v>43</v>
      </c>
      <c r="C3866" s="943" t="s">
        <v>44</v>
      </c>
      <c r="D3866" s="990" t="s">
        <v>45</v>
      </c>
      <c r="E3866" s="130" t="s">
        <v>4628</v>
      </c>
      <c r="F3866" s="130" t="s">
        <v>124</v>
      </c>
      <c r="G3866" s="991">
        <v>9847890843</v>
      </c>
      <c r="H3866" s="130"/>
      <c r="I3866" s="227">
        <v>65</v>
      </c>
      <c r="J3866" s="130" t="s">
        <v>48</v>
      </c>
      <c r="K3866" s="130" t="s">
        <v>1468</v>
      </c>
      <c r="L3866" s="992"/>
      <c r="M3866" s="130" t="s">
        <v>119</v>
      </c>
      <c r="N3866" s="786">
        <v>65060</v>
      </c>
      <c r="O3866" s="786">
        <v>65060</v>
      </c>
      <c r="P3866" s="1150">
        <v>65074</v>
      </c>
      <c r="Q3866" s="512" t="s">
        <v>51</v>
      </c>
    </row>
    <row r="3867" spans="1:17" ht="18">
      <c r="A3867" s="512">
        <f t="shared" si="53"/>
        <v>3020</v>
      </c>
      <c r="B3867" s="942" t="s">
        <v>43</v>
      </c>
      <c r="C3867" s="943" t="s">
        <v>44</v>
      </c>
      <c r="D3867" s="990" t="s">
        <v>45</v>
      </c>
      <c r="E3867" s="130" t="s">
        <v>4479</v>
      </c>
      <c r="F3867" s="130" t="s">
        <v>557</v>
      </c>
      <c r="G3867" s="130">
        <v>9847824677</v>
      </c>
      <c r="H3867" s="130"/>
      <c r="I3867" s="227">
        <v>66</v>
      </c>
      <c r="J3867" s="130" t="s">
        <v>90</v>
      </c>
      <c r="K3867" s="130" t="s">
        <v>1468</v>
      </c>
      <c r="L3867" s="992"/>
      <c r="M3867" s="130" t="s">
        <v>119</v>
      </c>
      <c r="N3867" s="786">
        <v>65060</v>
      </c>
      <c r="O3867" s="786">
        <v>65060</v>
      </c>
      <c r="P3867" s="1150">
        <v>65074</v>
      </c>
      <c r="Q3867" s="512" t="s">
        <v>51</v>
      </c>
    </row>
    <row r="3868" spans="1:17" ht="18">
      <c r="A3868" s="512">
        <f t="shared" si="53"/>
        <v>3021</v>
      </c>
      <c r="B3868" s="942" t="s">
        <v>43</v>
      </c>
      <c r="C3868" s="943" t="s">
        <v>44</v>
      </c>
      <c r="D3868" s="990" t="s">
        <v>45</v>
      </c>
      <c r="E3868" s="509" t="s">
        <v>4495</v>
      </c>
      <c r="F3868" s="434" t="s">
        <v>441</v>
      </c>
      <c r="G3868" s="509">
        <v>9851169875</v>
      </c>
      <c r="I3868" s="490">
        <v>30</v>
      </c>
      <c r="J3868" s="490" t="s">
        <v>90</v>
      </c>
      <c r="K3868" s="130" t="s">
        <v>1468</v>
      </c>
      <c r="M3868" s="130" t="s">
        <v>119</v>
      </c>
      <c r="N3868" s="1036">
        <v>65060</v>
      </c>
      <c r="O3868" s="1036">
        <v>65060</v>
      </c>
      <c r="P3868" s="1150">
        <v>65074</v>
      </c>
      <c r="Q3868" s="512" t="s">
        <v>51</v>
      </c>
    </row>
    <row r="3869" spans="1:17" ht="18">
      <c r="A3869" s="512">
        <f t="shared" si="53"/>
        <v>3022</v>
      </c>
      <c r="B3869" s="942" t="s">
        <v>43</v>
      </c>
      <c r="C3869" s="943" t="s">
        <v>44</v>
      </c>
      <c r="D3869" s="990" t="s">
        <v>45</v>
      </c>
      <c r="E3869" s="130" t="s">
        <v>4471</v>
      </c>
      <c r="F3869" s="130" t="s">
        <v>441</v>
      </c>
      <c r="G3869" s="130">
        <v>9857836665</v>
      </c>
      <c r="H3869" s="130"/>
      <c r="I3869" s="227">
        <v>46</v>
      </c>
      <c r="J3869" s="130" t="s">
        <v>90</v>
      </c>
      <c r="K3869" s="130" t="s">
        <v>1480</v>
      </c>
      <c r="L3869" s="992"/>
      <c r="M3869" s="130" t="s">
        <v>119</v>
      </c>
      <c r="N3869" s="786">
        <v>65060</v>
      </c>
      <c r="O3869" s="786">
        <v>65060</v>
      </c>
      <c r="P3869" s="1150">
        <v>65074</v>
      </c>
      <c r="Q3869" s="512" t="s">
        <v>51</v>
      </c>
    </row>
    <row r="3870" spans="1:17" s="362" customFormat="1" ht="18">
      <c r="A3870" s="512">
        <f t="shared" si="53"/>
        <v>3023</v>
      </c>
      <c r="B3870" s="1238" t="s">
        <v>43</v>
      </c>
      <c r="C3870" s="1239" t="s">
        <v>44</v>
      </c>
      <c r="D3870" s="1244" t="s">
        <v>45</v>
      </c>
      <c r="E3870" s="1185" t="s">
        <v>4491</v>
      </c>
      <c r="F3870" s="659" t="s">
        <v>512</v>
      </c>
      <c r="G3870" s="1185">
        <v>9857824787</v>
      </c>
      <c r="H3870" s="989"/>
      <c r="I3870" s="1187">
        <v>65</v>
      </c>
      <c r="J3870" s="1187" t="s">
        <v>90</v>
      </c>
      <c r="K3870" s="130" t="s">
        <v>1468</v>
      </c>
      <c r="L3870" s="659"/>
      <c r="M3870" s="130" t="s">
        <v>54</v>
      </c>
      <c r="N3870" s="867">
        <v>65060</v>
      </c>
      <c r="O3870" s="867">
        <v>65061</v>
      </c>
      <c r="P3870" s="1245">
        <v>65080</v>
      </c>
      <c r="Q3870" s="1205" t="s">
        <v>51</v>
      </c>
    </row>
    <row r="3871" spans="1:17" ht="18">
      <c r="A3871" s="512">
        <f t="shared" si="53"/>
        <v>3024</v>
      </c>
      <c r="B3871" s="942" t="s">
        <v>43</v>
      </c>
      <c r="C3871" s="943" t="s">
        <v>44</v>
      </c>
      <c r="D3871" s="990" t="s">
        <v>45</v>
      </c>
      <c r="E3871" s="130" t="s">
        <v>4480</v>
      </c>
      <c r="F3871" s="130" t="s">
        <v>1008</v>
      </c>
      <c r="G3871" s="130">
        <v>9806261176</v>
      </c>
      <c r="H3871" s="130"/>
      <c r="I3871" s="227">
        <v>55</v>
      </c>
      <c r="J3871" s="130" t="s">
        <v>48</v>
      </c>
      <c r="K3871" s="130" t="s">
        <v>1468</v>
      </c>
      <c r="L3871" s="992"/>
      <c r="M3871" s="130" t="s">
        <v>119</v>
      </c>
      <c r="N3871" s="786">
        <v>65060</v>
      </c>
      <c r="O3871" s="786">
        <v>65060</v>
      </c>
      <c r="P3871" s="1150">
        <v>65074</v>
      </c>
      <c r="Q3871" s="512" t="s">
        <v>51</v>
      </c>
    </row>
    <row r="3872" spans="1:17" ht="18">
      <c r="A3872" s="512">
        <f t="shared" si="53"/>
        <v>3025</v>
      </c>
      <c r="B3872" s="942" t="s">
        <v>43</v>
      </c>
      <c r="C3872" s="943" t="s">
        <v>44</v>
      </c>
      <c r="D3872" s="990" t="s">
        <v>45</v>
      </c>
      <c r="E3872" s="130" t="s">
        <v>3701</v>
      </c>
      <c r="F3872" s="130" t="s">
        <v>1009</v>
      </c>
      <c r="G3872" s="130">
        <v>9844965347</v>
      </c>
      <c r="H3872" s="130"/>
      <c r="I3872" s="227">
        <v>50</v>
      </c>
      <c r="J3872" s="130" t="s">
        <v>90</v>
      </c>
      <c r="K3872" s="130" t="s">
        <v>1468</v>
      </c>
      <c r="L3872" s="992"/>
      <c r="M3872" s="130" t="s">
        <v>119</v>
      </c>
      <c r="N3872" s="786">
        <v>65060</v>
      </c>
      <c r="O3872" s="786">
        <v>65060</v>
      </c>
      <c r="P3872" s="1150">
        <v>65074</v>
      </c>
      <c r="Q3872" s="512" t="s">
        <v>51</v>
      </c>
    </row>
    <row r="3873" spans="1:17" ht="18">
      <c r="A3873" s="512">
        <f t="shared" si="53"/>
        <v>3026</v>
      </c>
      <c r="B3873" s="942" t="s">
        <v>43</v>
      </c>
      <c r="C3873" s="943" t="s">
        <v>44</v>
      </c>
      <c r="D3873" s="990" t="s">
        <v>45</v>
      </c>
      <c r="E3873" s="130" t="s">
        <v>3701</v>
      </c>
      <c r="F3873" s="130" t="s">
        <v>1046</v>
      </c>
      <c r="G3873" s="130">
        <v>9868600532</v>
      </c>
      <c r="H3873" s="130"/>
      <c r="I3873" s="227">
        <v>67</v>
      </c>
      <c r="J3873" s="130" t="s">
        <v>90</v>
      </c>
      <c r="K3873" s="130" t="s">
        <v>1468</v>
      </c>
      <c r="L3873" s="992"/>
      <c r="M3873" s="130" t="s">
        <v>119</v>
      </c>
      <c r="N3873" s="786">
        <v>65060</v>
      </c>
      <c r="O3873" s="786">
        <v>65060</v>
      </c>
      <c r="P3873" s="1150">
        <v>65074</v>
      </c>
      <c r="Q3873" s="512" t="s">
        <v>51</v>
      </c>
    </row>
    <row r="3874" spans="1:17" ht="18">
      <c r="A3874" s="512">
        <f t="shared" si="53"/>
        <v>3027</v>
      </c>
      <c r="B3874" s="942" t="s">
        <v>43</v>
      </c>
      <c r="C3874" s="943" t="s">
        <v>44</v>
      </c>
      <c r="D3874" s="990" t="s">
        <v>45</v>
      </c>
      <c r="E3874" s="128" t="s">
        <v>4726</v>
      </c>
      <c r="F3874" s="128" t="s">
        <v>1008</v>
      </c>
      <c r="G3874" s="128">
        <v>9847820202</v>
      </c>
      <c r="H3874" s="128"/>
      <c r="I3874" s="247">
        <v>28</v>
      </c>
      <c r="J3874" s="128" t="s">
        <v>90</v>
      </c>
      <c r="K3874" s="128" t="s">
        <v>1763</v>
      </c>
      <c r="L3874" s="128"/>
      <c r="M3874" s="128" t="s">
        <v>1764</v>
      </c>
      <c r="N3874" s="64">
        <v>65060.397233796299</v>
      </c>
      <c r="O3874" s="64">
        <v>65060.397233796299</v>
      </c>
      <c r="P3874" s="534" t="s">
        <v>4727</v>
      </c>
      <c r="Q3874" s="531" t="s">
        <v>51</v>
      </c>
    </row>
    <row r="3875" spans="1:17" ht="18">
      <c r="A3875" s="512">
        <f t="shared" si="53"/>
        <v>3028</v>
      </c>
      <c r="B3875" s="942" t="s">
        <v>43</v>
      </c>
      <c r="C3875" s="943" t="s">
        <v>44</v>
      </c>
      <c r="D3875" s="990" t="s">
        <v>45</v>
      </c>
      <c r="E3875" s="120" t="s">
        <v>4490</v>
      </c>
      <c r="F3875" s="120" t="s">
        <v>557</v>
      </c>
      <c r="G3875" s="120">
        <v>9822920189</v>
      </c>
      <c r="H3875" s="894"/>
      <c r="I3875" s="150">
        <v>32</v>
      </c>
      <c r="J3875" s="120" t="s">
        <v>48</v>
      </c>
      <c r="K3875" s="120" t="s">
        <v>3289</v>
      </c>
      <c r="L3875" s="120"/>
      <c r="M3875" s="146" t="s">
        <v>119</v>
      </c>
      <c r="N3875" s="710">
        <v>65061</v>
      </c>
      <c r="O3875" s="710">
        <v>65061</v>
      </c>
      <c r="P3875" s="534" t="s">
        <v>4727</v>
      </c>
      <c r="Q3875" s="531" t="s">
        <v>51</v>
      </c>
    </row>
    <row r="3876" spans="1:17" ht="18">
      <c r="A3876" s="512">
        <f t="shared" si="53"/>
        <v>3029</v>
      </c>
      <c r="B3876" s="942" t="s">
        <v>43</v>
      </c>
      <c r="C3876" s="943" t="s">
        <v>44</v>
      </c>
      <c r="D3876" s="990" t="s">
        <v>45</v>
      </c>
      <c r="E3876" s="1038" t="s">
        <v>4506</v>
      </c>
      <c r="F3876" s="1038" t="s">
        <v>1046</v>
      </c>
      <c r="G3876" s="1175">
        <v>9812835751</v>
      </c>
      <c r="I3876" s="1039">
        <v>62</v>
      </c>
      <c r="J3876" s="1038" t="s">
        <v>453</v>
      </c>
      <c r="K3876" s="1038" t="s">
        <v>1480</v>
      </c>
      <c r="M3876" s="130" t="s">
        <v>119</v>
      </c>
      <c r="N3876" s="1036">
        <v>65061</v>
      </c>
      <c r="O3876" s="1036">
        <v>65061</v>
      </c>
      <c r="P3876" s="534" t="s">
        <v>4727</v>
      </c>
      <c r="Q3876" s="531" t="s">
        <v>51</v>
      </c>
    </row>
    <row r="3877" spans="1:17" ht="18">
      <c r="A3877" s="512">
        <f t="shared" si="53"/>
        <v>3030</v>
      </c>
      <c r="B3877" s="942" t="s">
        <v>43</v>
      </c>
      <c r="C3877" s="943" t="s">
        <v>44</v>
      </c>
      <c r="D3877" s="990" t="s">
        <v>45</v>
      </c>
      <c r="E3877" s="69" t="s">
        <v>4514</v>
      </c>
      <c r="F3877" s="69" t="s">
        <v>510</v>
      </c>
      <c r="G3877" s="297"/>
      <c r="H3877" s="69"/>
      <c r="I3877" s="266">
        <v>42</v>
      </c>
      <c r="J3877" s="155" t="s">
        <v>90</v>
      </c>
      <c r="K3877" s="69"/>
      <c r="L3877" s="69"/>
      <c r="M3877" s="266" t="s">
        <v>4515</v>
      </c>
      <c r="N3877" s="295">
        <v>65061</v>
      </c>
      <c r="O3877" s="295">
        <v>65061</v>
      </c>
      <c r="P3877" s="71">
        <v>65061</v>
      </c>
      <c r="Q3877" s="527" t="s">
        <v>940</v>
      </c>
    </row>
    <row r="3878" spans="1:17" ht="18">
      <c r="A3878" s="512">
        <f t="shared" si="53"/>
        <v>3031</v>
      </c>
      <c r="B3878" s="942" t="s">
        <v>43</v>
      </c>
      <c r="C3878" s="943" t="s">
        <v>44</v>
      </c>
      <c r="D3878" s="990" t="s">
        <v>45</v>
      </c>
      <c r="E3878" s="69" t="s">
        <v>4512</v>
      </c>
      <c r="F3878" s="69" t="s">
        <v>510</v>
      </c>
      <c r="G3878" s="297"/>
      <c r="H3878" s="69"/>
      <c r="I3878" s="266">
        <v>37</v>
      </c>
      <c r="J3878" s="597" t="s">
        <v>48</v>
      </c>
      <c r="K3878" s="69" t="s">
        <v>4513</v>
      </c>
      <c r="L3878" s="69"/>
      <c r="M3878" s="266"/>
      <c r="N3878" s="295">
        <v>65061</v>
      </c>
      <c r="O3878" s="295">
        <v>65061</v>
      </c>
      <c r="P3878" s="71">
        <v>65061</v>
      </c>
      <c r="Q3878" s="527" t="s">
        <v>940</v>
      </c>
    </row>
    <row r="3879" spans="1:17" ht="18">
      <c r="A3879" s="512">
        <f t="shared" si="53"/>
        <v>3032</v>
      </c>
      <c r="B3879" s="942" t="s">
        <v>43</v>
      </c>
      <c r="C3879" s="943" t="s">
        <v>44</v>
      </c>
      <c r="D3879" s="990" t="s">
        <v>45</v>
      </c>
      <c r="E3879" s="1038" t="s">
        <v>4505</v>
      </c>
      <c r="F3879" s="1038" t="s">
        <v>510</v>
      </c>
      <c r="G3879" s="1175">
        <v>9844940869</v>
      </c>
      <c r="I3879" s="1039">
        <v>58</v>
      </c>
      <c r="J3879" s="1038" t="s">
        <v>453</v>
      </c>
      <c r="K3879" s="1038" t="s">
        <v>1480</v>
      </c>
      <c r="M3879" s="130" t="s">
        <v>119</v>
      </c>
      <c r="N3879" s="1036">
        <v>65061</v>
      </c>
      <c r="O3879" s="1036">
        <v>65061</v>
      </c>
      <c r="P3879" s="534" t="s">
        <v>4727</v>
      </c>
      <c r="Q3879" s="531" t="s">
        <v>51</v>
      </c>
    </row>
    <row r="3880" spans="1:17" ht="18">
      <c r="A3880" s="512">
        <f t="shared" si="53"/>
        <v>3033</v>
      </c>
      <c r="B3880" s="942" t="s">
        <v>43</v>
      </c>
      <c r="C3880" s="943" t="s">
        <v>44</v>
      </c>
      <c r="D3880" s="990" t="s">
        <v>45</v>
      </c>
      <c r="E3880" s="509" t="s">
        <v>4497</v>
      </c>
      <c r="F3880" s="490" t="s">
        <v>1204</v>
      </c>
      <c r="G3880" s="509">
        <v>9812802632</v>
      </c>
      <c r="H3880" s="1032"/>
      <c r="I3880" s="490">
        <v>65</v>
      </c>
      <c r="J3880" s="490" t="s">
        <v>48</v>
      </c>
      <c r="K3880" s="891" t="s">
        <v>1468</v>
      </c>
      <c r="M3880" s="146" t="s">
        <v>119</v>
      </c>
      <c r="N3880" s="710">
        <v>65061</v>
      </c>
      <c r="O3880" s="710">
        <v>65061</v>
      </c>
      <c r="P3880" s="534" t="s">
        <v>4727</v>
      </c>
      <c r="Q3880" s="531" t="s">
        <v>51</v>
      </c>
    </row>
    <row r="3881" spans="1:17" ht="18">
      <c r="A3881" s="512">
        <f t="shared" si="53"/>
        <v>3034</v>
      </c>
      <c r="B3881" s="942" t="s">
        <v>43</v>
      </c>
      <c r="C3881" s="943" t="s">
        <v>44</v>
      </c>
      <c r="D3881" s="990" t="s">
        <v>45</v>
      </c>
      <c r="E3881" s="120" t="s">
        <v>1896</v>
      </c>
      <c r="F3881" s="120" t="s">
        <v>1046</v>
      </c>
      <c r="G3881" s="120">
        <v>9866913987</v>
      </c>
      <c r="H3881" s="894"/>
      <c r="I3881" s="150">
        <v>58</v>
      </c>
      <c r="J3881" s="120" t="s">
        <v>48</v>
      </c>
      <c r="K3881" s="120" t="s">
        <v>4507</v>
      </c>
      <c r="L3881" s="120"/>
      <c r="M3881" s="146" t="s">
        <v>119</v>
      </c>
      <c r="N3881" s="710">
        <v>65061</v>
      </c>
      <c r="O3881" s="710">
        <v>65061</v>
      </c>
      <c r="P3881" s="534" t="s">
        <v>4727</v>
      </c>
      <c r="Q3881" s="531" t="s">
        <v>51</v>
      </c>
    </row>
    <row r="3882" spans="1:17" ht="18">
      <c r="A3882" s="512">
        <f t="shared" si="53"/>
        <v>3035</v>
      </c>
      <c r="B3882" s="942" t="s">
        <v>43</v>
      </c>
      <c r="C3882" s="943" t="s">
        <v>44</v>
      </c>
      <c r="D3882" s="990" t="s">
        <v>45</v>
      </c>
      <c r="E3882" s="120" t="s">
        <v>4508</v>
      </c>
      <c r="F3882" s="120" t="s">
        <v>491</v>
      </c>
      <c r="G3882" s="120">
        <v>9844936817</v>
      </c>
      <c r="H3882" s="894"/>
      <c r="I3882" s="150">
        <v>61</v>
      </c>
      <c r="J3882" s="120" t="s">
        <v>90</v>
      </c>
      <c r="K3882" s="120" t="s">
        <v>4507</v>
      </c>
      <c r="L3882" s="120"/>
      <c r="M3882" s="146" t="s">
        <v>119</v>
      </c>
      <c r="N3882" s="710">
        <v>65061</v>
      </c>
      <c r="O3882" s="710">
        <v>65061</v>
      </c>
      <c r="P3882" s="534" t="s">
        <v>4727</v>
      </c>
      <c r="Q3882" s="531" t="s">
        <v>51</v>
      </c>
    </row>
    <row r="3883" spans="1:17" ht="18">
      <c r="A3883" s="512">
        <f t="shared" si="53"/>
        <v>3036</v>
      </c>
      <c r="B3883" s="942" t="s">
        <v>43</v>
      </c>
      <c r="C3883" s="943" t="s">
        <v>44</v>
      </c>
      <c r="D3883" s="990" t="s">
        <v>45</v>
      </c>
      <c r="E3883" s="120" t="s">
        <v>4509</v>
      </c>
      <c r="F3883" s="120" t="s">
        <v>730</v>
      </c>
      <c r="G3883" s="120">
        <v>9866850093</v>
      </c>
      <c r="H3883" s="894"/>
      <c r="I3883" s="150">
        <v>54</v>
      </c>
      <c r="J3883" s="120" t="s">
        <v>90</v>
      </c>
      <c r="K3883" s="120" t="s">
        <v>4507</v>
      </c>
      <c r="L3883" s="120"/>
      <c r="M3883" s="146" t="s">
        <v>119</v>
      </c>
      <c r="N3883" s="710">
        <v>65061</v>
      </c>
      <c r="O3883" s="710">
        <v>65061</v>
      </c>
      <c r="P3883" s="534" t="s">
        <v>4727</v>
      </c>
      <c r="Q3883" s="531" t="s">
        <v>51</v>
      </c>
    </row>
    <row r="3884" spans="1:17" ht="18">
      <c r="A3884" s="512">
        <f t="shared" si="53"/>
        <v>3037</v>
      </c>
      <c r="B3884" s="942" t="s">
        <v>43</v>
      </c>
      <c r="C3884" s="943" t="s">
        <v>44</v>
      </c>
      <c r="D3884" s="990" t="s">
        <v>45</v>
      </c>
      <c r="E3884" s="120" t="s">
        <v>4492</v>
      </c>
      <c r="F3884" s="120" t="s">
        <v>491</v>
      </c>
      <c r="G3884" s="120">
        <v>9848925218</v>
      </c>
      <c r="H3884" s="894"/>
      <c r="I3884" s="150">
        <v>90</v>
      </c>
      <c r="J3884" s="120" t="s">
        <v>48</v>
      </c>
      <c r="K3884" s="120" t="s">
        <v>3289</v>
      </c>
      <c r="L3884" s="120"/>
      <c r="M3884" s="146" t="s">
        <v>119</v>
      </c>
      <c r="N3884" s="710">
        <v>65061</v>
      </c>
      <c r="O3884" s="710">
        <v>65061</v>
      </c>
      <c r="P3884" s="534" t="s">
        <v>4727</v>
      </c>
      <c r="Q3884" s="531" t="s">
        <v>51</v>
      </c>
    </row>
    <row r="3885" spans="1:17" ht="18">
      <c r="A3885" s="512">
        <f t="shared" si="53"/>
        <v>3038</v>
      </c>
      <c r="B3885" s="942" t="s">
        <v>43</v>
      </c>
      <c r="C3885" s="943" t="s">
        <v>44</v>
      </c>
      <c r="D3885" s="990" t="s">
        <v>45</v>
      </c>
      <c r="E3885" s="1031" t="s">
        <v>4498</v>
      </c>
      <c r="F3885" s="434" t="s">
        <v>512</v>
      </c>
      <c r="G3885" s="1031">
        <v>9848379024</v>
      </c>
      <c r="I3885" s="1035">
        <v>30</v>
      </c>
      <c r="J3885" s="1035" t="s">
        <v>453</v>
      </c>
      <c r="K3885" s="130" t="s">
        <v>1468</v>
      </c>
      <c r="M3885" s="130" t="s">
        <v>119</v>
      </c>
      <c r="N3885" s="1036">
        <v>65061</v>
      </c>
      <c r="O3885" s="1036">
        <v>65061</v>
      </c>
      <c r="P3885" s="534" t="s">
        <v>4727</v>
      </c>
      <c r="Q3885" s="531" t="s">
        <v>51</v>
      </c>
    </row>
    <row r="3886" spans="1:17" ht="18">
      <c r="A3886" s="512">
        <f t="shared" si="53"/>
        <v>3039</v>
      </c>
      <c r="B3886" s="942" t="s">
        <v>43</v>
      </c>
      <c r="C3886" s="943" t="s">
        <v>44</v>
      </c>
      <c r="D3886" s="990" t="s">
        <v>45</v>
      </c>
      <c r="E3886" s="1031" t="s">
        <v>4500</v>
      </c>
      <c r="F3886" s="434" t="s">
        <v>502</v>
      </c>
      <c r="G3886" s="1031">
        <v>9848026931</v>
      </c>
      <c r="I3886" s="1035">
        <v>37</v>
      </c>
      <c r="J3886" s="1035" t="s">
        <v>90</v>
      </c>
      <c r="K3886" s="130" t="s">
        <v>1468</v>
      </c>
      <c r="M3886" s="130" t="s">
        <v>119</v>
      </c>
      <c r="N3886" s="1036">
        <v>65061</v>
      </c>
      <c r="O3886" s="1036">
        <v>65061</v>
      </c>
      <c r="P3886" s="534" t="s">
        <v>4727</v>
      </c>
      <c r="Q3886" s="531" t="s">
        <v>51</v>
      </c>
    </row>
    <row r="3887" spans="1:17" ht="18">
      <c r="A3887" s="512">
        <f t="shared" si="53"/>
        <v>3040</v>
      </c>
      <c r="B3887" s="942" t="s">
        <v>43</v>
      </c>
      <c r="C3887" s="943" t="s">
        <v>44</v>
      </c>
      <c r="D3887" s="990" t="s">
        <v>45</v>
      </c>
      <c r="E3887" s="1031" t="s">
        <v>3885</v>
      </c>
      <c r="F3887" s="434" t="s">
        <v>502</v>
      </c>
      <c r="G3887" s="1031">
        <v>9857825763</v>
      </c>
      <c r="I3887" s="1035">
        <v>25</v>
      </c>
      <c r="J3887" s="1035" t="s">
        <v>90</v>
      </c>
      <c r="K3887" s="130" t="s">
        <v>1468</v>
      </c>
      <c r="M3887" s="130" t="s">
        <v>119</v>
      </c>
      <c r="N3887" s="1036">
        <v>65061</v>
      </c>
      <c r="O3887" s="1036">
        <v>65061</v>
      </c>
      <c r="P3887" s="534" t="s">
        <v>4727</v>
      </c>
      <c r="Q3887" s="531" t="s">
        <v>51</v>
      </c>
    </row>
    <row r="3888" spans="1:17" ht="18">
      <c r="A3888" s="512">
        <f t="shared" si="53"/>
        <v>3041</v>
      </c>
      <c r="B3888" s="942" t="s">
        <v>43</v>
      </c>
      <c r="C3888" s="943" t="s">
        <v>44</v>
      </c>
      <c r="D3888" s="990" t="s">
        <v>45</v>
      </c>
      <c r="E3888" s="120" t="s">
        <v>4494</v>
      </c>
      <c r="F3888" s="120" t="s">
        <v>441</v>
      </c>
      <c r="G3888" s="120">
        <v>9845440773</v>
      </c>
      <c r="H3888" s="894"/>
      <c r="I3888" s="150">
        <v>50</v>
      </c>
      <c r="J3888" s="120" t="s">
        <v>90</v>
      </c>
      <c r="K3888" s="120" t="s">
        <v>3289</v>
      </c>
      <c r="L3888" s="120"/>
      <c r="M3888" s="146" t="s">
        <v>119</v>
      </c>
      <c r="N3888" s="710">
        <v>65061</v>
      </c>
      <c r="O3888" s="710">
        <v>65061</v>
      </c>
      <c r="P3888" s="534" t="s">
        <v>4727</v>
      </c>
      <c r="Q3888" s="531" t="s">
        <v>51</v>
      </c>
    </row>
    <row r="3889" spans="1:17" ht="18">
      <c r="A3889" s="512">
        <f t="shared" si="53"/>
        <v>3042</v>
      </c>
      <c r="B3889" s="942" t="s">
        <v>43</v>
      </c>
      <c r="C3889" s="943" t="s">
        <v>44</v>
      </c>
      <c r="D3889" s="990" t="s">
        <v>45</v>
      </c>
      <c r="E3889" s="1031" t="s">
        <v>4501</v>
      </c>
      <c r="F3889" s="434" t="s">
        <v>502</v>
      </c>
      <c r="G3889" s="1031">
        <v>9857825763</v>
      </c>
      <c r="I3889" s="1035">
        <v>50</v>
      </c>
      <c r="J3889" s="1035" t="s">
        <v>90</v>
      </c>
      <c r="K3889" s="130" t="s">
        <v>1468</v>
      </c>
      <c r="M3889" s="130" t="s">
        <v>119</v>
      </c>
      <c r="N3889" s="1036">
        <v>65061</v>
      </c>
      <c r="O3889" s="1036">
        <v>65061</v>
      </c>
      <c r="P3889" s="534" t="s">
        <v>4727</v>
      </c>
      <c r="Q3889" s="531" t="s">
        <v>51</v>
      </c>
    </row>
    <row r="3890" spans="1:17" ht="18">
      <c r="A3890" s="512">
        <f t="shared" si="53"/>
        <v>3043</v>
      </c>
      <c r="B3890" s="942" t="s">
        <v>43</v>
      </c>
      <c r="C3890" s="943" t="s">
        <v>44</v>
      </c>
      <c r="D3890" s="990" t="s">
        <v>45</v>
      </c>
      <c r="E3890" s="120" t="s">
        <v>4493</v>
      </c>
      <c r="F3890" s="120" t="s">
        <v>491</v>
      </c>
      <c r="G3890" s="120">
        <v>9847866394</v>
      </c>
      <c r="H3890" s="894"/>
      <c r="I3890" s="150">
        <v>45</v>
      </c>
      <c r="J3890" s="120" t="s">
        <v>48</v>
      </c>
      <c r="K3890" s="120" t="s">
        <v>3289</v>
      </c>
      <c r="L3890" s="120"/>
      <c r="M3890" s="146" t="s">
        <v>119</v>
      </c>
      <c r="N3890" s="710">
        <v>65061</v>
      </c>
      <c r="O3890" s="710">
        <v>65061</v>
      </c>
      <c r="P3890" s="534" t="s">
        <v>4727</v>
      </c>
      <c r="Q3890" s="531" t="s">
        <v>51</v>
      </c>
    </row>
    <row r="3891" spans="1:17" ht="18">
      <c r="A3891" s="512">
        <f t="shared" si="53"/>
        <v>3044</v>
      </c>
      <c r="B3891" s="942" t="s">
        <v>43</v>
      </c>
      <c r="C3891" s="943" t="s">
        <v>44</v>
      </c>
      <c r="D3891" s="990" t="s">
        <v>45</v>
      </c>
      <c r="E3891" s="1038" t="s">
        <v>4504</v>
      </c>
      <c r="F3891" s="1038" t="s">
        <v>529</v>
      </c>
      <c r="G3891" s="1175">
        <v>9851158094</v>
      </c>
      <c r="I3891" s="1039">
        <v>30</v>
      </c>
      <c r="J3891" s="1038" t="s">
        <v>453</v>
      </c>
      <c r="K3891" s="1038" t="s">
        <v>1480</v>
      </c>
      <c r="M3891" s="130" t="s">
        <v>119</v>
      </c>
      <c r="N3891" s="1036">
        <v>65061</v>
      </c>
      <c r="O3891" s="1036">
        <v>65061</v>
      </c>
      <c r="P3891" s="534" t="s">
        <v>4727</v>
      </c>
      <c r="Q3891" s="531" t="s">
        <v>51</v>
      </c>
    </row>
    <row r="3892" spans="1:17" ht="18">
      <c r="A3892" s="512">
        <f t="shared" si="53"/>
        <v>3045</v>
      </c>
      <c r="B3892" s="942" t="s">
        <v>43</v>
      </c>
      <c r="C3892" s="943" t="s">
        <v>44</v>
      </c>
      <c r="D3892" s="990" t="s">
        <v>45</v>
      </c>
      <c r="E3892" s="1031" t="s">
        <v>4502</v>
      </c>
      <c r="F3892" s="434" t="s">
        <v>502</v>
      </c>
      <c r="G3892" s="1031">
        <v>9847920008</v>
      </c>
      <c r="I3892" s="1035">
        <v>30</v>
      </c>
      <c r="J3892" s="1035" t="s">
        <v>90</v>
      </c>
      <c r="K3892" s="130" t="s">
        <v>1468</v>
      </c>
      <c r="M3892" s="130" t="s">
        <v>119</v>
      </c>
      <c r="N3892" s="1036">
        <v>65061</v>
      </c>
      <c r="O3892" s="1036">
        <v>65061</v>
      </c>
      <c r="P3892" s="534" t="s">
        <v>4727</v>
      </c>
      <c r="Q3892" s="531" t="s">
        <v>51</v>
      </c>
    </row>
    <row r="3893" spans="1:17" ht="18">
      <c r="A3893" s="512">
        <f t="shared" si="53"/>
        <v>3046</v>
      </c>
      <c r="B3893" s="942" t="s">
        <v>43</v>
      </c>
      <c r="C3893" s="943" t="s">
        <v>44</v>
      </c>
      <c r="D3893" s="990" t="s">
        <v>45</v>
      </c>
      <c r="E3893" s="120" t="s">
        <v>4510</v>
      </c>
      <c r="F3893" s="120" t="s">
        <v>1046</v>
      </c>
      <c r="G3893" s="120">
        <v>9866902624</v>
      </c>
      <c r="H3893" s="894"/>
      <c r="I3893" s="150">
        <v>52</v>
      </c>
      <c r="J3893" s="120" t="s">
        <v>90</v>
      </c>
      <c r="K3893" s="120" t="s">
        <v>4507</v>
      </c>
      <c r="L3893" s="120"/>
      <c r="M3893" s="146" t="s">
        <v>119</v>
      </c>
      <c r="N3893" s="710">
        <v>65061</v>
      </c>
      <c r="O3893" s="710">
        <v>65061</v>
      </c>
      <c r="P3893" s="534" t="s">
        <v>4727</v>
      </c>
      <c r="Q3893" s="531" t="s">
        <v>51</v>
      </c>
    </row>
    <row r="3894" spans="1:17" ht="18">
      <c r="A3894" s="512">
        <f t="shared" si="53"/>
        <v>3047</v>
      </c>
      <c r="B3894" s="942" t="s">
        <v>43</v>
      </c>
      <c r="C3894" s="943" t="s">
        <v>44</v>
      </c>
      <c r="D3894" s="990" t="s">
        <v>45</v>
      </c>
      <c r="E3894" s="120" t="s">
        <v>4495</v>
      </c>
      <c r="F3894" s="120" t="s">
        <v>441</v>
      </c>
      <c r="G3894" s="120">
        <v>9851169875</v>
      </c>
      <c r="H3894" s="894"/>
      <c r="I3894" s="150">
        <v>30</v>
      </c>
      <c r="J3894" s="120" t="s">
        <v>90</v>
      </c>
      <c r="K3894" s="120" t="s">
        <v>3289</v>
      </c>
      <c r="L3894" s="120"/>
      <c r="M3894" s="146" t="s">
        <v>119</v>
      </c>
      <c r="N3894" s="710">
        <v>65061</v>
      </c>
      <c r="O3894" s="710">
        <v>65061</v>
      </c>
      <c r="P3894" s="534" t="s">
        <v>4727</v>
      </c>
      <c r="Q3894" s="531" t="s">
        <v>51</v>
      </c>
    </row>
    <row r="3895" spans="1:17" ht="18">
      <c r="A3895" s="512">
        <f t="shared" si="53"/>
        <v>3048</v>
      </c>
      <c r="B3895" s="942" t="s">
        <v>43</v>
      </c>
      <c r="C3895" s="943" t="s">
        <v>44</v>
      </c>
      <c r="D3895" s="990" t="s">
        <v>45</v>
      </c>
      <c r="E3895" s="932" t="s">
        <v>4511</v>
      </c>
      <c r="F3895" s="932" t="s">
        <v>1008</v>
      </c>
      <c r="G3895" s="932">
        <v>9847830291</v>
      </c>
      <c r="H3895" s="1168"/>
      <c r="I3895" s="709">
        <v>23</v>
      </c>
      <c r="J3895" s="932" t="s">
        <v>90</v>
      </c>
      <c r="K3895" s="932" t="s">
        <v>4507</v>
      </c>
      <c r="L3895" s="932"/>
      <c r="M3895" s="933" t="s">
        <v>119</v>
      </c>
      <c r="N3895" s="934">
        <v>65061</v>
      </c>
      <c r="O3895" s="934">
        <v>65061</v>
      </c>
      <c r="P3895" s="534" t="s">
        <v>4727</v>
      </c>
      <c r="Q3895" s="531" t="s">
        <v>51</v>
      </c>
    </row>
    <row r="3896" spans="1:17" ht="18">
      <c r="A3896" s="512">
        <f t="shared" si="53"/>
        <v>3049</v>
      </c>
      <c r="B3896" s="942" t="s">
        <v>43</v>
      </c>
      <c r="C3896" s="943" t="s">
        <v>44</v>
      </c>
      <c r="D3896" s="990" t="s">
        <v>45</v>
      </c>
      <c r="E3896" s="1077" t="s">
        <v>4496</v>
      </c>
      <c r="F3896" s="1106" t="s">
        <v>1009</v>
      </c>
      <c r="G3896" s="1077">
        <v>9844945241</v>
      </c>
      <c r="H3896" s="892"/>
      <c r="I3896" s="1069">
        <v>52</v>
      </c>
      <c r="J3896" s="1035" t="s">
        <v>453</v>
      </c>
      <c r="K3896" s="1147" t="s">
        <v>1468</v>
      </c>
      <c r="L3896" s="1106"/>
      <c r="M3896" s="1147" t="s">
        <v>119</v>
      </c>
      <c r="N3896" s="1072">
        <v>65061</v>
      </c>
      <c r="O3896" s="1072">
        <v>65061</v>
      </c>
      <c r="P3896" s="534" t="s">
        <v>4727</v>
      </c>
      <c r="Q3896" s="531" t="s">
        <v>51</v>
      </c>
    </row>
    <row r="3897" spans="1:17" ht="18">
      <c r="A3897" s="512">
        <f t="shared" si="53"/>
        <v>3050</v>
      </c>
      <c r="B3897" s="942" t="s">
        <v>43</v>
      </c>
      <c r="C3897" s="943" t="s">
        <v>44</v>
      </c>
      <c r="D3897" s="990" t="s">
        <v>45</v>
      </c>
      <c r="E3897" s="1077" t="s">
        <v>4499</v>
      </c>
      <c r="F3897" s="1106" t="s">
        <v>598</v>
      </c>
      <c r="G3897" s="1077">
        <v>9822956930</v>
      </c>
      <c r="H3897" s="892"/>
      <c r="I3897" s="1069">
        <v>24</v>
      </c>
      <c r="J3897" s="1069" t="s">
        <v>90</v>
      </c>
      <c r="K3897" s="1147" t="s">
        <v>1468</v>
      </c>
      <c r="L3897" s="1106"/>
      <c r="M3897" s="1147" t="s">
        <v>119</v>
      </c>
      <c r="N3897" s="1072">
        <v>65061</v>
      </c>
      <c r="O3897" s="1072">
        <v>65061</v>
      </c>
      <c r="P3897" s="534" t="s">
        <v>4727</v>
      </c>
      <c r="Q3897" s="531" t="s">
        <v>51</v>
      </c>
    </row>
    <row r="3898" spans="1:17" ht="18">
      <c r="A3898" s="512">
        <f t="shared" si="53"/>
        <v>3051</v>
      </c>
      <c r="B3898" s="942" t="s">
        <v>43</v>
      </c>
      <c r="C3898" s="943" t="s">
        <v>44</v>
      </c>
      <c r="D3898" s="990" t="s">
        <v>45</v>
      </c>
      <c r="E3898" s="69" t="s">
        <v>4517</v>
      </c>
      <c r="F3898" s="69" t="s">
        <v>497</v>
      </c>
      <c r="G3898" s="297"/>
      <c r="H3898" s="69"/>
      <c r="I3898" s="266">
        <v>83</v>
      </c>
      <c r="J3898" s="597" t="s">
        <v>48</v>
      </c>
      <c r="K3898" s="69"/>
      <c r="L3898" s="69"/>
      <c r="M3898" s="69" t="s">
        <v>4513</v>
      </c>
      <c r="N3898" s="295">
        <v>65061</v>
      </c>
      <c r="O3898" s="295">
        <v>65061</v>
      </c>
      <c r="P3898" s="260">
        <v>65062</v>
      </c>
      <c r="Q3898" s="527" t="s">
        <v>940</v>
      </c>
    </row>
    <row r="3899" spans="1:17" ht="18">
      <c r="A3899" s="512">
        <f t="shared" si="53"/>
        <v>3052</v>
      </c>
      <c r="B3899" s="942" t="s">
        <v>43</v>
      </c>
      <c r="C3899" s="943" t="s">
        <v>44</v>
      </c>
      <c r="D3899" s="990" t="s">
        <v>45</v>
      </c>
      <c r="E3899" s="1038" t="s">
        <v>4503</v>
      </c>
      <c r="F3899" s="1038" t="s">
        <v>491</v>
      </c>
      <c r="G3899" s="1175">
        <v>9868610556</v>
      </c>
      <c r="I3899" s="1039">
        <v>40</v>
      </c>
      <c r="J3899" s="1038" t="s">
        <v>90</v>
      </c>
      <c r="K3899" s="1038" t="s">
        <v>1480</v>
      </c>
      <c r="M3899" s="130" t="s">
        <v>119</v>
      </c>
      <c r="N3899" s="1036">
        <v>65061</v>
      </c>
      <c r="O3899" s="1036">
        <v>65061</v>
      </c>
      <c r="P3899" s="534" t="s">
        <v>4727</v>
      </c>
      <c r="Q3899" s="531" t="s">
        <v>51</v>
      </c>
    </row>
    <row r="3900" spans="1:17" ht="18">
      <c r="A3900" s="512">
        <f t="shared" si="53"/>
        <v>3053</v>
      </c>
      <c r="B3900" s="942" t="s">
        <v>43</v>
      </c>
      <c r="C3900" s="943" t="s">
        <v>44</v>
      </c>
      <c r="D3900" s="990" t="s">
        <v>45</v>
      </c>
      <c r="E3900" s="155" t="s">
        <v>4518</v>
      </c>
      <c r="F3900" s="155" t="s">
        <v>529</v>
      </c>
      <c r="G3900" s="155"/>
      <c r="H3900" s="422"/>
      <c r="I3900" s="248">
        <v>52</v>
      </c>
      <c r="J3900" s="155" t="s">
        <v>48</v>
      </c>
      <c r="K3900" s="155"/>
      <c r="L3900" s="155"/>
      <c r="M3900" s="155" t="s">
        <v>119</v>
      </c>
      <c r="N3900" s="282">
        <v>65062</v>
      </c>
      <c r="O3900" s="282">
        <v>65062</v>
      </c>
      <c r="P3900" s="1049">
        <v>65062</v>
      </c>
      <c r="Q3900" s="422" t="s">
        <v>940</v>
      </c>
    </row>
    <row r="3901" spans="1:17" ht="18">
      <c r="A3901" s="512">
        <f t="shared" si="53"/>
        <v>3054</v>
      </c>
      <c r="B3901" s="942" t="s">
        <v>43</v>
      </c>
      <c r="C3901" s="943" t="s">
        <v>44</v>
      </c>
      <c r="D3901" s="990" t="s">
        <v>45</v>
      </c>
      <c r="E3901" s="120" t="s">
        <v>4524</v>
      </c>
      <c r="F3901" s="120" t="s">
        <v>529</v>
      </c>
      <c r="G3901" s="120">
        <v>9843737303</v>
      </c>
      <c r="H3901" s="894"/>
      <c r="I3901" s="150">
        <v>53</v>
      </c>
      <c r="J3901" s="120" t="s">
        <v>48</v>
      </c>
      <c r="K3901" s="120" t="s">
        <v>4525</v>
      </c>
      <c r="L3901" s="120"/>
      <c r="M3901" s="146" t="s">
        <v>119</v>
      </c>
      <c r="N3901" s="710">
        <v>65062</v>
      </c>
      <c r="O3901" s="710">
        <v>65062</v>
      </c>
      <c r="P3901" s="1176" t="s">
        <v>4732</v>
      </c>
      <c r="Q3901" s="578" t="s">
        <v>51</v>
      </c>
    </row>
    <row r="3902" spans="1:17" ht="18">
      <c r="A3902" s="512">
        <f t="shared" si="53"/>
        <v>3055</v>
      </c>
      <c r="B3902" s="942" t="s">
        <v>43</v>
      </c>
      <c r="C3902" s="943" t="s">
        <v>44</v>
      </c>
      <c r="D3902" s="990" t="s">
        <v>45</v>
      </c>
      <c r="E3902" s="120" t="s">
        <v>4498</v>
      </c>
      <c r="F3902" s="120" t="s">
        <v>512</v>
      </c>
      <c r="G3902" s="120">
        <v>9848379024</v>
      </c>
      <c r="I3902" s="150">
        <v>30</v>
      </c>
      <c r="J3902" s="120" t="s">
        <v>48</v>
      </c>
      <c r="K3902" s="120" t="s">
        <v>1468</v>
      </c>
      <c r="L3902" s="120"/>
      <c r="M3902" s="146" t="s">
        <v>119</v>
      </c>
      <c r="N3902" s="710">
        <v>65062</v>
      </c>
      <c r="O3902" s="710">
        <v>65062</v>
      </c>
      <c r="P3902" s="1176" t="s">
        <v>4732</v>
      </c>
      <c r="Q3902" s="578" t="s">
        <v>51</v>
      </c>
    </row>
    <row r="3903" spans="1:17" ht="18">
      <c r="A3903" s="512">
        <f t="shared" si="53"/>
        <v>3056</v>
      </c>
      <c r="B3903" s="942" t="s">
        <v>43</v>
      </c>
      <c r="C3903" s="943" t="s">
        <v>44</v>
      </c>
      <c r="D3903" s="990" t="s">
        <v>45</v>
      </c>
      <c r="E3903" s="120" t="s">
        <v>4500</v>
      </c>
      <c r="F3903" s="120" t="s">
        <v>502</v>
      </c>
      <c r="G3903" s="121">
        <v>9848026931</v>
      </c>
      <c r="I3903" s="150">
        <v>37</v>
      </c>
      <c r="J3903" s="120" t="s">
        <v>90</v>
      </c>
      <c r="K3903" s="120" t="s">
        <v>1468</v>
      </c>
      <c r="L3903" s="120"/>
      <c r="M3903" s="146" t="s">
        <v>119</v>
      </c>
      <c r="N3903" s="710">
        <v>65062</v>
      </c>
      <c r="O3903" s="710">
        <v>65062</v>
      </c>
      <c r="P3903" s="1176" t="s">
        <v>4732</v>
      </c>
      <c r="Q3903" s="578" t="s">
        <v>51</v>
      </c>
    </row>
    <row r="3904" spans="1:17" ht="18">
      <c r="A3904" s="512">
        <f t="shared" si="53"/>
        <v>3057</v>
      </c>
      <c r="B3904" s="942" t="s">
        <v>43</v>
      </c>
      <c r="C3904" s="943" t="s">
        <v>44</v>
      </c>
      <c r="D3904" s="990" t="s">
        <v>45</v>
      </c>
      <c r="E3904" s="932" t="s">
        <v>4501</v>
      </c>
      <c r="F3904" s="932" t="s">
        <v>502</v>
      </c>
      <c r="G3904" s="1004">
        <v>9857825763</v>
      </c>
      <c r="H3904" s="892"/>
      <c r="I3904" s="709">
        <v>50</v>
      </c>
      <c r="J3904" s="932" t="s">
        <v>90</v>
      </c>
      <c r="K3904" s="932" t="s">
        <v>1468</v>
      </c>
      <c r="L3904" s="932"/>
      <c r="M3904" s="933" t="s">
        <v>119</v>
      </c>
      <c r="N3904" s="934">
        <v>65062</v>
      </c>
      <c r="O3904" s="934">
        <v>65062</v>
      </c>
      <c r="P3904" s="1176" t="s">
        <v>4732</v>
      </c>
      <c r="Q3904" s="578" t="s">
        <v>51</v>
      </c>
    </row>
    <row r="3905" spans="1:17" ht="18">
      <c r="A3905" s="512">
        <f t="shared" si="53"/>
        <v>3058</v>
      </c>
      <c r="B3905" s="942" t="s">
        <v>43</v>
      </c>
      <c r="C3905" s="943" t="s">
        <v>44</v>
      </c>
      <c r="D3905" s="990" t="s">
        <v>45</v>
      </c>
      <c r="E3905" s="120" t="s">
        <v>4502</v>
      </c>
      <c r="F3905" s="120" t="s">
        <v>502</v>
      </c>
      <c r="G3905" s="121">
        <v>9847920008</v>
      </c>
      <c r="I3905" s="150">
        <v>30</v>
      </c>
      <c r="J3905" s="120" t="s">
        <v>90</v>
      </c>
      <c r="K3905" s="120" t="s">
        <v>1468</v>
      </c>
      <c r="L3905" s="120"/>
      <c r="M3905" s="146" t="s">
        <v>119</v>
      </c>
      <c r="N3905" s="710">
        <v>65062</v>
      </c>
      <c r="O3905" s="710">
        <v>65062</v>
      </c>
      <c r="P3905" s="1176" t="s">
        <v>4732</v>
      </c>
      <c r="Q3905" s="578" t="s">
        <v>51</v>
      </c>
    </row>
    <row r="3906" spans="1:17" ht="18">
      <c r="A3906" s="512">
        <f t="shared" si="53"/>
        <v>3059</v>
      </c>
      <c r="B3906" s="942" t="s">
        <v>43</v>
      </c>
      <c r="C3906" s="943" t="s">
        <v>44</v>
      </c>
      <c r="D3906" s="990" t="s">
        <v>45</v>
      </c>
      <c r="E3906" s="120" t="s">
        <v>4496</v>
      </c>
      <c r="F3906" s="120" t="s">
        <v>1009</v>
      </c>
      <c r="G3906" s="121">
        <v>9844945241</v>
      </c>
      <c r="I3906" s="150">
        <v>52</v>
      </c>
      <c r="J3906" s="120" t="s">
        <v>48</v>
      </c>
      <c r="K3906" s="120" t="s">
        <v>1468</v>
      </c>
      <c r="L3906" s="120"/>
      <c r="M3906" s="146" t="s">
        <v>119</v>
      </c>
      <c r="N3906" s="710">
        <v>65062</v>
      </c>
      <c r="O3906" s="710">
        <v>65062</v>
      </c>
      <c r="P3906" s="1176" t="s">
        <v>4732</v>
      </c>
      <c r="Q3906" s="578" t="s">
        <v>51</v>
      </c>
    </row>
    <row r="3907" spans="1:17" ht="18">
      <c r="A3907" s="512">
        <f t="shared" si="53"/>
        <v>3060</v>
      </c>
      <c r="B3907" s="942" t="s">
        <v>43</v>
      </c>
      <c r="C3907" s="943" t="s">
        <v>44</v>
      </c>
      <c r="D3907" s="990" t="s">
        <v>45</v>
      </c>
      <c r="E3907" s="120" t="s">
        <v>4499</v>
      </c>
      <c r="F3907" s="120" t="s">
        <v>598</v>
      </c>
      <c r="G3907" s="121">
        <v>9822956930</v>
      </c>
      <c r="I3907" s="150">
        <v>24</v>
      </c>
      <c r="J3907" s="120" t="s">
        <v>90</v>
      </c>
      <c r="K3907" s="120" t="s">
        <v>1468</v>
      </c>
      <c r="L3907" s="120"/>
      <c r="M3907" s="146" t="s">
        <v>119</v>
      </c>
      <c r="N3907" s="710">
        <v>65062</v>
      </c>
      <c r="O3907" s="710">
        <v>65062</v>
      </c>
      <c r="P3907" s="1176" t="s">
        <v>4732</v>
      </c>
      <c r="Q3907" s="578" t="s">
        <v>51</v>
      </c>
    </row>
    <row r="3908" spans="1:17" ht="18">
      <c r="A3908" s="512">
        <f t="shared" si="53"/>
        <v>3061</v>
      </c>
      <c r="B3908" s="942" t="s">
        <v>43</v>
      </c>
      <c r="C3908" s="943" t="s">
        <v>44</v>
      </c>
      <c r="D3908" s="990" t="s">
        <v>45</v>
      </c>
      <c r="E3908" s="120" t="s">
        <v>4530</v>
      </c>
      <c r="F3908" s="120" t="s">
        <v>557</v>
      </c>
      <c r="G3908" s="121">
        <v>9849066034</v>
      </c>
      <c r="H3908" s="894"/>
      <c r="I3908" s="150">
        <v>67</v>
      </c>
      <c r="J3908" s="120" t="s">
        <v>90</v>
      </c>
      <c r="K3908" s="120" t="s">
        <v>1480</v>
      </c>
      <c r="L3908" s="120"/>
      <c r="M3908" s="146" t="s">
        <v>119</v>
      </c>
      <c r="N3908" s="710">
        <v>65063</v>
      </c>
      <c r="O3908" s="710">
        <v>65063</v>
      </c>
      <c r="P3908" s="1180" t="s">
        <v>4753</v>
      </c>
      <c r="Q3908" s="512" t="s">
        <v>51</v>
      </c>
    </row>
    <row r="3909" spans="1:17" ht="18">
      <c r="A3909" s="512">
        <f t="shared" si="53"/>
        <v>3062</v>
      </c>
      <c r="B3909" s="942" t="s">
        <v>43</v>
      </c>
      <c r="C3909" s="943" t="s">
        <v>44</v>
      </c>
      <c r="D3909" s="990" t="s">
        <v>45</v>
      </c>
      <c r="E3909" s="120" t="s">
        <v>4531</v>
      </c>
      <c r="F3909" s="120" t="s">
        <v>488</v>
      </c>
      <c r="G3909" s="121">
        <v>9847813992</v>
      </c>
      <c r="H3909" s="894"/>
      <c r="I3909" s="150">
        <v>64</v>
      </c>
      <c r="J3909" s="120" t="s">
        <v>90</v>
      </c>
      <c r="K3909" s="120" t="s">
        <v>1480</v>
      </c>
      <c r="L3909" s="120"/>
      <c r="M3909" s="146" t="s">
        <v>119</v>
      </c>
      <c r="N3909" s="710">
        <v>65063</v>
      </c>
      <c r="O3909" s="710">
        <v>65063</v>
      </c>
      <c r="P3909" s="1180" t="s">
        <v>4753</v>
      </c>
      <c r="Q3909" s="512" t="s">
        <v>51</v>
      </c>
    </row>
    <row r="3910" spans="1:17" ht="18">
      <c r="A3910" s="512">
        <f t="shared" si="53"/>
        <v>3063</v>
      </c>
      <c r="B3910" s="942" t="s">
        <v>43</v>
      </c>
      <c r="C3910" s="943" t="s">
        <v>44</v>
      </c>
      <c r="D3910" s="990" t="s">
        <v>45</v>
      </c>
      <c r="E3910" s="509" t="s">
        <v>4540</v>
      </c>
      <c r="F3910" s="490" t="s">
        <v>1008</v>
      </c>
      <c r="G3910" s="1032">
        <v>9847289513</v>
      </c>
      <c r="H3910" s="1032"/>
      <c r="I3910" s="490">
        <v>42</v>
      </c>
      <c r="J3910" s="490" t="s">
        <v>90</v>
      </c>
      <c r="K3910" s="891" t="s">
        <v>1468</v>
      </c>
      <c r="M3910" s="146" t="s">
        <v>119</v>
      </c>
      <c r="N3910" s="710">
        <v>65063</v>
      </c>
      <c r="O3910" s="710">
        <v>65063</v>
      </c>
      <c r="P3910" s="1180" t="s">
        <v>4753</v>
      </c>
      <c r="Q3910" s="512" t="s">
        <v>51</v>
      </c>
    </row>
    <row r="3911" spans="1:17" ht="18">
      <c r="A3911" s="512">
        <f t="shared" si="53"/>
        <v>3064</v>
      </c>
      <c r="B3911" s="942" t="s">
        <v>43</v>
      </c>
      <c r="C3911" s="943" t="s">
        <v>44</v>
      </c>
      <c r="D3911" s="990" t="s">
        <v>45</v>
      </c>
      <c r="E3911" s="509" t="s">
        <v>4542</v>
      </c>
      <c r="F3911" s="490" t="s">
        <v>491</v>
      </c>
      <c r="G3911" s="1032">
        <v>9818492572</v>
      </c>
      <c r="H3911" s="1032"/>
      <c r="I3911" s="490">
        <v>56</v>
      </c>
      <c r="J3911" s="490" t="s">
        <v>90</v>
      </c>
      <c r="K3911" s="891" t="s">
        <v>1468</v>
      </c>
      <c r="M3911" s="146" t="s">
        <v>119</v>
      </c>
      <c r="N3911" s="710">
        <v>65063</v>
      </c>
      <c r="O3911" s="710">
        <v>65063</v>
      </c>
      <c r="P3911" s="1180" t="s">
        <v>4753</v>
      </c>
      <c r="Q3911" s="512" t="s">
        <v>51</v>
      </c>
    </row>
    <row r="3912" spans="1:17" ht="18">
      <c r="A3912" s="512">
        <f t="shared" si="53"/>
        <v>3065</v>
      </c>
      <c r="B3912" s="942" t="s">
        <v>43</v>
      </c>
      <c r="C3912" s="943" t="s">
        <v>44</v>
      </c>
      <c r="D3912" s="990" t="s">
        <v>45</v>
      </c>
      <c r="E3912" s="120" t="s">
        <v>4527</v>
      </c>
      <c r="F3912" s="120" t="s">
        <v>598</v>
      </c>
      <c r="G3912" s="121">
        <v>9868612836</v>
      </c>
      <c r="H3912" s="894"/>
      <c r="I3912" s="150">
        <v>31</v>
      </c>
      <c r="J3912" s="120" t="s">
        <v>48</v>
      </c>
      <c r="K3912" s="120" t="s">
        <v>1480</v>
      </c>
      <c r="L3912" s="120"/>
      <c r="M3912" s="146" t="s">
        <v>119</v>
      </c>
      <c r="N3912" s="710">
        <v>65063</v>
      </c>
      <c r="O3912" s="710">
        <v>65063</v>
      </c>
      <c r="P3912" s="1180" t="s">
        <v>4753</v>
      </c>
      <c r="Q3912" s="512" t="s">
        <v>51</v>
      </c>
    </row>
    <row r="3913" spans="1:17" ht="18">
      <c r="A3913" s="512">
        <f t="shared" si="53"/>
        <v>3066</v>
      </c>
      <c r="B3913" s="942" t="s">
        <v>43</v>
      </c>
      <c r="C3913" s="943" t="s">
        <v>44</v>
      </c>
      <c r="D3913" s="990" t="s">
        <v>45</v>
      </c>
      <c r="E3913" s="509" t="s">
        <v>4541</v>
      </c>
      <c r="F3913" s="490" t="s">
        <v>1008</v>
      </c>
      <c r="G3913" s="1032">
        <v>9844924614</v>
      </c>
      <c r="H3913" s="1032"/>
      <c r="I3913" s="490">
        <v>31</v>
      </c>
      <c r="J3913" s="490" t="s">
        <v>90</v>
      </c>
      <c r="K3913" s="891" t="s">
        <v>1468</v>
      </c>
      <c r="M3913" s="146" t="s">
        <v>119</v>
      </c>
      <c r="N3913" s="710">
        <v>65063</v>
      </c>
      <c r="O3913" s="710">
        <v>65063</v>
      </c>
      <c r="P3913" s="1180" t="s">
        <v>4753</v>
      </c>
      <c r="Q3913" s="512" t="s">
        <v>51</v>
      </c>
    </row>
    <row r="3914" spans="1:17" ht="18">
      <c r="A3914" s="512">
        <f t="shared" si="53"/>
        <v>3067</v>
      </c>
      <c r="B3914" s="942" t="s">
        <v>43</v>
      </c>
      <c r="C3914" s="943" t="s">
        <v>44</v>
      </c>
      <c r="D3914" s="990" t="s">
        <v>45</v>
      </c>
      <c r="E3914" s="509" t="s">
        <v>4546</v>
      </c>
      <c r="F3914" s="490" t="s">
        <v>730</v>
      </c>
      <c r="G3914" s="1032">
        <v>9809887398</v>
      </c>
      <c r="H3914" s="1032"/>
      <c r="I3914" s="490">
        <v>35</v>
      </c>
      <c r="J3914" s="490" t="s">
        <v>90</v>
      </c>
      <c r="K3914" s="891" t="s">
        <v>1468</v>
      </c>
      <c r="M3914" s="146" t="s">
        <v>119</v>
      </c>
      <c r="N3914" s="710">
        <v>65063</v>
      </c>
      <c r="O3914" s="710">
        <v>65063</v>
      </c>
      <c r="P3914" s="1180" t="s">
        <v>4753</v>
      </c>
      <c r="Q3914" s="512" t="s">
        <v>51</v>
      </c>
    </row>
    <row r="3915" spans="1:17" ht="18">
      <c r="A3915" s="512">
        <f t="shared" si="53"/>
        <v>3068</v>
      </c>
      <c r="B3915" s="942" t="s">
        <v>43</v>
      </c>
      <c r="C3915" s="943" t="s">
        <v>44</v>
      </c>
      <c r="D3915" s="990" t="s">
        <v>45</v>
      </c>
      <c r="E3915" s="509" t="s">
        <v>4538</v>
      </c>
      <c r="F3915" s="490" t="s">
        <v>598</v>
      </c>
      <c r="G3915" s="1032">
        <v>9822989650</v>
      </c>
      <c r="H3915" s="1032"/>
      <c r="I3915" s="490">
        <v>21</v>
      </c>
      <c r="J3915" s="490" t="s">
        <v>48</v>
      </c>
      <c r="K3915" s="891" t="s">
        <v>1468</v>
      </c>
      <c r="M3915" s="146" t="s">
        <v>119</v>
      </c>
      <c r="N3915" s="710">
        <v>65063</v>
      </c>
      <c r="O3915" s="710">
        <v>65063</v>
      </c>
      <c r="P3915" s="1180" t="s">
        <v>4753</v>
      </c>
      <c r="Q3915" s="512" t="s">
        <v>51</v>
      </c>
    </row>
    <row r="3916" spans="1:17" ht="18">
      <c r="A3916" s="512">
        <f t="shared" si="53"/>
        <v>3069</v>
      </c>
      <c r="B3916" s="942" t="s">
        <v>43</v>
      </c>
      <c r="C3916" s="943" t="s">
        <v>44</v>
      </c>
      <c r="D3916" s="990" t="s">
        <v>45</v>
      </c>
      <c r="E3916" s="509" t="s">
        <v>4543</v>
      </c>
      <c r="F3916" s="490" t="s">
        <v>441</v>
      </c>
      <c r="G3916" s="1032">
        <v>9847873971</v>
      </c>
      <c r="H3916" s="1032"/>
      <c r="I3916" s="490">
        <v>40</v>
      </c>
      <c r="J3916" s="490" t="s">
        <v>90</v>
      </c>
      <c r="K3916" s="891" t="s">
        <v>1468</v>
      </c>
      <c r="L3916" s="941"/>
      <c r="M3916" s="146" t="s">
        <v>119</v>
      </c>
      <c r="N3916" s="710">
        <v>65063</v>
      </c>
      <c r="O3916" s="710">
        <v>65063</v>
      </c>
      <c r="P3916" s="1180" t="s">
        <v>4753</v>
      </c>
      <c r="Q3916" s="512" t="s">
        <v>51</v>
      </c>
    </row>
    <row r="3917" spans="1:17" ht="18">
      <c r="A3917" s="512">
        <f t="shared" si="53"/>
        <v>3070</v>
      </c>
      <c r="B3917" s="942" t="s">
        <v>43</v>
      </c>
      <c r="C3917" s="943" t="s">
        <v>44</v>
      </c>
      <c r="D3917" s="990" t="s">
        <v>45</v>
      </c>
      <c r="E3917" s="120" t="s">
        <v>4532</v>
      </c>
      <c r="F3917" s="120" t="s">
        <v>491</v>
      </c>
      <c r="G3917" s="121">
        <v>9809859452</v>
      </c>
      <c r="H3917" s="894"/>
      <c r="I3917" s="150">
        <v>45</v>
      </c>
      <c r="J3917" s="120" t="s">
        <v>90</v>
      </c>
      <c r="K3917" s="120" t="s">
        <v>1480</v>
      </c>
      <c r="L3917" s="120"/>
      <c r="M3917" s="146" t="s">
        <v>119</v>
      </c>
      <c r="N3917" s="710">
        <v>65063</v>
      </c>
      <c r="O3917" s="710">
        <v>65063</v>
      </c>
      <c r="P3917" s="1180" t="s">
        <v>4753</v>
      </c>
      <c r="Q3917" s="512" t="s">
        <v>51</v>
      </c>
    </row>
    <row r="3918" spans="1:17" ht="18">
      <c r="A3918" s="512">
        <f t="shared" si="53"/>
        <v>3071</v>
      </c>
      <c r="B3918" s="942" t="s">
        <v>43</v>
      </c>
      <c r="C3918" s="943" t="s">
        <v>44</v>
      </c>
      <c r="D3918" s="990" t="s">
        <v>45</v>
      </c>
      <c r="E3918" s="509" t="s">
        <v>2438</v>
      </c>
      <c r="F3918" s="490" t="s">
        <v>1046</v>
      </c>
      <c r="G3918" s="1032">
        <v>9809513945</v>
      </c>
      <c r="H3918" s="1032"/>
      <c r="I3918" s="490">
        <v>25</v>
      </c>
      <c r="J3918" s="490" t="s">
        <v>90</v>
      </c>
      <c r="K3918" s="891" t="s">
        <v>1468</v>
      </c>
      <c r="M3918" s="146" t="s">
        <v>119</v>
      </c>
      <c r="N3918" s="710">
        <v>65063</v>
      </c>
      <c r="O3918" s="710">
        <v>65063</v>
      </c>
      <c r="P3918" s="1180" t="s">
        <v>4753</v>
      </c>
      <c r="Q3918" s="512" t="s">
        <v>51</v>
      </c>
    </row>
    <row r="3919" spans="1:17" ht="18">
      <c r="A3919" s="512">
        <f t="shared" si="53"/>
        <v>3072</v>
      </c>
      <c r="B3919" s="942" t="s">
        <v>43</v>
      </c>
      <c r="C3919" s="943" t="s">
        <v>44</v>
      </c>
      <c r="D3919" s="990" t="s">
        <v>45</v>
      </c>
      <c r="E3919" s="120" t="s">
        <v>4526</v>
      </c>
      <c r="F3919" s="120" t="s">
        <v>1009</v>
      </c>
      <c r="G3919" s="121">
        <v>9848019268</v>
      </c>
      <c r="H3919" s="894"/>
      <c r="I3919" s="150">
        <v>30</v>
      </c>
      <c r="J3919" s="120" t="s">
        <v>48</v>
      </c>
      <c r="K3919" s="120" t="s">
        <v>345</v>
      </c>
      <c r="L3919" s="120"/>
      <c r="M3919" s="146" t="s">
        <v>119</v>
      </c>
      <c r="N3919" s="710">
        <v>65063</v>
      </c>
      <c r="O3919" s="710">
        <v>65063</v>
      </c>
      <c r="P3919" s="1180" t="s">
        <v>4753</v>
      </c>
      <c r="Q3919" s="512" t="s">
        <v>51</v>
      </c>
    </row>
    <row r="3920" spans="1:17" ht="18">
      <c r="A3920" s="512">
        <f t="shared" si="53"/>
        <v>3073</v>
      </c>
      <c r="B3920" s="942" t="s">
        <v>43</v>
      </c>
      <c r="C3920" s="943" t="s">
        <v>44</v>
      </c>
      <c r="D3920" s="990" t="s">
        <v>45</v>
      </c>
      <c r="E3920" s="509" t="s">
        <v>4539</v>
      </c>
      <c r="F3920" s="490" t="s">
        <v>441</v>
      </c>
      <c r="G3920" s="1032">
        <v>9806253489</v>
      </c>
      <c r="H3920" s="1032"/>
      <c r="I3920" s="490">
        <v>22</v>
      </c>
      <c r="J3920" s="490" t="s">
        <v>90</v>
      </c>
      <c r="K3920" s="891" t="s">
        <v>1468</v>
      </c>
      <c r="M3920" s="146" t="s">
        <v>119</v>
      </c>
      <c r="N3920" s="710">
        <v>65063</v>
      </c>
      <c r="O3920" s="710">
        <v>65063</v>
      </c>
      <c r="P3920" s="1180" t="s">
        <v>4753</v>
      </c>
      <c r="Q3920" s="512" t="s">
        <v>51</v>
      </c>
    </row>
    <row r="3921" spans="1:17" ht="18">
      <c r="A3921" s="512">
        <f t="shared" si="53"/>
        <v>3074</v>
      </c>
      <c r="B3921" s="942" t="s">
        <v>43</v>
      </c>
      <c r="C3921" s="943" t="s">
        <v>44</v>
      </c>
      <c r="D3921" s="990" t="s">
        <v>45</v>
      </c>
      <c r="E3921" s="120" t="s">
        <v>4528</v>
      </c>
      <c r="F3921" s="120" t="s">
        <v>510</v>
      </c>
      <c r="G3921" s="121">
        <v>9813998153</v>
      </c>
      <c r="H3921" s="894"/>
      <c r="I3921" s="150">
        <v>58</v>
      </c>
      <c r="J3921" s="120" t="s">
        <v>48</v>
      </c>
      <c r="K3921" s="120" t="s">
        <v>1480</v>
      </c>
      <c r="L3921" s="120"/>
      <c r="M3921" s="146" t="s">
        <v>119</v>
      </c>
      <c r="N3921" s="710">
        <v>65063</v>
      </c>
      <c r="O3921" s="710">
        <v>65063</v>
      </c>
      <c r="P3921" s="1180" t="s">
        <v>4753</v>
      </c>
      <c r="Q3921" s="512" t="s">
        <v>51</v>
      </c>
    </row>
    <row r="3922" spans="1:17" ht="18">
      <c r="A3922" s="512">
        <f t="shared" ref="A3922:A3985" si="54">A3921+1</f>
        <v>3075</v>
      </c>
      <c r="B3922" s="942" t="s">
        <v>43</v>
      </c>
      <c r="C3922" s="943" t="s">
        <v>44</v>
      </c>
      <c r="D3922" s="990" t="s">
        <v>45</v>
      </c>
      <c r="E3922" s="509" t="s">
        <v>4536</v>
      </c>
      <c r="F3922" s="490" t="s">
        <v>502</v>
      </c>
      <c r="G3922" s="1032">
        <v>9810925545</v>
      </c>
      <c r="H3922" s="1032"/>
      <c r="I3922" s="490">
        <v>31</v>
      </c>
      <c r="J3922" s="490" t="s">
        <v>48</v>
      </c>
      <c r="K3922" s="891" t="s">
        <v>1468</v>
      </c>
      <c r="M3922" s="146" t="s">
        <v>119</v>
      </c>
      <c r="N3922" s="710">
        <v>65063</v>
      </c>
      <c r="O3922" s="710">
        <v>65063</v>
      </c>
      <c r="P3922" s="1180" t="s">
        <v>4753</v>
      </c>
      <c r="Q3922" s="512" t="s">
        <v>51</v>
      </c>
    </row>
    <row r="3923" spans="1:17" ht="18">
      <c r="A3923" s="512">
        <f t="shared" si="54"/>
        <v>3076</v>
      </c>
      <c r="B3923" s="942" t="s">
        <v>43</v>
      </c>
      <c r="C3923" s="943" t="s">
        <v>44</v>
      </c>
      <c r="D3923" s="990" t="s">
        <v>45</v>
      </c>
      <c r="E3923" s="120" t="s">
        <v>4533</v>
      </c>
      <c r="F3923" s="120" t="s">
        <v>441</v>
      </c>
      <c r="G3923" s="121">
        <v>9847837297</v>
      </c>
      <c r="H3923" s="894"/>
      <c r="I3923" s="150">
        <v>30</v>
      </c>
      <c r="J3923" s="120" t="s">
        <v>90</v>
      </c>
      <c r="K3923" s="120" t="s">
        <v>1480</v>
      </c>
      <c r="L3923" s="120"/>
      <c r="M3923" s="146" t="s">
        <v>119</v>
      </c>
      <c r="N3923" s="710">
        <v>65063</v>
      </c>
      <c r="O3923" s="710">
        <v>65063</v>
      </c>
      <c r="P3923" s="1180" t="s">
        <v>4753</v>
      </c>
      <c r="Q3923" s="512" t="s">
        <v>51</v>
      </c>
    </row>
    <row r="3924" spans="1:17" ht="18">
      <c r="A3924" s="512">
        <f t="shared" si="54"/>
        <v>3077</v>
      </c>
      <c r="B3924" s="942" t="s">
        <v>43</v>
      </c>
      <c r="C3924" s="943" t="s">
        <v>44</v>
      </c>
      <c r="D3924" s="990" t="s">
        <v>45</v>
      </c>
      <c r="E3924" s="120" t="s">
        <v>4534</v>
      </c>
      <c r="F3924" s="120" t="s">
        <v>488</v>
      </c>
      <c r="G3924" s="121">
        <v>9847813992</v>
      </c>
      <c r="H3924" s="894"/>
      <c r="I3924" s="150">
        <v>50</v>
      </c>
      <c r="J3924" s="120" t="s">
        <v>90</v>
      </c>
      <c r="K3924" s="120" t="s">
        <v>1480</v>
      </c>
      <c r="L3924" s="120"/>
      <c r="M3924" s="146" t="s">
        <v>119</v>
      </c>
      <c r="N3924" s="710">
        <v>65063</v>
      </c>
      <c r="O3924" s="710">
        <v>65063</v>
      </c>
      <c r="P3924" s="1180" t="s">
        <v>4753</v>
      </c>
      <c r="Q3924" s="512" t="s">
        <v>51</v>
      </c>
    </row>
    <row r="3925" spans="1:17" ht="18">
      <c r="A3925" s="512">
        <f t="shared" si="54"/>
        <v>3078</v>
      </c>
      <c r="B3925" s="942" t="s">
        <v>43</v>
      </c>
      <c r="C3925" s="943" t="s">
        <v>44</v>
      </c>
      <c r="D3925" s="990" t="s">
        <v>45</v>
      </c>
      <c r="E3925" s="509" t="s">
        <v>4544</v>
      </c>
      <c r="F3925" s="490" t="s">
        <v>441</v>
      </c>
      <c r="G3925" s="1032">
        <v>9822922700</v>
      </c>
      <c r="H3925" s="1032"/>
      <c r="I3925" s="490">
        <v>25</v>
      </c>
      <c r="J3925" s="490" t="s">
        <v>90</v>
      </c>
      <c r="K3925" s="891" t="s">
        <v>1468</v>
      </c>
      <c r="M3925" s="146" t="s">
        <v>119</v>
      </c>
      <c r="N3925" s="710">
        <v>65063</v>
      </c>
      <c r="O3925" s="710">
        <v>65063</v>
      </c>
      <c r="P3925" s="1180" t="s">
        <v>4753</v>
      </c>
      <c r="Q3925" s="512" t="s">
        <v>51</v>
      </c>
    </row>
    <row r="3926" spans="1:17" ht="18">
      <c r="A3926" s="512">
        <f t="shared" si="54"/>
        <v>3079</v>
      </c>
      <c r="B3926" s="942" t="s">
        <v>43</v>
      </c>
      <c r="C3926" s="943" t="s">
        <v>44</v>
      </c>
      <c r="D3926" s="990" t="s">
        <v>45</v>
      </c>
      <c r="E3926" s="120" t="s">
        <v>4535</v>
      </c>
      <c r="F3926" s="120" t="s">
        <v>1204</v>
      </c>
      <c r="G3926" s="121">
        <v>9809807548</v>
      </c>
      <c r="H3926" s="894"/>
      <c r="I3926" s="150">
        <v>52</v>
      </c>
      <c r="J3926" s="120" t="s">
        <v>90</v>
      </c>
      <c r="K3926" s="120" t="s">
        <v>1480</v>
      </c>
      <c r="L3926" s="120"/>
      <c r="M3926" s="146" t="s">
        <v>119</v>
      </c>
      <c r="N3926" s="710">
        <v>65063</v>
      </c>
      <c r="O3926" s="710">
        <v>65063</v>
      </c>
      <c r="P3926" s="1180" t="s">
        <v>4753</v>
      </c>
      <c r="Q3926" s="512" t="s">
        <v>51</v>
      </c>
    </row>
    <row r="3927" spans="1:17" ht="18">
      <c r="A3927" s="512">
        <f t="shared" si="54"/>
        <v>3080</v>
      </c>
      <c r="B3927" s="942" t="s">
        <v>43</v>
      </c>
      <c r="C3927" s="943" t="s">
        <v>44</v>
      </c>
      <c r="D3927" s="990" t="s">
        <v>45</v>
      </c>
      <c r="E3927" s="509" t="s">
        <v>4537</v>
      </c>
      <c r="F3927" s="490" t="s">
        <v>598</v>
      </c>
      <c r="G3927" s="1032">
        <v>9864722536</v>
      </c>
      <c r="H3927" s="1032"/>
      <c r="I3927" s="490">
        <v>72</v>
      </c>
      <c r="J3927" s="490" t="s">
        <v>90</v>
      </c>
      <c r="K3927" s="891" t="s">
        <v>1468</v>
      </c>
      <c r="M3927" s="146" t="s">
        <v>119</v>
      </c>
      <c r="N3927" s="710">
        <v>65063</v>
      </c>
      <c r="O3927" s="710">
        <v>65063</v>
      </c>
      <c r="P3927" s="1180" t="s">
        <v>4753</v>
      </c>
      <c r="Q3927" s="512" t="s">
        <v>51</v>
      </c>
    </row>
    <row r="3928" spans="1:17" ht="18">
      <c r="A3928" s="512">
        <f t="shared" si="54"/>
        <v>3081</v>
      </c>
      <c r="B3928" s="942" t="s">
        <v>43</v>
      </c>
      <c r="C3928" s="943" t="s">
        <v>44</v>
      </c>
      <c r="D3928" s="990" t="s">
        <v>45</v>
      </c>
      <c r="E3928" s="509" t="s">
        <v>4545</v>
      </c>
      <c r="F3928" s="490" t="s">
        <v>441</v>
      </c>
      <c r="G3928" s="1032">
        <v>9869970357</v>
      </c>
      <c r="H3928" s="1032"/>
      <c r="I3928" s="490">
        <v>9</v>
      </c>
      <c r="J3928" s="490" t="s">
        <v>48</v>
      </c>
      <c r="K3928" s="891" t="s">
        <v>1468</v>
      </c>
      <c r="M3928" s="146" t="s">
        <v>119</v>
      </c>
      <c r="N3928" s="710">
        <v>65063</v>
      </c>
      <c r="O3928" s="710">
        <v>65063</v>
      </c>
      <c r="P3928" s="1180" t="s">
        <v>4753</v>
      </c>
      <c r="Q3928" s="512" t="s">
        <v>51</v>
      </c>
    </row>
    <row r="3929" spans="1:17" ht="18">
      <c r="A3929" s="512">
        <f t="shared" si="54"/>
        <v>3082</v>
      </c>
      <c r="B3929" s="942" t="s">
        <v>43</v>
      </c>
      <c r="C3929" s="943" t="s">
        <v>44</v>
      </c>
      <c r="D3929" s="990" t="s">
        <v>45</v>
      </c>
      <c r="E3929" s="120" t="s">
        <v>4529</v>
      </c>
      <c r="F3929" s="120" t="s">
        <v>497</v>
      </c>
      <c r="G3929" s="121">
        <v>9857820364</v>
      </c>
      <c r="H3929" s="894"/>
      <c r="I3929" s="150">
        <v>80</v>
      </c>
      <c r="J3929" s="120" t="s">
        <v>48</v>
      </c>
      <c r="K3929" s="120" t="s">
        <v>1480</v>
      </c>
      <c r="L3929" s="120"/>
      <c r="M3929" s="146" t="s">
        <v>119</v>
      </c>
      <c r="N3929" s="710">
        <v>65063</v>
      </c>
      <c r="O3929" s="710">
        <v>65063</v>
      </c>
      <c r="P3929" s="1180" t="s">
        <v>4753</v>
      </c>
      <c r="Q3929" s="512" t="s">
        <v>51</v>
      </c>
    </row>
    <row r="3930" spans="1:17" ht="18">
      <c r="A3930" s="512">
        <f t="shared" si="54"/>
        <v>3083</v>
      </c>
      <c r="B3930" s="942" t="s">
        <v>43</v>
      </c>
      <c r="C3930" s="943" t="s">
        <v>44</v>
      </c>
      <c r="D3930" s="990" t="s">
        <v>45</v>
      </c>
      <c r="E3930" s="1035" t="s">
        <v>4555</v>
      </c>
      <c r="F3930" s="1035" t="s">
        <v>497</v>
      </c>
      <c r="G3930" s="1035">
        <v>9847890228</v>
      </c>
      <c r="I3930" s="1035">
        <v>34</v>
      </c>
      <c r="J3930" s="1035" t="s">
        <v>453</v>
      </c>
      <c r="K3930" s="138" t="s">
        <v>4556</v>
      </c>
      <c r="L3930" s="138"/>
      <c r="M3930" s="146" t="s">
        <v>119</v>
      </c>
      <c r="N3930" s="1036">
        <v>65064</v>
      </c>
      <c r="O3930" s="1036">
        <v>65064</v>
      </c>
      <c r="P3930" s="1126">
        <v>65075</v>
      </c>
      <c r="Q3930" s="1116" t="s">
        <v>51</v>
      </c>
    </row>
    <row r="3931" spans="1:17" ht="18">
      <c r="A3931" s="512">
        <f t="shared" si="54"/>
        <v>3084</v>
      </c>
      <c r="B3931" s="942" t="s">
        <v>43</v>
      </c>
      <c r="C3931" s="943" t="s">
        <v>44</v>
      </c>
      <c r="D3931" s="990" t="s">
        <v>45</v>
      </c>
      <c r="E3931" s="1039" t="s">
        <v>4557</v>
      </c>
      <c r="F3931" s="1035" t="s">
        <v>557</v>
      </c>
      <c r="G3931" s="1039">
        <v>9822960044</v>
      </c>
      <c r="I3931" s="1039">
        <v>38</v>
      </c>
      <c r="J3931" s="1039" t="s">
        <v>90</v>
      </c>
      <c r="K3931" s="138" t="s">
        <v>3465</v>
      </c>
      <c r="L3931" s="138"/>
      <c r="M3931" s="146" t="s">
        <v>119</v>
      </c>
      <c r="N3931" s="1036">
        <v>65064</v>
      </c>
      <c r="O3931" s="1036">
        <v>65064</v>
      </c>
      <c r="P3931" s="1126">
        <v>65075</v>
      </c>
      <c r="Q3931" s="1116" t="s">
        <v>51</v>
      </c>
    </row>
    <row r="3932" spans="1:17" ht="18">
      <c r="A3932" s="512">
        <f t="shared" si="54"/>
        <v>3085</v>
      </c>
      <c r="B3932" s="942" t="s">
        <v>43</v>
      </c>
      <c r="C3932" s="943" t="s">
        <v>44</v>
      </c>
      <c r="D3932" s="990" t="s">
        <v>45</v>
      </c>
      <c r="E3932" s="1035" t="s">
        <v>4558</v>
      </c>
      <c r="F3932" s="1035" t="s">
        <v>1046</v>
      </c>
      <c r="G3932" s="1035">
        <v>9866916243</v>
      </c>
      <c r="I3932" s="1035">
        <v>37</v>
      </c>
      <c r="J3932" s="1035" t="s">
        <v>453</v>
      </c>
      <c r="K3932" s="138" t="s">
        <v>4556</v>
      </c>
      <c r="L3932" s="138"/>
      <c r="M3932" s="146" t="s">
        <v>119</v>
      </c>
      <c r="N3932" s="1036">
        <v>65064</v>
      </c>
      <c r="O3932" s="1036">
        <v>65064</v>
      </c>
      <c r="P3932" s="1126">
        <v>65075</v>
      </c>
      <c r="Q3932" s="1116" t="s">
        <v>51</v>
      </c>
    </row>
    <row r="3933" spans="1:17" ht="18">
      <c r="A3933" s="512">
        <f t="shared" si="54"/>
        <v>3086</v>
      </c>
      <c r="B3933" s="942" t="s">
        <v>43</v>
      </c>
      <c r="C3933" s="943" t="s">
        <v>44</v>
      </c>
      <c r="D3933" s="990" t="s">
        <v>45</v>
      </c>
      <c r="E3933" s="1035" t="s">
        <v>4559</v>
      </c>
      <c r="F3933" s="1035" t="s">
        <v>510</v>
      </c>
      <c r="G3933" s="1035">
        <v>9847854460</v>
      </c>
      <c r="I3933" s="1035">
        <v>37</v>
      </c>
      <c r="J3933" s="1035" t="s">
        <v>453</v>
      </c>
      <c r="K3933" s="138" t="s">
        <v>4556</v>
      </c>
      <c r="L3933" s="138"/>
      <c r="M3933" s="146" t="s">
        <v>119</v>
      </c>
      <c r="N3933" s="1036">
        <v>65064</v>
      </c>
      <c r="O3933" s="1036">
        <v>65064</v>
      </c>
      <c r="P3933" s="1126">
        <v>65075</v>
      </c>
      <c r="Q3933" s="1116" t="s">
        <v>51</v>
      </c>
    </row>
    <row r="3934" spans="1:17" ht="18">
      <c r="A3934" s="512">
        <f t="shared" si="54"/>
        <v>3087</v>
      </c>
      <c r="B3934" s="942" t="s">
        <v>43</v>
      </c>
      <c r="C3934" s="943" t="s">
        <v>44</v>
      </c>
      <c r="D3934" s="990" t="s">
        <v>45</v>
      </c>
      <c r="E3934" s="120" t="s">
        <v>4574</v>
      </c>
      <c r="F3934" s="120" t="s">
        <v>497</v>
      </c>
      <c r="G3934" s="150">
        <v>9857820364</v>
      </c>
      <c r="H3934" s="120"/>
      <c r="I3934" s="150">
        <v>40</v>
      </c>
      <c r="J3934" s="120" t="s">
        <v>90</v>
      </c>
      <c r="K3934" s="120" t="s">
        <v>1480</v>
      </c>
      <c r="L3934" s="120"/>
      <c r="M3934" s="146" t="s">
        <v>119</v>
      </c>
      <c r="N3934" s="710">
        <v>65064</v>
      </c>
      <c r="O3934" s="710">
        <v>65064</v>
      </c>
      <c r="P3934" s="1126">
        <v>65075</v>
      </c>
      <c r="Q3934" s="1116" t="s">
        <v>51</v>
      </c>
    </row>
    <row r="3935" spans="1:17" ht="18">
      <c r="A3935" s="512">
        <f t="shared" si="54"/>
        <v>3088</v>
      </c>
      <c r="B3935" s="942" t="s">
        <v>43</v>
      </c>
      <c r="C3935" s="943" t="s">
        <v>44</v>
      </c>
      <c r="D3935" s="990" t="s">
        <v>45</v>
      </c>
      <c r="E3935" s="120" t="s">
        <v>4570</v>
      </c>
      <c r="F3935" s="120" t="s">
        <v>1046</v>
      </c>
      <c r="G3935" s="150">
        <v>9857825067</v>
      </c>
      <c r="H3935" s="120"/>
      <c r="I3935" s="150">
        <v>25</v>
      </c>
      <c r="J3935" s="120" t="s">
        <v>48</v>
      </c>
      <c r="K3935" s="120" t="s">
        <v>1480</v>
      </c>
      <c r="L3935" s="120"/>
      <c r="M3935" s="146" t="s">
        <v>119</v>
      </c>
      <c r="N3935" s="710">
        <v>65064</v>
      </c>
      <c r="O3935" s="710">
        <v>65064</v>
      </c>
      <c r="P3935" s="1126">
        <v>65075</v>
      </c>
      <c r="Q3935" s="1116" t="s">
        <v>51</v>
      </c>
    </row>
    <row r="3936" spans="1:17" ht="18">
      <c r="A3936" s="512">
        <f t="shared" si="54"/>
        <v>3089</v>
      </c>
      <c r="B3936" s="942" t="s">
        <v>43</v>
      </c>
      <c r="C3936" s="943" t="s">
        <v>44</v>
      </c>
      <c r="D3936" s="990" t="s">
        <v>45</v>
      </c>
      <c r="E3936" s="120" t="s">
        <v>4575</v>
      </c>
      <c r="F3936" s="120" t="s">
        <v>497</v>
      </c>
      <c r="G3936" s="150">
        <v>9857820364</v>
      </c>
      <c r="H3936" s="120"/>
      <c r="I3936" s="150">
        <v>70</v>
      </c>
      <c r="J3936" s="120" t="s">
        <v>90</v>
      </c>
      <c r="K3936" s="120" t="s">
        <v>1480</v>
      </c>
      <c r="L3936" s="120"/>
      <c r="M3936" s="146" t="s">
        <v>119</v>
      </c>
      <c r="N3936" s="710">
        <v>65064</v>
      </c>
      <c r="O3936" s="710">
        <v>65064</v>
      </c>
      <c r="P3936" s="1126">
        <v>65075</v>
      </c>
      <c r="Q3936" s="1116" t="s">
        <v>51</v>
      </c>
    </row>
    <row r="3937" spans="1:17" ht="18">
      <c r="A3937" s="512">
        <f t="shared" si="54"/>
        <v>3090</v>
      </c>
      <c r="B3937" s="942" t="s">
        <v>43</v>
      </c>
      <c r="C3937" s="943" t="s">
        <v>44</v>
      </c>
      <c r="D3937" s="990" t="s">
        <v>45</v>
      </c>
      <c r="E3937" s="120" t="s">
        <v>4571</v>
      </c>
      <c r="F3937" s="120" t="s">
        <v>441</v>
      </c>
      <c r="G3937" s="150">
        <v>9848542621</v>
      </c>
      <c r="H3937" s="120"/>
      <c r="I3937" s="150">
        <v>48</v>
      </c>
      <c r="J3937" s="120" t="s">
        <v>48</v>
      </c>
      <c r="K3937" s="120" t="s">
        <v>1480</v>
      </c>
      <c r="L3937" s="120"/>
      <c r="M3937" s="146" t="s">
        <v>119</v>
      </c>
      <c r="N3937" s="710">
        <v>65064</v>
      </c>
      <c r="O3937" s="710">
        <v>65064</v>
      </c>
      <c r="P3937" s="1126">
        <v>65075</v>
      </c>
      <c r="Q3937" s="1116" t="s">
        <v>51</v>
      </c>
    </row>
    <row r="3938" spans="1:17" ht="18">
      <c r="A3938" s="512">
        <f t="shared" si="54"/>
        <v>3091</v>
      </c>
      <c r="B3938" s="262" t="s">
        <v>43</v>
      </c>
      <c r="C3938" s="1025" t="s">
        <v>44</v>
      </c>
      <c r="D3938" s="1080" t="s">
        <v>45</v>
      </c>
      <c r="E3938" s="1081" t="s">
        <v>4595</v>
      </c>
      <c r="F3938" s="507" t="s">
        <v>441</v>
      </c>
      <c r="G3938" s="1081">
        <v>9847836804</v>
      </c>
      <c r="H3938" s="422"/>
      <c r="I3938" s="1081">
        <v>62</v>
      </c>
      <c r="J3938" s="507" t="s">
        <v>453</v>
      </c>
      <c r="K3938" s="266" t="s">
        <v>3465</v>
      </c>
      <c r="L3938" s="266"/>
      <c r="M3938" s="155" t="s">
        <v>119</v>
      </c>
      <c r="N3938" s="1083">
        <v>65064</v>
      </c>
      <c r="O3938" s="1083">
        <v>65064</v>
      </c>
      <c r="P3938" s="476">
        <v>65066</v>
      </c>
      <c r="Q3938" s="476" t="s">
        <v>940</v>
      </c>
    </row>
    <row r="3939" spans="1:17" ht="18">
      <c r="A3939" s="512">
        <f t="shared" si="54"/>
        <v>3092</v>
      </c>
      <c r="B3939" s="942" t="s">
        <v>43</v>
      </c>
      <c r="C3939" s="943" t="s">
        <v>44</v>
      </c>
      <c r="D3939" s="990" t="s">
        <v>45</v>
      </c>
      <c r="E3939" s="1039" t="s">
        <v>4560</v>
      </c>
      <c r="F3939" s="1035" t="s">
        <v>510</v>
      </c>
      <c r="G3939" s="1039">
        <v>9842000697</v>
      </c>
      <c r="I3939" s="1039">
        <v>16</v>
      </c>
      <c r="J3939" s="1035" t="s">
        <v>453</v>
      </c>
      <c r="K3939" s="138" t="s">
        <v>3465</v>
      </c>
      <c r="L3939" s="138"/>
      <c r="M3939" s="146" t="s">
        <v>119</v>
      </c>
      <c r="N3939" s="1036">
        <v>65064</v>
      </c>
      <c r="O3939" s="1036">
        <v>65064</v>
      </c>
      <c r="P3939" s="1126">
        <v>65075</v>
      </c>
      <c r="Q3939" s="1116" t="s">
        <v>51</v>
      </c>
    </row>
    <row r="3940" spans="1:17" ht="18">
      <c r="A3940" s="512">
        <f t="shared" si="54"/>
        <v>3093</v>
      </c>
      <c r="B3940" s="942" t="s">
        <v>43</v>
      </c>
      <c r="C3940" s="943" t="s">
        <v>44</v>
      </c>
      <c r="D3940" s="990" t="s">
        <v>45</v>
      </c>
      <c r="E3940" s="1059" t="s">
        <v>4561</v>
      </c>
      <c r="F3940" s="1035" t="s">
        <v>512</v>
      </c>
      <c r="G3940" s="1059">
        <v>9806246100</v>
      </c>
      <c r="I3940" s="1059">
        <v>15</v>
      </c>
      <c r="J3940" s="1039" t="s">
        <v>90</v>
      </c>
      <c r="K3940" s="138" t="s">
        <v>4556</v>
      </c>
      <c r="L3940" s="138"/>
      <c r="M3940" s="146" t="s">
        <v>119</v>
      </c>
      <c r="N3940" s="1036">
        <v>65064</v>
      </c>
      <c r="O3940" s="1036">
        <v>65064</v>
      </c>
      <c r="P3940" s="1126">
        <v>65075</v>
      </c>
      <c r="Q3940" s="1116" t="s">
        <v>51</v>
      </c>
    </row>
    <row r="3941" spans="1:17" ht="18">
      <c r="A3941" s="512">
        <f t="shared" si="54"/>
        <v>3094</v>
      </c>
      <c r="B3941" s="942" t="s">
        <v>43</v>
      </c>
      <c r="C3941" s="943" t="s">
        <v>44</v>
      </c>
      <c r="D3941" s="990" t="s">
        <v>45</v>
      </c>
      <c r="E3941" s="1059" t="s">
        <v>4562</v>
      </c>
      <c r="F3941" s="1035" t="s">
        <v>441</v>
      </c>
      <c r="G3941" s="1059">
        <v>9868242884</v>
      </c>
      <c r="I3941" s="1059">
        <v>70</v>
      </c>
      <c r="J3941" s="1035" t="s">
        <v>453</v>
      </c>
      <c r="K3941" s="138" t="s">
        <v>4556</v>
      </c>
      <c r="L3941" s="138"/>
      <c r="M3941" s="146" t="s">
        <v>119</v>
      </c>
      <c r="N3941" s="1036">
        <v>65064</v>
      </c>
      <c r="O3941" s="1036">
        <v>65064</v>
      </c>
      <c r="P3941" s="1126">
        <v>65075</v>
      </c>
      <c r="Q3941" s="1116" t="s">
        <v>51</v>
      </c>
    </row>
    <row r="3942" spans="1:17" ht="18">
      <c r="A3942" s="512">
        <f t="shared" si="54"/>
        <v>3095</v>
      </c>
      <c r="B3942" s="942" t="s">
        <v>43</v>
      </c>
      <c r="C3942" s="943" t="s">
        <v>44</v>
      </c>
      <c r="D3942" s="990" t="s">
        <v>45</v>
      </c>
      <c r="E3942" s="1059" t="s">
        <v>4563</v>
      </c>
      <c r="F3942" s="1035" t="s">
        <v>598</v>
      </c>
      <c r="G3942" s="1059">
        <v>9809513171</v>
      </c>
      <c r="I3942" s="1059">
        <v>40</v>
      </c>
      <c r="J3942" s="1039" t="s">
        <v>90</v>
      </c>
      <c r="K3942" s="138" t="s">
        <v>4556</v>
      </c>
      <c r="L3942" s="138"/>
      <c r="M3942" s="146" t="s">
        <v>119</v>
      </c>
      <c r="N3942" s="1036">
        <v>65064</v>
      </c>
      <c r="O3942" s="1036">
        <v>65064</v>
      </c>
      <c r="P3942" s="1126">
        <v>65075</v>
      </c>
      <c r="Q3942" s="1116" t="s">
        <v>51</v>
      </c>
    </row>
    <row r="3943" spans="1:17" ht="18">
      <c r="A3943" s="512">
        <f t="shared" si="54"/>
        <v>3096</v>
      </c>
      <c r="B3943" s="942" t="s">
        <v>43</v>
      </c>
      <c r="C3943" s="943" t="s">
        <v>44</v>
      </c>
      <c r="D3943" s="990" t="s">
        <v>45</v>
      </c>
      <c r="E3943" s="1060" t="s">
        <v>3322</v>
      </c>
      <c r="F3943" s="1035" t="s">
        <v>510</v>
      </c>
      <c r="G3943" s="1060">
        <v>9842000699</v>
      </c>
      <c r="I3943" s="1060">
        <v>39</v>
      </c>
      <c r="J3943" s="1035" t="s">
        <v>453</v>
      </c>
      <c r="K3943" s="138" t="s">
        <v>3465</v>
      </c>
      <c r="L3943" s="138"/>
      <c r="M3943" s="146" t="s">
        <v>119</v>
      </c>
      <c r="N3943" s="1036">
        <v>65064</v>
      </c>
      <c r="O3943" s="1036">
        <v>65064</v>
      </c>
      <c r="P3943" s="1126">
        <v>65075</v>
      </c>
      <c r="Q3943" s="1116" t="s">
        <v>51</v>
      </c>
    </row>
    <row r="3944" spans="1:17" ht="18">
      <c r="A3944" s="512">
        <f t="shared" si="54"/>
        <v>3097</v>
      </c>
      <c r="B3944" s="942" t="s">
        <v>43</v>
      </c>
      <c r="C3944" s="943" t="s">
        <v>44</v>
      </c>
      <c r="D3944" s="990" t="s">
        <v>45</v>
      </c>
      <c r="E3944" s="1161" t="s">
        <v>4564</v>
      </c>
      <c r="F3944" s="1069" t="s">
        <v>124</v>
      </c>
      <c r="G3944" s="1161">
        <v>9810905205</v>
      </c>
      <c r="H3944" s="892"/>
      <c r="I3944" s="1161">
        <v>54</v>
      </c>
      <c r="J3944" s="1070" t="s">
        <v>90</v>
      </c>
      <c r="K3944" s="1071" t="s">
        <v>4556</v>
      </c>
      <c r="L3944" s="1071"/>
      <c r="M3944" s="933" t="s">
        <v>119</v>
      </c>
      <c r="N3944" s="1072">
        <v>65064</v>
      </c>
      <c r="O3944" s="1072">
        <v>65064</v>
      </c>
      <c r="P3944" s="1126">
        <v>65075</v>
      </c>
      <c r="Q3944" s="1116" t="s">
        <v>51</v>
      </c>
    </row>
    <row r="3945" spans="1:17" ht="18">
      <c r="A3945" s="512">
        <f t="shared" si="54"/>
        <v>3098</v>
      </c>
      <c r="B3945" s="942" t="s">
        <v>43</v>
      </c>
      <c r="C3945" s="943" t="s">
        <v>44</v>
      </c>
      <c r="D3945" s="990" t="s">
        <v>45</v>
      </c>
      <c r="E3945" s="120" t="s">
        <v>4578</v>
      </c>
      <c r="F3945" s="120" t="s">
        <v>502</v>
      </c>
      <c r="G3945" s="150">
        <v>9848955202</v>
      </c>
      <c r="H3945" s="120"/>
      <c r="I3945" s="150">
        <v>26</v>
      </c>
      <c r="J3945" s="120" t="s">
        <v>48</v>
      </c>
      <c r="K3945" s="120" t="s">
        <v>1468</v>
      </c>
      <c r="L3945" s="120"/>
      <c r="M3945" s="146" t="s">
        <v>119</v>
      </c>
      <c r="N3945" s="710">
        <v>65064</v>
      </c>
      <c r="O3945" s="710">
        <v>65064</v>
      </c>
      <c r="P3945" s="1126">
        <v>65075</v>
      </c>
      <c r="Q3945" s="1116" t="s">
        <v>51</v>
      </c>
    </row>
    <row r="3946" spans="1:17" ht="18">
      <c r="A3946" s="512">
        <f t="shared" si="54"/>
        <v>3099</v>
      </c>
      <c r="B3946" s="942" t="s">
        <v>43</v>
      </c>
      <c r="C3946" s="943" t="s">
        <v>44</v>
      </c>
      <c r="D3946" s="990" t="s">
        <v>45</v>
      </c>
      <c r="E3946" s="1035" t="s">
        <v>4565</v>
      </c>
      <c r="F3946" s="1035" t="s">
        <v>124</v>
      </c>
      <c r="G3946" s="1035">
        <v>9863163779</v>
      </c>
      <c r="I3946" s="1035">
        <v>28</v>
      </c>
      <c r="J3946" s="1039" t="s">
        <v>90</v>
      </c>
      <c r="K3946" s="138" t="s">
        <v>4556</v>
      </c>
      <c r="L3946" s="138"/>
      <c r="M3946" s="146" t="s">
        <v>119</v>
      </c>
      <c r="N3946" s="1036">
        <v>65064</v>
      </c>
      <c r="O3946" s="1036">
        <v>65064</v>
      </c>
      <c r="P3946" s="1126">
        <v>65075</v>
      </c>
      <c r="Q3946" s="1116" t="s">
        <v>51</v>
      </c>
    </row>
    <row r="3947" spans="1:17" s="163" customFormat="1" ht="18">
      <c r="A3947" s="512">
        <f t="shared" si="54"/>
        <v>3100</v>
      </c>
      <c r="B3947" s="977" t="s">
        <v>43</v>
      </c>
      <c r="C3947" s="249" t="s">
        <v>44</v>
      </c>
      <c r="D3947" s="1181" t="s">
        <v>45</v>
      </c>
      <c r="E3947" s="249" t="s">
        <v>4572</v>
      </c>
      <c r="F3947" s="249" t="s">
        <v>510</v>
      </c>
      <c r="G3947" s="254">
        <v>9843982424</v>
      </c>
      <c r="H3947" s="249"/>
      <c r="I3947" s="254">
        <v>45</v>
      </c>
      <c r="J3947" s="249" t="s">
        <v>48</v>
      </c>
      <c r="K3947" s="249" t="s">
        <v>1480</v>
      </c>
      <c r="L3947" s="249"/>
      <c r="M3947" s="975" t="s">
        <v>4515</v>
      </c>
      <c r="N3947" s="976">
        <v>65064</v>
      </c>
      <c r="O3947" s="976">
        <v>65064</v>
      </c>
      <c r="P3947" s="1182" t="s">
        <v>4753</v>
      </c>
      <c r="Q3947" s="533" t="s">
        <v>51</v>
      </c>
    </row>
    <row r="3948" spans="1:17" ht="18">
      <c r="A3948" s="512">
        <f t="shared" si="54"/>
        <v>3101</v>
      </c>
      <c r="B3948" s="942" t="s">
        <v>43</v>
      </c>
      <c r="C3948" s="943" t="s">
        <v>44</v>
      </c>
      <c r="D3948" s="990" t="s">
        <v>45</v>
      </c>
      <c r="E3948" s="120" t="s">
        <v>4576</v>
      </c>
      <c r="F3948" s="120" t="s">
        <v>124</v>
      </c>
      <c r="G3948" s="150">
        <v>9813475082</v>
      </c>
      <c r="H3948" s="120"/>
      <c r="I3948" s="150">
        <v>28</v>
      </c>
      <c r="J3948" s="120" t="s">
        <v>90</v>
      </c>
      <c r="K3948" s="120" t="s">
        <v>1480</v>
      </c>
      <c r="L3948" s="120"/>
      <c r="M3948" s="146" t="s">
        <v>119</v>
      </c>
      <c r="N3948" s="710">
        <v>65064</v>
      </c>
      <c r="O3948" s="710">
        <v>65064</v>
      </c>
      <c r="P3948" s="1126">
        <v>65075</v>
      </c>
      <c r="Q3948" s="1116" t="s">
        <v>51</v>
      </c>
    </row>
    <row r="3949" spans="1:17" ht="18">
      <c r="A3949" s="512">
        <f t="shared" si="54"/>
        <v>3102</v>
      </c>
      <c r="B3949" s="942" t="s">
        <v>43</v>
      </c>
      <c r="C3949" s="943" t="s">
        <v>44</v>
      </c>
      <c r="D3949" s="990" t="s">
        <v>45</v>
      </c>
      <c r="E3949" s="120" t="s">
        <v>4573</v>
      </c>
      <c r="F3949" s="120" t="s">
        <v>491</v>
      </c>
      <c r="G3949" s="150">
        <v>9809708801</v>
      </c>
      <c r="H3949" s="120"/>
      <c r="I3949" s="150">
        <v>28</v>
      </c>
      <c r="J3949" s="120" t="s">
        <v>48</v>
      </c>
      <c r="K3949" s="120" t="s">
        <v>1480</v>
      </c>
      <c r="L3949" s="120"/>
      <c r="M3949" s="146" t="s">
        <v>119</v>
      </c>
      <c r="N3949" s="710">
        <v>65064</v>
      </c>
      <c r="O3949" s="710">
        <v>65064</v>
      </c>
      <c r="P3949" s="1126">
        <v>65075</v>
      </c>
      <c r="Q3949" s="1116" t="s">
        <v>51</v>
      </c>
    </row>
    <row r="3950" spans="1:17" ht="18">
      <c r="A3950" s="512">
        <f t="shared" si="54"/>
        <v>3103</v>
      </c>
      <c r="B3950" s="942" t="s">
        <v>43</v>
      </c>
      <c r="C3950" s="943" t="s">
        <v>44</v>
      </c>
      <c r="D3950" s="990" t="s">
        <v>45</v>
      </c>
      <c r="E3950" s="1039" t="s">
        <v>4566</v>
      </c>
      <c r="F3950" s="1035" t="s">
        <v>491</v>
      </c>
      <c r="G3950" s="1039">
        <v>9847890847</v>
      </c>
      <c r="I3950" s="1039">
        <v>33</v>
      </c>
      <c r="J3950" s="1035" t="s">
        <v>453</v>
      </c>
      <c r="K3950" s="138" t="s">
        <v>3465</v>
      </c>
      <c r="L3950" s="138"/>
      <c r="M3950" s="146" t="s">
        <v>119</v>
      </c>
      <c r="N3950" s="1036">
        <v>65064</v>
      </c>
      <c r="O3950" s="1036">
        <v>65064</v>
      </c>
      <c r="P3950" s="1126">
        <v>65075</v>
      </c>
      <c r="Q3950" s="1116" t="s">
        <v>51</v>
      </c>
    </row>
    <row r="3951" spans="1:17" ht="18">
      <c r="A3951" s="512">
        <f t="shared" si="54"/>
        <v>3104</v>
      </c>
      <c r="B3951" s="942" t="s">
        <v>43</v>
      </c>
      <c r="C3951" s="943" t="s">
        <v>44</v>
      </c>
      <c r="D3951" s="990" t="s">
        <v>45</v>
      </c>
      <c r="E3951" s="1035" t="s">
        <v>4567</v>
      </c>
      <c r="F3951" s="1035" t="s">
        <v>510</v>
      </c>
      <c r="G3951" s="1035">
        <v>9801852481</v>
      </c>
      <c r="I3951" s="1035">
        <v>15</v>
      </c>
      <c r="J3951" s="1035" t="s">
        <v>453</v>
      </c>
      <c r="K3951" s="138" t="s">
        <v>4556</v>
      </c>
      <c r="L3951" s="138"/>
      <c r="M3951" s="146" t="s">
        <v>119</v>
      </c>
      <c r="N3951" s="1036">
        <v>65064</v>
      </c>
      <c r="O3951" s="1036">
        <v>65064</v>
      </c>
      <c r="P3951" s="1126">
        <v>65075</v>
      </c>
      <c r="Q3951" s="1116" t="s">
        <v>51</v>
      </c>
    </row>
    <row r="3952" spans="1:17" ht="18">
      <c r="A3952" s="512">
        <f t="shared" si="54"/>
        <v>3105</v>
      </c>
      <c r="B3952" s="942" t="s">
        <v>43</v>
      </c>
      <c r="C3952" s="943" t="s">
        <v>44</v>
      </c>
      <c r="D3952" s="990" t="s">
        <v>45</v>
      </c>
      <c r="E3952" s="1035" t="s">
        <v>4568</v>
      </c>
      <c r="F3952" s="1035" t="s">
        <v>510</v>
      </c>
      <c r="G3952" s="1035">
        <v>9810878969</v>
      </c>
      <c r="I3952" s="1035">
        <v>30</v>
      </c>
      <c r="J3952" s="1035" t="s">
        <v>453</v>
      </c>
      <c r="K3952" s="138" t="s">
        <v>4556</v>
      </c>
      <c r="L3952" s="138"/>
      <c r="M3952" s="146" t="s">
        <v>119</v>
      </c>
      <c r="N3952" s="1036">
        <v>65064</v>
      </c>
      <c r="O3952" s="1036">
        <v>65064</v>
      </c>
      <c r="P3952" s="1126">
        <v>65075</v>
      </c>
      <c r="Q3952" s="1116" t="s">
        <v>51</v>
      </c>
    </row>
    <row r="3953" spans="1:17" ht="18">
      <c r="A3953" s="512">
        <f t="shared" si="54"/>
        <v>3106</v>
      </c>
      <c r="B3953" s="942" t="s">
        <v>43</v>
      </c>
      <c r="C3953" s="943" t="s">
        <v>44</v>
      </c>
      <c r="D3953" s="990" t="s">
        <v>45</v>
      </c>
      <c r="E3953" s="1039" t="s">
        <v>4569</v>
      </c>
      <c r="F3953" s="1035" t="s">
        <v>441</v>
      </c>
      <c r="G3953" s="1039">
        <v>9860060350</v>
      </c>
      <c r="I3953" s="1039">
        <v>26</v>
      </c>
      <c r="J3953" s="1039" t="s">
        <v>90</v>
      </c>
      <c r="K3953" s="138" t="s">
        <v>3465</v>
      </c>
      <c r="L3953" s="138"/>
      <c r="M3953" s="146" t="s">
        <v>119</v>
      </c>
      <c r="N3953" s="1036">
        <v>65064</v>
      </c>
      <c r="O3953" s="1036">
        <v>65064</v>
      </c>
      <c r="P3953" s="1126">
        <v>65075</v>
      </c>
      <c r="Q3953" s="1116" t="s">
        <v>51</v>
      </c>
    </row>
    <row r="3954" spans="1:17" ht="18">
      <c r="A3954" s="512">
        <f t="shared" si="54"/>
        <v>3107</v>
      </c>
      <c r="B3954" s="942" t="s">
        <v>43</v>
      </c>
      <c r="C3954" s="943" t="s">
        <v>44</v>
      </c>
      <c r="D3954" s="990" t="s">
        <v>45</v>
      </c>
      <c r="E3954" s="120" t="s">
        <v>4577</v>
      </c>
      <c r="F3954" s="120" t="s">
        <v>510</v>
      </c>
      <c r="G3954" s="150">
        <v>9847891356</v>
      </c>
      <c r="H3954" s="120"/>
      <c r="I3954" s="150">
        <v>47</v>
      </c>
      <c r="J3954" s="120" t="s">
        <v>90</v>
      </c>
      <c r="K3954" s="120" t="s">
        <v>1480</v>
      </c>
      <c r="L3954" s="120"/>
      <c r="M3954" s="146" t="s">
        <v>119</v>
      </c>
      <c r="N3954" s="710">
        <v>65064</v>
      </c>
      <c r="O3954" s="710">
        <v>65064</v>
      </c>
      <c r="P3954" s="1126">
        <v>65075</v>
      </c>
      <c r="Q3954" s="1116" t="s">
        <v>51</v>
      </c>
    </row>
    <row r="3955" spans="1:17" ht="18">
      <c r="A3955" s="512">
        <f t="shared" si="54"/>
        <v>3108</v>
      </c>
      <c r="B3955" s="942" t="s">
        <v>43</v>
      </c>
      <c r="C3955" s="943" t="s">
        <v>44</v>
      </c>
      <c r="D3955" s="990" t="s">
        <v>45</v>
      </c>
      <c r="E3955" s="1031" t="s">
        <v>4584</v>
      </c>
      <c r="F3955" s="1035" t="s">
        <v>791</v>
      </c>
      <c r="G3955" s="1035">
        <v>9857822114</v>
      </c>
      <c r="H3955" s="1033"/>
      <c r="I3955" s="1035">
        <v>50</v>
      </c>
      <c r="J3955" s="121" t="s">
        <v>48</v>
      </c>
      <c r="K3955" s="120" t="s">
        <v>1468</v>
      </c>
      <c r="L3955" s="1073"/>
      <c r="M3955" s="146" t="s">
        <v>119</v>
      </c>
      <c r="N3955" s="867">
        <v>65065</v>
      </c>
      <c r="O3955" s="867">
        <v>65065</v>
      </c>
      <c r="P3955" s="541">
        <v>65076</v>
      </c>
      <c r="Q3955" s="533" t="s">
        <v>51</v>
      </c>
    </row>
    <row r="3956" spans="1:17" ht="18">
      <c r="A3956" s="512">
        <f t="shared" si="54"/>
        <v>3109</v>
      </c>
      <c r="B3956" s="942" t="s">
        <v>43</v>
      </c>
      <c r="C3956" s="943" t="s">
        <v>44</v>
      </c>
      <c r="D3956" s="990" t="s">
        <v>45</v>
      </c>
      <c r="E3956" s="1031" t="s">
        <v>4583</v>
      </c>
      <c r="F3956" s="1035" t="s">
        <v>510</v>
      </c>
      <c r="G3956" s="1035">
        <v>9809853064</v>
      </c>
      <c r="H3956" s="1033"/>
      <c r="I3956" s="1035">
        <v>63</v>
      </c>
      <c r="J3956" s="121" t="s">
        <v>90</v>
      </c>
      <c r="K3956" s="120" t="s">
        <v>1468</v>
      </c>
      <c r="L3956" s="1073"/>
      <c r="M3956" s="146" t="s">
        <v>119</v>
      </c>
      <c r="N3956" s="867">
        <v>65065</v>
      </c>
      <c r="O3956" s="867">
        <v>65065</v>
      </c>
      <c r="P3956" s="541">
        <v>65076</v>
      </c>
      <c r="Q3956" s="533" t="s">
        <v>51</v>
      </c>
    </row>
    <row r="3957" spans="1:17" ht="18">
      <c r="A3957" s="512">
        <f t="shared" si="54"/>
        <v>3110</v>
      </c>
      <c r="B3957" s="942" t="s">
        <v>43</v>
      </c>
      <c r="C3957" s="943" t="s">
        <v>44</v>
      </c>
      <c r="D3957" s="990" t="s">
        <v>45</v>
      </c>
      <c r="E3957" s="1031" t="s">
        <v>4582</v>
      </c>
      <c r="F3957" s="1035" t="s">
        <v>512</v>
      </c>
      <c r="G3957" s="1035">
        <v>9822990458</v>
      </c>
      <c r="H3957" s="1033"/>
      <c r="I3957" s="1035">
        <v>50</v>
      </c>
      <c r="J3957" s="121" t="s">
        <v>90</v>
      </c>
      <c r="K3957" s="120" t="s">
        <v>1468</v>
      </c>
      <c r="L3957" s="1073"/>
      <c r="M3957" s="146" t="s">
        <v>119</v>
      </c>
      <c r="N3957" s="867">
        <v>65065</v>
      </c>
      <c r="O3957" s="867">
        <v>65065</v>
      </c>
      <c r="P3957" s="541">
        <v>65076</v>
      </c>
      <c r="Q3957" s="533" t="s">
        <v>51</v>
      </c>
    </row>
    <row r="3958" spans="1:17" ht="18">
      <c r="A3958" s="512">
        <f t="shared" si="54"/>
        <v>3111</v>
      </c>
      <c r="B3958" s="942" t="s">
        <v>43</v>
      </c>
      <c r="C3958" s="943" t="s">
        <v>44</v>
      </c>
      <c r="D3958" s="990" t="s">
        <v>45</v>
      </c>
      <c r="E3958" s="1077" t="s">
        <v>2619</v>
      </c>
      <c r="F3958" s="1069" t="s">
        <v>124</v>
      </c>
      <c r="G3958" s="1069">
        <v>9843982414</v>
      </c>
      <c r="H3958" s="1078"/>
      <c r="I3958" s="1069">
        <v>34</v>
      </c>
      <c r="J3958" s="1004" t="s">
        <v>90</v>
      </c>
      <c r="K3958" s="932" t="s">
        <v>1468</v>
      </c>
      <c r="L3958" s="1079"/>
      <c r="M3958" s="933" t="s">
        <v>119</v>
      </c>
      <c r="N3958" s="1011">
        <v>65065</v>
      </c>
      <c r="O3958" s="1011">
        <v>65065</v>
      </c>
      <c r="P3958" s="541">
        <v>65076</v>
      </c>
      <c r="Q3958" s="533" t="s">
        <v>51</v>
      </c>
    </row>
    <row r="3959" spans="1:17" ht="18">
      <c r="A3959" s="512">
        <f t="shared" si="54"/>
        <v>3112</v>
      </c>
      <c r="B3959" s="942" t="s">
        <v>43</v>
      </c>
      <c r="C3959" s="943" t="s">
        <v>44</v>
      </c>
      <c r="D3959" s="990" t="s">
        <v>45</v>
      </c>
      <c r="E3959" s="1031" t="s">
        <v>4581</v>
      </c>
      <c r="F3959" s="1035" t="s">
        <v>1009</v>
      </c>
      <c r="G3959" s="1035">
        <v>9866517807</v>
      </c>
      <c r="H3959" s="1033"/>
      <c r="I3959" s="1035">
        <v>25</v>
      </c>
      <c r="J3959" s="121" t="s">
        <v>90</v>
      </c>
      <c r="K3959" s="120" t="s">
        <v>1468</v>
      </c>
      <c r="L3959" s="1073"/>
      <c r="M3959" s="146" t="s">
        <v>119</v>
      </c>
      <c r="N3959" s="867">
        <v>65065</v>
      </c>
      <c r="O3959" s="867">
        <v>65065</v>
      </c>
      <c r="P3959" s="541">
        <v>65076</v>
      </c>
      <c r="Q3959" s="533" t="s">
        <v>51</v>
      </c>
    </row>
    <row r="3960" spans="1:17" ht="18">
      <c r="A3960" s="512">
        <f t="shared" si="54"/>
        <v>3113</v>
      </c>
      <c r="B3960" s="942" t="s">
        <v>43</v>
      </c>
      <c r="C3960" s="943" t="s">
        <v>44</v>
      </c>
      <c r="D3960" s="990" t="s">
        <v>45</v>
      </c>
      <c r="E3960" s="120" t="s">
        <v>4590</v>
      </c>
      <c r="F3960" s="120" t="s">
        <v>1204</v>
      </c>
      <c r="G3960" s="150">
        <v>9866824054</v>
      </c>
      <c r="I3960" s="150">
        <v>31</v>
      </c>
      <c r="J3960" s="120" t="s">
        <v>48</v>
      </c>
      <c r="K3960" s="120" t="s">
        <v>1480</v>
      </c>
      <c r="L3960" s="120"/>
      <c r="M3960" s="146" t="s">
        <v>119</v>
      </c>
      <c r="N3960" s="710">
        <v>65066</v>
      </c>
      <c r="O3960" s="710">
        <v>65066</v>
      </c>
      <c r="P3960" s="1093">
        <v>65077</v>
      </c>
      <c r="Q3960" s="491" t="s">
        <v>51</v>
      </c>
    </row>
    <row r="3961" spans="1:17" ht="18">
      <c r="A3961" s="512">
        <f t="shared" si="54"/>
        <v>3114</v>
      </c>
      <c r="B3961" s="982" t="s">
        <v>43</v>
      </c>
      <c r="C3961" s="979" t="s">
        <v>44</v>
      </c>
      <c r="D3961" s="1037" t="s">
        <v>45</v>
      </c>
      <c r="E3961" s="986" t="s">
        <v>4588</v>
      </c>
      <c r="F3961" s="986" t="s">
        <v>791</v>
      </c>
      <c r="G3961" s="985"/>
      <c r="H3961" s="1040"/>
      <c r="I3961" s="985">
        <v>55</v>
      </c>
      <c r="J3961" s="986" t="s">
        <v>48</v>
      </c>
      <c r="K3961" s="986" t="s">
        <v>53</v>
      </c>
      <c r="L3961" s="986"/>
      <c r="M3961" s="986" t="s">
        <v>54</v>
      </c>
      <c r="N3961" s="987">
        <v>65066</v>
      </c>
      <c r="O3961" s="987">
        <v>65066</v>
      </c>
      <c r="P3961" s="1284">
        <v>65086</v>
      </c>
      <c r="Q3961" s="432" t="s">
        <v>51</v>
      </c>
    </row>
    <row r="3962" spans="1:17" ht="18">
      <c r="A3962" s="512">
        <f t="shared" si="54"/>
        <v>3115</v>
      </c>
      <c r="B3962" s="982" t="s">
        <v>43</v>
      </c>
      <c r="C3962" s="979" t="s">
        <v>44</v>
      </c>
      <c r="D3962" s="1037" t="s">
        <v>45</v>
      </c>
      <c r="E3962" s="986" t="s">
        <v>4589</v>
      </c>
      <c r="F3962" s="986" t="s">
        <v>557</v>
      </c>
      <c r="G3962" s="985"/>
      <c r="H3962" s="1040"/>
      <c r="I3962" s="985">
        <v>56</v>
      </c>
      <c r="J3962" s="986" t="s">
        <v>90</v>
      </c>
      <c r="K3962" s="986" t="s">
        <v>53</v>
      </c>
      <c r="L3962" s="986"/>
      <c r="M3962" s="986" t="s">
        <v>54</v>
      </c>
      <c r="N3962" s="987">
        <v>65066</v>
      </c>
      <c r="O3962" s="987">
        <v>65066</v>
      </c>
      <c r="P3962" s="1284">
        <v>65086</v>
      </c>
      <c r="Q3962" s="432" t="s">
        <v>51</v>
      </c>
    </row>
    <row r="3963" spans="1:17" ht="18">
      <c r="A3963" s="512">
        <f t="shared" si="54"/>
        <v>3116</v>
      </c>
      <c r="B3963" s="942" t="s">
        <v>43</v>
      </c>
      <c r="C3963" s="943" t="s">
        <v>44</v>
      </c>
      <c r="D3963" s="990" t="s">
        <v>45</v>
      </c>
      <c r="E3963" s="120" t="s">
        <v>2440</v>
      </c>
      <c r="F3963" s="120" t="s">
        <v>441</v>
      </c>
      <c r="G3963" s="150">
        <v>9822959945</v>
      </c>
      <c r="I3963" s="150">
        <v>45</v>
      </c>
      <c r="J3963" s="120" t="s">
        <v>90</v>
      </c>
      <c r="K3963" s="120" t="s">
        <v>1480</v>
      </c>
      <c r="L3963" s="120"/>
      <c r="M3963" s="146" t="s">
        <v>119</v>
      </c>
      <c r="N3963" s="710">
        <v>65066</v>
      </c>
      <c r="O3963" s="710">
        <v>65066</v>
      </c>
      <c r="P3963" s="1093">
        <v>65077</v>
      </c>
      <c r="Q3963" s="491" t="s">
        <v>51</v>
      </c>
    </row>
    <row r="3964" spans="1:17" ht="18">
      <c r="A3964" s="512">
        <f t="shared" si="54"/>
        <v>3117</v>
      </c>
      <c r="B3964" s="942" t="s">
        <v>43</v>
      </c>
      <c r="C3964" s="943" t="s">
        <v>44</v>
      </c>
      <c r="D3964" s="990" t="s">
        <v>45</v>
      </c>
      <c r="E3964" s="120" t="s">
        <v>4591</v>
      </c>
      <c r="F3964" s="120" t="s">
        <v>1008</v>
      </c>
      <c r="G3964" s="150">
        <v>9846441814</v>
      </c>
      <c r="I3964" s="150">
        <v>65</v>
      </c>
      <c r="J3964" s="120" t="s">
        <v>48</v>
      </c>
      <c r="K3964" s="120" t="s">
        <v>1480</v>
      </c>
      <c r="L3964" s="120"/>
      <c r="M3964" s="146" t="s">
        <v>119</v>
      </c>
      <c r="N3964" s="710">
        <v>65066</v>
      </c>
      <c r="O3964" s="710">
        <v>65066</v>
      </c>
      <c r="P3964" s="1093">
        <v>65077</v>
      </c>
      <c r="Q3964" s="491" t="s">
        <v>51</v>
      </c>
    </row>
    <row r="3965" spans="1:17" ht="18">
      <c r="A3965" s="512">
        <f t="shared" si="54"/>
        <v>3118</v>
      </c>
      <c r="B3965" s="942" t="s">
        <v>43</v>
      </c>
      <c r="C3965" s="943" t="s">
        <v>44</v>
      </c>
      <c r="D3965" s="990" t="s">
        <v>45</v>
      </c>
      <c r="E3965" s="120" t="s">
        <v>4592</v>
      </c>
      <c r="F3965" s="120" t="s">
        <v>1046</v>
      </c>
      <c r="G3965" s="150">
        <v>9806206417</v>
      </c>
      <c r="I3965" s="150">
        <v>52</v>
      </c>
      <c r="J3965" s="120" t="s">
        <v>90</v>
      </c>
      <c r="K3965" s="120" t="s">
        <v>1480</v>
      </c>
      <c r="L3965" s="120"/>
      <c r="M3965" s="146" t="s">
        <v>119</v>
      </c>
      <c r="N3965" s="710">
        <v>65066</v>
      </c>
      <c r="O3965" s="710">
        <v>65066</v>
      </c>
      <c r="P3965" s="1093">
        <v>65077</v>
      </c>
      <c r="Q3965" s="491" t="s">
        <v>51</v>
      </c>
    </row>
    <row r="3966" spans="1:17" ht="18.75" thickBot="1">
      <c r="A3966" s="512">
        <f t="shared" si="54"/>
        <v>3119</v>
      </c>
      <c r="B3966" s="942" t="s">
        <v>43</v>
      </c>
      <c r="C3966" s="943" t="s">
        <v>44</v>
      </c>
      <c r="D3966" s="990" t="s">
        <v>45</v>
      </c>
      <c r="E3966" s="120" t="s">
        <v>4593</v>
      </c>
      <c r="F3966" s="120" t="s">
        <v>1046</v>
      </c>
      <c r="G3966" s="150">
        <v>9857881588</v>
      </c>
      <c r="I3966" s="150">
        <v>27</v>
      </c>
      <c r="J3966" s="120" t="s">
        <v>90</v>
      </c>
      <c r="K3966" s="120" t="s">
        <v>1480</v>
      </c>
      <c r="L3966" s="120"/>
      <c r="M3966" s="146" t="s">
        <v>119</v>
      </c>
      <c r="N3966" s="710">
        <v>65066</v>
      </c>
      <c r="O3966" s="710">
        <v>65066</v>
      </c>
      <c r="P3966" s="1093">
        <v>65077</v>
      </c>
      <c r="Q3966" s="491" t="s">
        <v>51</v>
      </c>
    </row>
    <row r="3967" spans="1:17" ht="18.75" thickBot="1">
      <c r="A3967" s="512">
        <f t="shared" si="54"/>
        <v>3120</v>
      </c>
      <c r="B3967" s="942" t="s">
        <v>43</v>
      </c>
      <c r="C3967" s="943" t="s">
        <v>44</v>
      </c>
      <c r="D3967" s="990" t="s">
        <v>45</v>
      </c>
      <c r="E3967" s="1061" t="s">
        <v>2428</v>
      </c>
      <c r="F3967" s="1061" t="s">
        <v>791</v>
      </c>
      <c r="G3967" s="1063">
        <v>9868061111</v>
      </c>
      <c r="I3967" s="1063">
        <v>16</v>
      </c>
      <c r="J3967" s="1061" t="s">
        <v>48</v>
      </c>
      <c r="K3967" s="1061" t="s">
        <v>1468</v>
      </c>
      <c r="L3967" s="120"/>
      <c r="M3967" s="1062" t="s">
        <v>119</v>
      </c>
      <c r="N3967" s="1076">
        <v>65066</v>
      </c>
      <c r="O3967" s="1076">
        <v>65066</v>
      </c>
      <c r="P3967" s="1093">
        <v>65077</v>
      </c>
      <c r="Q3967" s="491" t="s">
        <v>51</v>
      </c>
    </row>
    <row r="3968" spans="1:17" ht="18.75" thickBot="1">
      <c r="A3968" s="512">
        <f t="shared" si="54"/>
        <v>3121</v>
      </c>
      <c r="B3968" s="942" t="s">
        <v>43</v>
      </c>
      <c r="C3968" s="943" t="s">
        <v>44</v>
      </c>
      <c r="D3968" s="990" t="s">
        <v>45</v>
      </c>
      <c r="E3968" s="1155" t="s">
        <v>4725</v>
      </c>
      <c r="F3968" s="1155" t="s">
        <v>1008</v>
      </c>
      <c r="G3968" s="1156">
        <v>9817170858</v>
      </c>
      <c r="H3968" s="1167"/>
      <c r="I3968" s="1156">
        <v>35</v>
      </c>
      <c r="J3968" s="1155" t="s">
        <v>453</v>
      </c>
      <c r="K3968" s="1155" t="s">
        <v>1763</v>
      </c>
      <c r="L3968" s="1167"/>
      <c r="M3968" s="1155" t="s">
        <v>1764</v>
      </c>
      <c r="N3968" s="1157">
        <v>65066.698182870372</v>
      </c>
      <c r="O3968" s="1157">
        <v>65066.698182870372</v>
      </c>
      <c r="P3968" s="1093">
        <v>65077</v>
      </c>
      <c r="Q3968" s="491" t="s">
        <v>51</v>
      </c>
    </row>
    <row r="3969" spans="1:17" ht="18.75" thickBot="1">
      <c r="A3969" s="512">
        <f t="shared" si="54"/>
        <v>3122</v>
      </c>
      <c r="B3969" s="942" t="s">
        <v>43</v>
      </c>
      <c r="C3969" s="943" t="s">
        <v>44</v>
      </c>
      <c r="D3969" s="990" t="s">
        <v>45</v>
      </c>
      <c r="E3969" s="1061" t="s">
        <v>4599</v>
      </c>
      <c r="F3969" s="1061" t="s">
        <v>1009</v>
      </c>
      <c r="G3969" s="1063">
        <v>9803617044</v>
      </c>
      <c r="H3969" s="1166"/>
      <c r="I3969" s="1063">
        <v>26</v>
      </c>
      <c r="J3969" s="1061" t="s">
        <v>90</v>
      </c>
      <c r="K3969" s="1061" t="s">
        <v>1468</v>
      </c>
      <c r="L3969" s="1171"/>
      <c r="M3969" s="1062" t="s">
        <v>119</v>
      </c>
      <c r="N3969" s="1076">
        <v>65067</v>
      </c>
      <c r="O3969" s="1076">
        <v>65067</v>
      </c>
      <c r="P3969" s="541">
        <v>65078</v>
      </c>
      <c r="Q3969" s="533" t="s">
        <v>51</v>
      </c>
    </row>
    <row r="3970" spans="1:17" ht="18.75" thickBot="1">
      <c r="A3970" s="512">
        <f t="shared" si="54"/>
        <v>3123</v>
      </c>
      <c r="B3970" s="942" t="s">
        <v>43</v>
      </c>
      <c r="C3970" s="943" t="s">
        <v>44</v>
      </c>
      <c r="D3970" s="990" t="s">
        <v>45</v>
      </c>
      <c r="E3970" s="1159" t="s">
        <v>4613</v>
      </c>
      <c r="F3970" s="1159" t="s">
        <v>441</v>
      </c>
      <c r="G3970" s="1164">
        <v>9810894023</v>
      </c>
      <c r="H3970" s="1166"/>
      <c r="I3970" s="1164">
        <v>7</v>
      </c>
      <c r="J3970" s="1159" t="s">
        <v>90</v>
      </c>
      <c r="K3970" s="1061" t="s">
        <v>1480</v>
      </c>
      <c r="L3970" s="1171"/>
      <c r="M3970" s="1062" t="s">
        <v>119</v>
      </c>
      <c r="N3970" s="1076">
        <v>65067</v>
      </c>
      <c r="O3970" s="1076">
        <v>65067</v>
      </c>
      <c r="P3970" s="541">
        <v>65078</v>
      </c>
      <c r="Q3970" s="533" t="s">
        <v>51</v>
      </c>
    </row>
    <row r="3971" spans="1:17" ht="18.75" thickBot="1">
      <c r="A3971" s="512">
        <f t="shared" si="54"/>
        <v>3124</v>
      </c>
      <c r="B3971" s="942" t="s">
        <v>43</v>
      </c>
      <c r="C3971" s="943" t="s">
        <v>44</v>
      </c>
      <c r="D3971" s="990" t="s">
        <v>45</v>
      </c>
      <c r="E3971" s="1061" t="s">
        <v>4605</v>
      </c>
      <c r="F3971" s="1061" t="s">
        <v>1009</v>
      </c>
      <c r="G3971" s="1063">
        <v>9847830322</v>
      </c>
      <c r="H3971" s="322"/>
      <c r="I3971" s="1063">
        <v>82</v>
      </c>
      <c r="J3971" s="1061" t="s">
        <v>48</v>
      </c>
      <c r="K3971" s="1061" t="s">
        <v>1480</v>
      </c>
      <c r="L3971" s="322"/>
      <c r="M3971" s="1062" t="s">
        <v>119</v>
      </c>
      <c r="N3971" s="1076">
        <v>65067</v>
      </c>
      <c r="O3971" s="1076">
        <v>65067</v>
      </c>
      <c r="P3971" s="541">
        <v>65078</v>
      </c>
      <c r="Q3971" s="533" t="s">
        <v>51</v>
      </c>
    </row>
    <row r="3972" spans="1:17" ht="18.75" thickBot="1">
      <c r="A3972" s="512">
        <f t="shared" si="54"/>
        <v>3125</v>
      </c>
      <c r="B3972" s="942" t="s">
        <v>43</v>
      </c>
      <c r="C3972" s="943" t="s">
        <v>44</v>
      </c>
      <c r="D3972" s="990" t="s">
        <v>45</v>
      </c>
      <c r="E3972" s="1159" t="s">
        <v>4611</v>
      </c>
      <c r="F3972" s="1159" t="s">
        <v>491</v>
      </c>
      <c r="G3972" s="1164">
        <v>9847903421</v>
      </c>
      <c r="H3972" s="322"/>
      <c r="I3972" s="1164">
        <v>41</v>
      </c>
      <c r="J3972" s="1159" t="s">
        <v>453</v>
      </c>
      <c r="K3972" s="1061" t="s">
        <v>1480</v>
      </c>
      <c r="L3972" s="322"/>
      <c r="M3972" s="1062" t="s">
        <v>119</v>
      </c>
      <c r="N3972" s="1076">
        <v>65067</v>
      </c>
      <c r="O3972" s="1076">
        <v>65067</v>
      </c>
      <c r="P3972" s="541">
        <v>65078</v>
      </c>
      <c r="Q3972" s="533" t="s">
        <v>51</v>
      </c>
    </row>
    <row r="3973" spans="1:17" ht="18.75" thickBot="1">
      <c r="A3973" s="512">
        <f t="shared" si="54"/>
        <v>3126</v>
      </c>
      <c r="B3973" s="942" t="s">
        <v>43</v>
      </c>
      <c r="C3973" s="943" t="s">
        <v>44</v>
      </c>
      <c r="D3973" s="990" t="s">
        <v>45</v>
      </c>
      <c r="E3973" s="1159" t="s">
        <v>4612</v>
      </c>
      <c r="F3973" s="1159" t="s">
        <v>1046</v>
      </c>
      <c r="G3973" s="1164">
        <v>9847981935</v>
      </c>
      <c r="H3973" s="1166"/>
      <c r="I3973" s="1164">
        <v>81</v>
      </c>
      <c r="J3973" s="1159" t="s">
        <v>453</v>
      </c>
      <c r="K3973" s="1061" t="s">
        <v>1480</v>
      </c>
      <c r="L3973" s="1171"/>
      <c r="M3973" s="1062" t="s">
        <v>119</v>
      </c>
      <c r="N3973" s="1076">
        <v>65067</v>
      </c>
      <c r="O3973" s="1076">
        <v>65067</v>
      </c>
      <c r="P3973" s="541">
        <v>65078</v>
      </c>
      <c r="Q3973" s="533" t="s">
        <v>51</v>
      </c>
    </row>
    <row r="3974" spans="1:17" ht="18.75" thickBot="1">
      <c r="A3974" s="512">
        <f t="shared" si="54"/>
        <v>3127</v>
      </c>
      <c r="B3974" s="942" t="s">
        <v>43</v>
      </c>
      <c r="C3974" s="943" t="s">
        <v>44</v>
      </c>
      <c r="D3974" s="990" t="s">
        <v>45</v>
      </c>
      <c r="E3974" s="1061" t="s">
        <v>4600</v>
      </c>
      <c r="F3974" s="1061" t="s">
        <v>730</v>
      </c>
      <c r="G3974" s="1063">
        <v>9849359975</v>
      </c>
      <c r="H3974" s="322"/>
      <c r="I3974" s="1063">
        <v>30</v>
      </c>
      <c r="J3974" s="1061" t="s">
        <v>90</v>
      </c>
      <c r="K3974" s="1061" t="s">
        <v>1468</v>
      </c>
      <c r="L3974" s="322"/>
      <c r="M3974" s="1062" t="s">
        <v>119</v>
      </c>
      <c r="N3974" s="1076">
        <v>65067</v>
      </c>
      <c r="O3974" s="1076">
        <v>65067</v>
      </c>
      <c r="P3974" s="541">
        <v>65078</v>
      </c>
      <c r="Q3974" s="533" t="s">
        <v>51</v>
      </c>
    </row>
    <row r="3975" spans="1:17" ht="18.75" thickBot="1">
      <c r="A3975" s="512">
        <f t="shared" si="54"/>
        <v>3128</v>
      </c>
      <c r="B3975" s="942" t="s">
        <v>43</v>
      </c>
      <c r="C3975" s="943" t="s">
        <v>44</v>
      </c>
      <c r="D3975" s="990" t="s">
        <v>45</v>
      </c>
      <c r="E3975" s="1159" t="s">
        <v>4610</v>
      </c>
      <c r="F3975" s="1159" t="s">
        <v>1204</v>
      </c>
      <c r="G3975" s="1164">
        <v>9857822799</v>
      </c>
      <c r="H3975" s="322"/>
      <c r="I3975" s="1164">
        <v>81</v>
      </c>
      <c r="J3975" s="1159" t="s">
        <v>90</v>
      </c>
      <c r="K3975" s="1061" t="s">
        <v>1480</v>
      </c>
      <c r="L3975" s="322"/>
      <c r="M3975" s="1062" t="s">
        <v>119</v>
      </c>
      <c r="N3975" s="1076">
        <v>65067</v>
      </c>
      <c r="O3975" s="1076">
        <v>65067</v>
      </c>
      <c r="P3975" s="541">
        <v>65078</v>
      </c>
      <c r="Q3975" s="533" t="s">
        <v>51</v>
      </c>
    </row>
    <row r="3976" spans="1:17" ht="18.75" thickBot="1">
      <c r="A3976" s="512">
        <f t="shared" si="54"/>
        <v>3129</v>
      </c>
      <c r="B3976" s="942" t="s">
        <v>43</v>
      </c>
      <c r="C3976" s="943" t="s">
        <v>44</v>
      </c>
      <c r="D3976" s="990" t="s">
        <v>45</v>
      </c>
      <c r="E3976" s="1061" t="s">
        <v>4601</v>
      </c>
      <c r="F3976" s="1061" t="s">
        <v>441</v>
      </c>
      <c r="G3976" s="1063">
        <v>9866749766</v>
      </c>
      <c r="H3976" s="322"/>
      <c r="I3976" s="1063">
        <v>33</v>
      </c>
      <c r="J3976" s="1061" t="s">
        <v>90</v>
      </c>
      <c r="K3976" s="1061" t="s">
        <v>1468</v>
      </c>
      <c r="L3976" s="322"/>
      <c r="M3976" s="1062" t="s">
        <v>119</v>
      </c>
      <c r="N3976" s="1076">
        <v>65067</v>
      </c>
      <c r="O3976" s="1076">
        <v>65067</v>
      </c>
      <c r="P3976" s="541">
        <v>65078</v>
      </c>
      <c r="Q3976" s="533" t="s">
        <v>51</v>
      </c>
    </row>
    <row r="3977" spans="1:17" ht="18.75" thickBot="1">
      <c r="A3977" s="512">
        <f t="shared" si="54"/>
        <v>3130</v>
      </c>
      <c r="B3977" s="942" t="s">
        <v>43</v>
      </c>
      <c r="C3977" s="943" t="s">
        <v>44</v>
      </c>
      <c r="D3977" s="990" t="s">
        <v>45</v>
      </c>
      <c r="E3977" s="1090" t="s">
        <v>4602</v>
      </c>
      <c r="F3977" s="1090" t="s">
        <v>1008</v>
      </c>
      <c r="G3977" s="866">
        <v>9822509922</v>
      </c>
      <c r="H3977" s="322"/>
      <c r="I3977" s="866">
        <v>36</v>
      </c>
      <c r="J3977" s="1090" t="s">
        <v>90</v>
      </c>
      <c r="K3977" s="1061" t="s">
        <v>1468</v>
      </c>
      <c r="L3977" s="322"/>
      <c r="M3977" s="1062" t="s">
        <v>119</v>
      </c>
      <c r="N3977" s="1076">
        <v>65067</v>
      </c>
      <c r="O3977" s="1076">
        <v>65067</v>
      </c>
      <c r="P3977" s="541">
        <v>65078</v>
      </c>
      <c r="Q3977" s="533" t="s">
        <v>51</v>
      </c>
    </row>
    <row r="3978" spans="1:17" ht="18.75" thickBot="1">
      <c r="A3978" s="512">
        <f t="shared" si="54"/>
        <v>3131</v>
      </c>
      <c r="B3978" s="942" t="s">
        <v>43</v>
      </c>
      <c r="C3978" s="943" t="s">
        <v>44</v>
      </c>
      <c r="D3978" s="990" t="s">
        <v>45</v>
      </c>
      <c r="E3978" s="1091" t="s">
        <v>4609</v>
      </c>
      <c r="F3978" s="1091" t="s">
        <v>491</v>
      </c>
      <c r="G3978" s="1092">
        <v>9801334453</v>
      </c>
      <c r="H3978" s="322"/>
      <c r="I3978" s="1092">
        <v>57</v>
      </c>
      <c r="J3978" s="1091" t="s">
        <v>453</v>
      </c>
      <c r="K3978" s="1061" t="s">
        <v>1480</v>
      </c>
      <c r="L3978" s="322"/>
      <c r="M3978" s="1062" t="s">
        <v>119</v>
      </c>
      <c r="N3978" s="1076">
        <v>65067</v>
      </c>
      <c r="O3978" s="1076">
        <v>65067</v>
      </c>
      <c r="P3978" s="541">
        <v>65078</v>
      </c>
      <c r="Q3978" s="533" t="s">
        <v>51</v>
      </c>
    </row>
    <row r="3979" spans="1:17" ht="18.75" thickBot="1">
      <c r="A3979" s="512">
        <f t="shared" si="54"/>
        <v>3132</v>
      </c>
      <c r="B3979" s="942" t="s">
        <v>43</v>
      </c>
      <c r="C3979" s="943" t="s">
        <v>44</v>
      </c>
      <c r="D3979" s="990" t="s">
        <v>45</v>
      </c>
      <c r="E3979" s="1090" t="s">
        <v>4603</v>
      </c>
      <c r="F3979" s="1090" t="s">
        <v>1009</v>
      </c>
      <c r="G3979" s="866">
        <v>9847876175</v>
      </c>
      <c r="H3979" s="322"/>
      <c r="I3979" s="866">
        <v>56</v>
      </c>
      <c r="J3979" s="1090" t="s">
        <v>48</v>
      </c>
      <c r="K3979" s="1061" t="s">
        <v>1468</v>
      </c>
      <c r="L3979" s="322"/>
      <c r="M3979" s="1062" t="s">
        <v>119</v>
      </c>
      <c r="N3979" s="1076">
        <v>65067</v>
      </c>
      <c r="O3979" s="1076">
        <v>65067</v>
      </c>
      <c r="P3979" s="541">
        <v>65078</v>
      </c>
      <c r="Q3979" s="533" t="s">
        <v>51</v>
      </c>
    </row>
    <row r="3980" spans="1:17" ht="18.75" thickBot="1">
      <c r="A3980" s="512">
        <f t="shared" si="54"/>
        <v>3133</v>
      </c>
      <c r="B3980" s="942" t="s">
        <v>43</v>
      </c>
      <c r="C3980" s="943" t="s">
        <v>44</v>
      </c>
      <c r="D3980" s="990" t="s">
        <v>45</v>
      </c>
      <c r="E3980" s="1090" t="s">
        <v>4604</v>
      </c>
      <c r="F3980" s="1090" t="s">
        <v>441</v>
      </c>
      <c r="G3980" s="866">
        <v>9866941032</v>
      </c>
      <c r="H3980" s="894"/>
      <c r="I3980" s="866">
        <v>29</v>
      </c>
      <c r="J3980" s="1090" t="s">
        <v>90</v>
      </c>
      <c r="K3980" s="1061" t="s">
        <v>1468</v>
      </c>
      <c r="L3980" s="894"/>
      <c r="M3980" s="1062" t="s">
        <v>119</v>
      </c>
      <c r="N3980" s="1076">
        <v>65067</v>
      </c>
      <c r="O3980" s="1076">
        <v>65067</v>
      </c>
      <c r="P3980" s="541">
        <v>65078</v>
      </c>
      <c r="Q3980" s="533" t="s">
        <v>51</v>
      </c>
    </row>
    <row r="3981" spans="1:17" ht="18.75" thickBot="1">
      <c r="A3981" s="512">
        <f t="shared" si="54"/>
        <v>3134</v>
      </c>
      <c r="B3981" s="942" t="s">
        <v>43</v>
      </c>
      <c r="C3981" s="943" t="s">
        <v>44</v>
      </c>
      <c r="D3981" s="990" t="s">
        <v>45</v>
      </c>
      <c r="E3981" s="1090" t="s">
        <v>4606</v>
      </c>
      <c r="F3981" s="1090" t="s">
        <v>1009</v>
      </c>
      <c r="G3981" s="866">
        <v>9844914066</v>
      </c>
      <c r="H3981" s="894"/>
      <c r="I3981" s="866">
        <v>45</v>
      </c>
      <c r="J3981" s="1090" t="s">
        <v>48</v>
      </c>
      <c r="K3981" s="1061" t="s">
        <v>1480</v>
      </c>
      <c r="L3981" s="894"/>
      <c r="M3981" s="1062" t="s">
        <v>119</v>
      </c>
      <c r="N3981" s="1076">
        <v>65067</v>
      </c>
      <c r="O3981" s="1076">
        <v>65067</v>
      </c>
      <c r="P3981" s="541">
        <v>65078</v>
      </c>
      <c r="Q3981" s="533" t="s">
        <v>51</v>
      </c>
    </row>
    <row r="3982" spans="1:17" ht="18.75" thickBot="1">
      <c r="A3982" s="512">
        <f t="shared" si="54"/>
        <v>3135</v>
      </c>
      <c r="B3982" s="942" t="s">
        <v>43</v>
      </c>
      <c r="C3982" s="943" t="s">
        <v>44</v>
      </c>
      <c r="D3982" s="990" t="s">
        <v>45</v>
      </c>
      <c r="E3982" s="1090" t="s">
        <v>4607</v>
      </c>
      <c r="F3982" s="1090" t="s">
        <v>598</v>
      </c>
      <c r="G3982" s="866">
        <v>9841785826</v>
      </c>
      <c r="H3982" s="894"/>
      <c r="I3982" s="866">
        <v>51</v>
      </c>
      <c r="J3982" s="1090" t="s">
        <v>48</v>
      </c>
      <c r="K3982" s="1061" t="s">
        <v>1480</v>
      </c>
      <c r="L3982" s="894"/>
      <c r="M3982" s="1062" t="s">
        <v>119</v>
      </c>
      <c r="N3982" s="1076">
        <v>65067</v>
      </c>
      <c r="O3982" s="1076">
        <v>65067</v>
      </c>
      <c r="P3982" s="541">
        <v>65078</v>
      </c>
      <c r="Q3982" s="533" t="s">
        <v>51</v>
      </c>
    </row>
    <row r="3983" spans="1:17" ht="18.75" thickBot="1">
      <c r="A3983" s="512">
        <f t="shared" si="54"/>
        <v>3136</v>
      </c>
      <c r="B3983" s="942" t="s">
        <v>43</v>
      </c>
      <c r="C3983" s="943" t="s">
        <v>44</v>
      </c>
      <c r="D3983" s="990" t="s">
        <v>45</v>
      </c>
      <c r="E3983" s="509" t="s">
        <v>4633</v>
      </c>
      <c r="F3983" s="509" t="s">
        <v>557</v>
      </c>
      <c r="G3983" s="490">
        <v>9809822670</v>
      </c>
      <c r="I3983" s="490">
        <v>36</v>
      </c>
      <c r="J3983" s="1032" t="s">
        <v>90</v>
      </c>
      <c r="K3983" s="434" t="s">
        <v>4556</v>
      </c>
      <c r="M3983" s="1062" t="s">
        <v>119</v>
      </c>
      <c r="N3983" s="1036">
        <v>65067</v>
      </c>
      <c r="O3983" s="1036">
        <v>65067</v>
      </c>
      <c r="P3983" s="541">
        <v>65078</v>
      </c>
      <c r="Q3983" s="533" t="s">
        <v>51</v>
      </c>
    </row>
    <row r="3984" spans="1:17" ht="18.75" thickBot="1">
      <c r="A3984" s="512">
        <f t="shared" si="54"/>
        <v>3137</v>
      </c>
      <c r="B3984" s="942" t="s">
        <v>43</v>
      </c>
      <c r="C3984" s="943" t="s">
        <v>44</v>
      </c>
      <c r="D3984" s="990" t="s">
        <v>45</v>
      </c>
      <c r="E3984" s="120" t="s">
        <v>4608</v>
      </c>
      <c r="F3984" s="120" t="s">
        <v>1008</v>
      </c>
      <c r="G3984" s="150">
        <v>9822882287</v>
      </c>
      <c r="H3984" s="894"/>
      <c r="I3984" s="150">
        <v>45</v>
      </c>
      <c r="J3984" s="120" t="s">
        <v>48</v>
      </c>
      <c r="K3984" s="120" t="s">
        <v>1480</v>
      </c>
      <c r="L3984" s="894"/>
      <c r="M3984" s="1062" t="s">
        <v>119</v>
      </c>
      <c r="N3984" s="710">
        <v>65067</v>
      </c>
      <c r="O3984" s="710">
        <v>65067</v>
      </c>
      <c r="P3984" s="541">
        <v>65078</v>
      </c>
      <c r="Q3984" s="533" t="s">
        <v>51</v>
      </c>
    </row>
    <row r="3985" spans="1:17" ht="18.75" thickBot="1">
      <c r="A3985" s="512">
        <f t="shared" si="54"/>
        <v>3138</v>
      </c>
      <c r="B3985" s="942" t="s">
        <v>43</v>
      </c>
      <c r="C3985" s="943" t="s">
        <v>44</v>
      </c>
      <c r="D3985" s="990" t="s">
        <v>45</v>
      </c>
      <c r="E3985" s="509" t="s">
        <v>4630</v>
      </c>
      <c r="F3985" s="509" t="s">
        <v>529</v>
      </c>
      <c r="G3985" s="490">
        <v>9823425159</v>
      </c>
      <c r="I3985" s="490">
        <v>60</v>
      </c>
      <c r="J3985" s="1032" t="s">
        <v>90</v>
      </c>
      <c r="K3985" s="434" t="s">
        <v>4556</v>
      </c>
      <c r="M3985" s="1062" t="s">
        <v>119</v>
      </c>
      <c r="N3985" s="1036">
        <v>65067</v>
      </c>
      <c r="O3985" s="1036">
        <v>65067</v>
      </c>
      <c r="P3985" s="541">
        <v>65078</v>
      </c>
      <c r="Q3985" s="533" t="s">
        <v>51</v>
      </c>
    </row>
    <row r="3986" spans="1:17" ht="18.75" thickBot="1">
      <c r="A3986" s="512">
        <f t="shared" ref="A3986:A4049" si="55">A3985+1</f>
        <v>3139</v>
      </c>
      <c r="B3986" s="942" t="s">
        <v>43</v>
      </c>
      <c r="C3986" s="943" t="s">
        <v>44</v>
      </c>
      <c r="D3986" s="990" t="s">
        <v>45</v>
      </c>
      <c r="E3986" s="509" t="s">
        <v>4632</v>
      </c>
      <c r="F3986" s="509" t="s">
        <v>598</v>
      </c>
      <c r="G3986" s="490">
        <v>9829505905</v>
      </c>
      <c r="I3986" s="490">
        <v>23</v>
      </c>
      <c r="J3986" s="1032" t="s">
        <v>90</v>
      </c>
      <c r="K3986" s="434" t="s">
        <v>4556</v>
      </c>
      <c r="M3986" s="1062" t="s">
        <v>119</v>
      </c>
      <c r="N3986" s="1036">
        <v>65067</v>
      </c>
      <c r="O3986" s="1036">
        <v>65067</v>
      </c>
      <c r="P3986" s="541">
        <v>65078</v>
      </c>
      <c r="Q3986" s="533" t="s">
        <v>51</v>
      </c>
    </row>
    <row r="3987" spans="1:17" ht="18.75" thickBot="1">
      <c r="A3987" s="512">
        <f t="shared" si="55"/>
        <v>3140</v>
      </c>
      <c r="B3987" s="942" t="s">
        <v>43</v>
      </c>
      <c r="C3987" s="943" t="s">
        <v>44</v>
      </c>
      <c r="D3987" s="990" t="s">
        <v>45</v>
      </c>
      <c r="E3987" s="509" t="s">
        <v>4631</v>
      </c>
      <c r="F3987" s="509" t="s">
        <v>491</v>
      </c>
      <c r="G3987" s="490">
        <v>9847822331</v>
      </c>
      <c r="I3987" s="490">
        <v>42</v>
      </c>
      <c r="J3987" s="1032" t="s">
        <v>90</v>
      </c>
      <c r="K3987" s="434" t="s">
        <v>4556</v>
      </c>
      <c r="M3987" s="1062" t="s">
        <v>119</v>
      </c>
      <c r="N3987" s="1036">
        <v>65067</v>
      </c>
      <c r="O3987" s="1036">
        <v>65067</v>
      </c>
      <c r="P3987" s="541">
        <v>65078</v>
      </c>
      <c r="Q3987" s="533" t="s">
        <v>51</v>
      </c>
    </row>
    <row r="3988" spans="1:17" ht="18.75" thickBot="1">
      <c r="A3988" s="512">
        <f t="shared" si="55"/>
        <v>3141</v>
      </c>
      <c r="B3988" s="942" t="s">
        <v>43</v>
      </c>
      <c r="C3988" s="943" t="s">
        <v>44</v>
      </c>
      <c r="D3988" s="990" t="s">
        <v>45</v>
      </c>
      <c r="E3988" s="1097" t="s">
        <v>4614</v>
      </c>
      <c r="F3988" s="1097" t="s">
        <v>502</v>
      </c>
      <c r="G3988" s="1098">
        <v>9847824904</v>
      </c>
      <c r="I3988" s="1098">
        <v>74</v>
      </c>
      <c r="J3988" s="1097" t="s">
        <v>90</v>
      </c>
      <c r="K3988" s="120" t="s">
        <v>1480</v>
      </c>
      <c r="M3988" s="1062" t="s">
        <v>119</v>
      </c>
      <c r="N3988" s="710">
        <v>65067</v>
      </c>
      <c r="O3988" s="710">
        <v>65067</v>
      </c>
      <c r="P3988" s="541">
        <v>65078</v>
      </c>
      <c r="Q3988" s="533" t="s">
        <v>51</v>
      </c>
    </row>
    <row r="3989" spans="1:17" ht="18.75" thickBot="1">
      <c r="A3989" s="512">
        <f t="shared" si="55"/>
        <v>3142</v>
      </c>
      <c r="B3989" s="942" t="s">
        <v>43</v>
      </c>
      <c r="C3989" s="943" t="s">
        <v>44</v>
      </c>
      <c r="D3989" s="990" t="s">
        <v>45</v>
      </c>
      <c r="E3989" s="509" t="s">
        <v>4634</v>
      </c>
      <c r="F3989" s="509" t="s">
        <v>510</v>
      </c>
      <c r="G3989" s="490">
        <v>9847866377</v>
      </c>
      <c r="I3989" s="490">
        <v>42</v>
      </c>
      <c r="J3989" s="1032" t="s">
        <v>90</v>
      </c>
      <c r="K3989" s="434" t="s">
        <v>4556</v>
      </c>
      <c r="M3989" s="1062" t="s">
        <v>119</v>
      </c>
      <c r="N3989" s="1036">
        <v>65067</v>
      </c>
      <c r="O3989" s="1036">
        <v>65067</v>
      </c>
      <c r="P3989" s="541">
        <v>65078</v>
      </c>
      <c r="Q3989" s="533" t="s">
        <v>51</v>
      </c>
    </row>
    <row r="3990" spans="1:17" ht="18.75" thickBot="1">
      <c r="A3990" s="512">
        <f t="shared" si="55"/>
        <v>3143</v>
      </c>
      <c r="B3990" s="942" t="s">
        <v>43</v>
      </c>
      <c r="C3990" s="943" t="s">
        <v>44</v>
      </c>
      <c r="D3990" s="990" t="s">
        <v>45</v>
      </c>
      <c r="E3990" s="128" t="s">
        <v>4724</v>
      </c>
      <c r="F3990" s="128" t="s">
        <v>1008</v>
      </c>
      <c r="G3990" s="247">
        <v>9847993718</v>
      </c>
      <c r="H3990" s="128"/>
      <c r="I3990" s="247">
        <v>38</v>
      </c>
      <c r="J3990" s="128" t="s">
        <v>453</v>
      </c>
      <c r="K3990" s="128" t="s">
        <v>1763</v>
      </c>
      <c r="L3990" s="128"/>
      <c r="M3990" s="1155" t="s">
        <v>1764</v>
      </c>
      <c r="N3990" s="64">
        <v>65067.381666666668</v>
      </c>
      <c r="O3990" s="64">
        <v>65067.381666666668</v>
      </c>
      <c r="P3990" s="541">
        <v>65078</v>
      </c>
      <c r="Q3990" s="533" t="s">
        <v>51</v>
      </c>
    </row>
    <row r="3991" spans="1:17" ht="18.75" thickBot="1">
      <c r="A3991" s="512">
        <f t="shared" si="55"/>
        <v>3144</v>
      </c>
      <c r="B3991" s="942" t="s">
        <v>43</v>
      </c>
      <c r="C3991" s="943" t="s">
        <v>44</v>
      </c>
      <c r="D3991" s="990" t="s">
        <v>45</v>
      </c>
      <c r="E3991" s="128" t="s">
        <v>4723</v>
      </c>
      <c r="F3991" s="128" t="s">
        <v>1008</v>
      </c>
      <c r="G3991" s="247">
        <v>9847849682</v>
      </c>
      <c r="H3991" s="128"/>
      <c r="I3991" s="247">
        <v>58</v>
      </c>
      <c r="J3991" s="128" t="s">
        <v>453</v>
      </c>
      <c r="K3991" s="128" t="s">
        <v>1763</v>
      </c>
      <c r="L3991" s="128"/>
      <c r="M3991" s="1155" t="s">
        <v>1764</v>
      </c>
      <c r="N3991" s="64">
        <v>65067.384016203701</v>
      </c>
      <c r="O3991" s="64">
        <v>65067.384016203701</v>
      </c>
      <c r="P3991" s="541">
        <v>65078</v>
      </c>
      <c r="Q3991" s="533" t="s">
        <v>51</v>
      </c>
    </row>
    <row r="3992" spans="1:17" ht="18.75" thickBot="1">
      <c r="A3992" s="512">
        <f t="shared" si="55"/>
        <v>3145</v>
      </c>
      <c r="B3992" s="942" t="s">
        <v>43</v>
      </c>
      <c r="C3992" s="943" t="s">
        <v>44</v>
      </c>
      <c r="D3992" s="990" t="s">
        <v>45</v>
      </c>
      <c r="E3992" s="128" t="s">
        <v>4722</v>
      </c>
      <c r="F3992" s="128" t="s">
        <v>441</v>
      </c>
      <c r="G3992" s="247">
        <v>9806194254</v>
      </c>
      <c r="H3992" s="128"/>
      <c r="I3992" s="247">
        <v>58</v>
      </c>
      <c r="J3992" s="128" t="s">
        <v>90</v>
      </c>
      <c r="K3992" s="128" t="s">
        <v>1763</v>
      </c>
      <c r="L3992" s="128"/>
      <c r="M3992" s="1155" t="s">
        <v>1764</v>
      </c>
      <c r="N3992" s="64">
        <v>65067.802777777775</v>
      </c>
      <c r="O3992" s="64">
        <v>65067.802777777775</v>
      </c>
      <c r="P3992" s="541">
        <v>65078</v>
      </c>
      <c r="Q3992" s="533" t="s">
        <v>51</v>
      </c>
    </row>
    <row r="3993" spans="1:17" ht="18.75" thickBot="1">
      <c r="A3993" s="512">
        <f t="shared" si="55"/>
        <v>3146</v>
      </c>
      <c r="B3993" s="942" t="s">
        <v>43</v>
      </c>
      <c r="C3993" s="943" t="s">
        <v>44</v>
      </c>
      <c r="D3993" s="990" t="s">
        <v>45</v>
      </c>
      <c r="E3993" s="128" t="s">
        <v>4721</v>
      </c>
      <c r="F3993" s="128" t="s">
        <v>441</v>
      </c>
      <c r="G3993" s="247">
        <v>9806194254</v>
      </c>
      <c r="H3993" s="128"/>
      <c r="I3993" s="247">
        <v>35</v>
      </c>
      <c r="J3993" s="128" t="s">
        <v>453</v>
      </c>
      <c r="K3993" s="128" t="s">
        <v>1763</v>
      </c>
      <c r="L3993" s="128"/>
      <c r="M3993" s="1155" t="s">
        <v>1764</v>
      </c>
      <c r="N3993" s="64">
        <v>65067.804224537038</v>
      </c>
      <c r="O3993" s="64">
        <v>65067.804224537038</v>
      </c>
      <c r="P3993" s="541">
        <v>65078</v>
      </c>
      <c r="Q3993" s="533" t="s">
        <v>51</v>
      </c>
    </row>
    <row r="3994" spans="1:17" ht="18.75" thickBot="1">
      <c r="A3994" s="512">
        <f t="shared" si="55"/>
        <v>3147</v>
      </c>
      <c r="B3994" s="942" t="s">
        <v>43</v>
      </c>
      <c r="C3994" s="943" t="s">
        <v>44</v>
      </c>
      <c r="D3994" s="990" t="s">
        <v>45</v>
      </c>
      <c r="E3994" s="128" t="s">
        <v>4720</v>
      </c>
      <c r="F3994" s="128" t="s">
        <v>441</v>
      </c>
      <c r="G3994" s="247">
        <v>9847921010</v>
      </c>
      <c r="H3994" s="128"/>
      <c r="I3994" s="247">
        <v>52</v>
      </c>
      <c r="J3994" s="128" t="s">
        <v>453</v>
      </c>
      <c r="K3994" s="128" t="s">
        <v>1763</v>
      </c>
      <c r="L3994" s="128"/>
      <c r="M3994" s="1155" t="s">
        <v>1764</v>
      </c>
      <c r="N3994" s="64">
        <v>65067.805717592593</v>
      </c>
      <c r="O3994" s="64">
        <v>65067.805717592593</v>
      </c>
      <c r="P3994" s="541">
        <v>65078</v>
      </c>
      <c r="Q3994" s="533" t="s">
        <v>51</v>
      </c>
    </row>
    <row r="3995" spans="1:17" ht="18.75" thickBot="1">
      <c r="A3995" s="512">
        <f t="shared" si="55"/>
        <v>3148</v>
      </c>
      <c r="B3995" s="942" t="s">
        <v>43</v>
      </c>
      <c r="C3995" s="943" t="s">
        <v>44</v>
      </c>
      <c r="D3995" s="990" t="s">
        <v>45</v>
      </c>
      <c r="E3995" s="128" t="s">
        <v>4719</v>
      </c>
      <c r="F3995" s="128" t="s">
        <v>441</v>
      </c>
      <c r="G3995" s="247">
        <v>9847932544</v>
      </c>
      <c r="H3995" s="128"/>
      <c r="I3995" s="247">
        <v>45</v>
      </c>
      <c r="J3995" s="128" t="s">
        <v>90</v>
      </c>
      <c r="K3995" s="128" t="s">
        <v>1763</v>
      </c>
      <c r="L3995" s="128"/>
      <c r="M3995" s="1155" t="s">
        <v>1764</v>
      </c>
      <c r="N3995" s="64">
        <v>65067.806967592594</v>
      </c>
      <c r="O3995" s="64">
        <v>65067.806967592594</v>
      </c>
      <c r="P3995" s="541">
        <v>65078</v>
      </c>
      <c r="Q3995" s="533" t="s">
        <v>51</v>
      </c>
    </row>
    <row r="3996" spans="1:17" ht="18.75" thickBot="1">
      <c r="A3996" s="512">
        <f t="shared" si="55"/>
        <v>3149</v>
      </c>
      <c r="B3996" s="942" t="s">
        <v>43</v>
      </c>
      <c r="C3996" s="943" t="s">
        <v>44</v>
      </c>
      <c r="D3996" s="990" t="s">
        <v>45</v>
      </c>
      <c r="E3996" s="128" t="s">
        <v>4718</v>
      </c>
      <c r="F3996" s="128" t="s">
        <v>636</v>
      </c>
      <c r="G3996" s="247">
        <v>9847821946</v>
      </c>
      <c r="H3996" s="128"/>
      <c r="I3996" s="247">
        <v>56</v>
      </c>
      <c r="J3996" s="128" t="s">
        <v>90</v>
      </c>
      <c r="K3996" s="128" t="s">
        <v>1763</v>
      </c>
      <c r="L3996" s="128"/>
      <c r="M3996" s="1155" t="s">
        <v>1764</v>
      </c>
      <c r="N3996" s="64">
        <v>65067.810011574074</v>
      </c>
      <c r="O3996" s="64">
        <v>65067.810011574074</v>
      </c>
      <c r="P3996" s="541">
        <v>65078</v>
      </c>
      <c r="Q3996" s="533" t="s">
        <v>51</v>
      </c>
    </row>
    <row r="3997" spans="1:17" ht="18.75" thickBot="1">
      <c r="A3997" s="512">
        <f t="shared" si="55"/>
        <v>3150</v>
      </c>
      <c r="B3997" s="942" t="s">
        <v>43</v>
      </c>
      <c r="C3997" s="943" t="s">
        <v>44</v>
      </c>
      <c r="D3997" s="990" t="s">
        <v>45</v>
      </c>
      <c r="E3997" s="509" t="s">
        <v>3174</v>
      </c>
      <c r="F3997" s="509" t="s">
        <v>529</v>
      </c>
      <c r="G3997" s="490">
        <v>9808708913</v>
      </c>
      <c r="I3997" s="490">
        <v>49</v>
      </c>
      <c r="J3997" s="1032" t="s">
        <v>90</v>
      </c>
      <c r="K3997" s="434" t="s">
        <v>4556</v>
      </c>
      <c r="M3997" s="1062" t="s">
        <v>119</v>
      </c>
      <c r="N3997" s="1036">
        <v>65068</v>
      </c>
      <c r="O3997" s="1036">
        <v>65068</v>
      </c>
      <c r="P3997" s="582">
        <v>65079</v>
      </c>
      <c r="Q3997" s="578" t="s">
        <v>51</v>
      </c>
    </row>
    <row r="3998" spans="1:17" ht="18">
      <c r="A3998" s="512">
        <f t="shared" si="55"/>
        <v>3151</v>
      </c>
      <c r="B3998" s="1074" t="s">
        <v>43</v>
      </c>
      <c r="C3998" s="172" t="s">
        <v>44</v>
      </c>
      <c r="D3998" s="1075" t="s">
        <v>45</v>
      </c>
      <c r="E3998" s="1160" t="s">
        <v>4636</v>
      </c>
      <c r="F3998" s="1162" t="s">
        <v>124</v>
      </c>
      <c r="G3998" s="1165">
        <v>9847992650</v>
      </c>
      <c r="H3998" s="1162"/>
      <c r="I3998" s="1165">
        <v>62</v>
      </c>
      <c r="J3998" s="1169" t="s">
        <v>90</v>
      </c>
      <c r="K3998" s="1170" t="s">
        <v>4556</v>
      </c>
      <c r="L3998" s="1170"/>
      <c r="M3998" s="1172" t="s">
        <v>4449</v>
      </c>
      <c r="N3998" s="1174">
        <v>65068</v>
      </c>
      <c r="O3998" s="1174">
        <v>65068</v>
      </c>
      <c r="P3998" s="459">
        <v>65086</v>
      </c>
      <c r="Q3998" s="578" t="s">
        <v>51</v>
      </c>
    </row>
    <row r="3999" spans="1:17" ht="18">
      <c r="A3999" s="512">
        <f t="shared" si="55"/>
        <v>3152</v>
      </c>
      <c r="B3999" s="942" t="s">
        <v>43</v>
      </c>
      <c r="C3999" s="943" t="s">
        <v>44</v>
      </c>
      <c r="D3999" s="943" t="s">
        <v>45</v>
      </c>
      <c r="E3999" s="1031" t="s">
        <v>4635</v>
      </c>
      <c r="F3999" s="509" t="s">
        <v>510</v>
      </c>
      <c r="G3999" s="1035">
        <v>9842232779</v>
      </c>
      <c r="I3999" s="1035">
        <v>45</v>
      </c>
      <c r="J3999" s="1032" t="s">
        <v>90</v>
      </c>
      <c r="K3999" s="434" t="s">
        <v>4556</v>
      </c>
      <c r="M3999" s="146" t="s">
        <v>119</v>
      </c>
      <c r="N3999" s="1036">
        <v>65068</v>
      </c>
      <c r="O3999" s="1036">
        <v>65068</v>
      </c>
      <c r="P3999" s="582">
        <v>65079</v>
      </c>
      <c r="Q3999" s="578" t="s">
        <v>51</v>
      </c>
    </row>
    <row r="4000" spans="1:17" ht="18">
      <c r="A4000" s="512">
        <f t="shared" si="55"/>
        <v>3153</v>
      </c>
      <c r="B4000" s="942" t="s">
        <v>43</v>
      </c>
      <c r="C4000" s="943" t="s">
        <v>44</v>
      </c>
      <c r="D4000" s="943" t="s">
        <v>45</v>
      </c>
      <c r="E4000" s="509" t="s">
        <v>4637</v>
      </c>
      <c r="F4000" s="509" t="s">
        <v>730</v>
      </c>
      <c r="G4000" s="490">
        <v>9841542074</v>
      </c>
      <c r="I4000" s="490">
        <v>34</v>
      </c>
      <c r="J4000" s="1032" t="s">
        <v>453</v>
      </c>
      <c r="K4000" s="434" t="s">
        <v>4556</v>
      </c>
      <c r="M4000" s="146" t="s">
        <v>119</v>
      </c>
      <c r="N4000" s="1036">
        <v>65068</v>
      </c>
      <c r="O4000" s="1036">
        <v>65068</v>
      </c>
      <c r="P4000" s="582">
        <v>65079</v>
      </c>
      <c r="Q4000" s="578" t="s">
        <v>51</v>
      </c>
    </row>
    <row r="4001" spans="1:17" ht="18">
      <c r="A4001" s="512">
        <f t="shared" si="55"/>
        <v>3154</v>
      </c>
      <c r="B4001" s="942" t="s">
        <v>43</v>
      </c>
      <c r="C4001" s="943" t="s">
        <v>44</v>
      </c>
      <c r="D4001" s="943" t="s">
        <v>45</v>
      </c>
      <c r="E4001" s="509" t="s">
        <v>4690</v>
      </c>
      <c r="F4001" s="509" t="s">
        <v>617</v>
      </c>
      <c r="G4001" s="490">
        <v>9847853684</v>
      </c>
      <c r="I4001" s="490">
        <v>40</v>
      </c>
      <c r="J4001" s="1032" t="s">
        <v>453</v>
      </c>
      <c r="K4001" s="434" t="s">
        <v>4691</v>
      </c>
      <c r="M4001" s="146" t="s">
        <v>119</v>
      </c>
      <c r="N4001" s="1036">
        <v>65068</v>
      </c>
      <c r="O4001" s="1036">
        <v>65068</v>
      </c>
      <c r="P4001" s="582">
        <v>65079</v>
      </c>
      <c r="Q4001" s="578" t="s">
        <v>51</v>
      </c>
    </row>
    <row r="4002" spans="1:17" ht="18">
      <c r="A4002" s="512">
        <f t="shared" si="55"/>
        <v>3155</v>
      </c>
      <c r="B4002" s="942" t="s">
        <v>43</v>
      </c>
      <c r="C4002" s="943" t="s">
        <v>44</v>
      </c>
      <c r="D4002" s="943" t="s">
        <v>45</v>
      </c>
      <c r="E4002" s="128" t="s">
        <v>4717</v>
      </c>
      <c r="F4002" s="128" t="s">
        <v>636</v>
      </c>
      <c r="G4002" s="247">
        <v>9829588371</v>
      </c>
      <c r="H4002" s="128"/>
      <c r="I4002" s="247">
        <v>70</v>
      </c>
      <c r="J4002" s="128" t="s">
        <v>90</v>
      </c>
      <c r="K4002" s="128" t="s">
        <v>1763</v>
      </c>
      <c r="L4002" s="128"/>
      <c r="M4002" s="128" t="s">
        <v>1764</v>
      </c>
      <c r="N4002" s="64">
        <v>65068.333425925928</v>
      </c>
      <c r="O4002" s="64">
        <v>65068.333425925928</v>
      </c>
      <c r="P4002" s="582">
        <v>65079</v>
      </c>
      <c r="Q4002" s="578" t="s">
        <v>51</v>
      </c>
    </row>
    <row r="4003" spans="1:17" ht="18">
      <c r="A4003" s="512">
        <f t="shared" si="55"/>
        <v>3156</v>
      </c>
      <c r="B4003" s="942" t="s">
        <v>43</v>
      </c>
      <c r="C4003" s="943" t="s">
        <v>44</v>
      </c>
      <c r="D4003" s="943" t="s">
        <v>45</v>
      </c>
      <c r="E4003" s="128" t="s">
        <v>4716</v>
      </c>
      <c r="F4003" s="128" t="s">
        <v>124</v>
      </c>
      <c r="G4003" s="247">
        <v>9847824394</v>
      </c>
      <c r="H4003" s="128"/>
      <c r="I4003" s="247">
        <v>9</v>
      </c>
      <c r="J4003" s="128" t="s">
        <v>90</v>
      </c>
      <c r="K4003" s="128" t="s">
        <v>1763</v>
      </c>
      <c r="L4003" s="128"/>
      <c r="M4003" s="128" t="s">
        <v>1764</v>
      </c>
      <c r="N4003" s="64">
        <v>65068.487800925926</v>
      </c>
      <c r="O4003" s="64">
        <v>65068.487800925926</v>
      </c>
      <c r="P4003" s="582">
        <v>65079</v>
      </c>
      <c r="Q4003" s="578" t="s">
        <v>51</v>
      </c>
    </row>
    <row r="4004" spans="1:17" ht="18">
      <c r="A4004" s="512">
        <f t="shared" si="55"/>
        <v>3157</v>
      </c>
      <c r="B4004" s="942" t="s">
        <v>43</v>
      </c>
      <c r="C4004" s="943" t="s">
        <v>44</v>
      </c>
      <c r="D4004" s="943" t="s">
        <v>45</v>
      </c>
      <c r="E4004" s="128" t="s">
        <v>4715</v>
      </c>
      <c r="F4004" s="128" t="s">
        <v>1046</v>
      </c>
      <c r="G4004" s="247">
        <v>9869023171</v>
      </c>
      <c r="H4004" s="128"/>
      <c r="I4004" s="247">
        <v>68</v>
      </c>
      <c r="J4004" s="128" t="s">
        <v>90</v>
      </c>
      <c r="K4004" s="128" t="s">
        <v>1763</v>
      </c>
      <c r="L4004" s="128"/>
      <c r="M4004" s="128" t="s">
        <v>1764</v>
      </c>
      <c r="N4004" s="64">
        <v>65068.594027777777</v>
      </c>
      <c r="O4004" s="64">
        <v>65068.594027777777</v>
      </c>
      <c r="P4004" s="582">
        <v>65079</v>
      </c>
      <c r="Q4004" s="578" t="s">
        <v>51</v>
      </c>
    </row>
    <row r="4005" spans="1:17" ht="18">
      <c r="A4005" s="512">
        <f t="shared" si="55"/>
        <v>3158</v>
      </c>
      <c r="B4005" s="942" t="s">
        <v>43</v>
      </c>
      <c r="C4005" s="943" t="s">
        <v>44</v>
      </c>
      <c r="D4005" s="943" t="s">
        <v>45</v>
      </c>
      <c r="E4005" s="128" t="s">
        <v>4714</v>
      </c>
      <c r="F4005" s="128" t="s">
        <v>1046</v>
      </c>
      <c r="G4005" s="247">
        <v>9847833773</v>
      </c>
      <c r="H4005" s="128"/>
      <c r="I4005" s="247">
        <v>49</v>
      </c>
      <c r="J4005" s="128" t="s">
        <v>453</v>
      </c>
      <c r="K4005" s="128" t="s">
        <v>1763</v>
      </c>
      <c r="L4005" s="128"/>
      <c r="M4005" s="128" t="s">
        <v>1764</v>
      </c>
      <c r="N4005" s="64">
        <v>65068.595543981479</v>
      </c>
      <c r="O4005" s="64">
        <v>65068.595543981479</v>
      </c>
      <c r="P4005" s="582">
        <v>65079</v>
      </c>
      <c r="Q4005" s="578" t="s">
        <v>51</v>
      </c>
    </row>
    <row r="4006" spans="1:17" ht="18">
      <c r="A4006" s="512">
        <f t="shared" si="55"/>
        <v>3159</v>
      </c>
      <c r="B4006" s="942" t="s">
        <v>43</v>
      </c>
      <c r="C4006" s="943" t="s">
        <v>44</v>
      </c>
      <c r="D4006" s="943" t="s">
        <v>45</v>
      </c>
      <c r="E4006" s="128" t="s">
        <v>4713</v>
      </c>
      <c r="F4006" s="128" t="s">
        <v>791</v>
      </c>
      <c r="G4006" s="247">
        <v>9842294139</v>
      </c>
      <c r="H4006" s="128"/>
      <c r="I4006" s="247">
        <v>20</v>
      </c>
      <c r="J4006" s="128" t="s">
        <v>453</v>
      </c>
      <c r="K4006" s="128" t="s">
        <v>1763</v>
      </c>
      <c r="L4006" s="128"/>
      <c r="M4006" s="128" t="s">
        <v>1764</v>
      </c>
      <c r="N4006" s="64">
        <v>65068.646817129629</v>
      </c>
      <c r="O4006" s="64">
        <v>65068.646817129629</v>
      </c>
      <c r="P4006" s="582">
        <v>65079</v>
      </c>
      <c r="Q4006" s="578" t="s">
        <v>51</v>
      </c>
    </row>
    <row r="4007" spans="1:17" ht="18">
      <c r="A4007" s="512">
        <f t="shared" si="55"/>
        <v>3160</v>
      </c>
      <c r="B4007" s="942" t="s">
        <v>43</v>
      </c>
      <c r="C4007" s="943" t="s">
        <v>44</v>
      </c>
      <c r="D4007" s="943" t="s">
        <v>45</v>
      </c>
      <c r="E4007" s="128" t="s">
        <v>4712</v>
      </c>
      <c r="F4007" s="128" t="s">
        <v>791</v>
      </c>
      <c r="G4007" s="247">
        <v>9822941693</v>
      </c>
      <c r="H4007" s="128"/>
      <c r="I4007" s="247">
        <v>40</v>
      </c>
      <c r="J4007" s="128" t="s">
        <v>453</v>
      </c>
      <c r="K4007" s="128" t="s">
        <v>1763</v>
      </c>
      <c r="L4007" s="128"/>
      <c r="M4007" s="128" t="s">
        <v>1764</v>
      </c>
      <c r="N4007" s="64">
        <v>65068.648344907408</v>
      </c>
      <c r="O4007" s="64">
        <v>65068.648344907408</v>
      </c>
      <c r="P4007" s="582">
        <v>65079</v>
      </c>
      <c r="Q4007" s="578" t="s">
        <v>51</v>
      </c>
    </row>
    <row r="4008" spans="1:17" ht="18">
      <c r="A4008" s="512">
        <f t="shared" si="55"/>
        <v>3161</v>
      </c>
      <c r="B4008" s="942" t="s">
        <v>43</v>
      </c>
      <c r="C4008" s="943" t="s">
        <v>44</v>
      </c>
      <c r="D4008" s="943" t="s">
        <v>45</v>
      </c>
      <c r="E4008" s="128" t="s">
        <v>4711</v>
      </c>
      <c r="F4008" s="128" t="s">
        <v>791</v>
      </c>
      <c r="G4008" s="247">
        <v>9844965222</v>
      </c>
      <c r="H4008" s="128"/>
      <c r="I4008" s="247">
        <v>29</v>
      </c>
      <c r="J4008" s="128" t="s">
        <v>90</v>
      </c>
      <c r="K4008" s="128" t="s">
        <v>1763</v>
      </c>
      <c r="L4008" s="128"/>
      <c r="M4008" s="128" t="s">
        <v>1764</v>
      </c>
      <c r="N4008" s="64">
        <v>65068.649976851855</v>
      </c>
      <c r="O4008" s="64">
        <v>65068.649976851855</v>
      </c>
      <c r="P4008" s="582">
        <v>65079</v>
      </c>
      <c r="Q4008" s="578" t="s">
        <v>51</v>
      </c>
    </row>
    <row r="4009" spans="1:17" ht="18">
      <c r="A4009" s="512">
        <f t="shared" si="55"/>
        <v>3162</v>
      </c>
      <c r="B4009" s="942" t="s">
        <v>43</v>
      </c>
      <c r="C4009" s="943" t="s">
        <v>44</v>
      </c>
      <c r="D4009" s="943" t="s">
        <v>45</v>
      </c>
      <c r="E4009" s="130" t="s">
        <v>4652</v>
      </c>
      <c r="F4009" s="130" t="s">
        <v>1046</v>
      </c>
      <c r="G4009" s="150">
        <v>9848132050</v>
      </c>
      <c r="H4009" s="120"/>
      <c r="I4009" s="150">
        <v>39</v>
      </c>
      <c r="J4009" s="120" t="s">
        <v>48</v>
      </c>
      <c r="K4009" s="120" t="s">
        <v>1468</v>
      </c>
      <c r="M4009" s="146" t="s">
        <v>119</v>
      </c>
      <c r="N4009" s="710">
        <v>65069</v>
      </c>
      <c r="O4009" s="710">
        <v>65069</v>
      </c>
      <c r="P4009" s="541">
        <v>65080</v>
      </c>
      <c r="Q4009" s="1237" t="s">
        <v>51</v>
      </c>
    </row>
    <row r="4010" spans="1:17" ht="18">
      <c r="A4010" s="512">
        <f t="shared" si="55"/>
        <v>3163</v>
      </c>
      <c r="B4010" s="942" t="s">
        <v>43</v>
      </c>
      <c r="C4010" s="943" t="s">
        <v>44</v>
      </c>
      <c r="D4010" s="943" t="s">
        <v>45</v>
      </c>
      <c r="E4010" s="1031" t="s">
        <v>4640</v>
      </c>
      <c r="F4010" s="509" t="s">
        <v>441</v>
      </c>
      <c r="G4010" s="1035">
        <v>9829565480</v>
      </c>
      <c r="I4010" s="1035">
        <v>36</v>
      </c>
      <c r="J4010" s="1032" t="s">
        <v>453</v>
      </c>
      <c r="K4010" s="434" t="s">
        <v>4556</v>
      </c>
      <c r="M4010" s="146" t="s">
        <v>119</v>
      </c>
      <c r="N4010" s="1036">
        <v>65069</v>
      </c>
      <c r="O4010" s="1036">
        <v>65069</v>
      </c>
      <c r="P4010" s="541">
        <v>65080</v>
      </c>
      <c r="Q4010" s="1237" t="s">
        <v>51</v>
      </c>
    </row>
    <row r="4011" spans="1:17" ht="18">
      <c r="A4011" s="512">
        <f t="shared" si="55"/>
        <v>3164</v>
      </c>
      <c r="B4011" s="942" t="s">
        <v>43</v>
      </c>
      <c r="C4011" s="943" t="s">
        <v>44</v>
      </c>
      <c r="D4011" s="943" t="s">
        <v>45</v>
      </c>
      <c r="E4011" s="120" t="s">
        <v>4646</v>
      </c>
      <c r="F4011" s="120" t="s">
        <v>1204</v>
      </c>
      <c r="G4011" s="150">
        <v>9844904149</v>
      </c>
      <c r="H4011" s="120"/>
      <c r="I4011" s="150">
        <v>66</v>
      </c>
      <c r="J4011" s="120" t="s">
        <v>90</v>
      </c>
      <c r="K4011" s="120" t="s">
        <v>1480</v>
      </c>
      <c r="L4011" s="120"/>
      <c r="M4011" s="146" t="s">
        <v>119</v>
      </c>
      <c r="N4011" s="710">
        <v>65069</v>
      </c>
      <c r="O4011" s="710">
        <v>65069</v>
      </c>
      <c r="P4011" s="541">
        <v>65080</v>
      </c>
      <c r="Q4011" s="1237" t="s">
        <v>51</v>
      </c>
    </row>
    <row r="4012" spans="1:17" ht="18">
      <c r="A4012" s="512">
        <f t="shared" si="55"/>
        <v>3165</v>
      </c>
      <c r="B4012" s="942" t="s">
        <v>43</v>
      </c>
      <c r="C4012" s="943" t="s">
        <v>44</v>
      </c>
      <c r="D4012" s="943" t="s">
        <v>45</v>
      </c>
      <c r="E4012" s="1031" t="s">
        <v>2963</v>
      </c>
      <c r="F4012" s="509" t="s">
        <v>441</v>
      </c>
      <c r="G4012" s="1035">
        <v>9808090383</v>
      </c>
      <c r="I4012" s="1035">
        <v>35</v>
      </c>
      <c r="J4012" s="1032" t="s">
        <v>453</v>
      </c>
      <c r="K4012" s="434" t="s">
        <v>4556</v>
      </c>
      <c r="M4012" s="146" t="s">
        <v>119</v>
      </c>
      <c r="N4012" s="1036">
        <v>65069</v>
      </c>
      <c r="O4012" s="1036">
        <v>65069</v>
      </c>
      <c r="P4012" s="541">
        <v>65080</v>
      </c>
      <c r="Q4012" s="1237" t="s">
        <v>51</v>
      </c>
    </row>
    <row r="4013" spans="1:17" ht="18">
      <c r="A4013" s="512">
        <f t="shared" si="55"/>
        <v>3166</v>
      </c>
      <c r="B4013" s="942" t="s">
        <v>43</v>
      </c>
      <c r="C4013" s="943" t="s">
        <v>44</v>
      </c>
      <c r="D4013" s="943" t="s">
        <v>45</v>
      </c>
      <c r="E4013" s="1031" t="s">
        <v>4639</v>
      </c>
      <c r="F4013" s="509" t="s">
        <v>124</v>
      </c>
      <c r="G4013" s="1035">
        <v>9844913981</v>
      </c>
      <c r="I4013" s="1035">
        <v>26</v>
      </c>
      <c r="J4013" s="1032" t="s">
        <v>453</v>
      </c>
      <c r="K4013" s="434" t="s">
        <v>4556</v>
      </c>
      <c r="M4013" s="146" t="s">
        <v>119</v>
      </c>
      <c r="N4013" s="1036">
        <v>65069</v>
      </c>
      <c r="O4013" s="1036">
        <v>65069</v>
      </c>
      <c r="P4013" s="541">
        <v>65080</v>
      </c>
      <c r="Q4013" s="1237" t="s">
        <v>51</v>
      </c>
    </row>
    <row r="4014" spans="1:17" ht="18">
      <c r="A4014" s="512">
        <f t="shared" si="55"/>
        <v>3167</v>
      </c>
      <c r="B4014" s="942" t="s">
        <v>43</v>
      </c>
      <c r="C4014" s="943" t="s">
        <v>44</v>
      </c>
      <c r="D4014" s="943" t="s">
        <v>45</v>
      </c>
      <c r="E4014" s="1031" t="s">
        <v>4641</v>
      </c>
      <c r="F4014" s="509" t="s">
        <v>441</v>
      </c>
      <c r="G4014" s="1035">
        <v>9862353580</v>
      </c>
      <c r="I4014" s="1035">
        <v>45</v>
      </c>
      <c r="J4014" s="1032" t="s">
        <v>453</v>
      </c>
      <c r="K4014" s="434" t="s">
        <v>4556</v>
      </c>
      <c r="M4014" s="146" t="s">
        <v>119</v>
      </c>
      <c r="N4014" s="1036">
        <v>65069</v>
      </c>
      <c r="O4014" s="1036">
        <v>65069</v>
      </c>
      <c r="P4014" s="541">
        <v>65080</v>
      </c>
      <c r="Q4014" s="1237" t="s">
        <v>51</v>
      </c>
    </row>
    <row r="4015" spans="1:17" ht="18">
      <c r="A4015" s="512">
        <f t="shared" si="55"/>
        <v>3168</v>
      </c>
      <c r="B4015" s="942" t="s">
        <v>43</v>
      </c>
      <c r="C4015" s="943" t="s">
        <v>44</v>
      </c>
      <c r="D4015" s="943" t="s">
        <v>45</v>
      </c>
      <c r="E4015" s="1031" t="s">
        <v>4638</v>
      </c>
      <c r="F4015" s="509" t="s">
        <v>124</v>
      </c>
      <c r="G4015" s="1035">
        <v>9847866027</v>
      </c>
      <c r="I4015" s="1035">
        <v>47</v>
      </c>
      <c r="J4015" s="1032" t="s">
        <v>453</v>
      </c>
      <c r="K4015" s="434" t="s">
        <v>4556</v>
      </c>
      <c r="M4015" s="146" t="s">
        <v>119</v>
      </c>
      <c r="N4015" s="1036">
        <v>65069</v>
      </c>
      <c r="O4015" s="1036">
        <v>65069</v>
      </c>
      <c r="P4015" s="541">
        <v>65080</v>
      </c>
      <c r="Q4015" s="1237" t="s">
        <v>51</v>
      </c>
    </row>
    <row r="4016" spans="1:17" ht="18">
      <c r="A4016" s="512">
        <f t="shared" si="55"/>
        <v>3169</v>
      </c>
      <c r="B4016" s="942" t="s">
        <v>43</v>
      </c>
      <c r="C4016" s="943" t="s">
        <v>44</v>
      </c>
      <c r="D4016" s="943" t="s">
        <v>45</v>
      </c>
      <c r="E4016" s="1031" t="s">
        <v>4178</v>
      </c>
      <c r="F4016" s="509" t="s">
        <v>502</v>
      </c>
      <c r="G4016" s="1035">
        <v>9844943620</v>
      </c>
      <c r="I4016" s="1035">
        <v>27</v>
      </c>
      <c r="J4016" s="1032" t="s">
        <v>453</v>
      </c>
      <c r="K4016" s="434" t="s">
        <v>4556</v>
      </c>
      <c r="M4016" s="146" t="s">
        <v>119</v>
      </c>
      <c r="N4016" s="1036">
        <v>65069</v>
      </c>
      <c r="O4016" s="1036">
        <v>65069</v>
      </c>
      <c r="P4016" s="541">
        <v>65080</v>
      </c>
      <c r="Q4016" s="1237" t="s">
        <v>51</v>
      </c>
    </row>
    <row r="4017" spans="1:17" ht="18">
      <c r="A4017" s="512">
        <f t="shared" si="55"/>
        <v>3170</v>
      </c>
      <c r="B4017" s="942" t="s">
        <v>43</v>
      </c>
      <c r="C4017" s="943" t="s">
        <v>44</v>
      </c>
      <c r="D4017" s="943" t="s">
        <v>45</v>
      </c>
      <c r="E4017" s="130" t="s">
        <v>4281</v>
      </c>
      <c r="F4017" s="130" t="s">
        <v>529</v>
      </c>
      <c r="G4017" s="150">
        <v>9847842556</v>
      </c>
      <c r="H4017" s="120"/>
      <c r="I4017" s="150">
        <v>44</v>
      </c>
      <c r="J4017" s="120" t="s">
        <v>90</v>
      </c>
      <c r="K4017" s="120" t="s">
        <v>1468</v>
      </c>
      <c r="L4017" s="120"/>
      <c r="M4017" s="146" t="s">
        <v>119</v>
      </c>
      <c r="N4017" s="1140">
        <v>65070</v>
      </c>
      <c r="O4017" s="1140">
        <v>65070</v>
      </c>
      <c r="P4017" s="1140">
        <v>65081</v>
      </c>
      <c r="Q4017" s="826" t="s">
        <v>51</v>
      </c>
    </row>
    <row r="4018" spans="1:17" s="362" customFormat="1" ht="18">
      <c r="A4018" s="1205">
        <f t="shared" si="55"/>
        <v>3171</v>
      </c>
      <c r="B4018" s="1238" t="s">
        <v>43</v>
      </c>
      <c r="C4018" s="1239" t="s">
        <v>44</v>
      </c>
      <c r="D4018" s="1239" t="s">
        <v>45</v>
      </c>
      <c r="E4018" s="130" t="s">
        <v>4658</v>
      </c>
      <c r="F4018" s="130" t="s">
        <v>557</v>
      </c>
      <c r="G4018" s="227">
        <v>9809817533</v>
      </c>
      <c r="H4018" s="130"/>
      <c r="I4018" s="227">
        <v>36</v>
      </c>
      <c r="J4018" s="130" t="s">
        <v>90</v>
      </c>
      <c r="K4018" s="130" t="s">
        <v>1480</v>
      </c>
      <c r="L4018" s="130"/>
      <c r="M4018" s="130" t="s">
        <v>2648</v>
      </c>
      <c r="N4018" s="1311">
        <v>65070</v>
      </c>
      <c r="O4018" s="1311">
        <v>65070</v>
      </c>
      <c r="P4018" s="1325">
        <v>65095</v>
      </c>
      <c r="Q4018" s="1326" t="s">
        <v>51</v>
      </c>
    </row>
    <row r="4019" spans="1:17" ht="18">
      <c r="A4019" s="512">
        <f t="shared" si="55"/>
        <v>3172</v>
      </c>
      <c r="B4019" s="942" t="s">
        <v>43</v>
      </c>
      <c r="C4019" s="943" t="s">
        <v>44</v>
      </c>
      <c r="D4019" s="943" t="s">
        <v>45</v>
      </c>
      <c r="E4019" s="130" t="s">
        <v>4674</v>
      </c>
      <c r="F4019" s="130" t="s">
        <v>488</v>
      </c>
      <c r="G4019" s="150">
        <v>9869084532</v>
      </c>
      <c r="H4019" s="120"/>
      <c r="I4019" s="150">
        <v>48</v>
      </c>
      <c r="J4019" s="120" t="s">
        <v>48</v>
      </c>
      <c r="K4019" s="120"/>
      <c r="L4019" s="120"/>
      <c r="M4019" s="120" t="s">
        <v>1225</v>
      </c>
      <c r="N4019" s="1141">
        <v>65070</v>
      </c>
      <c r="O4019" s="1141">
        <v>65070</v>
      </c>
      <c r="P4019" s="1140">
        <v>65081</v>
      </c>
      <c r="Q4019" s="826" t="s">
        <v>51</v>
      </c>
    </row>
    <row r="4020" spans="1:17" ht="18">
      <c r="A4020" s="512">
        <f t="shared" si="55"/>
        <v>3173</v>
      </c>
      <c r="B4020" s="942" t="s">
        <v>43</v>
      </c>
      <c r="C4020" s="943" t="s">
        <v>44</v>
      </c>
      <c r="D4020" s="943" t="s">
        <v>45</v>
      </c>
      <c r="E4020" s="130" t="s">
        <v>1977</v>
      </c>
      <c r="F4020" s="130" t="s">
        <v>502</v>
      </c>
      <c r="G4020" s="150">
        <v>9268600897</v>
      </c>
      <c r="H4020" s="120"/>
      <c r="I4020" s="150">
        <v>45</v>
      </c>
      <c r="J4020" s="120" t="s">
        <v>90</v>
      </c>
      <c r="K4020" s="120" t="s">
        <v>1480</v>
      </c>
      <c r="L4020" s="120"/>
      <c r="M4020" s="146" t="s">
        <v>119</v>
      </c>
      <c r="N4020" s="1140">
        <v>65070</v>
      </c>
      <c r="O4020" s="1140">
        <v>65070</v>
      </c>
      <c r="P4020" s="1140">
        <v>65081</v>
      </c>
      <c r="Q4020" s="826" t="s">
        <v>51</v>
      </c>
    </row>
    <row r="4021" spans="1:17" ht="18">
      <c r="A4021" s="512">
        <f t="shared" si="55"/>
        <v>3174</v>
      </c>
      <c r="B4021" s="1145" t="s">
        <v>43</v>
      </c>
      <c r="C4021" s="1146" t="s">
        <v>44</v>
      </c>
      <c r="D4021" s="1146" t="s">
        <v>45</v>
      </c>
      <c r="E4021" s="1158" t="s">
        <v>4710</v>
      </c>
      <c r="F4021" s="1158" t="s">
        <v>124</v>
      </c>
      <c r="G4021" s="1163">
        <v>9829533489</v>
      </c>
      <c r="H4021" s="1158"/>
      <c r="I4021" s="1163">
        <v>9</v>
      </c>
      <c r="J4021" s="1158" t="s">
        <v>453</v>
      </c>
      <c r="K4021" s="1158" t="s">
        <v>1763</v>
      </c>
      <c r="L4021" s="1158"/>
      <c r="M4021" s="1158" t="s">
        <v>1764</v>
      </c>
      <c r="N4021" s="1173">
        <v>65070.573692129627</v>
      </c>
      <c r="O4021" s="1173">
        <v>65070.573692129627</v>
      </c>
      <c r="P4021" s="1140">
        <v>65081</v>
      </c>
      <c r="Q4021" s="826" t="s">
        <v>51</v>
      </c>
    </row>
    <row r="4022" spans="1:17" ht="18">
      <c r="A4022" s="512">
        <f t="shared" si="55"/>
        <v>3175</v>
      </c>
      <c r="B4022" s="1145" t="s">
        <v>43</v>
      </c>
      <c r="C4022" s="1146" t="s">
        <v>44</v>
      </c>
      <c r="D4022" s="1146" t="s">
        <v>45</v>
      </c>
      <c r="E4022" s="128" t="s">
        <v>4709</v>
      </c>
      <c r="F4022" s="128" t="s">
        <v>1204</v>
      </c>
      <c r="G4022" s="247">
        <v>9806263735</v>
      </c>
      <c r="H4022" s="128"/>
      <c r="I4022" s="247">
        <v>34</v>
      </c>
      <c r="J4022" s="128" t="s">
        <v>90</v>
      </c>
      <c r="K4022" s="128" t="s">
        <v>1763</v>
      </c>
      <c r="L4022" s="128"/>
      <c r="M4022" s="128" t="s">
        <v>1764</v>
      </c>
      <c r="N4022" s="64">
        <v>65070.575474537036</v>
      </c>
      <c r="O4022" s="64">
        <v>65070.575474537036</v>
      </c>
      <c r="P4022" s="1140">
        <v>65081</v>
      </c>
      <c r="Q4022" s="826" t="s">
        <v>51</v>
      </c>
    </row>
    <row r="4023" spans="1:17" ht="18">
      <c r="A4023" s="512">
        <f t="shared" si="55"/>
        <v>3176</v>
      </c>
      <c r="B4023" s="1145" t="s">
        <v>43</v>
      </c>
      <c r="C4023" s="1146" t="s">
        <v>44</v>
      </c>
      <c r="D4023" s="1146" t="s">
        <v>45</v>
      </c>
      <c r="E4023" s="128" t="s">
        <v>4708</v>
      </c>
      <c r="F4023" s="128" t="s">
        <v>1204</v>
      </c>
      <c r="G4023" s="247">
        <v>9868663674</v>
      </c>
      <c r="H4023" s="128"/>
      <c r="I4023" s="247">
        <v>54</v>
      </c>
      <c r="J4023" s="128" t="s">
        <v>453</v>
      </c>
      <c r="K4023" s="128" t="s">
        <v>1763</v>
      </c>
      <c r="L4023" s="128"/>
      <c r="M4023" s="128" t="s">
        <v>1764</v>
      </c>
      <c r="N4023" s="64">
        <v>65070.577337962961</v>
      </c>
      <c r="O4023" s="64">
        <v>65070.577337962961</v>
      </c>
      <c r="P4023" s="1140">
        <v>65081</v>
      </c>
      <c r="Q4023" s="826" t="s">
        <v>51</v>
      </c>
    </row>
    <row r="4024" spans="1:17" ht="18">
      <c r="A4024" s="512">
        <f t="shared" si="55"/>
        <v>3177</v>
      </c>
      <c r="B4024" s="1145" t="s">
        <v>43</v>
      </c>
      <c r="C4024" s="1146" t="s">
        <v>44</v>
      </c>
      <c r="D4024" s="1146" t="s">
        <v>45</v>
      </c>
      <c r="E4024" s="128" t="s">
        <v>4707</v>
      </c>
      <c r="F4024" s="128" t="s">
        <v>1204</v>
      </c>
      <c r="G4024" s="247">
        <v>9847849655</v>
      </c>
      <c r="H4024" s="128"/>
      <c r="I4024" s="247">
        <v>36</v>
      </c>
      <c r="J4024" s="128" t="s">
        <v>453</v>
      </c>
      <c r="K4024" s="128" t="s">
        <v>1763</v>
      </c>
      <c r="L4024" s="128"/>
      <c r="M4024" s="128" t="s">
        <v>1764</v>
      </c>
      <c r="N4024" s="64">
        <v>65070.579027777778</v>
      </c>
      <c r="O4024" s="64">
        <v>65070.579027777778</v>
      </c>
      <c r="P4024" s="1140">
        <v>65081</v>
      </c>
      <c r="Q4024" s="826" t="s">
        <v>51</v>
      </c>
    </row>
    <row r="4025" spans="1:17" ht="18">
      <c r="A4025" s="512">
        <f t="shared" si="55"/>
        <v>3178</v>
      </c>
      <c r="B4025" s="1145" t="s">
        <v>43</v>
      </c>
      <c r="C4025" s="1146" t="s">
        <v>44</v>
      </c>
      <c r="D4025" s="1146" t="s">
        <v>45</v>
      </c>
      <c r="E4025" s="128" t="s">
        <v>4706</v>
      </c>
      <c r="F4025" s="128" t="s">
        <v>1204</v>
      </c>
      <c r="G4025" s="247">
        <v>9847814773</v>
      </c>
      <c r="H4025" s="128"/>
      <c r="I4025" s="247">
        <v>38</v>
      </c>
      <c r="J4025" s="128" t="s">
        <v>90</v>
      </c>
      <c r="K4025" s="128" t="s">
        <v>1763</v>
      </c>
      <c r="L4025" s="128"/>
      <c r="M4025" s="128" t="s">
        <v>1764</v>
      </c>
      <c r="N4025" s="64">
        <v>65070.580520833333</v>
      </c>
      <c r="O4025" s="64">
        <v>65070.580520833333</v>
      </c>
      <c r="P4025" s="1140">
        <v>65081</v>
      </c>
      <c r="Q4025" s="826" t="s">
        <v>51</v>
      </c>
    </row>
    <row r="4026" spans="1:17" ht="18">
      <c r="A4026" s="512">
        <f t="shared" si="55"/>
        <v>3179</v>
      </c>
      <c r="B4026" s="1145" t="s">
        <v>43</v>
      </c>
      <c r="C4026" s="1146" t="s">
        <v>44</v>
      </c>
      <c r="D4026" s="1146" t="s">
        <v>45</v>
      </c>
      <c r="E4026" s="128" t="s">
        <v>4705</v>
      </c>
      <c r="F4026" s="128" t="s">
        <v>1204</v>
      </c>
      <c r="G4026" s="247">
        <v>9849171326</v>
      </c>
      <c r="H4026" s="128"/>
      <c r="I4026" s="247">
        <v>20</v>
      </c>
      <c r="J4026" s="128" t="s">
        <v>90</v>
      </c>
      <c r="K4026" s="128" t="s">
        <v>1763</v>
      </c>
      <c r="L4026" s="128"/>
      <c r="M4026" s="128" t="s">
        <v>1764</v>
      </c>
      <c r="N4026" s="64">
        <v>65070.582361111112</v>
      </c>
      <c r="O4026" s="64">
        <v>65070.582361111112</v>
      </c>
      <c r="P4026" s="1140">
        <v>65081</v>
      </c>
      <c r="Q4026" s="826" t="s">
        <v>51</v>
      </c>
    </row>
    <row r="4027" spans="1:17" ht="18">
      <c r="A4027" s="512">
        <f t="shared" si="55"/>
        <v>3180</v>
      </c>
      <c r="B4027" s="1145" t="s">
        <v>43</v>
      </c>
      <c r="C4027" s="1146" t="s">
        <v>44</v>
      </c>
      <c r="D4027" s="1146" t="s">
        <v>45</v>
      </c>
      <c r="E4027" s="128" t="s">
        <v>4704</v>
      </c>
      <c r="F4027" s="128" t="s">
        <v>1204</v>
      </c>
      <c r="G4027" s="247">
        <v>9810906894</v>
      </c>
      <c r="H4027" s="128"/>
      <c r="I4027" s="247">
        <v>30</v>
      </c>
      <c r="J4027" s="128" t="s">
        <v>90</v>
      </c>
      <c r="K4027" s="128" t="s">
        <v>1763</v>
      </c>
      <c r="L4027" s="128"/>
      <c r="M4027" s="128" t="s">
        <v>1764</v>
      </c>
      <c r="N4027" s="64">
        <v>65070.583749999998</v>
      </c>
      <c r="O4027" s="64">
        <v>65070.583749999998</v>
      </c>
      <c r="P4027" s="1140">
        <v>65081</v>
      </c>
      <c r="Q4027" s="826" t="s">
        <v>51</v>
      </c>
    </row>
    <row r="4028" spans="1:17" ht="18">
      <c r="A4028" s="512">
        <f t="shared" si="55"/>
        <v>3181</v>
      </c>
      <c r="B4028" s="1145" t="s">
        <v>43</v>
      </c>
      <c r="C4028" s="1146" t="s">
        <v>44</v>
      </c>
      <c r="D4028" s="1146" t="s">
        <v>45</v>
      </c>
      <c r="E4028" s="128" t="s">
        <v>4703</v>
      </c>
      <c r="F4028" s="128" t="s">
        <v>510</v>
      </c>
      <c r="G4028" s="247">
        <v>9847854460</v>
      </c>
      <c r="H4028" s="128"/>
      <c r="I4028" s="247">
        <v>33</v>
      </c>
      <c r="J4028" s="128" t="s">
        <v>453</v>
      </c>
      <c r="K4028" s="128" t="s">
        <v>1763</v>
      </c>
      <c r="L4028" s="128"/>
      <c r="M4028" s="128" t="s">
        <v>1764</v>
      </c>
      <c r="N4028" s="64">
        <v>65070.586134259262</v>
      </c>
      <c r="O4028" s="64">
        <v>65070.586134259262</v>
      </c>
      <c r="P4028" s="1140">
        <v>65081</v>
      </c>
      <c r="Q4028" s="826" t="s">
        <v>51</v>
      </c>
    </row>
    <row r="4029" spans="1:17" ht="18">
      <c r="A4029" s="512">
        <f t="shared" si="55"/>
        <v>3182</v>
      </c>
      <c r="B4029" s="1145" t="s">
        <v>43</v>
      </c>
      <c r="C4029" s="1146" t="s">
        <v>44</v>
      </c>
      <c r="D4029" s="1146" t="s">
        <v>45</v>
      </c>
      <c r="E4029" s="1158" t="s">
        <v>4702</v>
      </c>
      <c r="F4029" s="1158" t="s">
        <v>510</v>
      </c>
      <c r="G4029" s="1163">
        <v>9847854460</v>
      </c>
      <c r="H4029" s="1158"/>
      <c r="I4029" s="1163">
        <v>7</v>
      </c>
      <c r="J4029" s="1158" t="s">
        <v>90</v>
      </c>
      <c r="K4029" s="1158" t="s">
        <v>1763</v>
      </c>
      <c r="L4029" s="1158"/>
      <c r="M4029" s="1158" t="s">
        <v>1764</v>
      </c>
      <c r="N4029" s="1173">
        <v>65070.58798611111</v>
      </c>
      <c r="O4029" s="1173">
        <v>65070.58798611111</v>
      </c>
      <c r="P4029" s="1140">
        <v>65081</v>
      </c>
      <c r="Q4029" s="826" t="s">
        <v>51</v>
      </c>
    </row>
    <row r="4030" spans="1:17" ht="18">
      <c r="A4030" s="512">
        <f t="shared" si="55"/>
        <v>3183</v>
      </c>
      <c r="B4030" s="1145" t="s">
        <v>43</v>
      </c>
      <c r="C4030" s="1146" t="s">
        <v>44</v>
      </c>
      <c r="D4030" s="1146" t="s">
        <v>45</v>
      </c>
      <c r="E4030" s="128" t="s">
        <v>4701</v>
      </c>
      <c r="F4030" s="128" t="s">
        <v>510</v>
      </c>
      <c r="G4030" s="247">
        <v>9847854460</v>
      </c>
      <c r="H4030" s="128"/>
      <c r="I4030" s="247">
        <v>73</v>
      </c>
      <c r="J4030" s="128" t="s">
        <v>453</v>
      </c>
      <c r="K4030" s="128" t="s">
        <v>1763</v>
      </c>
      <c r="L4030" s="128"/>
      <c r="M4030" s="128" t="s">
        <v>1764</v>
      </c>
      <c r="N4030" s="64">
        <v>65070.589895833335</v>
      </c>
      <c r="O4030" s="64">
        <v>65070.589895833335</v>
      </c>
      <c r="P4030" s="1140">
        <v>65081</v>
      </c>
      <c r="Q4030" s="826" t="s">
        <v>51</v>
      </c>
    </row>
    <row r="4031" spans="1:17" ht="18">
      <c r="A4031" s="512">
        <f t="shared" si="55"/>
        <v>3184</v>
      </c>
      <c r="B4031" s="1145" t="s">
        <v>43</v>
      </c>
      <c r="C4031" s="1146" t="s">
        <v>44</v>
      </c>
      <c r="D4031" s="1146" t="s">
        <v>45</v>
      </c>
      <c r="E4031" s="128" t="s">
        <v>4700</v>
      </c>
      <c r="F4031" s="128" t="s">
        <v>510</v>
      </c>
      <c r="G4031" s="247">
        <v>9847942510</v>
      </c>
      <c r="H4031" s="128"/>
      <c r="I4031" s="247">
        <v>30</v>
      </c>
      <c r="J4031" s="128" t="s">
        <v>90</v>
      </c>
      <c r="K4031" s="128" t="s">
        <v>1763</v>
      </c>
      <c r="L4031" s="128"/>
      <c r="M4031" s="128" t="s">
        <v>1764</v>
      </c>
      <c r="N4031" s="64">
        <v>65070.614560185182</v>
      </c>
      <c r="O4031" s="64">
        <v>65070.614560185182</v>
      </c>
      <c r="P4031" s="1140">
        <v>65081</v>
      </c>
      <c r="Q4031" s="826" t="s">
        <v>51</v>
      </c>
    </row>
    <row r="4032" spans="1:17" ht="18">
      <c r="A4032" s="512">
        <f t="shared" si="55"/>
        <v>3185</v>
      </c>
      <c r="B4032" s="1145" t="s">
        <v>43</v>
      </c>
      <c r="C4032" s="1146" t="s">
        <v>44</v>
      </c>
      <c r="D4032" s="1146" t="s">
        <v>45</v>
      </c>
      <c r="E4032" s="128" t="s">
        <v>4746</v>
      </c>
      <c r="F4032" s="128" t="s">
        <v>510</v>
      </c>
      <c r="G4032" s="247">
        <v>9847942510</v>
      </c>
      <c r="H4032" s="128"/>
      <c r="I4032" s="247">
        <v>7</v>
      </c>
      <c r="J4032" s="128" t="s">
        <v>453</v>
      </c>
      <c r="K4032" s="128" t="s">
        <v>1763</v>
      </c>
      <c r="L4032" s="128"/>
      <c r="M4032" s="128" t="s">
        <v>1764</v>
      </c>
      <c r="N4032" s="64">
        <v>65070.617314814815</v>
      </c>
      <c r="O4032" s="64">
        <v>65070.617314814815</v>
      </c>
      <c r="P4032" s="1140">
        <v>65081</v>
      </c>
      <c r="Q4032" s="826" t="s">
        <v>51</v>
      </c>
    </row>
    <row r="4033" spans="1:17" ht="18">
      <c r="A4033" s="512">
        <f t="shared" si="55"/>
        <v>3186</v>
      </c>
      <c r="B4033" s="1145" t="s">
        <v>43</v>
      </c>
      <c r="C4033" s="1146" t="s">
        <v>44</v>
      </c>
      <c r="D4033" s="1146" t="s">
        <v>45</v>
      </c>
      <c r="E4033" s="128" t="s">
        <v>4747</v>
      </c>
      <c r="F4033" s="128" t="s">
        <v>510</v>
      </c>
      <c r="G4033" s="247">
        <v>9847942510</v>
      </c>
      <c r="H4033" s="128"/>
      <c r="I4033" s="247">
        <v>32</v>
      </c>
      <c r="J4033" s="128" t="s">
        <v>453</v>
      </c>
      <c r="K4033" s="128" t="s">
        <v>1763</v>
      </c>
      <c r="L4033" s="128"/>
      <c r="M4033" s="128" t="s">
        <v>1764</v>
      </c>
      <c r="N4033" s="64">
        <v>65070.619409722225</v>
      </c>
      <c r="O4033" s="64">
        <v>65070.619409722225</v>
      </c>
      <c r="P4033" s="1140">
        <v>65081</v>
      </c>
      <c r="Q4033" s="826" t="s">
        <v>51</v>
      </c>
    </row>
    <row r="4034" spans="1:17" ht="18">
      <c r="A4034" s="512">
        <f t="shared" si="55"/>
        <v>3187</v>
      </c>
      <c r="B4034" s="1145" t="s">
        <v>43</v>
      </c>
      <c r="C4034" s="1146" t="s">
        <v>44</v>
      </c>
      <c r="D4034" s="1146" t="s">
        <v>45</v>
      </c>
      <c r="E4034" s="130" t="s">
        <v>4659</v>
      </c>
      <c r="F4034" s="130" t="s">
        <v>491</v>
      </c>
      <c r="G4034" s="150">
        <v>9849783394</v>
      </c>
      <c r="H4034" s="120"/>
      <c r="I4034" s="150">
        <v>26</v>
      </c>
      <c r="J4034" s="120" t="s">
        <v>48</v>
      </c>
      <c r="K4034" s="120" t="s">
        <v>1468</v>
      </c>
      <c r="L4034" s="120"/>
      <c r="M4034" s="146" t="s">
        <v>119</v>
      </c>
      <c r="N4034" s="710">
        <v>65071</v>
      </c>
      <c r="O4034" s="710">
        <v>65071</v>
      </c>
      <c r="P4034" s="1256">
        <v>65082</v>
      </c>
      <c r="Q4034" s="512" t="s">
        <v>51</v>
      </c>
    </row>
    <row r="4035" spans="1:17" ht="18">
      <c r="A4035" s="1205">
        <f t="shared" si="55"/>
        <v>3188</v>
      </c>
      <c r="B4035" s="1312" t="s">
        <v>43</v>
      </c>
      <c r="C4035" s="1313" t="s">
        <v>44</v>
      </c>
      <c r="D4035" s="1313" t="s">
        <v>45</v>
      </c>
      <c r="E4035" s="1239" t="s">
        <v>4660</v>
      </c>
      <c r="F4035" s="1239" t="s">
        <v>598</v>
      </c>
      <c r="G4035" s="1246">
        <v>9829536531</v>
      </c>
      <c r="H4035" s="1239"/>
      <c r="I4035" s="1246">
        <v>52</v>
      </c>
      <c r="J4035" s="1239" t="s">
        <v>48</v>
      </c>
      <c r="K4035" s="1239" t="s">
        <v>1480</v>
      </c>
      <c r="L4035" s="1239"/>
      <c r="M4035" s="1239" t="s">
        <v>54</v>
      </c>
      <c r="N4035" s="1241">
        <v>65071</v>
      </c>
      <c r="O4035" s="1241">
        <v>65071</v>
      </c>
      <c r="P4035" s="786">
        <v>65089</v>
      </c>
      <c r="Q4035" s="826" t="s">
        <v>51</v>
      </c>
    </row>
    <row r="4036" spans="1:17" ht="18">
      <c r="A4036" s="512">
        <f t="shared" si="55"/>
        <v>3189</v>
      </c>
      <c r="B4036" s="1145" t="s">
        <v>43</v>
      </c>
      <c r="C4036" s="1146" t="s">
        <v>44</v>
      </c>
      <c r="D4036" s="1146" t="s">
        <v>45</v>
      </c>
      <c r="E4036" s="130" t="s">
        <v>4661</v>
      </c>
      <c r="F4036" s="130" t="s">
        <v>557</v>
      </c>
      <c r="G4036" s="150">
        <v>9847849990</v>
      </c>
      <c r="H4036" s="120"/>
      <c r="I4036" s="150">
        <v>60</v>
      </c>
      <c r="J4036" s="120" t="s">
        <v>90</v>
      </c>
      <c r="K4036" s="120" t="s">
        <v>53</v>
      </c>
      <c r="L4036" s="120"/>
      <c r="M4036" s="146" t="s">
        <v>119</v>
      </c>
      <c r="N4036" s="710">
        <v>65071</v>
      </c>
      <c r="O4036" s="710">
        <v>65071</v>
      </c>
      <c r="P4036" s="1256">
        <v>65082</v>
      </c>
      <c r="Q4036" s="512" t="s">
        <v>51</v>
      </c>
    </row>
    <row r="4037" spans="1:17" ht="18">
      <c r="A4037" s="512">
        <f t="shared" si="55"/>
        <v>3190</v>
      </c>
      <c r="B4037" s="1145" t="s">
        <v>43</v>
      </c>
      <c r="C4037" s="1146" t="s">
        <v>44</v>
      </c>
      <c r="D4037" s="1146" t="s">
        <v>45</v>
      </c>
      <c r="E4037" s="130" t="s">
        <v>4662</v>
      </c>
      <c r="F4037" s="130" t="s">
        <v>791</v>
      </c>
      <c r="G4037" s="150">
        <v>9866985659</v>
      </c>
      <c r="H4037" s="120"/>
      <c r="I4037" s="150">
        <v>53</v>
      </c>
      <c r="J4037" s="120" t="s">
        <v>48</v>
      </c>
      <c r="K4037" s="120" t="s">
        <v>1468</v>
      </c>
      <c r="L4037" s="120"/>
      <c r="M4037" s="146" t="s">
        <v>119</v>
      </c>
      <c r="N4037" s="710">
        <v>65071</v>
      </c>
      <c r="O4037" s="710">
        <v>65071</v>
      </c>
      <c r="P4037" s="1256">
        <v>65082</v>
      </c>
      <c r="Q4037" s="512" t="s">
        <v>51</v>
      </c>
    </row>
    <row r="4038" spans="1:17" ht="18">
      <c r="A4038" s="512">
        <f t="shared" si="55"/>
        <v>3191</v>
      </c>
      <c r="B4038" s="1145" t="s">
        <v>43</v>
      </c>
      <c r="C4038" s="1146" t="s">
        <v>44</v>
      </c>
      <c r="D4038" s="1146" t="s">
        <v>45</v>
      </c>
      <c r="E4038" s="130" t="s">
        <v>4663</v>
      </c>
      <c r="F4038" s="130" t="s">
        <v>441</v>
      </c>
      <c r="G4038" s="150">
        <v>9866900068</v>
      </c>
      <c r="H4038" s="120"/>
      <c r="I4038" s="150">
        <v>62</v>
      </c>
      <c r="J4038" s="120" t="s">
        <v>48</v>
      </c>
      <c r="K4038" s="120" t="s">
        <v>1480</v>
      </c>
      <c r="L4038" s="120"/>
      <c r="M4038" s="146" t="s">
        <v>119</v>
      </c>
      <c r="N4038" s="710">
        <v>65071</v>
      </c>
      <c r="O4038" s="710">
        <v>65071</v>
      </c>
      <c r="P4038" s="1256">
        <v>65082</v>
      </c>
      <c r="Q4038" s="512" t="s">
        <v>51</v>
      </c>
    </row>
    <row r="4039" spans="1:17" ht="18">
      <c r="A4039" s="512">
        <f t="shared" si="55"/>
        <v>3192</v>
      </c>
      <c r="B4039" s="1145" t="s">
        <v>43</v>
      </c>
      <c r="C4039" s="1146" t="s">
        <v>44</v>
      </c>
      <c r="D4039" s="1146" t="s">
        <v>45</v>
      </c>
      <c r="E4039" s="130" t="s">
        <v>4664</v>
      </c>
      <c r="F4039" s="130" t="s">
        <v>488</v>
      </c>
      <c r="G4039" s="150">
        <v>9844933964</v>
      </c>
      <c r="H4039" s="120"/>
      <c r="I4039" s="150">
        <v>42</v>
      </c>
      <c r="J4039" s="120" t="s">
        <v>48</v>
      </c>
      <c r="K4039" s="120" t="s">
        <v>1468</v>
      </c>
      <c r="L4039" s="120"/>
      <c r="M4039" s="146" t="s">
        <v>119</v>
      </c>
      <c r="N4039" s="710">
        <v>65071</v>
      </c>
      <c r="O4039" s="710">
        <v>65071</v>
      </c>
      <c r="P4039" s="1256">
        <v>65082</v>
      </c>
      <c r="Q4039" s="512" t="s">
        <v>51</v>
      </c>
    </row>
    <row r="4040" spans="1:17" ht="18">
      <c r="A4040" s="512">
        <f t="shared" si="55"/>
        <v>3193</v>
      </c>
      <c r="B4040" s="1145" t="s">
        <v>43</v>
      </c>
      <c r="C4040" s="1146" t="s">
        <v>44</v>
      </c>
      <c r="D4040" s="1146" t="s">
        <v>45</v>
      </c>
      <c r="E4040" s="130" t="s">
        <v>1857</v>
      </c>
      <c r="F4040" s="130" t="s">
        <v>1008</v>
      </c>
      <c r="G4040" s="150">
        <v>9802053206</v>
      </c>
      <c r="H4040" s="120"/>
      <c r="I4040" s="150">
        <v>25</v>
      </c>
      <c r="J4040" s="120" t="s">
        <v>48</v>
      </c>
      <c r="K4040" s="120" t="s">
        <v>53</v>
      </c>
      <c r="L4040" s="120"/>
      <c r="M4040" s="146" t="s">
        <v>119</v>
      </c>
      <c r="N4040" s="710">
        <v>65071</v>
      </c>
      <c r="O4040" s="710">
        <v>65071</v>
      </c>
      <c r="P4040" s="1256">
        <v>65082</v>
      </c>
      <c r="Q4040" s="512" t="s">
        <v>51</v>
      </c>
    </row>
    <row r="4041" spans="1:17" ht="18">
      <c r="A4041" s="512">
        <f t="shared" si="55"/>
        <v>3194</v>
      </c>
      <c r="B4041" s="1145" t="s">
        <v>43</v>
      </c>
      <c r="C4041" s="1146" t="s">
        <v>44</v>
      </c>
      <c r="D4041" s="1146" t="s">
        <v>45</v>
      </c>
      <c r="E4041" s="130" t="s">
        <v>4665</v>
      </c>
      <c r="F4041" s="130" t="s">
        <v>1009</v>
      </c>
      <c r="G4041" s="150">
        <v>9844937265</v>
      </c>
      <c r="H4041" s="120"/>
      <c r="I4041" s="150">
        <v>40</v>
      </c>
      <c r="J4041" s="120" t="s">
        <v>90</v>
      </c>
      <c r="K4041" s="120" t="s">
        <v>53</v>
      </c>
      <c r="L4041" s="120"/>
      <c r="M4041" s="146" t="s">
        <v>119</v>
      </c>
      <c r="N4041" s="710">
        <v>65071</v>
      </c>
      <c r="O4041" s="710">
        <v>65071</v>
      </c>
      <c r="P4041" s="1256">
        <v>65082</v>
      </c>
      <c r="Q4041" s="512" t="s">
        <v>51</v>
      </c>
    </row>
    <row r="4042" spans="1:17" ht="18">
      <c r="A4042" s="512">
        <f t="shared" si="55"/>
        <v>3195</v>
      </c>
      <c r="B4042" s="1145" t="s">
        <v>43</v>
      </c>
      <c r="C4042" s="1146" t="s">
        <v>44</v>
      </c>
      <c r="D4042" s="1146" t="s">
        <v>45</v>
      </c>
      <c r="E4042" s="130" t="s">
        <v>3062</v>
      </c>
      <c r="F4042" s="130" t="s">
        <v>791</v>
      </c>
      <c r="G4042" s="150">
        <v>9806298976</v>
      </c>
      <c r="H4042" s="120"/>
      <c r="I4042" s="150">
        <v>24</v>
      </c>
      <c r="J4042" s="120" t="s">
        <v>90</v>
      </c>
      <c r="K4042" s="120" t="s">
        <v>1468</v>
      </c>
      <c r="L4042" s="120"/>
      <c r="M4042" s="146" t="s">
        <v>119</v>
      </c>
      <c r="N4042" s="710">
        <v>65071</v>
      </c>
      <c r="O4042" s="710">
        <v>65071</v>
      </c>
      <c r="P4042" s="1256">
        <v>65082</v>
      </c>
      <c r="Q4042" s="512" t="s">
        <v>51</v>
      </c>
    </row>
    <row r="4043" spans="1:17" ht="18">
      <c r="A4043" s="512">
        <f t="shared" si="55"/>
        <v>3196</v>
      </c>
      <c r="B4043" s="1145" t="s">
        <v>43</v>
      </c>
      <c r="C4043" s="1146" t="s">
        <v>44</v>
      </c>
      <c r="D4043" s="1146" t="s">
        <v>45</v>
      </c>
      <c r="E4043" s="130" t="s">
        <v>4666</v>
      </c>
      <c r="F4043" s="130" t="s">
        <v>1009</v>
      </c>
      <c r="G4043" s="150">
        <v>9869414940</v>
      </c>
      <c r="H4043" s="120"/>
      <c r="I4043" s="150">
        <v>42</v>
      </c>
      <c r="J4043" s="120" t="s">
        <v>90</v>
      </c>
      <c r="K4043" s="120" t="s">
        <v>1480</v>
      </c>
      <c r="L4043" s="120"/>
      <c r="M4043" s="146" t="s">
        <v>119</v>
      </c>
      <c r="N4043" s="710">
        <v>65071</v>
      </c>
      <c r="O4043" s="710">
        <v>65071</v>
      </c>
      <c r="P4043" s="1256">
        <v>65082</v>
      </c>
      <c r="Q4043" s="512" t="s">
        <v>51</v>
      </c>
    </row>
    <row r="4044" spans="1:17" ht="18">
      <c r="A4044" s="512">
        <f t="shared" si="55"/>
        <v>3197</v>
      </c>
      <c r="B4044" s="1145" t="s">
        <v>43</v>
      </c>
      <c r="C4044" s="1146" t="s">
        <v>44</v>
      </c>
      <c r="D4044" s="1146" t="s">
        <v>45</v>
      </c>
      <c r="E4044" s="130" t="s">
        <v>4667</v>
      </c>
      <c r="F4044" s="130" t="s">
        <v>529</v>
      </c>
      <c r="G4044" s="150">
        <v>9866932918</v>
      </c>
      <c r="H4044" s="120"/>
      <c r="I4044" s="150">
        <v>57</v>
      </c>
      <c r="J4044" s="120" t="s">
        <v>90</v>
      </c>
      <c r="K4044" s="120" t="s">
        <v>1468</v>
      </c>
      <c r="L4044" s="120"/>
      <c r="M4044" s="146" t="s">
        <v>119</v>
      </c>
      <c r="N4044" s="710">
        <v>65071</v>
      </c>
      <c r="O4044" s="710">
        <v>65071</v>
      </c>
      <c r="P4044" s="1256">
        <v>65082</v>
      </c>
      <c r="Q4044" s="512" t="s">
        <v>51</v>
      </c>
    </row>
    <row r="4045" spans="1:17" ht="18">
      <c r="A4045" s="512">
        <f t="shared" si="55"/>
        <v>3198</v>
      </c>
      <c r="B4045" s="1145" t="s">
        <v>43</v>
      </c>
      <c r="C4045" s="1146" t="s">
        <v>44</v>
      </c>
      <c r="D4045" s="1146" t="s">
        <v>45</v>
      </c>
      <c r="E4045" s="130" t="s">
        <v>4668</v>
      </c>
      <c r="F4045" s="130" t="s">
        <v>491</v>
      </c>
      <c r="G4045" s="150">
        <v>9847836139</v>
      </c>
      <c r="H4045" s="120"/>
      <c r="I4045" s="150">
        <v>21</v>
      </c>
      <c r="J4045" s="120" t="s">
        <v>90</v>
      </c>
      <c r="K4045" s="120" t="s">
        <v>1480</v>
      </c>
      <c r="L4045" s="120"/>
      <c r="M4045" s="146" t="s">
        <v>119</v>
      </c>
      <c r="N4045" s="710">
        <v>65071</v>
      </c>
      <c r="O4045" s="710">
        <v>65071</v>
      </c>
      <c r="P4045" s="1256">
        <v>65082</v>
      </c>
      <c r="Q4045" s="512" t="s">
        <v>51</v>
      </c>
    </row>
    <row r="4046" spans="1:17" ht="18">
      <c r="A4046" s="512">
        <f t="shared" si="55"/>
        <v>3199</v>
      </c>
      <c r="B4046" s="1145" t="s">
        <v>43</v>
      </c>
      <c r="C4046" s="1146" t="s">
        <v>44</v>
      </c>
      <c r="D4046" s="1146" t="s">
        <v>45</v>
      </c>
      <c r="E4046" s="130" t="s">
        <v>4669</v>
      </c>
      <c r="F4046" s="130" t="s">
        <v>502</v>
      </c>
      <c r="G4046" s="150">
        <v>9818986010</v>
      </c>
      <c r="H4046" s="120"/>
      <c r="I4046" s="150">
        <v>20</v>
      </c>
      <c r="J4046" s="120" t="s">
        <v>48</v>
      </c>
      <c r="K4046" s="120" t="s">
        <v>1480</v>
      </c>
      <c r="L4046" s="120"/>
      <c r="M4046" s="146" t="s">
        <v>119</v>
      </c>
      <c r="N4046" s="710">
        <v>65071</v>
      </c>
      <c r="O4046" s="710">
        <v>65071</v>
      </c>
      <c r="P4046" s="1256">
        <v>65082</v>
      </c>
      <c r="Q4046" s="512" t="s">
        <v>51</v>
      </c>
    </row>
    <row r="4047" spans="1:17" ht="18">
      <c r="A4047" s="512">
        <f t="shared" si="55"/>
        <v>3200</v>
      </c>
      <c r="B4047" s="1145" t="s">
        <v>43</v>
      </c>
      <c r="C4047" s="1146" t="s">
        <v>44</v>
      </c>
      <c r="D4047" s="1146" t="s">
        <v>45</v>
      </c>
      <c r="E4047" s="130" t="s">
        <v>4670</v>
      </c>
      <c r="F4047" s="130" t="s">
        <v>598</v>
      </c>
      <c r="G4047" s="150">
        <v>9823776889</v>
      </c>
      <c r="H4047" s="120"/>
      <c r="I4047" s="150">
        <v>21</v>
      </c>
      <c r="J4047" s="120" t="s">
        <v>90</v>
      </c>
      <c r="K4047" s="120" t="s">
        <v>1480</v>
      </c>
      <c r="L4047" s="120"/>
      <c r="M4047" s="146" t="s">
        <v>119</v>
      </c>
      <c r="N4047" s="710">
        <v>65071</v>
      </c>
      <c r="O4047" s="710">
        <v>65071</v>
      </c>
      <c r="P4047" s="1256">
        <v>65082</v>
      </c>
      <c r="Q4047" s="512" t="s">
        <v>51</v>
      </c>
    </row>
    <row r="4048" spans="1:17" ht="18">
      <c r="A4048" s="512">
        <f t="shared" si="55"/>
        <v>3201</v>
      </c>
      <c r="B4048" s="1145" t="s">
        <v>43</v>
      </c>
      <c r="C4048" s="1146" t="s">
        <v>44</v>
      </c>
      <c r="D4048" s="1146" t="s">
        <v>45</v>
      </c>
      <c r="E4048" s="130" t="s">
        <v>4671</v>
      </c>
      <c r="F4048" s="130" t="s">
        <v>1008</v>
      </c>
      <c r="G4048" s="150">
        <v>9829572000</v>
      </c>
      <c r="H4048" s="120"/>
      <c r="I4048" s="150">
        <v>23</v>
      </c>
      <c r="J4048" s="120" t="s">
        <v>90</v>
      </c>
      <c r="K4048" s="120" t="s">
        <v>53</v>
      </c>
      <c r="L4048" s="120"/>
      <c r="M4048" s="146" t="s">
        <v>119</v>
      </c>
      <c r="N4048" s="710">
        <v>65071</v>
      </c>
      <c r="O4048" s="710">
        <v>65071</v>
      </c>
      <c r="P4048" s="1256">
        <v>65082</v>
      </c>
      <c r="Q4048" s="512" t="s">
        <v>51</v>
      </c>
    </row>
    <row r="4049" spans="1:17" ht="18">
      <c r="A4049" s="512">
        <f t="shared" si="55"/>
        <v>3202</v>
      </c>
      <c r="B4049" s="1145" t="s">
        <v>43</v>
      </c>
      <c r="C4049" s="1146" t="s">
        <v>44</v>
      </c>
      <c r="D4049" s="1146" t="s">
        <v>45</v>
      </c>
      <c r="E4049" s="130" t="s">
        <v>4672</v>
      </c>
      <c r="F4049" s="130" t="s">
        <v>488</v>
      </c>
      <c r="G4049" s="150">
        <v>9800000000</v>
      </c>
      <c r="H4049" s="120"/>
      <c r="I4049" s="150">
        <v>45</v>
      </c>
      <c r="J4049" s="120" t="s">
        <v>48</v>
      </c>
      <c r="K4049" s="120" t="s">
        <v>345</v>
      </c>
      <c r="L4049" s="120"/>
      <c r="M4049" s="146" t="s">
        <v>119</v>
      </c>
      <c r="N4049" s="710">
        <v>65071</v>
      </c>
      <c r="O4049" s="710">
        <v>65071</v>
      </c>
      <c r="P4049" s="1256">
        <v>65082</v>
      </c>
      <c r="Q4049" s="512" t="s">
        <v>51</v>
      </c>
    </row>
    <row r="4050" spans="1:17" ht="18">
      <c r="A4050" s="512">
        <f t="shared" ref="A4050:A4113" si="56">A4049+1</f>
        <v>3203</v>
      </c>
      <c r="B4050" s="1145" t="s">
        <v>43</v>
      </c>
      <c r="C4050" s="1146" t="s">
        <v>44</v>
      </c>
      <c r="D4050" s="1146" t="s">
        <v>45</v>
      </c>
      <c r="E4050" s="130" t="s">
        <v>4673</v>
      </c>
      <c r="F4050" s="130" t="s">
        <v>1008</v>
      </c>
      <c r="G4050" s="150">
        <v>9857055310</v>
      </c>
      <c r="H4050" s="120"/>
      <c r="I4050" s="150">
        <v>62</v>
      </c>
      <c r="J4050" s="120" t="s">
        <v>48</v>
      </c>
      <c r="K4050" s="120" t="s">
        <v>1480</v>
      </c>
      <c r="L4050" s="120"/>
      <c r="M4050" s="146" t="s">
        <v>119</v>
      </c>
      <c r="N4050" s="710">
        <v>65071</v>
      </c>
      <c r="O4050" s="710">
        <v>65071</v>
      </c>
      <c r="P4050" s="1256">
        <v>65082</v>
      </c>
      <c r="Q4050" s="512" t="s">
        <v>51</v>
      </c>
    </row>
    <row r="4051" spans="1:17" ht="18">
      <c r="A4051" s="512">
        <f t="shared" si="56"/>
        <v>3204</v>
      </c>
      <c r="B4051" s="1145" t="s">
        <v>43</v>
      </c>
      <c r="C4051" s="1146" t="s">
        <v>44</v>
      </c>
      <c r="D4051" s="1146" t="s">
        <v>45</v>
      </c>
      <c r="E4051" s="120" t="s">
        <v>4675</v>
      </c>
      <c r="F4051" s="120" t="s">
        <v>598</v>
      </c>
      <c r="G4051" s="150">
        <v>9804123737</v>
      </c>
      <c r="H4051" s="120"/>
      <c r="I4051" s="150">
        <v>70</v>
      </c>
      <c r="J4051" s="120" t="s">
        <v>90</v>
      </c>
      <c r="K4051" s="120" t="s">
        <v>1468</v>
      </c>
      <c r="L4051" s="120"/>
      <c r="M4051" s="120" t="s">
        <v>119</v>
      </c>
      <c r="N4051" s="710">
        <v>65072</v>
      </c>
      <c r="O4051" s="710">
        <v>65072</v>
      </c>
      <c r="P4051" s="459">
        <v>65083</v>
      </c>
      <c r="Q4051" s="432" t="s">
        <v>51</v>
      </c>
    </row>
    <row r="4052" spans="1:17" ht="18">
      <c r="A4052" s="512">
        <f t="shared" si="56"/>
        <v>3205</v>
      </c>
      <c r="B4052" s="1145" t="s">
        <v>43</v>
      </c>
      <c r="C4052" s="1146" t="s">
        <v>44</v>
      </c>
      <c r="D4052" s="1146" t="s">
        <v>45</v>
      </c>
      <c r="E4052" s="120" t="s">
        <v>4676</v>
      </c>
      <c r="F4052" s="120" t="s">
        <v>1008</v>
      </c>
      <c r="G4052" s="150">
        <v>9840632716</v>
      </c>
      <c r="H4052" s="120"/>
      <c r="I4052" s="150">
        <v>32</v>
      </c>
      <c r="J4052" s="120" t="s">
        <v>90</v>
      </c>
      <c r="K4052" s="120" t="s">
        <v>1459</v>
      </c>
      <c r="L4052" s="120"/>
      <c r="M4052" s="120" t="s">
        <v>119</v>
      </c>
      <c r="N4052" s="710">
        <v>65072</v>
      </c>
      <c r="O4052" s="710">
        <v>65072</v>
      </c>
      <c r="P4052" s="459">
        <v>65083</v>
      </c>
      <c r="Q4052" s="432" t="s">
        <v>51</v>
      </c>
    </row>
    <row r="4053" spans="1:17" ht="18">
      <c r="A4053" s="512">
        <f t="shared" si="56"/>
        <v>3206</v>
      </c>
      <c r="B4053" s="1145" t="s">
        <v>43</v>
      </c>
      <c r="C4053" s="1146" t="s">
        <v>44</v>
      </c>
      <c r="D4053" s="1146" t="s">
        <v>45</v>
      </c>
      <c r="E4053" s="120" t="s">
        <v>4677</v>
      </c>
      <c r="F4053" s="120" t="s">
        <v>598</v>
      </c>
      <c r="G4053" s="150">
        <v>9842370434</v>
      </c>
      <c r="H4053" s="120"/>
      <c r="I4053" s="150">
        <v>63</v>
      </c>
      <c r="J4053" s="120" t="s">
        <v>48</v>
      </c>
      <c r="K4053" s="120" t="s">
        <v>1468</v>
      </c>
      <c r="L4053" s="120"/>
      <c r="M4053" s="120" t="s">
        <v>119</v>
      </c>
      <c r="N4053" s="710">
        <v>65072</v>
      </c>
      <c r="O4053" s="710">
        <v>65072</v>
      </c>
      <c r="P4053" s="459">
        <v>65083</v>
      </c>
      <c r="Q4053" s="432" t="s">
        <v>51</v>
      </c>
    </row>
    <row r="4054" spans="1:17" ht="18">
      <c r="A4054" s="512">
        <f t="shared" si="56"/>
        <v>3207</v>
      </c>
      <c r="B4054" s="1145" t="s">
        <v>43</v>
      </c>
      <c r="C4054" s="1146" t="s">
        <v>44</v>
      </c>
      <c r="D4054" s="1146" t="s">
        <v>45</v>
      </c>
      <c r="E4054" s="120" t="s">
        <v>4681</v>
      </c>
      <c r="F4054" s="120" t="s">
        <v>502</v>
      </c>
      <c r="G4054" s="150">
        <v>9810852056</v>
      </c>
      <c r="H4054" s="120"/>
      <c r="I4054" s="150">
        <v>35</v>
      </c>
      <c r="J4054" s="120" t="s">
        <v>90</v>
      </c>
      <c r="K4054" s="120" t="s">
        <v>1480</v>
      </c>
      <c r="L4054" s="120"/>
      <c r="M4054" s="120" t="s">
        <v>119</v>
      </c>
      <c r="N4054" s="710">
        <v>65072</v>
      </c>
      <c r="O4054" s="710">
        <v>65072</v>
      </c>
      <c r="P4054" s="459">
        <v>65083</v>
      </c>
      <c r="Q4054" s="432" t="s">
        <v>51</v>
      </c>
    </row>
    <row r="4055" spans="1:17" ht="18">
      <c r="A4055" s="512">
        <f t="shared" si="56"/>
        <v>3208</v>
      </c>
      <c r="B4055" s="1145" t="s">
        <v>43</v>
      </c>
      <c r="C4055" s="1146" t="s">
        <v>44</v>
      </c>
      <c r="D4055" s="1146" t="s">
        <v>45</v>
      </c>
      <c r="E4055" s="120" t="s">
        <v>4678</v>
      </c>
      <c r="F4055" s="120" t="s">
        <v>502</v>
      </c>
      <c r="G4055" s="150">
        <v>9809865383</v>
      </c>
      <c r="H4055" s="120"/>
      <c r="I4055" s="150">
        <v>11</v>
      </c>
      <c r="J4055" s="120" t="s">
        <v>48</v>
      </c>
      <c r="K4055" s="120" t="s">
        <v>53</v>
      </c>
      <c r="L4055" s="120"/>
      <c r="M4055" s="120" t="s">
        <v>119</v>
      </c>
      <c r="N4055" s="710">
        <v>65072</v>
      </c>
      <c r="O4055" s="710">
        <v>65072</v>
      </c>
      <c r="P4055" s="459">
        <v>65083</v>
      </c>
      <c r="Q4055" s="432" t="s">
        <v>51</v>
      </c>
    </row>
    <row r="4056" spans="1:17" ht="18">
      <c r="A4056" s="512">
        <f t="shared" si="56"/>
        <v>3209</v>
      </c>
      <c r="B4056" s="1145" t="s">
        <v>43</v>
      </c>
      <c r="C4056" s="1146" t="s">
        <v>44</v>
      </c>
      <c r="D4056" s="1146" t="s">
        <v>45</v>
      </c>
      <c r="E4056" s="120" t="s">
        <v>4679</v>
      </c>
      <c r="F4056" s="120" t="s">
        <v>124</v>
      </c>
      <c r="G4056" s="150">
        <v>9822841903</v>
      </c>
      <c r="H4056" s="120"/>
      <c r="I4056" s="150">
        <v>24</v>
      </c>
      <c r="J4056" s="120" t="s">
        <v>48</v>
      </c>
      <c r="K4056" s="120" t="s">
        <v>1468</v>
      </c>
      <c r="L4056" s="120"/>
      <c r="M4056" s="120" t="s">
        <v>119</v>
      </c>
      <c r="N4056" s="710">
        <v>65072</v>
      </c>
      <c r="O4056" s="710">
        <v>65072</v>
      </c>
      <c r="P4056" s="459">
        <v>65083</v>
      </c>
      <c r="Q4056" s="432" t="s">
        <v>51</v>
      </c>
    </row>
    <row r="4057" spans="1:17" ht="18">
      <c r="A4057" s="512">
        <f t="shared" si="56"/>
        <v>3210</v>
      </c>
      <c r="B4057" s="1145" t="s">
        <v>43</v>
      </c>
      <c r="C4057" s="1146" t="s">
        <v>44</v>
      </c>
      <c r="D4057" s="1146" t="s">
        <v>45</v>
      </c>
      <c r="E4057" s="120" t="s">
        <v>4680</v>
      </c>
      <c r="F4057" s="120" t="s">
        <v>1009</v>
      </c>
      <c r="G4057" s="150">
        <v>9864728189</v>
      </c>
      <c r="H4057" s="120"/>
      <c r="I4057" s="150">
        <v>90</v>
      </c>
      <c r="J4057" s="120" t="s">
        <v>48</v>
      </c>
      <c r="K4057" s="120" t="s">
        <v>1480</v>
      </c>
      <c r="L4057" s="120"/>
      <c r="M4057" s="120" t="s">
        <v>119</v>
      </c>
      <c r="N4057" s="710">
        <v>65072</v>
      </c>
      <c r="O4057" s="710">
        <v>65072</v>
      </c>
      <c r="P4057" s="459">
        <v>65083</v>
      </c>
      <c r="Q4057" s="432" t="s">
        <v>51</v>
      </c>
    </row>
    <row r="4058" spans="1:17" ht="18">
      <c r="A4058" s="512">
        <f t="shared" si="56"/>
        <v>3211</v>
      </c>
      <c r="B4058" s="1145" t="s">
        <v>43</v>
      </c>
      <c r="C4058" s="1146" t="s">
        <v>44</v>
      </c>
      <c r="D4058" s="1146" t="s">
        <v>45</v>
      </c>
      <c r="E4058" s="120" t="s">
        <v>4682</v>
      </c>
      <c r="F4058" s="120" t="s">
        <v>491</v>
      </c>
      <c r="G4058" s="150">
        <v>9847898772</v>
      </c>
      <c r="H4058" s="120"/>
      <c r="I4058" s="150">
        <v>29</v>
      </c>
      <c r="J4058" s="120" t="s">
        <v>90</v>
      </c>
      <c r="K4058" s="120" t="s">
        <v>53</v>
      </c>
      <c r="L4058" s="120"/>
      <c r="M4058" s="120" t="s">
        <v>119</v>
      </c>
      <c r="N4058" s="710">
        <v>65072</v>
      </c>
      <c r="O4058" s="710">
        <v>65072</v>
      </c>
      <c r="P4058" s="459">
        <v>65083</v>
      </c>
      <c r="Q4058" s="432" t="s">
        <v>51</v>
      </c>
    </row>
    <row r="4059" spans="1:17" ht="18.75" thickBot="1">
      <c r="A4059" s="512">
        <f t="shared" si="56"/>
        <v>3212</v>
      </c>
      <c r="B4059" s="1145" t="s">
        <v>43</v>
      </c>
      <c r="C4059" s="1146" t="s">
        <v>44</v>
      </c>
      <c r="D4059" s="1146" t="s">
        <v>45</v>
      </c>
      <c r="E4059" s="128" t="s">
        <v>4699</v>
      </c>
      <c r="F4059" s="128" t="s">
        <v>1009</v>
      </c>
      <c r="G4059" s="247">
        <v>9822851208</v>
      </c>
      <c r="H4059" s="128"/>
      <c r="I4059" s="247">
        <v>41</v>
      </c>
      <c r="J4059" s="128" t="s">
        <v>90</v>
      </c>
      <c r="K4059" s="128" t="s">
        <v>1763</v>
      </c>
      <c r="L4059" s="128"/>
      <c r="M4059" s="128" t="s">
        <v>1764</v>
      </c>
      <c r="N4059" s="64">
        <v>65072.633090277777</v>
      </c>
      <c r="O4059" s="64">
        <v>65072.633090277777</v>
      </c>
      <c r="P4059" s="459">
        <v>65083</v>
      </c>
      <c r="Q4059" s="432" t="s">
        <v>51</v>
      </c>
    </row>
    <row r="4060" spans="1:17" ht="18.75" thickBot="1">
      <c r="A4060" s="512">
        <f t="shared" si="56"/>
        <v>3213</v>
      </c>
      <c r="B4060" s="777" t="s">
        <v>43</v>
      </c>
      <c r="C4060" s="1248" t="s">
        <v>44</v>
      </c>
      <c r="D4060" s="1248" t="s">
        <v>45</v>
      </c>
      <c r="E4060" s="155" t="s">
        <v>4687</v>
      </c>
      <c r="F4060" s="155" t="s">
        <v>502</v>
      </c>
      <c r="G4060" s="1249">
        <v>9888219699</v>
      </c>
      <c r="H4060" s="155"/>
      <c r="I4060" s="248">
        <v>60</v>
      </c>
      <c r="J4060" s="155" t="s">
        <v>48</v>
      </c>
      <c r="K4060" s="155"/>
      <c r="L4060" s="155"/>
      <c r="M4060" s="155" t="s">
        <v>54</v>
      </c>
      <c r="N4060" s="1250">
        <v>65073</v>
      </c>
      <c r="O4060" s="1250">
        <v>65073</v>
      </c>
      <c r="P4060" s="476">
        <v>65080</v>
      </c>
      <c r="Q4060" s="422" t="s">
        <v>940</v>
      </c>
    </row>
    <row r="4061" spans="1:17" ht="18">
      <c r="A4061" s="512">
        <f t="shared" si="56"/>
        <v>3214</v>
      </c>
      <c r="B4061" s="1145" t="s">
        <v>43</v>
      </c>
      <c r="C4061" s="1146" t="s">
        <v>44</v>
      </c>
      <c r="D4061" s="1146" t="s">
        <v>45</v>
      </c>
      <c r="E4061" s="120" t="s">
        <v>4685</v>
      </c>
      <c r="F4061" s="120" t="s">
        <v>497</v>
      </c>
      <c r="G4061" s="150">
        <v>9810995764</v>
      </c>
      <c r="H4061" s="120"/>
      <c r="I4061" s="150">
        <v>68</v>
      </c>
      <c r="J4061" s="120" t="s">
        <v>90</v>
      </c>
      <c r="K4061" s="120" t="s">
        <v>1468</v>
      </c>
      <c r="L4061" s="120"/>
      <c r="M4061" s="146" t="s">
        <v>119</v>
      </c>
      <c r="N4061" s="710">
        <v>65073</v>
      </c>
      <c r="O4061" s="710">
        <v>65073</v>
      </c>
      <c r="P4061" s="582">
        <v>65084</v>
      </c>
      <c r="Q4061" s="578" t="s">
        <v>51</v>
      </c>
    </row>
    <row r="4062" spans="1:17" ht="18">
      <c r="A4062" s="512">
        <f t="shared" si="56"/>
        <v>3215</v>
      </c>
      <c r="B4062" s="1145" t="s">
        <v>43</v>
      </c>
      <c r="C4062" s="1146" t="s">
        <v>44</v>
      </c>
      <c r="D4062" s="1146" t="s">
        <v>45</v>
      </c>
      <c r="E4062" s="120" t="s">
        <v>4684</v>
      </c>
      <c r="F4062" s="120" t="s">
        <v>1008</v>
      </c>
      <c r="G4062" s="150">
        <v>9857820126</v>
      </c>
      <c r="H4062" s="120"/>
      <c r="I4062" s="150">
        <v>45</v>
      </c>
      <c r="J4062" s="120" t="s">
        <v>48</v>
      </c>
      <c r="K4062" s="120" t="s">
        <v>1468</v>
      </c>
      <c r="L4062" s="120"/>
      <c r="M4062" s="146" t="s">
        <v>119</v>
      </c>
      <c r="N4062" s="710">
        <v>65073</v>
      </c>
      <c r="O4062" s="710">
        <v>65073</v>
      </c>
      <c r="P4062" s="582">
        <v>65084</v>
      </c>
      <c r="Q4062" s="578" t="s">
        <v>51</v>
      </c>
    </row>
    <row r="4063" spans="1:17" ht="18">
      <c r="A4063" s="512">
        <f t="shared" si="56"/>
        <v>3216</v>
      </c>
      <c r="B4063" s="1145" t="s">
        <v>43</v>
      </c>
      <c r="C4063" s="1146" t="s">
        <v>44</v>
      </c>
      <c r="D4063" s="1146" t="s">
        <v>45</v>
      </c>
      <c r="E4063" s="120" t="s">
        <v>4686</v>
      </c>
      <c r="F4063" s="120" t="s">
        <v>1008</v>
      </c>
      <c r="G4063" s="150">
        <v>9809841144</v>
      </c>
      <c r="H4063" s="120"/>
      <c r="I4063" s="150">
        <v>62</v>
      </c>
      <c r="J4063" s="120" t="s">
        <v>90</v>
      </c>
      <c r="K4063" s="120" t="s">
        <v>1468</v>
      </c>
      <c r="L4063" s="120"/>
      <c r="M4063" s="146" t="s">
        <v>119</v>
      </c>
      <c r="N4063" s="710">
        <v>65073</v>
      </c>
      <c r="O4063" s="710">
        <v>65073</v>
      </c>
      <c r="P4063" s="582">
        <v>65084</v>
      </c>
      <c r="Q4063" s="578" t="s">
        <v>51</v>
      </c>
    </row>
    <row r="4064" spans="1:17" ht="18">
      <c r="A4064" s="512">
        <f t="shared" si="56"/>
        <v>3217</v>
      </c>
      <c r="B4064" s="1145" t="s">
        <v>43</v>
      </c>
      <c r="C4064" s="1146" t="s">
        <v>44</v>
      </c>
      <c r="D4064" s="1146" t="s">
        <v>45</v>
      </c>
      <c r="E4064" s="120" t="s">
        <v>4683</v>
      </c>
      <c r="F4064" s="120" t="s">
        <v>730</v>
      </c>
      <c r="G4064" s="150">
        <v>9809501266</v>
      </c>
      <c r="H4064" s="120"/>
      <c r="I4064" s="150">
        <v>31</v>
      </c>
      <c r="J4064" s="120" t="s">
        <v>48</v>
      </c>
      <c r="K4064" s="120" t="s">
        <v>1468</v>
      </c>
      <c r="L4064" s="120"/>
      <c r="M4064" s="146" t="s">
        <v>119</v>
      </c>
      <c r="N4064" s="710">
        <v>65073</v>
      </c>
      <c r="O4064" s="710">
        <v>65073</v>
      </c>
      <c r="P4064" s="582">
        <v>65084</v>
      </c>
      <c r="Q4064" s="578" t="s">
        <v>51</v>
      </c>
    </row>
    <row r="4065" spans="1:17" ht="18">
      <c r="A4065" s="512">
        <f t="shared" si="56"/>
        <v>3218</v>
      </c>
      <c r="B4065" s="1145" t="s">
        <v>43</v>
      </c>
      <c r="C4065" s="1146" t="s">
        <v>44</v>
      </c>
      <c r="D4065" s="1146" t="s">
        <v>45</v>
      </c>
      <c r="E4065" s="128" t="s">
        <v>4698</v>
      </c>
      <c r="F4065" s="128" t="s">
        <v>617</v>
      </c>
      <c r="G4065" s="247">
        <v>9810816915</v>
      </c>
      <c r="H4065" s="128"/>
      <c r="I4065" s="247">
        <v>9</v>
      </c>
      <c r="J4065" s="128" t="s">
        <v>453</v>
      </c>
      <c r="K4065" s="128" t="s">
        <v>1763</v>
      </c>
      <c r="L4065" s="128"/>
      <c r="M4065" s="128" t="s">
        <v>1764</v>
      </c>
      <c r="N4065" s="64">
        <v>65073.471226851849</v>
      </c>
      <c r="O4065" s="64">
        <v>65073.471226851849</v>
      </c>
      <c r="P4065" s="582">
        <v>65084</v>
      </c>
      <c r="Q4065" s="578" t="s">
        <v>51</v>
      </c>
    </row>
    <row r="4066" spans="1:17" ht="18">
      <c r="A4066" s="512">
        <f t="shared" si="56"/>
        <v>3219</v>
      </c>
      <c r="B4066" s="1145" t="s">
        <v>43</v>
      </c>
      <c r="C4066" s="1146" t="s">
        <v>44</v>
      </c>
      <c r="D4066" s="1146" t="s">
        <v>45</v>
      </c>
      <c r="E4066" s="128" t="s">
        <v>4697</v>
      </c>
      <c r="F4066" s="128" t="s">
        <v>529</v>
      </c>
      <c r="G4066" s="247">
        <v>9868659980</v>
      </c>
      <c r="H4066" s="128"/>
      <c r="I4066" s="247">
        <v>55</v>
      </c>
      <c r="J4066" s="128" t="s">
        <v>453</v>
      </c>
      <c r="K4066" s="128" t="s">
        <v>1763</v>
      </c>
      <c r="L4066" s="128"/>
      <c r="M4066" s="128" t="s">
        <v>1764</v>
      </c>
      <c r="N4066" s="64">
        <v>65073.534270833334</v>
      </c>
      <c r="O4066" s="64">
        <v>65073.534270833334</v>
      </c>
      <c r="P4066" s="582">
        <v>65084</v>
      </c>
      <c r="Q4066" s="578" t="s">
        <v>51</v>
      </c>
    </row>
    <row r="4067" spans="1:17" ht="18">
      <c r="A4067" s="512">
        <f t="shared" si="56"/>
        <v>3220</v>
      </c>
      <c r="B4067" s="1145" t="s">
        <v>43</v>
      </c>
      <c r="C4067" s="1146" t="s">
        <v>44</v>
      </c>
      <c r="D4067" s="1146" t="s">
        <v>45</v>
      </c>
      <c r="E4067" s="128" t="s">
        <v>4696</v>
      </c>
      <c r="F4067" s="128" t="s">
        <v>529</v>
      </c>
      <c r="G4067" s="247">
        <v>9847888848</v>
      </c>
      <c r="H4067" s="128"/>
      <c r="I4067" s="247">
        <v>43</v>
      </c>
      <c r="J4067" s="128" t="s">
        <v>90</v>
      </c>
      <c r="K4067" s="128" t="s">
        <v>1763</v>
      </c>
      <c r="L4067" s="128"/>
      <c r="M4067" s="128" t="s">
        <v>1764</v>
      </c>
      <c r="N4067" s="64">
        <v>65073.55097222222</v>
      </c>
      <c r="O4067" s="64">
        <v>65073.55097222222</v>
      </c>
      <c r="P4067" s="582">
        <v>65084</v>
      </c>
      <c r="Q4067" s="578" t="s">
        <v>51</v>
      </c>
    </row>
    <row r="4068" spans="1:17" ht="18">
      <c r="A4068" s="512">
        <f t="shared" si="56"/>
        <v>3221</v>
      </c>
      <c r="B4068" s="1145" t="s">
        <v>43</v>
      </c>
      <c r="C4068" s="1146" t="s">
        <v>44</v>
      </c>
      <c r="D4068" s="1146" t="s">
        <v>45</v>
      </c>
      <c r="E4068" s="128" t="s">
        <v>4695</v>
      </c>
      <c r="F4068" s="128" t="s">
        <v>529</v>
      </c>
      <c r="G4068" s="247">
        <v>9809535058</v>
      </c>
      <c r="H4068" s="128"/>
      <c r="I4068" s="247">
        <v>31</v>
      </c>
      <c r="J4068" s="128" t="s">
        <v>90</v>
      </c>
      <c r="K4068" s="128" t="s">
        <v>1763</v>
      </c>
      <c r="L4068" s="128"/>
      <c r="M4068" s="128" t="s">
        <v>1764</v>
      </c>
      <c r="N4068" s="64">
        <v>65073.553252314814</v>
      </c>
      <c r="O4068" s="64">
        <v>65073.553252314814</v>
      </c>
      <c r="P4068" s="582">
        <v>65084</v>
      </c>
      <c r="Q4068" s="578" t="s">
        <v>51</v>
      </c>
    </row>
    <row r="4069" spans="1:17" ht="18">
      <c r="A4069" s="512">
        <f t="shared" si="56"/>
        <v>3222</v>
      </c>
      <c r="B4069" s="1145" t="s">
        <v>43</v>
      </c>
      <c r="C4069" s="1146" t="s">
        <v>44</v>
      </c>
      <c r="D4069" s="1146" t="s">
        <v>45</v>
      </c>
      <c r="E4069" s="128" t="s">
        <v>4692</v>
      </c>
      <c r="F4069" s="128" t="s">
        <v>791</v>
      </c>
      <c r="G4069" s="247">
        <v>9844917053</v>
      </c>
      <c r="H4069" s="128"/>
      <c r="I4069" s="247">
        <v>55</v>
      </c>
      <c r="J4069" s="128" t="s">
        <v>453</v>
      </c>
      <c r="K4069" s="128" t="s">
        <v>1763</v>
      </c>
      <c r="L4069" s="128"/>
      <c r="M4069" s="128" t="s">
        <v>1764</v>
      </c>
      <c r="N4069" s="64">
        <v>65073.561597222222</v>
      </c>
      <c r="O4069" s="64">
        <v>65073.561597222222</v>
      </c>
      <c r="P4069" s="582">
        <v>65084</v>
      </c>
      <c r="Q4069" s="578" t="s">
        <v>51</v>
      </c>
    </row>
    <row r="4070" spans="1:17" ht="18">
      <c r="A4070" s="512">
        <f t="shared" si="56"/>
        <v>3223</v>
      </c>
      <c r="B4070" s="1145" t="s">
        <v>43</v>
      </c>
      <c r="C4070" s="1146" t="s">
        <v>44</v>
      </c>
      <c r="D4070" s="1146" t="s">
        <v>45</v>
      </c>
      <c r="E4070" s="128" t="s">
        <v>4694</v>
      </c>
      <c r="F4070" s="128" t="s">
        <v>636</v>
      </c>
      <c r="G4070" s="247">
        <v>9809870132</v>
      </c>
      <c r="H4070" s="128"/>
      <c r="I4070" s="247">
        <v>57</v>
      </c>
      <c r="J4070" s="128" t="s">
        <v>453</v>
      </c>
      <c r="K4070" s="128" t="s">
        <v>1763</v>
      </c>
      <c r="L4070" s="128"/>
      <c r="M4070" s="128" t="s">
        <v>1764</v>
      </c>
      <c r="N4070" s="64">
        <v>65073.615578703706</v>
      </c>
      <c r="O4070" s="64">
        <v>65073.615578703706</v>
      </c>
      <c r="P4070" s="582">
        <v>65084</v>
      </c>
      <c r="Q4070" s="578" t="s">
        <v>51</v>
      </c>
    </row>
    <row r="4071" spans="1:17" ht="18">
      <c r="A4071" s="512">
        <f t="shared" si="56"/>
        <v>3224</v>
      </c>
      <c r="B4071" s="1145" t="s">
        <v>43</v>
      </c>
      <c r="C4071" s="1146" t="s">
        <v>44</v>
      </c>
      <c r="D4071" s="1146" t="s">
        <v>45</v>
      </c>
      <c r="E4071" s="128" t="s">
        <v>4693</v>
      </c>
      <c r="F4071" s="128" t="s">
        <v>124</v>
      </c>
      <c r="G4071" s="247">
        <v>9847824394</v>
      </c>
      <c r="H4071" s="128"/>
      <c r="I4071" s="247">
        <v>27</v>
      </c>
      <c r="J4071" s="128" t="s">
        <v>90</v>
      </c>
      <c r="K4071" s="128" t="s">
        <v>1763</v>
      </c>
      <c r="L4071" s="128"/>
      <c r="M4071" s="128" t="s">
        <v>1764</v>
      </c>
      <c r="N4071" s="64">
        <v>65073.888518518521</v>
      </c>
      <c r="O4071" s="64">
        <v>65073.888518518521</v>
      </c>
      <c r="P4071" s="582">
        <v>65084</v>
      </c>
      <c r="Q4071" s="578" t="s">
        <v>51</v>
      </c>
    </row>
    <row r="4072" spans="1:17" ht="18">
      <c r="A4072" s="512">
        <f t="shared" si="56"/>
        <v>3225</v>
      </c>
      <c r="B4072" s="1145" t="s">
        <v>43</v>
      </c>
      <c r="C4072" s="1146" t="s">
        <v>44</v>
      </c>
      <c r="D4072" s="1146" t="s">
        <v>45</v>
      </c>
      <c r="E4072" s="432" t="s">
        <v>4731</v>
      </c>
      <c r="F4072" s="434" t="s">
        <v>598</v>
      </c>
      <c r="G4072" s="434">
        <v>9847945555</v>
      </c>
      <c r="I4072" s="434">
        <v>68</v>
      </c>
      <c r="J4072" s="1035" t="s">
        <v>48</v>
      </c>
      <c r="K4072" s="434" t="s">
        <v>3465</v>
      </c>
      <c r="M4072" s="128" t="s">
        <v>1764</v>
      </c>
      <c r="N4072" s="1036">
        <v>65074</v>
      </c>
      <c r="O4072" s="1036">
        <v>65074</v>
      </c>
      <c r="P4072" s="541">
        <v>65086</v>
      </c>
      <c r="Q4072" s="533" t="s">
        <v>51</v>
      </c>
    </row>
    <row r="4073" spans="1:17" ht="18">
      <c r="A4073" s="512">
        <f t="shared" si="56"/>
        <v>3226</v>
      </c>
      <c r="B4073" s="1145" t="s">
        <v>43</v>
      </c>
      <c r="C4073" s="1146" t="s">
        <v>44</v>
      </c>
      <c r="D4073" s="1146" t="s">
        <v>45</v>
      </c>
      <c r="E4073" s="120" t="s">
        <v>4736</v>
      </c>
      <c r="F4073" s="120" t="s">
        <v>598</v>
      </c>
      <c r="G4073" s="150">
        <v>9847945555</v>
      </c>
      <c r="H4073" s="120"/>
      <c r="I4073" s="150">
        <v>68</v>
      </c>
      <c r="J4073" s="120" t="s">
        <v>48</v>
      </c>
      <c r="K4073" s="120" t="s">
        <v>1480</v>
      </c>
      <c r="L4073" s="120"/>
      <c r="M4073" s="146" t="s">
        <v>119</v>
      </c>
      <c r="N4073" s="710">
        <v>65074</v>
      </c>
      <c r="O4073" s="710">
        <v>65074</v>
      </c>
      <c r="P4073" s="541">
        <v>65086</v>
      </c>
      <c r="Q4073" s="533" t="s">
        <v>51</v>
      </c>
    </row>
    <row r="4074" spans="1:17" ht="18">
      <c r="A4074" s="512">
        <f t="shared" si="56"/>
        <v>3227</v>
      </c>
      <c r="B4074" s="1145" t="s">
        <v>43</v>
      </c>
      <c r="C4074" s="1146" t="s">
        <v>44</v>
      </c>
      <c r="D4074" s="1146" t="s">
        <v>45</v>
      </c>
      <c r="E4074" s="1031" t="s">
        <v>4729</v>
      </c>
      <c r="F4074" s="1035" t="s">
        <v>529</v>
      </c>
      <c r="G4074" s="1035">
        <v>9868659980</v>
      </c>
      <c r="H4074" s="1033"/>
      <c r="I4074" s="1035">
        <v>56</v>
      </c>
      <c r="J4074" s="1035" t="s">
        <v>48</v>
      </c>
      <c r="K4074" s="120" t="s">
        <v>1468</v>
      </c>
      <c r="L4074" s="128"/>
      <c r="M4074" s="128" t="s">
        <v>1764</v>
      </c>
      <c r="N4074" s="1036">
        <v>65074</v>
      </c>
      <c r="O4074" s="1036">
        <v>65074</v>
      </c>
      <c r="P4074" s="541">
        <v>65086</v>
      </c>
      <c r="Q4074" s="533" t="s">
        <v>51</v>
      </c>
    </row>
    <row r="4075" spans="1:17" ht="18">
      <c r="A4075" s="512">
        <f t="shared" si="56"/>
        <v>3228</v>
      </c>
      <c r="B4075" s="1145" t="s">
        <v>43</v>
      </c>
      <c r="C4075" s="1146" t="s">
        <v>44</v>
      </c>
      <c r="D4075" s="1146" t="s">
        <v>45</v>
      </c>
      <c r="E4075" s="932" t="s">
        <v>4735</v>
      </c>
      <c r="F4075" s="932" t="s">
        <v>557</v>
      </c>
      <c r="G4075" s="709">
        <v>9822860385</v>
      </c>
      <c r="H4075" s="932"/>
      <c r="I4075" s="709">
        <v>55</v>
      </c>
      <c r="J4075" s="932" t="s">
        <v>90</v>
      </c>
      <c r="K4075" s="932" t="s">
        <v>53</v>
      </c>
      <c r="L4075" s="932"/>
      <c r="M4075" s="933" t="s">
        <v>119</v>
      </c>
      <c r="N4075" s="934">
        <v>65074</v>
      </c>
      <c r="O4075" s="934">
        <v>65074</v>
      </c>
      <c r="P4075" s="541">
        <v>65086</v>
      </c>
      <c r="Q4075" s="533" t="s">
        <v>51</v>
      </c>
    </row>
    <row r="4076" spans="1:17" ht="18">
      <c r="A4076" s="512">
        <f t="shared" si="56"/>
        <v>3229</v>
      </c>
      <c r="B4076" s="1145" t="s">
        <v>43</v>
      </c>
      <c r="C4076" s="1146" t="s">
        <v>44</v>
      </c>
      <c r="D4076" s="1146" t="s">
        <v>45</v>
      </c>
      <c r="E4076" s="120" t="s">
        <v>4743</v>
      </c>
      <c r="F4076" s="120" t="s">
        <v>497</v>
      </c>
      <c r="G4076" s="150">
        <v>9847943739</v>
      </c>
      <c r="H4076" s="120"/>
      <c r="I4076" s="150">
        <v>58</v>
      </c>
      <c r="J4076" s="120" t="s">
        <v>90</v>
      </c>
      <c r="K4076" s="120" t="s">
        <v>1480</v>
      </c>
      <c r="L4076" s="120"/>
      <c r="M4076" s="146" t="s">
        <v>119</v>
      </c>
      <c r="N4076" s="710">
        <v>65074</v>
      </c>
      <c r="O4076" s="710">
        <v>65074</v>
      </c>
      <c r="P4076" s="541">
        <v>65086</v>
      </c>
      <c r="Q4076" s="533" t="s">
        <v>51</v>
      </c>
    </row>
    <row r="4077" spans="1:17" ht="18">
      <c r="A4077" s="512">
        <f t="shared" si="56"/>
        <v>3230</v>
      </c>
      <c r="B4077" s="1145" t="s">
        <v>43</v>
      </c>
      <c r="C4077" s="1146" t="s">
        <v>44</v>
      </c>
      <c r="D4077" s="1146" t="s">
        <v>45</v>
      </c>
      <c r="E4077" s="120" t="s">
        <v>4739</v>
      </c>
      <c r="F4077" s="120" t="s">
        <v>510</v>
      </c>
      <c r="G4077" s="150">
        <v>9742232779</v>
      </c>
      <c r="H4077" s="120"/>
      <c r="I4077" s="150">
        <v>54</v>
      </c>
      <c r="J4077" s="120" t="s">
        <v>48</v>
      </c>
      <c r="K4077" s="120" t="s">
        <v>1480</v>
      </c>
      <c r="L4077" s="120"/>
      <c r="M4077" s="146" t="s">
        <v>119</v>
      </c>
      <c r="N4077" s="710">
        <v>65074</v>
      </c>
      <c r="O4077" s="710">
        <v>65074</v>
      </c>
      <c r="P4077" s="541">
        <v>65086</v>
      </c>
      <c r="Q4077" s="533" t="s">
        <v>51</v>
      </c>
    </row>
    <row r="4078" spans="1:17" ht="18">
      <c r="A4078" s="512">
        <f t="shared" si="56"/>
        <v>3231</v>
      </c>
      <c r="B4078" s="1145" t="s">
        <v>43</v>
      </c>
      <c r="C4078" s="1146" t="s">
        <v>44</v>
      </c>
      <c r="D4078" s="1146" t="s">
        <v>45</v>
      </c>
      <c r="E4078" s="432" t="s">
        <v>4730</v>
      </c>
      <c r="F4078" s="434" t="s">
        <v>441</v>
      </c>
      <c r="G4078" s="434">
        <v>9847823784</v>
      </c>
      <c r="I4078" s="434">
        <v>58</v>
      </c>
      <c r="J4078" s="1035" t="s">
        <v>48</v>
      </c>
      <c r="K4078" s="434" t="s">
        <v>3465</v>
      </c>
      <c r="M4078" s="128" t="s">
        <v>1764</v>
      </c>
      <c r="N4078" s="1036">
        <v>65074</v>
      </c>
      <c r="O4078" s="1036">
        <v>65074</v>
      </c>
      <c r="P4078" s="541">
        <v>65086</v>
      </c>
      <c r="Q4078" s="533" t="s">
        <v>51</v>
      </c>
    </row>
    <row r="4079" spans="1:17" ht="18">
      <c r="A4079" s="512">
        <f t="shared" si="56"/>
        <v>3232</v>
      </c>
      <c r="B4079" s="1145" t="s">
        <v>43</v>
      </c>
      <c r="C4079" s="1146" t="s">
        <v>44</v>
      </c>
      <c r="D4079" s="1146" t="s">
        <v>45</v>
      </c>
      <c r="E4079" s="120" t="s">
        <v>4740</v>
      </c>
      <c r="F4079" s="120" t="s">
        <v>441</v>
      </c>
      <c r="G4079" s="150">
        <v>9847823784</v>
      </c>
      <c r="H4079" s="120"/>
      <c r="I4079" s="150">
        <v>58</v>
      </c>
      <c r="J4079" s="120" t="s">
        <v>48</v>
      </c>
      <c r="K4079" s="120" t="s">
        <v>1480</v>
      </c>
      <c r="L4079" s="120"/>
      <c r="M4079" s="146" t="s">
        <v>119</v>
      </c>
      <c r="N4079" s="710">
        <v>65074</v>
      </c>
      <c r="O4079" s="710">
        <v>65074</v>
      </c>
      <c r="P4079" s="541">
        <v>65086</v>
      </c>
      <c r="Q4079" s="533" t="s">
        <v>51</v>
      </c>
    </row>
    <row r="4080" spans="1:17" ht="18">
      <c r="A4080" s="512">
        <f t="shared" si="56"/>
        <v>3233</v>
      </c>
      <c r="B4080" s="1145" t="s">
        <v>43</v>
      </c>
      <c r="C4080" s="1146" t="s">
        <v>44</v>
      </c>
      <c r="D4080" s="1146" t="s">
        <v>45</v>
      </c>
      <c r="E4080" s="120" t="s">
        <v>4744</v>
      </c>
      <c r="F4080" s="120" t="s">
        <v>730</v>
      </c>
      <c r="G4080" s="150">
        <v>9847859135</v>
      </c>
      <c r="H4080" s="120"/>
      <c r="I4080" s="150">
        <v>65</v>
      </c>
      <c r="J4080" s="120" t="s">
        <v>48</v>
      </c>
      <c r="K4080" s="120" t="s">
        <v>53</v>
      </c>
      <c r="L4080" s="120"/>
      <c r="M4080" s="146" t="s">
        <v>119</v>
      </c>
      <c r="N4080" s="710">
        <v>65074</v>
      </c>
      <c r="O4080" s="710">
        <v>65074</v>
      </c>
      <c r="P4080" s="541">
        <v>65086</v>
      </c>
      <c r="Q4080" s="533" t="s">
        <v>51</v>
      </c>
    </row>
    <row r="4081" spans="1:17" ht="18">
      <c r="A4081" s="512">
        <f t="shared" si="56"/>
        <v>3234</v>
      </c>
      <c r="B4081" s="1145" t="s">
        <v>43</v>
      </c>
      <c r="C4081" s="1146" t="s">
        <v>44</v>
      </c>
      <c r="D4081" s="1146" t="s">
        <v>45</v>
      </c>
      <c r="E4081" s="1031" t="s">
        <v>4728</v>
      </c>
      <c r="F4081" s="1035" t="s">
        <v>1009</v>
      </c>
      <c r="G4081" s="1035">
        <v>9806277961</v>
      </c>
      <c r="H4081" s="1033"/>
      <c r="I4081" s="1035">
        <v>54</v>
      </c>
      <c r="J4081" s="1035" t="s">
        <v>48</v>
      </c>
      <c r="K4081" s="120" t="s">
        <v>1468</v>
      </c>
      <c r="L4081" s="128"/>
      <c r="M4081" s="128" t="s">
        <v>1764</v>
      </c>
      <c r="N4081" s="1036">
        <v>65074</v>
      </c>
      <c r="O4081" s="1036">
        <v>65074</v>
      </c>
      <c r="P4081" s="541">
        <v>65086</v>
      </c>
      <c r="Q4081" s="533" t="s">
        <v>51</v>
      </c>
    </row>
    <row r="4082" spans="1:17" ht="19.5" customHeight="1">
      <c r="A4082" s="512">
        <f t="shared" si="56"/>
        <v>3235</v>
      </c>
      <c r="B4082" s="1145" t="s">
        <v>43</v>
      </c>
      <c r="C4082" s="943" t="s">
        <v>44</v>
      </c>
      <c r="D4082" s="943" t="s">
        <v>45</v>
      </c>
      <c r="E4082" s="932" t="s">
        <v>4741</v>
      </c>
      <c r="F4082" s="932" t="s">
        <v>598</v>
      </c>
      <c r="G4082" s="709">
        <v>9857852351</v>
      </c>
      <c r="H4082" s="932"/>
      <c r="I4082" s="709">
        <v>66</v>
      </c>
      <c r="J4082" s="932" t="s">
        <v>90</v>
      </c>
      <c r="K4082" s="932" t="s">
        <v>1480</v>
      </c>
      <c r="L4082" s="932"/>
      <c r="M4082" s="933" t="s">
        <v>119</v>
      </c>
      <c r="N4082" s="1004" t="s">
        <v>4727</v>
      </c>
      <c r="O4082" s="1004" t="s">
        <v>4727</v>
      </c>
      <c r="P4082" s="1309">
        <v>65086</v>
      </c>
      <c r="Q4082" s="533" t="s">
        <v>51</v>
      </c>
    </row>
    <row r="4083" spans="1:17" ht="18">
      <c r="A4083" s="512">
        <f t="shared" si="56"/>
        <v>3236</v>
      </c>
      <c r="B4083" s="1145" t="s">
        <v>43</v>
      </c>
      <c r="C4083" s="943" t="s">
        <v>44</v>
      </c>
      <c r="D4083" s="943" t="s">
        <v>45</v>
      </c>
      <c r="E4083" s="932" t="s">
        <v>4742</v>
      </c>
      <c r="F4083" s="932" t="s">
        <v>491</v>
      </c>
      <c r="G4083" s="112">
        <v>9847905111</v>
      </c>
      <c r="H4083" s="932"/>
      <c r="I4083" s="709">
        <v>66</v>
      </c>
      <c r="J4083" s="932" t="s">
        <v>90</v>
      </c>
      <c r="K4083" s="120" t="s">
        <v>1480</v>
      </c>
      <c r="L4083" s="932"/>
      <c r="M4083" s="146" t="s">
        <v>119</v>
      </c>
      <c r="N4083" s="1004" t="s">
        <v>4727</v>
      </c>
      <c r="O4083" s="1004" t="s">
        <v>4727</v>
      </c>
      <c r="P4083" s="1309">
        <v>65086</v>
      </c>
      <c r="Q4083" s="533" t="s">
        <v>51</v>
      </c>
    </row>
    <row r="4084" spans="1:17" ht="19.5" customHeight="1">
      <c r="A4084" s="512">
        <f t="shared" si="56"/>
        <v>3237</v>
      </c>
      <c r="B4084" s="1145" t="s">
        <v>43</v>
      </c>
      <c r="C4084" s="943" t="s">
        <v>44</v>
      </c>
      <c r="D4084" s="943" t="s">
        <v>45</v>
      </c>
      <c r="E4084" s="120" t="s">
        <v>4737</v>
      </c>
      <c r="F4084" s="120" t="s">
        <v>497</v>
      </c>
      <c r="G4084" s="150">
        <v>9812882120</v>
      </c>
      <c r="H4084" s="120"/>
      <c r="I4084" s="150">
        <v>84</v>
      </c>
      <c r="J4084" s="120" t="s">
        <v>48</v>
      </c>
      <c r="K4084" s="120" t="s">
        <v>1480</v>
      </c>
      <c r="L4084" s="120"/>
      <c r="M4084" s="146" t="s">
        <v>119</v>
      </c>
      <c r="N4084" s="121" t="s">
        <v>4727</v>
      </c>
      <c r="O4084" s="121" t="s">
        <v>4727</v>
      </c>
      <c r="P4084" s="1309">
        <v>65086</v>
      </c>
      <c r="Q4084" s="533" t="s">
        <v>51</v>
      </c>
    </row>
    <row r="4085" spans="1:17" ht="19.5" customHeight="1">
      <c r="A4085" s="512">
        <f t="shared" si="56"/>
        <v>3238</v>
      </c>
      <c r="B4085" s="1145" t="s">
        <v>43</v>
      </c>
      <c r="C4085" s="943" t="s">
        <v>44</v>
      </c>
      <c r="D4085" s="943" t="s">
        <v>45</v>
      </c>
      <c r="E4085" s="120" t="s">
        <v>4176</v>
      </c>
      <c r="F4085" s="120" t="s">
        <v>124</v>
      </c>
      <c r="G4085" s="150">
        <v>9865308229</v>
      </c>
      <c r="H4085" s="120"/>
      <c r="I4085" s="150">
        <v>72</v>
      </c>
      <c r="J4085" s="120" t="s">
        <v>48</v>
      </c>
      <c r="K4085" s="120" t="s">
        <v>1480</v>
      </c>
      <c r="L4085" s="120"/>
      <c r="M4085" s="146" t="s">
        <v>119</v>
      </c>
      <c r="N4085" s="121" t="s">
        <v>4727</v>
      </c>
      <c r="O4085" s="121" t="s">
        <v>4727</v>
      </c>
      <c r="P4085" s="1309">
        <v>65086</v>
      </c>
      <c r="Q4085" s="533" t="s">
        <v>51</v>
      </c>
    </row>
    <row r="4086" spans="1:17" s="362" customFormat="1" ht="19.5" customHeight="1">
      <c r="A4086" s="1205">
        <f t="shared" si="56"/>
        <v>3239</v>
      </c>
      <c r="B4086" s="1312" t="s">
        <v>43</v>
      </c>
      <c r="C4086" s="1239" t="s">
        <v>44</v>
      </c>
      <c r="D4086" s="1239" t="s">
        <v>45</v>
      </c>
      <c r="E4086" s="130" t="s">
        <v>4738</v>
      </c>
      <c r="F4086" s="130" t="s">
        <v>598</v>
      </c>
      <c r="G4086" s="227">
        <v>9857852151</v>
      </c>
      <c r="H4086" s="130"/>
      <c r="I4086" s="227">
        <v>74</v>
      </c>
      <c r="J4086" s="130" t="s">
        <v>48</v>
      </c>
      <c r="K4086" s="130" t="s">
        <v>1480</v>
      </c>
      <c r="L4086" s="130"/>
      <c r="M4086" s="130" t="s">
        <v>2648</v>
      </c>
      <c r="N4086" s="991" t="s">
        <v>4727</v>
      </c>
      <c r="O4086" s="991" t="s">
        <v>4727</v>
      </c>
      <c r="P4086" s="1333">
        <v>65098</v>
      </c>
      <c r="Q4086" s="773" t="s">
        <v>51</v>
      </c>
    </row>
    <row r="4087" spans="1:17" ht="18">
      <c r="A4087" s="512">
        <f t="shared" si="56"/>
        <v>3240</v>
      </c>
      <c r="B4087" s="1145" t="s">
        <v>43</v>
      </c>
      <c r="C4087" s="943" t="s">
        <v>44</v>
      </c>
      <c r="D4087" s="943" t="s">
        <v>45</v>
      </c>
      <c r="E4087" s="1031" t="s">
        <v>4745</v>
      </c>
      <c r="F4087" s="120" t="s">
        <v>1046</v>
      </c>
      <c r="G4087" s="1035">
        <v>9806252242</v>
      </c>
      <c r="H4087" s="1034"/>
      <c r="I4087" s="1035">
        <v>58</v>
      </c>
      <c r="J4087" s="120" t="s">
        <v>48</v>
      </c>
      <c r="K4087" s="891" t="s">
        <v>4556</v>
      </c>
      <c r="L4087" s="146"/>
      <c r="M4087" s="146" t="s">
        <v>119</v>
      </c>
      <c r="N4087" s="1273" t="s">
        <v>4727</v>
      </c>
      <c r="O4087" s="1273" t="s">
        <v>4727</v>
      </c>
      <c r="P4087" s="1309">
        <v>65086</v>
      </c>
      <c r="Q4087" s="533" t="s">
        <v>51</v>
      </c>
    </row>
    <row r="4088" spans="1:17" ht="19.5" customHeight="1">
      <c r="A4088" s="512">
        <f t="shared" si="56"/>
        <v>3241</v>
      </c>
      <c r="B4088" s="1145" t="s">
        <v>43</v>
      </c>
      <c r="C4088" s="943" t="s">
        <v>44</v>
      </c>
      <c r="D4088" s="943" t="s">
        <v>45</v>
      </c>
      <c r="E4088" s="120" t="s">
        <v>4750</v>
      </c>
      <c r="F4088" s="120" t="s">
        <v>730</v>
      </c>
      <c r="G4088" s="150">
        <v>9868928225</v>
      </c>
      <c r="H4088" s="120"/>
      <c r="I4088" s="150">
        <v>47</v>
      </c>
      <c r="J4088" s="120" t="s">
        <v>90</v>
      </c>
      <c r="K4088" s="120" t="s">
        <v>1480</v>
      </c>
      <c r="L4088" s="120"/>
      <c r="M4088" s="146" t="s">
        <v>119</v>
      </c>
      <c r="N4088" s="121" t="s">
        <v>4732</v>
      </c>
      <c r="O4088" s="121" t="s">
        <v>4732</v>
      </c>
      <c r="P4088" s="459">
        <v>65087</v>
      </c>
      <c r="Q4088" s="432" t="s">
        <v>51</v>
      </c>
    </row>
    <row r="4089" spans="1:17" ht="19.5" customHeight="1">
      <c r="A4089" s="512">
        <f t="shared" si="56"/>
        <v>3242</v>
      </c>
      <c r="B4089" s="1287" t="s">
        <v>43</v>
      </c>
      <c r="C4089" s="240" t="s">
        <v>44</v>
      </c>
      <c r="D4089" s="240" t="s">
        <v>45</v>
      </c>
      <c r="E4089" s="238" t="s">
        <v>4806</v>
      </c>
      <c r="F4089" s="238" t="s">
        <v>730</v>
      </c>
      <c r="G4089" s="242">
        <v>9810031874</v>
      </c>
      <c r="H4089" s="238"/>
      <c r="I4089" s="242">
        <v>60</v>
      </c>
      <c r="J4089" s="242" t="s">
        <v>4807</v>
      </c>
      <c r="K4089" s="238" t="s">
        <v>1763</v>
      </c>
      <c r="L4089" s="238"/>
      <c r="M4089" s="198" t="s">
        <v>119</v>
      </c>
      <c r="N4089" s="239" t="s">
        <v>4732</v>
      </c>
      <c r="O4089" s="239" t="s">
        <v>4732</v>
      </c>
      <c r="P4089" s="1288">
        <v>65087</v>
      </c>
      <c r="Q4089" s="1064" t="s">
        <v>51</v>
      </c>
    </row>
    <row r="4090" spans="1:17" s="362" customFormat="1" ht="18">
      <c r="A4090" s="1205">
        <f t="shared" si="56"/>
        <v>3243</v>
      </c>
      <c r="B4090" s="1312" t="s">
        <v>43</v>
      </c>
      <c r="C4090" s="1239" t="s">
        <v>44</v>
      </c>
      <c r="D4090" s="1239" t="s">
        <v>45</v>
      </c>
      <c r="E4090" s="130" t="s">
        <v>4748</v>
      </c>
      <c r="F4090" s="130" t="s">
        <v>617</v>
      </c>
      <c r="G4090" s="227">
        <v>9869546436</v>
      </c>
      <c r="H4090" s="130"/>
      <c r="I4090" s="227">
        <v>68</v>
      </c>
      <c r="J4090" s="130" t="s">
        <v>48</v>
      </c>
      <c r="K4090" s="130" t="s">
        <v>1480</v>
      </c>
      <c r="L4090" s="130"/>
      <c r="M4090" s="130" t="s">
        <v>54</v>
      </c>
      <c r="N4090" s="991" t="s">
        <v>4732</v>
      </c>
      <c r="O4090" s="991" t="s">
        <v>4732</v>
      </c>
      <c r="P4090" s="1211">
        <v>65089</v>
      </c>
      <c r="Q4090" s="1064" t="s">
        <v>51</v>
      </c>
    </row>
    <row r="4091" spans="1:17" ht="18">
      <c r="A4091" s="512">
        <f t="shared" si="56"/>
        <v>3244</v>
      </c>
      <c r="B4091" s="1145" t="s">
        <v>43</v>
      </c>
      <c r="C4091" s="943" t="s">
        <v>44</v>
      </c>
      <c r="D4091" s="943" t="s">
        <v>45</v>
      </c>
      <c r="E4091" s="120" t="s">
        <v>4749</v>
      </c>
      <c r="F4091" s="120" t="s">
        <v>441</v>
      </c>
      <c r="G4091" s="150">
        <v>9847878510</v>
      </c>
      <c r="H4091" s="120"/>
      <c r="I4091" s="150">
        <v>62</v>
      </c>
      <c r="J4091" s="120" t="s">
        <v>48</v>
      </c>
      <c r="K4091" s="120" t="s">
        <v>1480</v>
      </c>
      <c r="L4091" s="120"/>
      <c r="M4091" s="146" t="s">
        <v>119</v>
      </c>
      <c r="N4091" s="121" t="s">
        <v>4732</v>
      </c>
      <c r="O4091" s="121" t="s">
        <v>4732</v>
      </c>
      <c r="P4091" s="459">
        <v>65087</v>
      </c>
      <c r="Q4091" s="432" t="s">
        <v>51</v>
      </c>
    </row>
    <row r="4092" spans="1:17">
      <c r="A4092" s="512">
        <f t="shared" si="56"/>
        <v>3245</v>
      </c>
      <c r="B4092" s="1287" t="s">
        <v>43</v>
      </c>
      <c r="C4092" s="240" t="s">
        <v>44</v>
      </c>
      <c r="D4092" s="240" t="s">
        <v>45</v>
      </c>
      <c r="E4092" s="238" t="s">
        <v>4805</v>
      </c>
      <c r="F4092" s="238" t="s">
        <v>730</v>
      </c>
      <c r="G4092" s="242">
        <v>9810031874</v>
      </c>
      <c r="H4092" s="238"/>
      <c r="I4092" s="242">
        <v>40</v>
      </c>
      <c r="J4092" s="242" t="s">
        <v>48</v>
      </c>
      <c r="K4092" s="238" t="s">
        <v>1763</v>
      </c>
      <c r="L4092" s="238"/>
      <c r="M4092" s="198" t="s">
        <v>119</v>
      </c>
      <c r="N4092" s="239" t="s">
        <v>4732</v>
      </c>
      <c r="O4092" s="239" t="s">
        <v>4732</v>
      </c>
      <c r="P4092" s="1288">
        <v>65087</v>
      </c>
      <c r="Q4092" s="1064" t="s">
        <v>51</v>
      </c>
    </row>
    <row r="4093" spans="1:17" ht="19.5" customHeight="1">
      <c r="A4093" s="512">
        <f t="shared" si="56"/>
        <v>3246</v>
      </c>
      <c r="B4093" s="1145" t="s">
        <v>43</v>
      </c>
      <c r="C4093" s="943" t="s">
        <v>44</v>
      </c>
      <c r="D4093" s="943" t="s">
        <v>45</v>
      </c>
      <c r="E4093" s="120" t="s">
        <v>4751</v>
      </c>
      <c r="F4093" s="120" t="s">
        <v>497</v>
      </c>
      <c r="G4093" s="150">
        <v>9868603503</v>
      </c>
      <c r="H4093" s="120"/>
      <c r="I4093" s="150">
        <v>30</v>
      </c>
      <c r="J4093" s="120" t="s">
        <v>90</v>
      </c>
      <c r="K4093" s="932" t="s">
        <v>1480</v>
      </c>
      <c r="L4093" s="120"/>
      <c r="M4093" s="146" t="s">
        <v>119</v>
      </c>
      <c r="N4093" s="121" t="s">
        <v>4732</v>
      </c>
      <c r="O4093" s="121" t="s">
        <v>4732</v>
      </c>
      <c r="P4093" s="459">
        <v>65087</v>
      </c>
      <c r="Q4093" s="432" t="s">
        <v>51</v>
      </c>
    </row>
    <row r="4094" spans="1:17" ht="18">
      <c r="A4094" s="512">
        <f t="shared" si="56"/>
        <v>3247</v>
      </c>
      <c r="B4094" s="1145" t="s">
        <v>43</v>
      </c>
      <c r="C4094" s="1146" t="s">
        <v>44</v>
      </c>
      <c r="D4094" s="1146" t="s">
        <v>45</v>
      </c>
      <c r="E4094" s="932" t="s">
        <v>4752</v>
      </c>
      <c r="F4094" s="932" t="s">
        <v>791</v>
      </c>
      <c r="G4094" s="709">
        <v>9844127038</v>
      </c>
      <c r="H4094" s="932"/>
      <c r="I4094" s="709">
        <v>50</v>
      </c>
      <c r="J4094" s="932" t="s">
        <v>90</v>
      </c>
      <c r="K4094" s="932" t="s">
        <v>1480</v>
      </c>
      <c r="L4094" s="932"/>
      <c r="M4094" s="933" t="s">
        <v>119</v>
      </c>
      <c r="N4094" s="1004" t="s">
        <v>4732</v>
      </c>
      <c r="O4094" s="1004" t="s">
        <v>4732</v>
      </c>
      <c r="P4094" s="459">
        <v>65087</v>
      </c>
      <c r="Q4094" s="432" t="s">
        <v>51</v>
      </c>
    </row>
    <row r="4095" spans="1:17" ht="19.5" customHeight="1">
      <c r="A4095" s="512">
        <f t="shared" si="56"/>
        <v>3248</v>
      </c>
      <c r="B4095" s="942" t="s">
        <v>43</v>
      </c>
      <c r="C4095" s="943" t="s">
        <v>44</v>
      </c>
      <c r="D4095" s="943" t="s">
        <v>45</v>
      </c>
      <c r="E4095" s="120" t="s">
        <v>4759</v>
      </c>
      <c r="F4095" s="120" t="s">
        <v>497</v>
      </c>
      <c r="G4095" s="150">
        <v>9812801042</v>
      </c>
      <c r="H4095" s="120"/>
      <c r="I4095" s="150">
        <v>67</v>
      </c>
      <c r="J4095" s="120" t="s">
        <v>48</v>
      </c>
      <c r="K4095" s="120" t="s">
        <v>1480</v>
      </c>
      <c r="L4095" s="120"/>
      <c r="M4095" s="146" t="s">
        <v>119</v>
      </c>
      <c r="N4095" s="121" t="s">
        <v>4753</v>
      </c>
      <c r="O4095" s="121" t="s">
        <v>4753</v>
      </c>
      <c r="P4095" s="1292">
        <v>65089</v>
      </c>
      <c r="Q4095" s="512" t="s">
        <v>51</v>
      </c>
    </row>
    <row r="4096" spans="1:17" ht="19.5" customHeight="1">
      <c r="A4096" s="512">
        <f t="shared" si="56"/>
        <v>3249</v>
      </c>
      <c r="B4096" s="942" t="s">
        <v>43</v>
      </c>
      <c r="C4096" s="943" t="s">
        <v>44</v>
      </c>
      <c r="D4096" s="943" t="s">
        <v>45</v>
      </c>
      <c r="E4096" s="120" t="s">
        <v>4762</v>
      </c>
      <c r="F4096" s="120" t="s">
        <v>636</v>
      </c>
      <c r="G4096" s="150">
        <v>9813677961</v>
      </c>
      <c r="H4096" s="120"/>
      <c r="I4096" s="150">
        <v>46</v>
      </c>
      <c r="J4096" s="120" t="s">
        <v>48</v>
      </c>
      <c r="K4096" s="120" t="s">
        <v>1480</v>
      </c>
      <c r="L4096" s="120"/>
      <c r="M4096" s="146" t="s">
        <v>119</v>
      </c>
      <c r="N4096" s="121" t="s">
        <v>4753</v>
      </c>
      <c r="O4096" s="121" t="s">
        <v>4753</v>
      </c>
      <c r="P4096" s="514">
        <v>65089</v>
      </c>
      <c r="Q4096" s="512" t="s">
        <v>51</v>
      </c>
    </row>
    <row r="4097" spans="1:17" ht="18">
      <c r="A4097" s="512">
        <f t="shared" si="56"/>
        <v>3250</v>
      </c>
      <c r="B4097" s="942" t="s">
        <v>43</v>
      </c>
      <c r="C4097" s="943" t="s">
        <v>44</v>
      </c>
      <c r="D4097" s="943" t="s">
        <v>45</v>
      </c>
      <c r="E4097" s="1295" t="s">
        <v>4238</v>
      </c>
      <c r="F4097" s="932" t="s">
        <v>557</v>
      </c>
      <c r="G4097" s="709">
        <v>9863150604</v>
      </c>
      <c r="H4097" s="932"/>
      <c r="I4097" s="709">
        <v>33</v>
      </c>
      <c r="J4097" s="932" t="s">
        <v>90</v>
      </c>
      <c r="K4097" s="932" t="s">
        <v>1480</v>
      </c>
      <c r="L4097" s="932"/>
      <c r="M4097" s="933" t="s">
        <v>119</v>
      </c>
      <c r="N4097" s="1004" t="s">
        <v>4753</v>
      </c>
      <c r="O4097" s="1004" t="s">
        <v>4753</v>
      </c>
      <c r="P4097" s="514">
        <v>65089</v>
      </c>
      <c r="Q4097" s="512" t="s">
        <v>51</v>
      </c>
    </row>
    <row r="4098" spans="1:17" s="1293" customFormat="1" ht="18">
      <c r="A4098" s="512">
        <f t="shared" si="56"/>
        <v>3251</v>
      </c>
      <c r="B4098" s="942" t="s">
        <v>43</v>
      </c>
      <c r="C4098" s="943" t="s">
        <v>44</v>
      </c>
      <c r="D4098" s="943" t="s">
        <v>45</v>
      </c>
      <c r="E4098" s="120" t="s">
        <v>4761</v>
      </c>
      <c r="F4098" s="120" t="s">
        <v>124</v>
      </c>
      <c r="G4098" s="150">
        <v>9848372901</v>
      </c>
      <c r="H4098" s="120"/>
      <c r="I4098" s="150">
        <v>50</v>
      </c>
      <c r="J4098" s="120" t="s">
        <v>90</v>
      </c>
      <c r="K4098" s="120" t="s">
        <v>1480</v>
      </c>
      <c r="L4098" s="120"/>
      <c r="M4098" s="146" t="s">
        <v>119</v>
      </c>
      <c r="N4098" s="121" t="s">
        <v>4753</v>
      </c>
      <c r="O4098" s="121" t="s">
        <v>4753</v>
      </c>
      <c r="P4098" s="1292">
        <v>65089</v>
      </c>
      <c r="Q4098" s="512" t="s">
        <v>51</v>
      </c>
    </row>
    <row r="4099" spans="1:17" ht="19.5" customHeight="1">
      <c r="A4099" s="512">
        <f t="shared" si="56"/>
        <v>3252</v>
      </c>
      <c r="B4099" s="942" t="s">
        <v>43</v>
      </c>
      <c r="C4099" s="943" t="s">
        <v>44</v>
      </c>
      <c r="D4099" s="943" t="s">
        <v>45</v>
      </c>
      <c r="E4099" s="120" t="s">
        <v>4760</v>
      </c>
      <c r="F4099" s="120" t="s">
        <v>791</v>
      </c>
      <c r="G4099" s="150">
        <v>9866941061</v>
      </c>
      <c r="H4099" s="120"/>
      <c r="I4099" s="150">
        <v>61</v>
      </c>
      <c r="J4099" s="120" t="s">
        <v>90</v>
      </c>
      <c r="K4099" s="120" t="s">
        <v>1480</v>
      </c>
      <c r="L4099" s="120"/>
      <c r="M4099" s="146" t="s">
        <v>119</v>
      </c>
      <c r="N4099" s="121" t="s">
        <v>4753</v>
      </c>
      <c r="O4099" s="121" t="s">
        <v>4753</v>
      </c>
      <c r="P4099" s="1292">
        <v>65089</v>
      </c>
      <c r="Q4099" s="512" t="s">
        <v>51</v>
      </c>
    </row>
    <row r="4100" spans="1:17" ht="19.5" customHeight="1">
      <c r="A4100" s="512">
        <f t="shared" si="56"/>
        <v>3253</v>
      </c>
      <c r="B4100" s="1213" t="s">
        <v>43</v>
      </c>
      <c r="C4100" s="1146" t="s">
        <v>44</v>
      </c>
      <c r="D4100" s="1146" t="s">
        <v>45</v>
      </c>
      <c r="E4100" s="130" t="s">
        <v>4774</v>
      </c>
      <c r="F4100" s="130" t="s">
        <v>730</v>
      </c>
      <c r="G4100" s="150">
        <v>9806242242</v>
      </c>
      <c r="H4100" s="120"/>
      <c r="I4100" s="150">
        <v>35</v>
      </c>
      <c r="J4100" s="120" t="s">
        <v>48</v>
      </c>
      <c r="K4100" s="120" t="s">
        <v>1480</v>
      </c>
      <c r="L4100" s="120"/>
      <c r="M4100" s="146" t="s">
        <v>119</v>
      </c>
      <c r="N4100" s="710">
        <v>65075</v>
      </c>
      <c r="O4100" s="710">
        <v>65075</v>
      </c>
      <c r="P4100" s="1292">
        <v>65089</v>
      </c>
      <c r="Q4100" s="512" t="s">
        <v>51</v>
      </c>
    </row>
    <row r="4101" spans="1:17" s="362" customFormat="1" ht="19.5" customHeight="1">
      <c r="A4101" s="1205">
        <f t="shared" si="56"/>
        <v>3254</v>
      </c>
      <c r="B4101" s="1312" t="s">
        <v>43</v>
      </c>
      <c r="C4101" s="1313" t="s">
        <v>44</v>
      </c>
      <c r="D4101" s="1313" t="s">
        <v>45</v>
      </c>
      <c r="E4101" s="130" t="s">
        <v>4763</v>
      </c>
      <c r="F4101" s="130" t="s">
        <v>502</v>
      </c>
      <c r="G4101" s="227"/>
      <c r="H4101" s="130"/>
      <c r="I4101" s="227">
        <v>35</v>
      </c>
      <c r="J4101" s="130" t="s">
        <v>48</v>
      </c>
      <c r="K4101" s="227" t="s">
        <v>53</v>
      </c>
      <c r="L4101" s="130"/>
      <c r="M4101" s="130" t="s">
        <v>54</v>
      </c>
      <c r="N4101" s="1314">
        <v>65075</v>
      </c>
      <c r="O4101" s="1314">
        <v>65075</v>
      </c>
      <c r="P4101" s="1292">
        <v>65089</v>
      </c>
      <c r="Q4101" s="512" t="s">
        <v>51</v>
      </c>
    </row>
    <row r="4102" spans="1:17" ht="19.5" customHeight="1">
      <c r="A4102" s="512">
        <f t="shared" si="56"/>
        <v>3255</v>
      </c>
      <c r="B4102" s="1213" t="s">
        <v>43</v>
      </c>
      <c r="C4102" s="1146" t="s">
        <v>44</v>
      </c>
      <c r="D4102" s="1146" t="s">
        <v>45</v>
      </c>
      <c r="E4102" s="130" t="s">
        <v>4775</v>
      </c>
      <c r="F4102" s="130" t="s">
        <v>510</v>
      </c>
      <c r="G4102" s="150">
        <v>9809575769</v>
      </c>
      <c r="H4102" s="120"/>
      <c r="I4102" s="150">
        <v>60</v>
      </c>
      <c r="J4102" s="120" t="s">
        <v>48</v>
      </c>
      <c r="K4102" s="120" t="s">
        <v>1480</v>
      </c>
      <c r="L4102" s="120"/>
      <c r="M4102" s="146" t="s">
        <v>119</v>
      </c>
      <c r="N4102" s="710">
        <v>65075</v>
      </c>
      <c r="O4102" s="710">
        <v>65075</v>
      </c>
      <c r="P4102" s="1292">
        <v>65089</v>
      </c>
      <c r="Q4102" s="512" t="s">
        <v>51</v>
      </c>
    </row>
    <row r="4103" spans="1:17" ht="19.5" customHeight="1">
      <c r="A4103" s="512">
        <f t="shared" si="56"/>
        <v>3256</v>
      </c>
      <c r="B4103" s="1213" t="s">
        <v>43</v>
      </c>
      <c r="C4103" s="1146" t="s">
        <v>44</v>
      </c>
      <c r="D4103" s="1146" t="s">
        <v>45</v>
      </c>
      <c r="E4103" s="128" t="s">
        <v>4802</v>
      </c>
      <c r="F4103" s="128" t="s">
        <v>598</v>
      </c>
      <c r="G4103" s="247">
        <v>9810961800</v>
      </c>
      <c r="H4103" s="128"/>
      <c r="I4103" s="247">
        <v>44</v>
      </c>
      <c r="J4103" s="247" t="s">
        <v>4807</v>
      </c>
      <c r="K4103" s="128" t="s">
        <v>1763</v>
      </c>
      <c r="L4103" s="128"/>
      <c r="M4103" s="146" t="s">
        <v>119</v>
      </c>
      <c r="N4103" s="1257">
        <v>65075</v>
      </c>
      <c r="O4103" s="1257">
        <v>65075</v>
      </c>
      <c r="P4103" s="1292">
        <v>65089</v>
      </c>
      <c r="Q4103" s="512" t="s">
        <v>51</v>
      </c>
    </row>
    <row r="4104" spans="1:17" ht="19.5" customHeight="1">
      <c r="A4104" s="512">
        <f t="shared" si="56"/>
        <v>3257</v>
      </c>
      <c r="B4104" s="1213" t="s">
        <v>43</v>
      </c>
      <c r="C4104" s="1146" t="s">
        <v>44</v>
      </c>
      <c r="D4104" s="1146" t="s">
        <v>45</v>
      </c>
      <c r="E4104" s="130" t="s">
        <v>4773</v>
      </c>
      <c r="F4104" s="130" t="s">
        <v>497</v>
      </c>
      <c r="G4104" s="150">
        <v>9867155861</v>
      </c>
      <c r="H4104" s="120"/>
      <c r="I4104" s="150">
        <v>59</v>
      </c>
      <c r="J4104" s="120" t="s">
        <v>48</v>
      </c>
      <c r="K4104" s="120" t="s">
        <v>53</v>
      </c>
      <c r="L4104" s="120"/>
      <c r="M4104" s="146" t="s">
        <v>119</v>
      </c>
      <c r="N4104" s="710">
        <v>65075</v>
      </c>
      <c r="O4104" s="710">
        <v>65075</v>
      </c>
      <c r="P4104" s="1292">
        <v>65089</v>
      </c>
      <c r="Q4104" s="512" t="s">
        <v>51</v>
      </c>
    </row>
    <row r="4105" spans="1:17" ht="19.5" customHeight="1">
      <c r="A4105" s="512">
        <f t="shared" si="56"/>
        <v>3258</v>
      </c>
      <c r="B4105" s="1145" t="s">
        <v>43</v>
      </c>
      <c r="C4105" s="1146" t="s">
        <v>44</v>
      </c>
      <c r="D4105" s="1146" t="s">
        <v>45</v>
      </c>
      <c r="E4105" s="1264" t="s">
        <v>4766</v>
      </c>
      <c r="F4105" s="1265" t="s">
        <v>488</v>
      </c>
      <c r="G4105" s="1265">
        <v>9863355692</v>
      </c>
      <c r="H4105" s="939"/>
      <c r="I4105" s="1265">
        <v>44</v>
      </c>
      <c r="J4105" s="1265" t="s">
        <v>90</v>
      </c>
      <c r="K4105" s="1304" t="s">
        <v>3465</v>
      </c>
      <c r="L4105" s="937"/>
      <c r="M4105" s="933" t="s">
        <v>119</v>
      </c>
      <c r="N4105" s="1308">
        <v>65075</v>
      </c>
      <c r="O4105" s="1308">
        <v>65075</v>
      </c>
      <c r="P4105" s="514">
        <v>65089</v>
      </c>
      <c r="Q4105" s="512" t="s">
        <v>51</v>
      </c>
    </row>
    <row r="4106" spans="1:17" ht="19.5" customHeight="1">
      <c r="A4106" s="512">
        <f t="shared" si="56"/>
        <v>3259</v>
      </c>
      <c r="B4106" s="1213" t="s">
        <v>43</v>
      </c>
      <c r="C4106" s="1146" t="s">
        <v>44</v>
      </c>
      <c r="D4106" s="1178" t="s">
        <v>45</v>
      </c>
      <c r="E4106" s="130" t="s">
        <v>2623</v>
      </c>
      <c r="F4106" s="130" t="s">
        <v>491</v>
      </c>
      <c r="G4106" s="150">
        <v>9847945466</v>
      </c>
      <c r="H4106" s="120"/>
      <c r="I4106" s="150">
        <v>35</v>
      </c>
      <c r="J4106" s="120" t="s">
        <v>90</v>
      </c>
      <c r="K4106" s="120" t="s">
        <v>1480</v>
      </c>
      <c r="L4106" s="120"/>
      <c r="M4106" s="146" t="s">
        <v>119</v>
      </c>
      <c r="N4106" s="710">
        <v>65075</v>
      </c>
      <c r="O4106" s="710">
        <v>65075</v>
      </c>
      <c r="P4106" s="1292">
        <v>65089</v>
      </c>
      <c r="Q4106" s="512" t="s">
        <v>51</v>
      </c>
    </row>
    <row r="4107" spans="1:17" s="1217" customFormat="1">
      <c r="A4107" s="512">
        <f t="shared" si="56"/>
        <v>3260</v>
      </c>
      <c r="B4107" s="1213" t="s">
        <v>43</v>
      </c>
      <c r="C4107" s="1146" t="s">
        <v>44</v>
      </c>
      <c r="D4107" s="1178" t="s">
        <v>45</v>
      </c>
      <c r="E4107" s="130" t="s">
        <v>4776</v>
      </c>
      <c r="F4107" s="130" t="s">
        <v>491</v>
      </c>
      <c r="G4107" s="150">
        <v>9857821251</v>
      </c>
      <c r="H4107" s="120"/>
      <c r="I4107" s="150">
        <v>23</v>
      </c>
      <c r="J4107" s="120" t="s">
        <v>48</v>
      </c>
      <c r="K4107" s="120" t="s">
        <v>1480</v>
      </c>
      <c r="L4107" s="120"/>
      <c r="M4107" s="146" t="s">
        <v>119</v>
      </c>
      <c r="N4107" s="710">
        <v>65075</v>
      </c>
      <c r="O4107" s="710">
        <v>65075</v>
      </c>
      <c r="P4107" s="1292">
        <v>65089</v>
      </c>
      <c r="Q4107" s="512" t="s">
        <v>51</v>
      </c>
    </row>
    <row r="4108" spans="1:17" ht="18">
      <c r="A4108" s="512">
        <f t="shared" si="56"/>
        <v>3261</v>
      </c>
      <c r="B4108" s="1145" t="s">
        <v>43</v>
      </c>
      <c r="C4108" s="1146" t="s">
        <v>44</v>
      </c>
      <c r="D4108" s="1178" t="s">
        <v>45</v>
      </c>
      <c r="E4108" s="1185" t="s">
        <v>4767</v>
      </c>
      <c r="F4108" s="1187" t="s">
        <v>488</v>
      </c>
      <c r="G4108" s="1187">
        <v>9843299631</v>
      </c>
      <c r="H4108" s="56"/>
      <c r="I4108" s="1187">
        <v>44</v>
      </c>
      <c r="J4108" s="120" t="s">
        <v>48</v>
      </c>
      <c r="K4108" s="1189" t="s">
        <v>3465</v>
      </c>
      <c r="L4108" s="1184"/>
      <c r="M4108" s="146" t="s">
        <v>119</v>
      </c>
      <c r="N4108" s="1188">
        <v>65075</v>
      </c>
      <c r="O4108" s="1188">
        <v>65075</v>
      </c>
      <c r="P4108" s="1292">
        <v>65089</v>
      </c>
      <c r="Q4108" s="512" t="s">
        <v>51</v>
      </c>
    </row>
    <row r="4109" spans="1:17" ht="18">
      <c r="A4109" s="512">
        <f t="shared" si="56"/>
        <v>3262</v>
      </c>
      <c r="B4109" s="1145" t="s">
        <v>43</v>
      </c>
      <c r="C4109" s="1146" t="s">
        <v>44</v>
      </c>
      <c r="D4109" s="1178" t="s">
        <v>45</v>
      </c>
      <c r="E4109" s="1185" t="s">
        <v>4764</v>
      </c>
      <c r="F4109" s="1187" t="s">
        <v>441</v>
      </c>
      <c r="G4109" s="1187">
        <v>9866993797</v>
      </c>
      <c r="H4109" s="56"/>
      <c r="I4109" s="1187">
        <v>46</v>
      </c>
      <c r="J4109" s="120" t="s">
        <v>48</v>
      </c>
      <c r="K4109" s="1189" t="s">
        <v>3465</v>
      </c>
      <c r="L4109" s="1184"/>
      <c r="M4109" s="146" t="s">
        <v>119</v>
      </c>
      <c r="N4109" s="1188">
        <v>65075</v>
      </c>
      <c r="O4109" s="1188">
        <v>65075</v>
      </c>
      <c r="P4109" s="1292">
        <v>65089</v>
      </c>
      <c r="Q4109" s="512" t="s">
        <v>51</v>
      </c>
    </row>
    <row r="4110" spans="1:17" ht="18">
      <c r="A4110" s="512">
        <f t="shared" si="56"/>
        <v>3263</v>
      </c>
      <c r="B4110" s="1145" t="s">
        <v>43</v>
      </c>
      <c r="C4110" s="1146" t="s">
        <v>44</v>
      </c>
      <c r="D4110" s="1178" t="s">
        <v>45</v>
      </c>
      <c r="E4110" s="1264" t="s">
        <v>4765</v>
      </c>
      <c r="F4110" s="1265" t="s">
        <v>441</v>
      </c>
      <c r="G4110" s="1265">
        <v>9829523733</v>
      </c>
      <c r="H4110" s="939"/>
      <c r="I4110" s="1265">
        <v>14</v>
      </c>
      <c r="J4110" s="932" t="s">
        <v>48</v>
      </c>
      <c r="K4110" s="1304" t="s">
        <v>3465</v>
      </c>
      <c r="L4110" s="937"/>
      <c r="M4110" s="933" t="s">
        <v>119</v>
      </c>
      <c r="N4110" s="1308">
        <v>65075</v>
      </c>
      <c r="O4110" s="1308">
        <v>65075</v>
      </c>
      <c r="P4110" s="1292">
        <v>65089</v>
      </c>
      <c r="Q4110" s="512" t="s">
        <v>51</v>
      </c>
    </row>
    <row r="4111" spans="1:17">
      <c r="A4111" s="512">
        <f t="shared" si="56"/>
        <v>3264</v>
      </c>
      <c r="B4111" s="1216" t="s">
        <v>43</v>
      </c>
      <c r="C4111" s="1214" t="s">
        <v>44</v>
      </c>
      <c r="D4111" s="1215" t="s">
        <v>45</v>
      </c>
      <c r="E4111" s="1294" t="s">
        <v>4772</v>
      </c>
      <c r="F4111" s="1297" t="s">
        <v>598</v>
      </c>
      <c r="G4111" s="1297">
        <v>9841115205</v>
      </c>
      <c r="H4111" s="1299"/>
      <c r="I4111" s="1297">
        <v>58</v>
      </c>
      <c r="J4111" s="1301" t="s">
        <v>453</v>
      </c>
      <c r="K4111" s="1303" t="s">
        <v>4556</v>
      </c>
      <c r="L4111" s="1299"/>
      <c r="M4111" s="1065" t="s">
        <v>119</v>
      </c>
      <c r="N4111" s="1307">
        <v>65076</v>
      </c>
      <c r="O4111" s="1307">
        <v>65076</v>
      </c>
      <c r="P4111" s="1316">
        <v>65090</v>
      </c>
      <c r="Q4111" s="1317" t="s">
        <v>51</v>
      </c>
    </row>
    <row r="4112" spans="1:17" ht="18">
      <c r="A4112" s="512">
        <f t="shared" si="56"/>
        <v>3265</v>
      </c>
      <c r="B4112" s="1145" t="s">
        <v>43</v>
      </c>
      <c r="C4112" s="1146" t="s">
        <v>44</v>
      </c>
      <c r="D4112" s="1178" t="s">
        <v>45</v>
      </c>
      <c r="E4112" s="509" t="s">
        <v>4768</v>
      </c>
      <c r="F4112" s="120" t="s">
        <v>730</v>
      </c>
      <c r="G4112" s="490">
        <v>9844913601</v>
      </c>
      <c r="H4112" s="1032"/>
      <c r="I4112" s="490">
        <v>62</v>
      </c>
      <c r="J4112" s="1032" t="s">
        <v>90</v>
      </c>
      <c r="K4112" s="891" t="s">
        <v>4556</v>
      </c>
      <c r="L4112" s="1032"/>
      <c r="M4112" s="146" t="s">
        <v>119</v>
      </c>
      <c r="N4112" s="1036">
        <v>65076</v>
      </c>
      <c r="O4112" s="1036">
        <v>65076</v>
      </c>
      <c r="P4112" s="1316">
        <v>65090</v>
      </c>
      <c r="Q4112" s="1317" t="s">
        <v>51</v>
      </c>
    </row>
    <row r="4113" spans="1:17">
      <c r="A4113" s="512">
        <f t="shared" si="56"/>
        <v>3266</v>
      </c>
      <c r="B4113" s="1213" t="s">
        <v>43</v>
      </c>
      <c r="C4113" s="1146" t="s">
        <v>44</v>
      </c>
      <c r="D4113" s="1178" t="s">
        <v>45</v>
      </c>
      <c r="E4113" s="128" t="s">
        <v>4804</v>
      </c>
      <c r="F4113" s="128" t="s">
        <v>1204</v>
      </c>
      <c r="G4113" s="247">
        <v>9847890312</v>
      </c>
      <c r="H4113" s="128"/>
      <c r="I4113" s="247">
        <v>41</v>
      </c>
      <c r="J4113" s="247" t="s">
        <v>4807</v>
      </c>
      <c r="K4113" s="128" t="s">
        <v>1763</v>
      </c>
      <c r="L4113" s="128"/>
      <c r="M4113" s="146" t="s">
        <v>119</v>
      </c>
      <c r="N4113" s="1257">
        <v>65076</v>
      </c>
      <c r="O4113" s="1257">
        <v>65076</v>
      </c>
      <c r="P4113" s="1316">
        <v>65090</v>
      </c>
      <c r="Q4113" s="1317" t="s">
        <v>51</v>
      </c>
    </row>
    <row r="4114" spans="1:17">
      <c r="A4114" s="512">
        <f t="shared" ref="A4114:A4177" si="57">A4113+1</f>
        <v>3267</v>
      </c>
      <c r="B4114" s="1213" t="s">
        <v>43</v>
      </c>
      <c r="C4114" s="1146" t="s">
        <v>44</v>
      </c>
      <c r="D4114" s="1178" t="s">
        <v>45</v>
      </c>
      <c r="E4114" s="128" t="s">
        <v>4803</v>
      </c>
      <c r="F4114" s="128" t="s">
        <v>1204</v>
      </c>
      <c r="G4114" s="247">
        <v>9868395226</v>
      </c>
      <c r="H4114" s="128"/>
      <c r="I4114" s="247">
        <v>32</v>
      </c>
      <c r="J4114" s="247" t="s">
        <v>4807</v>
      </c>
      <c r="K4114" s="128" t="s">
        <v>1763</v>
      </c>
      <c r="L4114" s="128"/>
      <c r="M4114" s="146" t="s">
        <v>119</v>
      </c>
      <c r="N4114" s="1257">
        <v>65076</v>
      </c>
      <c r="O4114" s="1257">
        <v>65076</v>
      </c>
      <c r="P4114" s="1316">
        <v>65090</v>
      </c>
      <c r="Q4114" s="1317" t="s">
        <v>51</v>
      </c>
    </row>
    <row r="4115" spans="1:17" ht="18">
      <c r="A4115" s="512">
        <f t="shared" si="57"/>
        <v>3268</v>
      </c>
      <c r="B4115" s="1145" t="s">
        <v>43</v>
      </c>
      <c r="C4115" s="1146" t="s">
        <v>44</v>
      </c>
      <c r="D4115" s="1178" t="s">
        <v>45</v>
      </c>
      <c r="E4115" s="1077" t="s">
        <v>4769</v>
      </c>
      <c r="F4115" s="932" t="s">
        <v>636</v>
      </c>
      <c r="G4115" s="1069">
        <v>9823038236</v>
      </c>
      <c r="H4115" s="1078"/>
      <c r="I4115" s="1069">
        <v>25</v>
      </c>
      <c r="J4115" s="1302" t="s">
        <v>90</v>
      </c>
      <c r="K4115" s="1179" t="s">
        <v>4556</v>
      </c>
      <c r="L4115" s="1078"/>
      <c r="M4115" s="933" t="s">
        <v>119</v>
      </c>
      <c r="N4115" s="1072">
        <v>65076</v>
      </c>
      <c r="O4115" s="1072">
        <v>65076</v>
      </c>
      <c r="P4115" s="1316">
        <v>65090</v>
      </c>
      <c r="Q4115" s="1317" t="s">
        <v>51</v>
      </c>
    </row>
    <row r="4116" spans="1:17" ht="18">
      <c r="A4116" s="512">
        <f t="shared" si="57"/>
        <v>3269</v>
      </c>
      <c r="B4116" s="1145" t="s">
        <v>43</v>
      </c>
      <c r="C4116" s="1146" t="s">
        <v>44</v>
      </c>
      <c r="D4116" s="1178" t="s">
        <v>45</v>
      </c>
      <c r="E4116" s="1031" t="s">
        <v>4770</v>
      </c>
      <c r="F4116" s="120" t="s">
        <v>636</v>
      </c>
      <c r="G4116" s="1035">
        <v>9823579169</v>
      </c>
      <c r="H4116" s="1033"/>
      <c r="I4116" s="1035">
        <v>30</v>
      </c>
      <c r="J4116" s="1032" t="s">
        <v>90</v>
      </c>
      <c r="K4116" s="891" t="s">
        <v>4556</v>
      </c>
      <c r="L4116" s="1033"/>
      <c r="M4116" s="146" t="s">
        <v>119</v>
      </c>
      <c r="N4116" s="1036">
        <v>65076</v>
      </c>
      <c r="O4116" s="1036">
        <v>65076</v>
      </c>
      <c r="P4116" s="1316">
        <v>65090</v>
      </c>
      <c r="Q4116" s="1317" t="s">
        <v>51</v>
      </c>
    </row>
    <row r="4117" spans="1:17" ht="18">
      <c r="A4117" s="512">
        <f t="shared" si="57"/>
        <v>3270</v>
      </c>
      <c r="B4117" s="1218" t="s">
        <v>43</v>
      </c>
      <c r="C4117" s="1219" t="s">
        <v>44</v>
      </c>
      <c r="D4117" s="1220" t="s">
        <v>45</v>
      </c>
      <c r="E4117" s="1031" t="s">
        <v>4771</v>
      </c>
      <c r="F4117" s="1035" t="s">
        <v>512</v>
      </c>
      <c r="G4117" s="1035">
        <v>9857821864</v>
      </c>
      <c r="H4117" s="1033"/>
      <c r="I4117" s="1035">
        <v>25</v>
      </c>
      <c r="J4117" s="1033" t="s">
        <v>453</v>
      </c>
      <c r="K4117" s="891" t="s">
        <v>4556</v>
      </c>
      <c r="L4117" s="1033"/>
      <c r="M4117" s="146" t="s">
        <v>119</v>
      </c>
      <c r="N4117" s="1036">
        <v>65076</v>
      </c>
      <c r="O4117" s="1036">
        <v>65076</v>
      </c>
      <c r="P4117" s="1316">
        <v>65090</v>
      </c>
      <c r="Q4117" s="1317" t="s">
        <v>51</v>
      </c>
    </row>
    <row r="4118" spans="1:17">
      <c r="A4118" s="512">
        <f t="shared" si="57"/>
        <v>3271</v>
      </c>
      <c r="B4118" s="1213" t="s">
        <v>43</v>
      </c>
      <c r="C4118" s="1146" t="s">
        <v>44</v>
      </c>
      <c r="D4118" s="1178" t="s">
        <v>45</v>
      </c>
      <c r="E4118" s="120" t="s">
        <v>4777</v>
      </c>
      <c r="F4118" s="120" t="s">
        <v>502</v>
      </c>
      <c r="G4118" s="150">
        <v>9848690470</v>
      </c>
      <c r="H4118" s="120"/>
      <c r="I4118" s="150">
        <v>25</v>
      </c>
      <c r="J4118" s="120" t="s">
        <v>48</v>
      </c>
      <c r="K4118" s="120" t="s">
        <v>1480</v>
      </c>
      <c r="L4118" s="120"/>
      <c r="M4118" s="146" t="s">
        <v>119</v>
      </c>
      <c r="N4118" s="710">
        <v>65077</v>
      </c>
      <c r="O4118" s="710">
        <v>65077</v>
      </c>
      <c r="P4118" s="1093">
        <v>65091</v>
      </c>
      <c r="Q4118" s="491" t="s">
        <v>51</v>
      </c>
    </row>
    <row r="4119" spans="1:17">
      <c r="A4119" s="512">
        <f t="shared" si="57"/>
        <v>3272</v>
      </c>
      <c r="B4119" s="1213" t="s">
        <v>43</v>
      </c>
      <c r="C4119" s="1146" t="s">
        <v>44</v>
      </c>
      <c r="D4119" s="1178" t="s">
        <v>45</v>
      </c>
      <c r="E4119" s="120" t="s">
        <v>4778</v>
      </c>
      <c r="F4119" s="120" t="s">
        <v>1204</v>
      </c>
      <c r="G4119" s="150">
        <v>9857821074</v>
      </c>
      <c r="H4119" s="120"/>
      <c r="I4119" s="150">
        <v>44</v>
      </c>
      <c r="J4119" s="120" t="s">
        <v>90</v>
      </c>
      <c r="K4119" s="120" t="s">
        <v>1480</v>
      </c>
      <c r="L4119" s="120"/>
      <c r="M4119" s="146" t="s">
        <v>119</v>
      </c>
      <c r="N4119" s="710">
        <v>65077</v>
      </c>
      <c r="O4119" s="710">
        <v>65077</v>
      </c>
      <c r="P4119" s="1093">
        <v>65091</v>
      </c>
      <c r="Q4119" s="491" t="s">
        <v>51</v>
      </c>
    </row>
    <row r="4120" spans="1:17">
      <c r="A4120" s="512">
        <f t="shared" si="57"/>
        <v>3273</v>
      </c>
      <c r="B4120" s="1213" t="s">
        <v>43</v>
      </c>
      <c r="C4120" s="1146" t="s">
        <v>44</v>
      </c>
      <c r="D4120" s="1178" t="s">
        <v>45</v>
      </c>
      <c r="E4120" s="120" t="s">
        <v>4779</v>
      </c>
      <c r="F4120" s="120" t="s">
        <v>529</v>
      </c>
      <c r="G4120" s="150">
        <v>9846763592</v>
      </c>
      <c r="H4120" s="120"/>
      <c r="I4120" s="150">
        <v>38</v>
      </c>
      <c r="J4120" s="120" t="s">
        <v>90</v>
      </c>
      <c r="K4120" s="120" t="s">
        <v>1480</v>
      </c>
      <c r="L4120" s="120"/>
      <c r="M4120" s="146" t="s">
        <v>119</v>
      </c>
      <c r="N4120" s="710">
        <v>65078</v>
      </c>
      <c r="O4120" s="710">
        <v>65078</v>
      </c>
      <c r="P4120" s="1284">
        <v>65092</v>
      </c>
      <c r="Q4120" s="432" t="s">
        <v>51</v>
      </c>
    </row>
    <row r="4121" spans="1:17">
      <c r="A4121" s="512">
        <f t="shared" si="57"/>
        <v>3274</v>
      </c>
      <c r="B4121" s="1213" t="s">
        <v>43</v>
      </c>
      <c r="C4121" s="1146" t="s">
        <v>44</v>
      </c>
      <c r="D4121" s="1178" t="s">
        <v>45</v>
      </c>
      <c r="E4121" s="227" t="s">
        <v>4786</v>
      </c>
      <c r="F4121" s="227" t="s">
        <v>502</v>
      </c>
      <c r="G4121" s="150">
        <v>9844975572</v>
      </c>
      <c r="H4121" s="150"/>
      <c r="I4121" s="150">
        <v>30</v>
      </c>
      <c r="J4121" s="150" t="s">
        <v>90</v>
      </c>
      <c r="K4121" s="709" t="s">
        <v>1480</v>
      </c>
      <c r="L4121" s="150"/>
      <c r="M4121" s="145" t="s">
        <v>119</v>
      </c>
      <c r="N4121" s="710">
        <v>65079</v>
      </c>
      <c r="O4121" s="710">
        <v>65079</v>
      </c>
      <c r="P4121" s="1323">
        <v>65094</v>
      </c>
      <c r="Q4121" s="533" t="s">
        <v>51</v>
      </c>
    </row>
    <row r="4122" spans="1:17">
      <c r="A4122" s="512">
        <f t="shared" si="57"/>
        <v>3275</v>
      </c>
      <c r="B4122" s="1213" t="s">
        <v>43</v>
      </c>
      <c r="C4122" s="1146" t="s">
        <v>44</v>
      </c>
      <c r="D4122" s="1178" t="s">
        <v>45</v>
      </c>
      <c r="E4122" s="227" t="s">
        <v>4785</v>
      </c>
      <c r="F4122" s="1221" t="s">
        <v>502</v>
      </c>
      <c r="G4122" s="150">
        <v>9848542621</v>
      </c>
      <c r="H4122" s="150"/>
      <c r="I4122" s="150">
        <v>58</v>
      </c>
      <c r="J4122" s="150" t="s">
        <v>48</v>
      </c>
      <c r="K4122" s="709" t="s">
        <v>1480</v>
      </c>
      <c r="L4122" s="150"/>
      <c r="M4122" s="145" t="s">
        <v>119</v>
      </c>
      <c r="N4122" s="710">
        <v>65079</v>
      </c>
      <c r="O4122" s="710">
        <v>65079</v>
      </c>
      <c r="P4122" s="1323">
        <v>65094</v>
      </c>
      <c r="Q4122" s="533" t="s">
        <v>51</v>
      </c>
    </row>
    <row r="4123" spans="1:17">
      <c r="A4123" s="512">
        <f t="shared" si="57"/>
        <v>3276</v>
      </c>
      <c r="B4123" s="1213" t="s">
        <v>43</v>
      </c>
      <c r="C4123" s="1146" t="s">
        <v>44</v>
      </c>
      <c r="D4123" s="1178" t="s">
        <v>45</v>
      </c>
      <c r="E4123" s="227" t="s">
        <v>4783</v>
      </c>
      <c r="F4123" s="1221" t="s">
        <v>502</v>
      </c>
      <c r="G4123" s="150">
        <v>9742230068</v>
      </c>
      <c r="H4123" s="150"/>
      <c r="I4123" s="150">
        <v>43</v>
      </c>
      <c r="J4123" s="150" t="s">
        <v>90</v>
      </c>
      <c r="K4123" s="709" t="s">
        <v>1480</v>
      </c>
      <c r="L4123" s="150"/>
      <c r="M4123" s="145" t="s">
        <v>119</v>
      </c>
      <c r="N4123" s="710">
        <v>65079</v>
      </c>
      <c r="O4123" s="710">
        <v>65079</v>
      </c>
      <c r="P4123" s="1323">
        <v>65094</v>
      </c>
      <c r="Q4123" s="533" t="s">
        <v>51</v>
      </c>
    </row>
    <row r="4124" spans="1:17">
      <c r="A4124" s="512">
        <f t="shared" si="57"/>
        <v>3277</v>
      </c>
      <c r="B4124" s="1213" t="s">
        <v>43</v>
      </c>
      <c r="C4124" s="1146" t="s">
        <v>44</v>
      </c>
      <c r="D4124" s="1178" t="s">
        <v>45</v>
      </c>
      <c r="E4124" s="227" t="s">
        <v>4784</v>
      </c>
      <c r="F4124" s="227" t="s">
        <v>502</v>
      </c>
      <c r="G4124" s="150">
        <v>9843406572</v>
      </c>
      <c r="H4124" s="150"/>
      <c r="I4124" s="150">
        <v>40</v>
      </c>
      <c r="J4124" s="150" t="s">
        <v>90</v>
      </c>
      <c r="K4124" s="709" t="s">
        <v>1480</v>
      </c>
      <c r="L4124" s="150"/>
      <c r="M4124" s="145" t="s">
        <v>119</v>
      </c>
      <c r="N4124" s="710">
        <v>65079</v>
      </c>
      <c r="O4124" s="710">
        <v>65079</v>
      </c>
      <c r="P4124" s="1323">
        <v>65094</v>
      </c>
      <c r="Q4124" s="533" t="s">
        <v>51</v>
      </c>
    </row>
    <row r="4125" spans="1:17">
      <c r="A4125" s="512">
        <f t="shared" si="57"/>
        <v>3278</v>
      </c>
      <c r="B4125" s="1213" t="s">
        <v>43</v>
      </c>
      <c r="C4125" s="1146" t="s">
        <v>44</v>
      </c>
      <c r="D4125" s="1178" t="s">
        <v>45</v>
      </c>
      <c r="E4125" s="1221" t="s">
        <v>4782</v>
      </c>
      <c r="F4125" s="1221" t="s">
        <v>502</v>
      </c>
      <c r="G4125" s="709">
        <v>9866941697</v>
      </c>
      <c r="H4125" s="709"/>
      <c r="I4125" s="709">
        <v>35</v>
      </c>
      <c r="J4125" s="709" t="s">
        <v>90</v>
      </c>
      <c r="K4125" s="709" t="s">
        <v>1459</v>
      </c>
      <c r="L4125" s="709"/>
      <c r="M4125" s="833" t="s">
        <v>119</v>
      </c>
      <c r="N4125" s="934">
        <v>65079</v>
      </c>
      <c r="O4125" s="934">
        <v>65079</v>
      </c>
      <c r="P4125" s="1323">
        <v>65094</v>
      </c>
      <c r="Q4125" s="533" t="s">
        <v>51</v>
      </c>
    </row>
    <row r="4126" spans="1:17">
      <c r="A4126" s="512">
        <f t="shared" si="57"/>
        <v>3279</v>
      </c>
      <c r="B4126" s="1213" t="s">
        <v>43</v>
      </c>
      <c r="C4126" s="1146" t="s">
        <v>44</v>
      </c>
      <c r="D4126" s="1178" t="s">
        <v>45</v>
      </c>
      <c r="E4126" s="120" t="s">
        <v>4788</v>
      </c>
      <c r="F4126" s="120" t="s">
        <v>617</v>
      </c>
      <c r="G4126" s="150">
        <v>9866961185</v>
      </c>
      <c r="H4126" s="120"/>
      <c r="I4126" s="150">
        <v>23</v>
      </c>
      <c r="J4126" s="120" t="s">
        <v>48</v>
      </c>
      <c r="K4126" s="120" t="s">
        <v>53</v>
      </c>
      <c r="L4126" s="120"/>
      <c r="M4126" s="146" t="s">
        <v>119</v>
      </c>
      <c r="N4126" s="710">
        <v>65080</v>
      </c>
      <c r="O4126" s="710">
        <v>65080</v>
      </c>
      <c r="P4126" s="1323">
        <v>65094</v>
      </c>
      <c r="Q4126" s="533" t="s">
        <v>51</v>
      </c>
    </row>
    <row r="4127" spans="1:17" ht="15" customHeight="1">
      <c r="A4127" s="512">
        <f t="shared" si="57"/>
        <v>3280</v>
      </c>
      <c r="B4127" s="1213" t="s">
        <v>43</v>
      </c>
      <c r="C4127" s="1146" t="s">
        <v>44</v>
      </c>
      <c r="D4127" s="1178" t="s">
        <v>45</v>
      </c>
      <c r="E4127" s="120" t="s">
        <v>4787</v>
      </c>
      <c r="F4127" s="120" t="s">
        <v>491</v>
      </c>
      <c r="G4127" s="150">
        <v>9847939308</v>
      </c>
      <c r="H4127" s="120"/>
      <c r="I4127" s="150">
        <v>59</v>
      </c>
      <c r="J4127" s="120" t="s">
        <v>48</v>
      </c>
      <c r="K4127" s="120" t="s">
        <v>1468</v>
      </c>
      <c r="L4127" s="120"/>
      <c r="M4127" s="146" t="s">
        <v>119</v>
      </c>
      <c r="N4127" s="710">
        <v>65080</v>
      </c>
      <c r="O4127" s="710">
        <v>65080</v>
      </c>
      <c r="P4127" s="1323">
        <v>65094</v>
      </c>
      <c r="Q4127" s="533" t="s">
        <v>51</v>
      </c>
    </row>
    <row r="4128" spans="1:17" s="362" customFormat="1" ht="15" customHeight="1">
      <c r="A4128" s="1205">
        <f t="shared" si="57"/>
        <v>3281</v>
      </c>
      <c r="B4128" s="1327" t="s">
        <v>43</v>
      </c>
      <c r="C4128" s="1313" t="s">
        <v>44</v>
      </c>
      <c r="D4128" s="1328" t="s">
        <v>45</v>
      </c>
      <c r="E4128" s="989" t="s">
        <v>4789</v>
      </c>
      <c r="F4128" s="659" t="s">
        <v>1046</v>
      </c>
      <c r="G4128" s="659">
        <v>9853822499</v>
      </c>
      <c r="H4128" s="989"/>
      <c r="I4128" s="659">
        <v>75</v>
      </c>
      <c r="J4128" s="227" t="s">
        <v>90</v>
      </c>
      <c r="K4128" s="659" t="s">
        <v>1763</v>
      </c>
      <c r="L4128" s="659"/>
      <c r="M4128" s="659" t="s">
        <v>4449</v>
      </c>
      <c r="N4128" s="786">
        <v>65080</v>
      </c>
      <c r="O4128" s="786">
        <v>65080</v>
      </c>
      <c r="P4128" s="1330">
        <v>65095</v>
      </c>
      <c r="Q4128" s="1326" t="s">
        <v>51</v>
      </c>
    </row>
    <row r="4129" spans="1:17" ht="15" customHeight="1">
      <c r="A4129" s="512">
        <f t="shared" si="57"/>
        <v>3282</v>
      </c>
      <c r="B4129" s="1213" t="s">
        <v>43</v>
      </c>
      <c r="C4129" s="1146" t="s">
        <v>44</v>
      </c>
      <c r="D4129" s="1178" t="s">
        <v>45</v>
      </c>
      <c r="E4129" s="130" t="s">
        <v>4817</v>
      </c>
      <c r="F4129" s="130" t="s">
        <v>1204</v>
      </c>
      <c r="G4129" s="247">
        <v>9847936936</v>
      </c>
      <c r="H4129" s="120"/>
      <c r="I4129" s="150">
        <v>36</v>
      </c>
      <c r="J4129" s="120" t="s">
        <v>48</v>
      </c>
      <c r="K4129" s="128" t="s">
        <v>1763</v>
      </c>
      <c r="L4129" s="120"/>
      <c r="M4129" s="1065" t="s">
        <v>1764</v>
      </c>
      <c r="N4129" s="710">
        <v>65081</v>
      </c>
      <c r="O4129" s="710">
        <v>65081</v>
      </c>
      <c r="P4129" s="496">
        <v>65095</v>
      </c>
      <c r="Q4129" s="1324" t="s">
        <v>51</v>
      </c>
    </row>
    <row r="4130" spans="1:17" ht="15" customHeight="1">
      <c r="A4130" s="512">
        <f t="shared" si="57"/>
        <v>3283</v>
      </c>
      <c r="B4130" s="1213" t="s">
        <v>43</v>
      </c>
      <c r="C4130" s="1146" t="s">
        <v>44</v>
      </c>
      <c r="D4130" s="1178" t="s">
        <v>45</v>
      </c>
      <c r="E4130" s="1147" t="s">
        <v>4797</v>
      </c>
      <c r="F4130" s="1147" t="s">
        <v>491</v>
      </c>
      <c r="G4130" s="709">
        <v>9812844716</v>
      </c>
      <c r="H4130" s="932"/>
      <c r="I4130" s="709">
        <v>28</v>
      </c>
      <c r="J4130" s="932" t="s">
        <v>90</v>
      </c>
      <c r="K4130" s="932" t="s">
        <v>1480</v>
      </c>
      <c r="L4130" s="932"/>
      <c r="M4130" s="933" t="s">
        <v>119</v>
      </c>
      <c r="N4130" s="934">
        <v>65081</v>
      </c>
      <c r="O4130" s="934">
        <v>65081</v>
      </c>
      <c r="P4130" s="496">
        <v>65095</v>
      </c>
      <c r="Q4130" s="1324" t="s">
        <v>51</v>
      </c>
    </row>
    <row r="4131" spans="1:17" ht="15" customHeight="1">
      <c r="A4131" s="512">
        <f t="shared" si="57"/>
        <v>3284</v>
      </c>
      <c r="B4131" s="1213" t="s">
        <v>43</v>
      </c>
      <c r="C4131" s="1146" t="s">
        <v>44</v>
      </c>
      <c r="D4131" s="1178" t="s">
        <v>45</v>
      </c>
      <c r="E4131" s="130" t="s">
        <v>4796</v>
      </c>
      <c r="F4131" s="130" t="s">
        <v>617</v>
      </c>
      <c r="G4131" s="150">
        <v>9847877657</v>
      </c>
      <c r="H4131" s="120"/>
      <c r="I4131" s="150">
        <v>67</v>
      </c>
      <c r="J4131" s="120" t="s">
        <v>48</v>
      </c>
      <c r="K4131" s="120" t="s">
        <v>53</v>
      </c>
      <c r="L4131" s="120"/>
      <c r="M4131" s="146" t="s">
        <v>119</v>
      </c>
      <c r="N4131" s="710">
        <v>65081</v>
      </c>
      <c r="O4131" s="710">
        <v>65081</v>
      </c>
      <c r="P4131" s="496">
        <v>65095</v>
      </c>
      <c r="Q4131" s="1324" t="s">
        <v>51</v>
      </c>
    </row>
    <row r="4132" spans="1:17" ht="15" customHeight="1">
      <c r="A4132" s="512">
        <f t="shared" si="57"/>
        <v>3285</v>
      </c>
      <c r="B4132" s="1213" t="s">
        <v>43</v>
      </c>
      <c r="C4132" s="1146" t="s">
        <v>44</v>
      </c>
      <c r="D4132" s="1178" t="s">
        <v>45</v>
      </c>
      <c r="E4132" s="130" t="s">
        <v>4794</v>
      </c>
      <c r="F4132" s="130" t="s">
        <v>1046</v>
      </c>
      <c r="G4132" s="150">
        <v>9810808475</v>
      </c>
      <c r="H4132" s="120"/>
      <c r="I4132" s="150">
        <v>31</v>
      </c>
      <c r="J4132" s="120" t="s">
        <v>48</v>
      </c>
      <c r="K4132" s="120" t="s">
        <v>53</v>
      </c>
      <c r="L4132" s="120"/>
      <c r="M4132" s="146" t="s">
        <v>119</v>
      </c>
      <c r="N4132" s="710">
        <v>65081</v>
      </c>
      <c r="O4132" s="710">
        <v>65081</v>
      </c>
      <c r="P4132" s="496">
        <v>65095</v>
      </c>
      <c r="Q4132" s="1324" t="s">
        <v>51</v>
      </c>
    </row>
    <row r="4133" spans="1:17" ht="15" customHeight="1">
      <c r="A4133" s="512">
        <f t="shared" si="57"/>
        <v>3286</v>
      </c>
      <c r="B4133" s="1213" t="s">
        <v>43</v>
      </c>
      <c r="C4133" s="943" t="s">
        <v>44</v>
      </c>
      <c r="D4133" s="943" t="s">
        <v>45</v>
      </c>
      <c r="E4133" s="130" t="s">
        <v>4795</v>
      </c>
      <c r="F4133" s="130" t="s">
        <v>488</v>
      </c>
      <c r="G4133" s="150">
        <v>9848268554</v>
      </c>
      <c r="H4133" s="120"/>
      <c r="I4133" s="150">
        <v>38</v>
      </c>
      <c r="J4133" s="120" t="s">
        <v>48</v>
      </c>
      <c r="K4133" s="120" t="s">
        <v>53</v>
      </c>
      <c r="L4133" s="120"/>
      <c r="M4133" s="146" t="s">
        <v>119</v>
      </c>
      <c r="N4133" s="710">
        <v>65081</v>
      </c>
      <c r="O4133" s="710">
        <v>65081</v>
      </c>
      <c r="P4133" s="496">
        <v>65095</v>
      </c>
      <c r="Q4133" s="1324" t="s">
        <v>51</v>
      </c>
    </row>
    <row r="4134" spans="1:17">
      <c r="A4134" s="512">
        <f t="shared" si="57"/>
        <v>3287</v>
      </c>
      <c r="B4134" s="1213" t="s">
        <v>43</v>
      </c>
      <c r="C4134" s="943" t="s">
        <v>44</v>
      </c>
      <c r="D4134" s="943" t="s">
        <v>45</v>
      </c>
      <c r="E4134" s="120" t="s">
        <v>4801</v>
      </c>
      <c r="F4134" s="120" t="s">
        <v>1008</v>
      </c>
      <c r="G4134" s="150">
        <v>9802053064</v>
      </c>
      <c r="H4134" s="120"/>
      <c r="I4134" s="150">
        <v>28</v>
      </c>
      <c r="J4134" s="120" t="s">
        <v>48</v>
      </c>
      <c r="K4134" s="120" t="s">
        <v>53</v>
      </c>
      <c r="L4134" s="120"/>
      <c r="M4134" s="146" t="s">
        <v>119</v>
      </c>
      <c r="N4134" s="710">
        <v>65082</v>
      </c>
      <c r="O4134" s="710">
        <v>65082</v>
      </c>
      <c r="P4134" s="1292">
        <v>65096</v>
      </c>
      <c r="Q4134" s="512" t="s">
        <v>51</v>
      </c>
    </row>
    <row r="4135" spans="1:17" ht="15" customHeight="1">
      <c r="A4135" s="512">
        <f t="shared" si="57"/>
        <v>3288</v>
      </c>
      <c r="B4135" s="1213" t="s">
        <v>43</v>
      </c>
      <c r="C4135" s="943" t="s">
        <v>44</v>
      </c>
      <c r="D4135" s="943" t="s">
        <v>45</v>
      </c>
      <c r="E4135" s="1185" t="s">
        <v>4809</v>
      </c>
      <c r="F4135" s="1185" t="s">
        <v>491</v>
      </c>
      <c r="G4135" s="1187">
        <v>9810842413</v>
      </c>
      <c r="H4135" s="1184"/>
      <c r="I4135" s="1187">
        <v>63</v>
      </c>
      <c r="J4135" s="1187" t="s">
        <v>90</v>
      </c>
      <c r="K4135" s="891" t="s">
        <v>4556</v>
      </c>
      <c r="L4135" s="1186"/>
      <c r="M4135" s="146" t="s">
        <v>119</v>
      </c>
      <c r="N4135" s="867">
        <v>65082</v>
      </c>
      <c r="O4135" s="867">
        <v>65082</v>
      </c>
      <c r="P4135" s="1292">
        <v>65096</v>
      </c>
      <c r="Q4135" s="512" t="s">
        <v>51</v>
      </c>
    </row>
    <row r="4136" spans="1:17" s="344" customFormat="1" ht="15" customHeight="1">
      <c r="A4136" s="512">
        <f t="shared" si="57"/>
        <v>3289</v>
      </c>
      <c r="B4136" s="1213" t="s">
        <v>43</v>
      </c>
      <c r="C4136" s="943" t="s">
        <v>44</v>
      </c>
      <c r="D4136" s="943" t="s">
        <v>45</v>
      </c>
      <c r="E4136" s="1185" t="s">
        <v>4808</v>
      </c>
      <c r="F4136" s="1185" t="s">
        <v>529</v>
      </c>
      <c r="G4136" s="1187">
        <v>9847945700</v>
      </c>
      <c r="H4136" s="1184"/>
      <c r="I4136" s="1187">
        <v>71</v>
      </c>
      <c r="J4136" s="1187" t="s">
        <v>48</v>
      </c>
      <c r="K4136" s="891" t="s">
        <v>4556</v>
      </c>
      <c r="L4136" s="1186"/>
      <c r="M4136" s="146" t="s">
        <v>119</v>
      </c>
      <c r="N4136" s="867">
        <v>65082</v>
      </c>
      <c r="O4136" s="867">
        <v>65082</v>
      </c>
      <c r="P4136" s="1292">
        <v>65096</v>
      </c>
      <c r="Q4136" s="512" t="s">
        <v>51</v>
      </c>
    </row>
    <row r="4137" spans="1:17" s="344" customFormat="1">
      <c r="A4137" s="512">
        <f t="shared" si="57"/>
        <v>3290</v>
      </c>
      <c r="B4137" s="1213" t="s">
        <v>43</v>
      </c>
      <c r="C4137" s="943" t="s">
        <v>44</v>
      </c>
      <c r="D4137" s="943" t="s">
        <v>45</v>
      </c>
      <c r="E4137" s="120" t="s">
        <v>4800</v>
      </c>
      <c r="F4137" s="120" t="s">
        <v>1008</v>
      </c>
      <c r="G4137" s="150">
        <v>9812885630</v>
      </c>
      <c r="H4137" s="120"/>
      <c r="I4137" s="150">
        <v>26</v>
      </c>
      <c r="J4137" s="120" t="s">
        <v>48</v>
      </c>
      <c r="K4137" s="120" t="s">
        <v>53</v>
      </c>
      <c r="L4137" s="120"/>
      <c r="M4137" s="146" t="s">
        <v>119</v>
      </c>
      <c r="N4137" s="710">
        <v>65082</v>
      </c>
      <c r="O4137" s="710">
        <v>65082</v>
      </c>
      <c r="P4137" s="1292">
        <v>65096</v>
      </c>
      <c r="Q4137" s="512" t="s">
        <v>51</v>
      </c>
    </row>
    <row r="4138" spans="1:17" ht="15" customHeight="1">
      <c r="A4138" s="512">
        <f t="shared" si="57"/>
        <v>3291</v>
      </c>
      <c r="B4138" s="1213" t="s">
        <v>43</v>
      </c>
      <c r="C4138" s="943" t="s">
        <v>44</v>
      </c>
      <c r="D4138" s="943" t="s">
        <v>45</v>
      </c>
      <c r="E4138" s="932" t="s">
        <v>4798</v>
      </c>
      <c r="F4138" s="932" t="s">
        <v>1009</v>
      </c>
      <c r="G4138" s="709">
        <v>9867536124</v>
      </c>
      <c r="H4138" s="932"/>
      <c r="I4138" s="709">
        <v>24</v>
      </c>
      <c r="J4138" s="932" t="s">
        <v>90</v>
      </c>
      <c r="K4138" s="932" t="s">
        <v>1480</v>
      </c>
      <c r="L4138" s="932"/>
      <c r="M4138" s="933" t="s">
        <v>119</v>
      </c>
      <c r="N4138" s="934">
        <v>65082</v>
      </c>
      <c r="O4138" s="934">
        <v>65082</v>
      </c>
      <c r="P4138" s="1292">
        <v>65096</v>
      </c>
      <c r="Q4138" s="512" t="s">
        <v>51</v>
      </c>
    </row>
    <row r="4139" spans="1:17" ht="15" customHeight="1">
      <c r="A4139" s="512">
        <f t="shared" si="57"/>
        <v>3292</v>
      </c>
      <c r="B4139" s="1213" t="s">
        <v>43</v>
      </c>
      <c r="C4139" s="943" t="s">
        <v>44</v>
      </c>
      <c r="D4139" s="943" t="s">
        <v>45</v>
      </c>
      <c r="E4139" s="130" t="s">
        <v>4799</v>
      </c>
      <c r="F4139" s="120" t="s">
        <v>497</v>
      </c>
      <c r="G4139" s="150">
        <v>9812877170</v>
      </c>
      <c r="H4139" s="120"/>
      <c r="I4139" s="150">
        <v>42</v>
      </c>
      <c r="J4139" s="120" t="s">
        <v>48</v>
      </c>
      <c r="K4139" s="120" t="s">
        <v>1480</v>
      </c>
      <c r="L4139" s="120"/>
      <c r="M4139" s="146" t="s">
        <v>119</v>
      </c>
      <c r="N4139" s="710">
        <v>65082</v>
      </c>
      <c r="O4139" s="710">
        <v>65082</v>
      </c>
      <c r="P4139" s="1292">
        <v>65096</v>
      </c>
      <c r="Q4139" s="512" t="s">
        <v>51</v>
      </c>
    </row>
    <row r="4140" spans="1:17" ht="15" customHeight="1">
      <c r="A4140" s="512">
        <f t="shared" si="57"/>
        <v>3293</v>
      </c>
      <c r="B4140" s="1213" t="s">
        <v>43</v>
      </c>
      <c r="C4140" s="943" t="s">
        <v>44</v>
      </c>
      <c r="D4140" s="943" t="s">
        <v>45</v>
      </c>
      <c r="E4140" s="120" t="s">
        <v>4810</v>
      </c>
      <c r="F4140" s="150" t="s">
        <v>4811</v>
      </c>
      <c r="G4140" s="150">
        <v>9847845776</v>
      </c>
      <c r="H4140" s="120"/>
      <c r="I4140" s="150">
        <v>49</v>
      </c>
      <c r="J4140" s="150" t="s">
        <v>48</v>
      </c>
      <c r="K4140" s="120" t="s">
        <v>53</v>
      </c>
      <c r="L4140" s="120"/>
      <c r="M4140" s="146" t="s">
        <v>119</v>
      </c>
      <c r="N4140" s="710">
        <v>65083</v>
      </c>
      <c r="O4140" s="710">
        <v>65083</v>
      </c>
      <c r="P4140" s="541">
        <v>65098</v>
      </c>
      <c r="Q4140" s="1237" t="s">
        <v>51</v>
      </c>
    </row>
    <row r="4141" spans="1:17" ht="15" customHeight="1">
      <c r="A4141" s="512">
        <f t="shared" si="57"/>
        <v>3294</v>
      </c>
      <c r="B4141" s="1213" t="s">
        <v>43</v>
      </c>
      <c r="C4141" s="943" t="s">
        <v>44</v>
      </c>
      <c r="D4141" s="943" t="s">
        <v>45</v>
      </c>
      <c r="E4141" s="1296" t="s">
        <v>4812</v>
      </c>
      <c r="F4141" s="1296" t="s">
        <v>1008</v>
      </c>
      <c r="G4141" s="1298">
        <v>9866810395</v>
      </c>
      <c r="H4141" s="1300"/>
      <c r="I4141" s="1298">
        <v>23</v>
      </c>
      <c r="J4141" s="1290" t="s">
        <v>48</v>
      </c>
      <c r="K4141" s="1305" t="s">
        <v>4556</v>
      </c>
      <c r="L4141" s="1305"/>
      <c r="M4141" s="1306" t="s">
        <v>1764</v>
      </c>
      <c r="N4141" s="1291">
        <v>65084</v>
      </c>
      <c r="O4141" s="1291">
        <v>65084</v>
      </c>
      <c r="P4141" s="541">
        <v>65098</v>
      </c>
      <c r="Q4141" s="1237" t="s">
        <v>51</v>
      </c>
    </row>
    <row r="4142" spans="1:17" ht="15" customHeight="1">
      <c r="A4142" s="512">
        <f t="shared" si="57"/>
        <v>3295</v>
      </c>
      <c r="B4142" s="1213" t="s">
        <v>43</v>
      </c>
      <c r="C4142" s="943" t="s">
        <v>44</v>
      </c>
      <c r="D4142" s="943" t="s">
        <v>45</v>
      </c>
      <c r="E4142" s="1151" t="s">
        <v>4813</v>
      </c>
      <c r="F4142" s="1151" t="s">
        <v>529</v>
      </c>
      <c r="G4142" s="1153">
        <v>9847945700</v>
      </c>
      <c r="H4142" s="1152"/>
      <c r="I4142" s="1153">
        <v>70</v>
      </c>
      <c r="J4142" s="1153" t="s">
        <v>90</v>
      </c>
      <c r="K4142" s="1258" t="s">
        <v>4556</v>
      </c>
      <c r="L4142" s="1258"/>
      <c r="M4142" s="1065" t="s">
        <v>1764</v>
      </c>
      <c r="N4142" s="1154">
        <v>65084</v>
      </c>
      <c r="O4142" s="1154">
        <v>65084</v>
      </c>
      <c r="P4142" s="541">
        <v>65098</v>
      </c>
      <c r="Q4142" s="1237" t="s">
        <v>51</v>
      </c>
    </row>
    <row r="4143" spans="1:17" ht="15" customHeight="1">
      <c r="A4143" s="512">
        <f t="shared" si="57"/>
        <v>3296</v>
      </c>
      <c r="B4143" s="1213" t="s">
        <v>43</v>
      </c>
      <c r="C4143" s="943" t="s">
        <v>44</v>
      </c>
      <c r="D4143" s="943" t="s">
        <v>45</v>
      </c>
      <c r="E4143" s="120" t="s">
        <v>4818</v>
      </c>
      <c r="F4143" s="120" t="s">
        <v>512</v>
      </c>
      <c r="G4143" s="150">
        <v>9809709724</v>
      </c>
      <c r="H4143" s="120"/>
      <c r="I4143" s="150">
        <v>28</v>
      </c>
      <c r="J4143" s="120" t="s">
        <v>90</v>
      </c>
      <c r="K4143" s="120" t="s">
        <v>4507</v>
      </c>
      <c r="L4143" s="120"/>
      <c r="M4143" s="146" t="s">
        <v>119</v>
      </c>
      <c r="N4143" s="710">
        <v>65086</v>
      </c>
      <c r="O4143" s="710">
        <v>65086</v>
      </c>
      <c r="P4143" s="541">
        <v>65098</v>
      </c>
      <c r="Q4143" s="1237" t="s">
        <v>51</v>
      </c>
    </row>
    <row r="4144" spans="1:17" ht="15" customHeight="1">
      <c r="A4144" s="512">
        <f t="shared" si="57"/>
        <v>3297</v>
      </c>
      <c r="B4144" s="1213" t="s">
        <v>43</v>
      </c>
      <c r="C4144" s="943" t="s">
        <v>44</v>
      </c>
      <c r="D4144" s="943" t="s">
        <v>45</v>
      </c>
      <c r="E4144" s="120" t="s">
        <v>4819</v>
      </c>
      <c r="F4144" s="120" t="s">
        <v>1008</v>
      </c>
      <c r="G4144" s="150">
        <v>9802053243</v>
      </c>
      <c r="H4144" s="121"/>
      <c r="I4144" s="150">
        <v>20</v>
      </c>
      <c r="J4144" s="120" t="s">
        <v>48</v>
      </c>
      <c r="K4144" s="120" t="s">
        <v>53</v>
      </c>
      <c r="L4144" s="120"/>
      <c r="M4144" s="146" t="s">
        <v>119</v>
      </c>
      <c r="N4144" s="710">
        <v>65087</v>
      </c>
      <c r="O4144" s="710">
        <v>65087</v>
      </c>
      <c r="P4144" s="1284">
        <v>65099</v>
      </c>
      <c r="Q4144" s="432" t="s">
        <v>51</v>
      </c>
    </row>
    <row r="4145" spans="1:17" ht="15" customHeight="1">
      <c r="A4145" s="512">
        <f t="shared" si="57"/>
        <v>3298</v>
      </c>
      <c r="B4145" s="1213" t="s">
        <v>43</v>
      </c>
      <c r="C4145" s="943" t="s">
        <v>44</v>
      </c>
      <c r="D4145" s="943" t="s">
        <v>45</v>
      </c>
      <c r="E4145" s="1315" t="s">
        <v>4823</v>
      </c>
      <c r="F4145" s="120" t="s">
        <v>491</v>
      </c>
      <c r="G4145" s="1286">
        <v>9847836688</v>
      </c>
      <c r="H4145" s="121"/>
      <c r="I4145" s="150">
        <v>35</v>
      </c>
      <c r="J4145" s="120" t="s">
        <v>48</v>
      </c>
      <c r="K4145" s="120" t="s">
        <v>1763</v>
      </c>
      <c r="L4145" s="120"/>
      <c r="M4145" s="146" t="s">
        <v>119</v>
      </c>
      <c r="N4145" s="710">
        <v>65087</v>
      </c>
      <c r="O4145" s="710">
        <v>65087</v>
      </c>
      <c r="P4145" s="1284">
        <v>65099</v>
      </c>
      <c r="Q4145" s="432" t="s">
        <v>51</v>
      </c>
    </row>
    <row r="4146" spans="1:17">
      <c r="A4146" s="512">
        <f t="shared" si="57"/>
        <v>3299</v>
      </c>
      <c r="B4146" s="1213" t="s">
        <v>43</v>
      </c>
      <c r="C4146" s="943" t="s">
        <v>44</v>
      </c>
      <c r="D4146" s="943" t="s">
        <v>45</v>
      </c>
      <c r="E4146" s="128" t="s">
        <v>4820</v>
      </c>
      <c r="F4146" s="128" t="s">
        <v>730</v>
      </c>
      <c r="G4146" s="247">
        <v>9844913601</v>
      </c>
      <c r="H4146" s="128"/>
      <c r="I4146" s="247">
        <v>32</v>
      </c>
      <c r="J4146" s="128" t="s">
        <v>48</v>
      </c>
      <c r="K4146" s="1258" t="s">
        <v>4556</v>
      </c>
      <c r="L4146" s="1310"/>
      <c r="M4146" s="146" t="s">
        <v>119</v>
      </c>
      <c r="N4146" s="1310">
        <v>65088</v>
      </c>
      <c r="O4146" s="1310">
        <v>65088</v>
      </c>
      <c r="P4146" s="496">
        <v>65100</v>
      </c>
      <c r="Q4146" s="491" t="s">
        <v>51</v>
      </c>
    </row>
    <row r="4147" spans="1:17">
      <c r="A4147" s="512">
        <f t="shared" si="57"/>
        <v>3300</v>
      </c>
      <c r="B4147" s="1213" t="s">
        <v>43</v>
      </c>
      <c r="C4147" s="943" t="s">
        <v>44</v>
      </c>
      <c r="D4147" s="943" t="s">
        <v>45</v>
      </c>
      <c r="E4147" s="128" t="s">
        <v>4821</v>
      </c>
      <c r="F4147" s="128" t="s">
        <v>730</v>
      </c>
      <c r="G4147" s="247">
        <v>9847823022</v>
      </c>
      <c r="H4147" s="128"/>
      <c r="I4147" s="247">
        <v>35</v>
      </c>
      <c r="J4147" s="128" t="s">
        <v>90</v>
      </c>
      <c r="K4147" s="1258" t="s">
        <v>4556</v>
      </c>
      <c r="L4147" s="1310"/>
      <c r="M4147" s="146" t="s">
        <v>119</v>
      </c>
      <c r="N4147" s="1310">
        <v>65088</v>
      </c>
      <c r="O4147" s="1310">
        <v>65088</v>
      </c>
      <c r="P4147" s="496">
        <v>65100</v>
      </c>
      <c r="Q4147" s="491" t="s">
        <v>51</v>
      </c>
    </row>
    <row r="4148" spans="1:17">
      <c r="A4148" s="512">
        <f t="shared" si="57"/>
        <v>3301</v>
      </c>
      <c r="B4148" s="1213" t="s">
        <v>43</v>
      </c>
      <c r="C4148" s="943" t="s">
        <v>44</v>
      </c>
      <c r="D4148" s="943" t="s">
        <v>45</v>
      </c>
      <c r="E4148" s="128" t="s">
        <v>4822</v>
      </c>
      <c r="F4148" s="128" t="s">
        <v>1046</v>
      </c>
      <c r="G4148" s="247">
        <v>9847861182</v>
      </c>
      <c r="H4148" s="128"/>
      <c r="I4148" s="247">
        <v>37</v>
      </c>
      <c r="J4148" s="128" t="s">
        <v>48</v>
      </c>
      <c r="K4148" s="120" t="s">
        <v>53</v>
      </c>
      <c r="L4148" s="1310"/>
      <c r="M4148" s="146" t="s">
        <v>119</v>
      </c>
      <c r="N4148" s="1310">
        <v>65089</v>
      </c>
      <c r="O4148" s="1310">
        <v>65089</v>
      </c>
      <c r="P4148" s="459">
        <v>65101</v>
      </c>
      <c r="Q4148" s="432" t="s">
        <v>51</v>
      </c>
    </row>
    <row r="4149" spans="1:17">
      <c r="A4149" s="512">
        <f t="shared" si="57"/>
        <v>3302</v>
      </c>
      <c r="B4149" s="1213" t="s">
        <v>43</v>
      </c>
      <c r="C4149" s="943" t="s">
        <v>44</v>
      </c>
      <c r="D4149" s="943" t="s">
        <v>45</v>
      </c>
      <c r="E4149" s="128" t="s">
        <v>4824</v>
      </c>
      <c r="F4149" s="128" t="s">
        <v>598</v>
      </c>
      <c r="G4149" s="247">
        <v>9742216700</v>
      </c>
      <c r="I4149" s="247">
        <v>31</v>
      </c>
      <c r="J4149" s="128" t="s">
        <v>48</v>
      </c>
      <c r="K4149" s="120" t="s">
        <v>1468</v>
      </c>
      <c r="M4149" s="128" t="s">
        <v>1764</v>
      </c>
      <c r="N4149" s="1310">
        <v>65089</v>
      </c>
      <c r="O4149" s="1310">
        <v>65089</v>
      </c>
      <c r="P4149" s="459">
        <v>65101</v>
      </c>
      <c r="Q4149" s="432" t="s">
        <v>51</v>
      </c>
    </row>
    <row r="4150" spans="1:17">
      <c r="A4150" s="512">
        <f t="shared" si="57"/>
        <v>3303</v>
      </c>
      <c r="B4150" s="1213" t="s">
        <v>43</v>
      </c>
      <c r="C4150" s="943" t="s">
        <v>44</v>
      </c>
      <c r="D4150" s="943" t="s">
        <v>45</v>
      </c>
      <c r="E4150" s="128" t="s">
        <v>4825</v>
      </c>
      <c r="F4150" s="128" t="s">
        <v>491</v>
      </c>
      <c r="G4150" s="247">
        <v>9868023333</v>
      </c>
      <c r="I4150" s="247">
        <v>32</v>
      </c>
      <c r="J4150" s="128" t="s">
        <v>90</v>
      </c>
      <c r="K4150" s="120" t="s">
        <v>1468</v>
      </c>
      <c r="M4150" s="128" t="s">
        <v>1764</v>
      </c>
      <c r="N4150" s="1310">
        <v>65089</v>
      </c>
      <c r="O4150" s="1310">
        <v>65089</v>
      </c>
      <c r="P4150" s="459">
        <v>65101</v>
      </c>
      <c r="Q4150" s="432" t="s">
        <v>51</v>
      </c>
    </row>
    <row r="4151" spans="1:17">
      <c r="A4151" s="512">
        <f t="shared" si="57"/>
        <v>3304</v>
      </c>
      <c r="B4151" s="1213" t="s">
        <v>43</v>
      </c>
      <c r="C4151" s="943" t="s">
        <v>44</v>
      </c>
      <c r="D4151" s="943" t="s">
        <v>45</v>
      </c>
      <c r="E4151" s="128" t="s">
        <v>4826</v>
      </c>
      <c r="F4151" s="128" t="s">
        <v>124</v>
      </c>
      <c r="G4151" s="247">
        <v>9848055131</v>
      </c>
      <c r="I4151" s="247">
        <v>71</v>
      </c>
      <c r="J4151" s="128" t="s">
        <v>90</v>
      </c>
      <c r="K4151" s="128" t="s">
        <v>345</v>
      </c>
      <c r="M4151" s="128" t="s">
        <v>1764</v>
      </c>
      <c r="N4151" s="1310">
        <v>65089</v>
      </c>
      <c r="O4151" s="1310">
        <v>65089</v>
      </c>
      <c r="P4151" s="459">
        <v>65101</v>
      </c>
      <c r="Q4151" s="432" t="s">
        <v>51</v>
      </c>
    </row>
    <row r="4152" spans="1:17">
      <c r="A4152" s="512">
        <f t="shared" si="57"/>
        <v>3305</v>
      </c>
      <c r="B4152" s="1213" t="s">
        <v>43</v>
      </c>
      <c r="C4152" s="943" t="s">
        <v>44</v>
      </c>
      <c r="D4152" s="943" t="s">
        <v>45</v>
      </c>
      <c r="E4152" s="247" t="s">
        <v>4827</v>
      </c>
      <c r="F4152" s="247" t="s">
        <v>441</v>
      </c>
      <c r="G4152" s="247">
        <v>9868915593</v>
      </c>
      <c r="I4152" s="434">
        <v>42</v>
      </c>
      <c r="J4152" s="128" t="s">
        <v>48</v>
      </c>
      <c r="K4152" s="120" t="s">
        <v>1763</v>
      </c>
      <c r="M4152" s="128" t="s">
        <v>1764</v>
      </c>
      <c r="N4152" s="1310">
        <v>65089</v>
      </c>
      <c r="O4152" s="1310">
        <v>65089</v>
      </c>
      <c r="P4152" s="459">
        <v>65101</v>
      </c>
      <c r="Q4152" s="432" t="s">
        <v>51</v>
      </c>
    </row>
    <row r="4153" spans="1:17">
      <c r="A4153" s="512">
        <f t="shared" si="57"/>
        <v>3306</v>
      </c>
      <c r="B4153" s="1213" t="s">
        <v>43</v>
      </c>
      <c r="C4153" s="943" t="s">
        <v>44</v>
      </c>
      <c r="D4153" s="943" t="s">
        <v>45</v>
      </c>
      <c r="E4153" s="128" t="s">
        <v>4834</v>
      </c>
      <c r="F4153" s="128" t="s">
        <v>491</v>
      </c>
      <c r="G4153" s="247">
        <v>9847877675</v>
      </c>
      <c r="H4153" s="128"/>
      <c r="I4153" s="247">
        <v>67</v>
      </c>
      <c r="J4153" s="128" t="s">
        <v>48</v>
      </c>
      <c r="K4153" s="128" t="s">
        <v>4835</v>
      </c>
      <c r="L4153" s="128"/>
      <c r="M4153" s="128" t="s">
        <v>1764</v>
      </c>
      <c r="N4153" s="1310">
        <v>65090</v>
      </c>
      <c r="O4153" s="1310">
        <v>65090</v>
      </c>
      <c r="P4153" s="459">
        <v>65102</v>
      </c>
      <c r="Q4153" s="432" t="s">
        <v>51</v>
      </c>
    </row>
    <row r="4154" spans="1:17" s="362" customFormat="1">
      <c r="A4154" s="1116">
        <f t="shared" si="57"/>
        <v>3307</v>
      </c>
      <c r="B4154" s="1336" t="s">
        <v>43</v>
      </c>
      <c r="C4154" s="253" t="s">
        <v>44</v>
      </c>
      <c r="D4154" s="253" t="s">
        <v>45</v>
      </c>
      <c r="E4154" s="853" t="s">
        <v>4837</v>
      </c>
      <c r="F4154" s="853" t="s">
        <v>730</v>
      </c>
      <c r="G4154" s="968">
        <v>9818615252</v>
      </c>
      <c r="H4154" s="853"/>
      <c r="I4154" s="968">
        <v>35</v>
      </c>
      <c r="J4154" s="853" t="s">
        <v>90</v>
      </c>
      <c r="K4154" s="253" t="s">
        <v>1468</v>
      </c>
      <c r="L4154" s="853"/>
      <c r="M4154" s="1117" t="s">
        <v>4449</v>
      </c>
      <c r="N4154" s="1337">
        <v>65091</v>
      </c>
      <c r="O4154" s="1337">
        <v>65091</v>
      </c>
      <c r="P4154" s="1126">
        <v>65101</v>
      </c>
      <c r="Q4154" s="1116" t="s">
        <v>51</v>
      </c>
    </row>
    <row r="4155" spans="1:17">
      <c r="A4155" s="512">
        <f t="shared" si="57"/>
        <v>3308</v>
      </c>
      <c r="B4155" s="1213" t="s">
        <v>43</v>
      </c>
      <c r="C4155" s="943" t="s">
        <v>44</v>
      </c>
      <c r="D4155" s="943" t="s">
        <v>45</v>
      </c>
      <c r="E4155" s="247" t="s">
        <v>4849</v>
      </c>
      <c r="F4155" s="247" t="s">
        <v>529</v>
      </c>
      <c r="G4155" s="247">
        <v>9866809948</v>
      </c>
      <c r="I4155" s="434">
        <v>62</v>
      </c>
      <c r="J4155" s="128" t="s">
        <v>90</v>
      </c>
      <c r="K4155" s="120" t="s">
        <v>1763</v>
      </c>
      <c r="M4155" s="128" t="s">
        <v>1764</v>
      </c>
      <c r="N4155" s="1310">
        <v>65091</v>
      </c>
      <c r="O4155" s="1310">
        <v>65091</v>
      </c>
      <c r="P4155" s="459">
        <v>65103</v>
      </c>
      <c r="Q4155" s="432" t="s">
        <v>51</v>
      </c>
    </row>
    <row r="4156" spans="1:17">
      <c r="A4156" s="512">
        <f t="shared" si="57"/>
        <v>3309</v>
      </c>
      <c r="B4156" s="1213" t="s">
        <v>43</v>
      </c>
      <c r="C4156" s="943" t="s">
        <v>44</v>
      </c>
      <c r="D4156" s="943" t="s">
        <v>45</v>
      </c>
      <c r="E4156" s="128" t="s">
        <v>4838</v>
      </c>
      <c r="F4156" s="128" t="s">
        <v>1009</v>
      </c>
      <c r="G4156" s="247">
        <v>9847802351</v>
      </c>
      <c r="H4156" s="128"/>
      <c r="I4156" s="247">
        <v>50</v>
      </c>
      <c r="J4156" s="128" t="s">
        <v>90</v>
      </c>
      <c r="K4156" s="120" t="s">
        <v>53</v>
      </c>
      <c r="L4156" s="128"/>
      <c r="M4156" s="128" t="s">
        <v>1764</v>
      </c>
      <c r="N4156" s="1310">
        <v>65092</v>
      </c>
      <c r="O4156" s="1310">
        <v>65092</v>
      </c>
      <c r="P4156" s="582">
        <v>65104</v>
      </c>
      <c r="Q4156" s="578" t="s">
        <v>51</v>
      </c>
    </row>
    <row r="4157" spans="1:17">
      <c r="A4157" s="512">
        <f t="shared" si="57"/>
        <v>3310</v>
      </c>
      <c r="B4157" s="1213" t="s">
        <v>43</v>
      </c>
      <c r="C4157" s="943" t="s">
        <v>44</v>
      </c>
      <c r="D4157" s="943" t="s">
        <v>45</v>
      </c>
      <c r="E4157" s="1158" t="s">
        <v>4839</v>
      </c>
      <c r="F4157" s="1158" t="s">
        <v>1009</v>
      </c>
      <c r="G4157" s="1163">
        <v>9847802351</v>
      </c>
      <c r="H4157" s="1158"/>
      <c r="I4157" s="1163">
        <v>50</v>
      </c>
      <c r="J4157" s="1158" t="s">
        <v>48</v>
      </c>
      <c r="K4157" s="932" t="s">
        <v>53</v>
      </c>
      <c r="L4157" s="1158"/>
      <c r="M4157" s="1158" t="s">
        <v>1764</v>
      </c>
      <c r="N4157" s="1322">
        <v>65092</v>
      </c>
      <c r="O4157" s="1322">
        <v>65092</v>
      </c>
      <c r="P4157" s="582">
        <v>65104</v>
      </c>
      <c r="Q4157" s="578" t="s">
        <v>51</v>
      </c>
    </row>
    <row r="4158" spans="1:17">
      <c r="A4158" s="512">
        <f t="shared" si="57"/>
        <v>3311</v>
      </c>
      <c r="B4158" s="1213" t="s">
        <v>43</v>
      </c>
      <c r="C4158" s="943" t="s">
        <v>44</v>
      </c>
      <c r="D4158" s="943" t="s">
        <v>45</v>
      </c>
      <c r="E4158" s="144" t="s">
        <v>3362</v>
      </c>
      <c r="F4158" s="120" t="s">
        <v>491</v>
      </c>
      <c r="G4158" s="150">
        <v>9844510771</v>
      </c>
      <c r="H4158" s="120"/>
      <c r="I4158" s="150">
        <v>42</v>
      </c>
      <c r="J4158" s="120" t="s">
        <v>48</v>
      </c>
      <c r="K4158" s="120" t="s">
        <v>1480</v>
      </c>
      <c r="L4158" s="120"/>
      <c r="M4158" s="146" t="s">
        <v>119</v>
      </c>
      <c r="N4158" s="710">
        <v>65092</v>
      </c>
      <c r="O4158" s="710">
        <v>65092</v>
      </c>
      <c r="P4158" s="582">
        <v>65104</v>
      </c>
      <c r="Q4158" s="578" t="s">
        <v>51</v>
      </c>
    </row>
    <row r="4159" spans="1:17">
      <c r="A4159" s="512">
        <f t="shared" si="57"/>
        <v>3312</v>
      </c>
      <c r="B4159" s="1213" t="s">
        <v>43</v>
      </c>
      <c r="C4159" s="943" t="s">
        <v>44</v>
      </c>
      <c r="D4159" s="943" t="s">
        <v>45</v>
      </c>
      <c r="E4159" s="130" t="s">
        <v>4850</v>
      </c>
      <c r="F4159" s="120" t="s">
        <v>124</v>
      </c>
      <c r="G4159" s="150">
        <v>9810949812</v>
      </c>
      <c r="H4159" s="120"/>
      <c r="I4159" s="150">
        <v>38</v>
      </c>
      <c r="J4159" s="120" t="s">
        <v>90</v>
      </c>
      <c r="K4159" s="120" t="s">
        <v>1480</v>
      </c>
      <c r="L4159" s="120"/>
      <c r="M4159" s="146" t="s">
        <v>119</v>
      </c>
      <c r="N4159" s="710">
        <v>65093</v>
      </c>
      <c r="O4159" s="710">
        <v>65093</v>
      </c>
      <c r="P4159" s="1284">
        <v>65105</v>
      </c>
      <c r="Q4159" s="432" t="s">
        <v>51</v>
      </c>
    </row>
    <row r="4160" spans="1:17">
      <c r="A4160" s="512">
        <f t="shared" si="57"/>
        <v>3313</v>
      </c>
      <c r="B4160" s="1213" t="s">
        <v>43</v>
      </c>
      <c r="C4160" s="943" t="s">
        <v>44</v>
      </c>
      <c r="D4160" s="943" t="s">
        <v>45</v>
      </c>
      <c r="E4160" s="120" t="s">
        <v>4851</v>
      </c>
      <c r="F4160" s="120" t="s">
        <v>598</v>
      </c>
      <c r="G4160" s="150">
        <v>9809769892</v>
      </c>
      <c r="H4160" s="120"/>
      <c r="I4160" s="150">
        <v>55</v>
      </c>
      <c r="J4160" s="120" t="s">
        <v>48</v>
      </c>
      <c r="K4160" s="120" t="s">
        <v>1480</v>
      </c>
      <c r="L4160" s="120"/>
      <c r="M4160" s="146" t="s">
        <v>119</v>
      </c>
      <c r="N4160" s="710">
        <v>65093</v>
      </c>
      <c r="O4160" s="710">
        <v>65093</v>
      </c>
      <c r="P4160" s="1284">
        <v>65105</v>
      </c>
      <c r="Q4160" s="432" t="s">
        <v>51</v>
      </c>
    </row>
    <row r="4161" spans="1:17">
      <c r="A4161" s="512">
        <f t="shared" si="57"/>
        <v>3314</v>
      </c>
      <c r="B4161" s="1213" t="s">
        <v>43</v>
      </c>
      <c r="C4161" s="943" t="s">
        <v>44</v>
      </c>
      <c r="D4161" s="943" t="s">
        <v>45</v>
      </c>
      <c r="E4161" s="120" t="s">
        <v>4852</v>
      </c>
      <c r="F4161" s="120" t="s">
        <v>730</v>
      </c>
      <c r="G4161" s="150">
        <v>9868212064</v>
      </c>
      <c r="H4161" s="120"/>
      <c r="I4161" s="150">
        <v>28</v>
      </c>
      <c r="J4161" s="120" t="s">
        <v>48</v>
      </c>
      <c r="K4161" s="120" t="s">
        <v>345</v>
      </c>
      <c r="L4161" s="120"/>
      <c r="M4161" s="146" t="s">
        <v>119</v>
      </c>
      <c r="N4161" s="710">
        <v>65093</v>
      </c>
      <c r="O4161" s="710">
        <v>65093</v>
      </c>
      <c r="P4161" s="1284">
        <v>65105</v>
      </c>
      <c r="Q4161" s="432" t="s">
        <v>51</v>
      </c>
    </row>
    <row r="4162" spans="1:17">
      <c r="A4162" s="1116">
        <f t="shared" si="57"/>
        <v>3315</v>
      </c>
      <c r="B4162" s="1336" t="s">
        <v>43</v>
      </c>
      <c r="C4162" s="253" t="s">
        <v>44</v>
      </c>
      <c r="D4162" s="253" t="s">
        <v>45</v>
      </c>
      <c r="E4162" s="253" t="s">
        <v>4853</v>
      </c>
      <c r="F4162" s="253" t="s">
        <v>598</v>
      </c>
      <c r="G4162" s="251">
        <v>9809837969</v>
      </c>
      <c r="H4162" s="253"/>
      <c r="I4162" s="251">
        <v>55</v>
      </c>
      <c r="J4162" s="253" t="s">
        <v>48</v>
      </c>
      <c r="K4162" s="253" t="s">
        <v>53</v>
      </c>
      <c r="L4162" s="253"/>
      <c r="M4162" s="1117" t="s">
        <v>4449</v>
      </c>
      <c r="N4162" s="1115">
        <v>65093</v>
      </c>
      <c r="O4162" s="1115">
        <v>65093</v>
      </c>
      <c r="P4162" s="1284">
        <v>65108</v>
      </c>
      <c r="Q4162" s="432" t="s">
        <v>51</v>
      </c>
    </row>
    <row r="4163" spans="1:17">
      <c r="A4163" s="512">
        <f t="shared" si="57"/>
        <v>3316</v>
      </c>
      <c r="B4163" s="1213" t="s">
        <v>43</v>
      </c>
      <c r="C4163" s="943" t="s">
        <v>44</v>
      </c>
      <c r="D4163" s="943" t="s">
        <v>45</v>
      </c>
      <c r="E4163" s="247" t="s">
        <v>4854</v>
      </c>
      <c r="F4163" s="247" t="s">
        <v>491</v>
      </c>
      <c r="G4163" s="247">
        <v>9847944949</v>
      </c>
      <c r="H4163" s="247"/>
      <c r="I4163" s="247">
        <v>43</v>
      </c>
      <c r="J4163" s="247" t="s">
        <v>90</v>
      </c>
      <c r="K4163" s="120" t="s">
        <v>53</v>
      </c>
      <c r="L4163" s="247"/>
      <c r="M4163" s="247" t="s">
        <v>4855</v>
      </c>
      <c r="N4163" s="1257">
        <v>65093</v>
      </c>
      <c r="O4163" s="1257">
        <v>65093</v>
      </c>
      <c r="P4163" s="1284">
        <v>65105</v>
      </c>
      <c r="Q4163" s="432" t="s">
        <v>51</v>
      </c>
    </row>
    <row r="4164" spans="1:17">
      <c r="A4164" s="512">
        <f t="shared" si="57"/>
        <v>3317</v>
      </c>
      <c r="B4164" s="1213" t="s">
        <v>43</v>
      </c>
      <c r="C4164" s="943" t="s">
        <v>44</v>
      </c>
      <c r="D4164" s="943" t="s">
        <v>45</v>
      </c>
      <c r="E4164" s="247" t="s">
        <v>4856</v>
      </c>
      <c r="F4164" s="247" t="s">
        <v>1008</v>
      </c>
      <c r="G4164" s="247">
        <v>9840459737</v>
      </c>
      <c r="H4164" s="247"/>
      <c r="I4164" s="247">
        <v>30</v>
      </c>
      <c r="J4164" s="128" t="s">
        <v>90</v>
      </c>
      <c r="K4164" s="120" t="s">
        <v>53</v>
      </c>
      <c r="L4164" s="247"/>
      <c r="M4164" s="247" t="s">
        <v>4855</v>
      </c>
      <c r="N4164" s="1257">
        <v>65093</v>
      </c>
      <c r="O4164" s="1257">
        <v>65093</v>
      </c>
      <c r="P4164" s="1284">
        <v>65105</v>
      </c>
      <c r="Q4164" s="432" t="s">
        <v>51</v>
      </c>
    </row>
    <row r="4165" spans="1:17">
      <c r="A4165" s="512">
        <f t="shared" si="57"/>
        <v>3318</v>
      </c>
      <c r="B4165" s="1213" t="s">
        <v>43</v>
      </c>
      <c r="C4165" s="943" t="s">
        <v>44</v>
      </c>
      <c r="D4165" s="943" t="s">
        <v>45</v>
      </c>
      <c r="E4165" s="432" t="s">
        <v>4864</v>
      </c>
      <c r="F4165" s="434" t="s">
        <v>1008</v>
      </c>
      <c r="G4165" s="434">
        <v>9863414607</v>
      </c>
      <c r="H4165" s="894"/>
      <c r="I4165" s="434">
        <v>28</v>
      </c>
      <c r="J4165" s="432" t="s">
        <v>48</v>
      </c>
      <c r="K4165" s="434" t="s">
        <v>2647</v>
      </c>
      <c r="L4165" s="894"/>
      <c r="M4165" s="434" t="s">
        <v>1764</v>
      </c>
      <c r="N4165" s="1257">
        <v>65094</v>
      </c>
      <c r="O4165" s="1257">
        <v>65094</v>
      </c>
      <c r="P4165" s="496">
        <v>65106</v>
      </c>
      <c r="Q4165" s="491" t="s">
        <v>51</v>
      </c>
    </row>
    <row r="4166" spans="1:17">
      <c r="A4166" s="1185">
        <f t="shared" si="57"/>
        <v>3319</v>
      </c>
      <c r="B4166" s="1327" t="s">
        <v>43</v>
      </c>
      <c r="C4166" s="1239" t="s">
        <v>44</v>
      </c>
      <c r="D4166" s="1239" t="s">
        <v>45</v>
      </c>
      <c r="E4166" s="1185" t="s">
        <v>4865</v>
      </c>
      <c r="F4166" s="1187" t="s">
        <v>730</v>
      </c>
      <c r="G4166" s="1187">
        <v>9847842025</v>
      </c>
      <c r="H4166" s="1240"/>
      <c r="I4166" s="1187">
        <v>42</v>
      </c>
      <c r="J4166" s="1185" t="s">
        <v>90</v>
      </c>
      <c r="K4166" s="1340" t="s">
        <v>4556</v>
      </c>
      <c r="L4166" s="1240"/>
      <c r="M4166" s="1187" t="s">
        <v>4449</v>
      </c>
      <c r="N4166" s="1413">
        <v>65094</v>
      </c>
      <c r="O4166" s="1413">
        <v>65094</v>
      </c>
      <c r="P4166" s="1188">
        <v>65115</v>
      </c>
      <c r="Q4166" s="1185" t="s">
        <v>51</v>
      </c>
    </row>
    <row r="4167" spans="1:17">
      <c r="A4167" s="512">
        <f t="shared" si="57"/>
        <v>3320</v>
      </c>
      <c r="B4167" s="1213" t="s">
        <v>43</v>
      </c>
      <c r="C4167" s="943" t="s">
        <v>44</v>
      </c>
      <c r="D4167" s="943" t="s">
        <v>45</v>
      </c>
      <c r="E4167" s="432" t="s">
        <v>4866</v>
      </c>
      <c r="F4167" s="434" t="s">
        <v>502</v>
      </c>
      <c r="G4167" s="434">
        <v>9858049922</v>
      </c>
      <c r="H4167" s="894"/>
      <c r="I4167" s="434">
        <v>22</v>
      </c>
      <c r="J4167" s="432" t="s">
        <v>48</v>
      </c>
      <c r="K4167" s="120" t="s">
        <v>1480</v>
      </c>
      <c r="L4167" s="894"/>
      <c r="M4167" s="434" t="s">
        <v>1764</v>
      </c>
      <c r="N4167" s="1257">
        <v>65094</v>
      </c>
      <c r="O4167" s="1257">
        <v>65094</v>
      </c>
      <c r="P4167" s="496">
        <v>65106</v>
      </c>
      <c r="Q4167" s="491" t="s">
        <v>51</v>
      </c>
    </row>
    <row r="4168" spans="1:17">
      <c r="A4168" s="512">
        <f t="shared" si="57"/>
        <v>3321</v>
      </c>
      <c r="B4168" s="1213" t="s">
        <v>43</v>
      </c>
      <c r="C4168" s="943" t="s">
        <v>44</v>
      </c>
      <c r="D4168" s="943" t="s">
        <v>45</v>
      </c>
      <c r="E4168" s="432" t="s">
        <v>4867</v>
      </c>
      <c r="F4168" s="434" t="s">
        <v>1046</v>
      </c>
      <c r="G4168" s="434">
        <v>9742541952</v>
      </c>
      <c r="H4168" s="894"/>
      <c r="I4168" s="434">
        <v>43</v>
      </c>
      <c r="J4168" s="432" t="s">
        <v>48</v>
      </c>
      <c r="K4168" s="120" t="s">
        <v>1480</v>
      </c>
      <c r="L4168" s="894"/>
      <c r="M4168" s="434" t="s">
        <v>1764</v>
      </c>
      <c r="N4168" s="1257">
        <v>65094</v>
      </c>
      <c r="O4168" s="1257">
        <v>65094</v>
      </c>
      <c r="P4168" s="496">
        <v>65106</v>
      </c>
      <c r="Q4168" s="491" t="s">
        <v>51</v>
      </c>
    </row>
    <row r="4169" spans="1:17" s="362" customFormat="1">
      <c r="A4169" s="1205">
        <f t="shared" si="57"/>
        <v>3322</v>
      </c>
      <c r="B4169" s="1327" t="s">
        <v>43</v>
      </c>
      <c r="C4169" s="1239" t="s">
        <v>44</v>
      </c>
      <c r="D4169" s="1239" t="s">
        <v>45</v>
      </c>
      <c r="E4169" s="989" t="s">
        <v>4868</v>
      </c>
      <c r="F4169" s="659" t="s">
        <v>497</v>
      </c>
      <c r="G4169" s="659">
        <v>9847147894</v>
      </c>
      <c r="H4169" s="992"/>
      <c r="I4169" s="659">
        <v>35</v>
      </c>
      <c r="J4169" s="989" t="s">
        <v>48</v>
      </c>
      <c r="K4169" s="659" t="s">
        <v>4869</v>
      </c>
      <c r="L4169" s="992"/>
      <c r="M4169" s="659" t="s">
        <v>4449</v>
      </c>
      <c r="N4169" s="1416">
        <v>65094</v>
      </c>
      <c r="O4169" s="1416">
        <v>65094</v>
      </c>
      <c r="P4169" s="1211">
        <v>65119</v>
      </c>
      <c r="Q4169" s="989" t="s">
        <v>51</v>
      </c>
    </row>
    <row r="4170" spans="1:17">
      <c r="A4170" s="512">
        <f t="shared" si="57"/>
        <v>3323</v>
      </c>
      <c r="B4170" s="1213" t="s">
        <v>43</v>
      </c>
      <c r="C4170" s="943" t="s">
        <v>44</v>
      </c>
      <c r="D4170" s="943" t="s">
        <v>45</v>
      </c>
      <c r="E4170" s="128" t="s">
        <v>4870</v>
      </c>
      <c r="F4170" s="128" t="s">
        <v>491</v>
      </c>
      <c r="G4170" s="247">
        <v>9847833272</v>
      </c>
      <c r="I4170" s="247">
        <v>59</v>
      </c>
      <c r="J4170" s="128" t="s">
        <v>48</v>
      </c>
      <c r="K4170" s="128" t="s">
        <v>4835</v>
      </c>
      <c r="M4170" s="128" t="s">
        <v>1764</v>
      </c>
      <c r="N4170" s="1310">
        <v>65095</v>
      </c>
      <c r="O4170" s="1310">
        <v>65095</v>
      </c>
      <c r="P4170" s="459">
        <v>65108</v>
      </c>
      <c r="Q4170" s="432" t="s">
        <v>51</v>
      </c>
    </row>
    <row r="4171" spans="1:17">
      <c r="A4171" s="512">
        <f t="shared" si="57"/>
        <v>3324</v>
      </c>
      <c r="B4171" s="1213" t="s">
        <v>43</v>
      </c>
      <c r="C4171" s="943" t="s">
        <v>44</v>
      </c>
      <c r="D4171" s="943" t="s">
        <v>45</v>
      </c>
      <c r="E4171" s="247" t="s">
        <v>4871</v>
      </c>
      <c r="F4171" s="247" t="s">
        <v>491</v>
      </c>
      <c r="G4171" s="247">
        <v>9847833272</v>
      </c>
      <c r="I4171" s="247">
        <v>34</v>
      </c>
      <c r="J4171" s="128" t="s">
        <v>48</v>
      </c>
      <c r="K4171" s="128" t="s">
        <v>4835</v>
      </c>
      <c r="M4171" s="128" t="s">
        <v>1764</v>
      </c>
      <c r="N4171" s="1310">
        <v>65095</v>
      </c>
      <c r="O4171" s="1310">
        <v>65095</v>
      </c>
      <c r="P4171" s="459">
        <v>65108</v>
      </c>
      <c r="Q4171" s="432" t="s">
        <v>51</v>
      </c>
    </row>
    <row r="4172" spans="1:17">
      <c r="A4172" s="512">
        <f t="shared" si="57"/>
        <v>3325</v>
      </c>
      <c r="B4172" s="1213" t="s">
        <v>43</v>
      </c>
      <c r="C4172" s="943" t="s">
        <v>44</v>
      </c>
      <c r="D4172" s="943" t="s">
        <v>45</v>
      </c>
      <c r="E4172" s="247" t="s">
        <v>4872</v>
      </c>
      <c r="F4172" s="247" t="s">
        <v>1046</v>
      </c>
      <c r="G4172" s="247">
        <v>9857820040</v>
      </c>
      <c r="I4172" s="434">
        <v>36</v>
      </c>
      <c r="J4172" s="128" t="s">
        <v>48</v>
      </c>
      <c r="K4172" s="434" t="s">
        <v>1763</v>
      </c>
      <c r="M4172" s="128" t="s">
        <v>1764</v>
      </c>
      <c r="N4172" s="1310">
        <v>65095</v>
      </c>
      <c r="O4172" s="1310">
        <v>65095</v>
      </c>
      <c r="P4172" s="459">
        <v>65108</v>
      </c>
      <c r="Q4172" s="432" t="s">
        <v>51</v>
      </c>
    </row>
    <row r="4173" spans="1:17">
      <c r="A4173" s="512">
        <f t="shared" si="57"/>
        <v>3326</v>
      </c>
      <c r="B4173" s="1213" t="s">
        <v>43</v>
      </c>
      <c r="C4173" s="943" t="s">
        <v>44</v>
      </c>
      <c r="D4173" s="943" t="s">
        <v>45</v>
      </c>
      <c r="E4173" s="128" t="s">
        <v>4873</v>
      </c>
      <c r="F4173" s="128" t="s">
        <v>1008</v>
      </c>
      <c r="G4173" s="247">
        <v>9809569765</v>
      </c>
      <c r="H4173" s="128"/>
      <c r="I4173" s="247">
        <v>15</v>
      </c>
      <c r="J4173" s="128" t="s">
        <v>90</v>
      </c>
      <c r="K4173" s="1258" t="s">
        <v>4556</v>
      </c>
      <c r="L4173" s="128"/>
      <c r="M4173" s="128" t="s">
        <v>1764</v>
      </c>
      <c r="N4173" s="1310">
        <v>65096</v>
      </c>
      <c r="O4173" s="1310">
        <v>65096</v>
      </c>
      <c r="P4173" s="459">
        <v>65108</v>
      </c>
      <c r="Q4173" s="432" t="s">
        <v>51</v>
      </c>
    </row>
    <row r="4174" spans="1:17">
      <c r="A4174" s="512">
        <f t="shared" si="57"/>
        <v>3327</v>
      </c>
      <c r="B4174" s="1213" t="s">
        <v>43</v>
      </c>
      <c r="C4174" s="943" t="s">
        <v>44</v>
      </c>
      <c r="D4174" s="943" t="s">
        <v>45</v>
      </c>
      <c r="E4174" s="128" t="s">
        <v>4874</v>
      </c>
      <c r="F4174" s="128" t="s">
        <v>502</v>
      </c>
      <c r="G4174" s="247">
        <v>9809784828</v>
      </c>
      <c r="H4174" s="128"/>
      <c r="I4174" s="247">
        <v>50</v>
      </c>
      <c r="J4174" s="128" t="s">
        <v>48</v>
      </c>
      <c r="K4174" s="120" t="s">
        <v>1480</v>
      </c>
      <c r="L4174" s="128"/>
      <c r="M4174" s="128" t="s">
        <v>1764</v>
      </c>
      <c r="N4174" s="1310">
        <v>65097</v>
      </c>
      <c r="O4174" s="1310">
        <v>65097</v>
      </c>
      <c r="P4174" s="582">
        <v>65109</v>
      </c>
      <c r="Q4174" s="578" t="s">
        <v>51</v>
      </c>
    </row>
    <row r="4175" spans="1:17">
      <c r="A4175" s="512">
        <f t="shared" si="57"/>
        <v>3328</v>
      </c>
      <c r="B4175" s="1213" t="s">
        <v>43</v>
      </c>
      <c r="C4175" s="943" t="s">
        <v>44</v>
      </c>
      <c r="D4175" s="943" t="s">
        <v>45</v>
      </c>
      <c r="E4175" s="128" t="s">
        <v>4875</v>
      </c>
      <c r="F4175" s="128" t="s">
        <v>1009</v>
      </c>
      <c r="G4175" s="247">
        <v>9841741670</v>
      </c>
      <c r="H4175" s="128"/>
      <c r="I4175" s="247">
        <v>22</v>
      </c>
      <c r="J4175" s="128" t="s">
        <v>90</v>
      </c>
      <c r="K4175" s="128" t="s">
        <v>4876</v>
      </c>
      <c r="L4175" s="128"/>
      <c r="M4175" s="128" t="s">
        <v>1764</v>
      </c>
      <c r="N4175" s="1310">
        <v>65097</v>
      </c>
      <c r="O4175" s="1310">
        <v>65097</v>
      </c>
      <c r="P4175" s="582">
        <v>65109</v>
      </c>
      <c r="Q4175" s="578" t="s">
        <v>51</v>
      </c>
    </row>
    <row r="4176" spans="1:17">
      <c r="A4176" s="512">
        <f t="shared" si="57"/>
        <v>3329</v>
      </c>
      <c r="B4176" s="1332" t="s">
        <v>43</v>
      </c>
      <c r="C4176" s="943" t="s">
        <v>44</v>
      </c>
      <c r="D4176" s="943" t="s">
        <v>45</v>
      </c>
      <c r="E4176" s="1158" t="s">
        <v>4883</v>
      </c>
      <c r="F4176" s="1106" t="s">
        <v>1046</v>
      </c>
      <c r="G4176" s="1163">
        <v>9847943378</v>
      </c>
      <c r="H4176" s="892"/>
      <c r="I4176" s="1106">
        <v>34</v>
      </c>
      <c r="J4176" s="1158" t="s">
        <v>90</v>
      </c>
      <c r="K4176" s="1106" t="s">
        <v>1763</v>
      </c>
      <c r="L4176" s="1106"/>
      <c r="M4176" s="1158" t="s">
        <v>1764</v>
      </c>
      <c r="N4176" s="1322">
        <v>65096</v>
      </c>
      <c r="O4176" s="1322">
        <v>65096</v>
      </c>
      <c r="P4176" s="582">
        <v>65109</v>
      </c>
      <c r="Q4176" s="578" t="s">
        <v>51</v>
      </c>
    </row>
    <row r="4177" spans="1:17">
      <c r="A4177" s="512">
        <f t="shared" si="57"/>
        <v>3330</v>
      </c>
      <c r="B4177" s="1332" t="s">
        <v>43</v>
      </c>
      <c r="C4177" s="943" t="s">
        <v>44</v>
      </c>
      <c r="D4177" s="943" t="s">
        <v>45</v>
      </c>
      <c r="E4177" s="128" t="s">
        <v>4881</v>
      </c>
      <c r="F4177" s="128" t="s">
        <v>730</v>
      </c>
      <c r="G4177" s="247">
        <v>9806282209</v>
      </c>
      <c r="H4177" s="128"/>
      <c r="I4177" s="247">
        <v>28</v>
      </c>
      <c r="J4177" s="128" t="s">
        <v>90</v>
      </c>
      <c r="K4177" s="120" t="s">
        <v>53</v>
      </c>
      <c r="M4177" s="128" t="s">
        <v>1764</v>
      </c>
      <c r="N4177" s="1310">
        <v>65098</v>
      </c>
      <c r="O4177" s="1310">
        <v>65098</v>
      </c>
      <c r="P4177" s="459">
        <v>65110</v>
      </c>
      <c r="Q4177" s="432" t="s">
        <v>51</v>
      </c>
    </row>
    <row r="4178" spans="1:17">
      <c r="A4178" s="512">
        <f t="shared" ref="A4178:A4197" si="58">A4177+1</f>
        <v>3331</v>
      </c>
      <c r="B4178" s="1332" t="s">
        <v>43</v>
      </c>
      <c r="C4178" s="943" t="s">
        <v>44</v>
      </c>
      <c r="D4178" s="943" t="s">
        <v>45</v>
      </c>
      <c r="E4178" s="128" t="s">
        <v>4882</v>
      </c>
      <c r="F4178" s="128" t="s">
        <v>502</v>
      </c>
      <c r="G4178" s="247">
        <v>9806202220</v>
      </c>
      <c r="H4178" s="128"/>
      <c r="I4178" s="247">
        <v>50</v>
      </c>
      <c r="J4178" s="128" t="s">
        <v>90</v>
      </c>
      <c r="K4178" s="120" t="s">
        <v>53</v>
      </c>
      <c r="M4178" s="128" t="s">
        <v>1764</v>
      </c>
      <c r="N4178" s="1310">
        <v>65099</v>
      </c>
      <c r="O4178" s="1310">
        <v>65099</v>
      </c>
      <c r="P4178" s="582">
        <v>65112</v>
      </c>
      <c r="Q4178" s="578" t="s">
        <v>51</v>
      </c>
    </row>
    <row r="4179" spans="1:17">
      <c r="A4179" s="512">
        <f t="shared" si="58"/>
        <v>3332</v>
      </c>
      <c r="B4179" s="1332" t="s">
        <v>43</v>
      </c>
      <c r="C4179" s="943" t="s">
        <v>44</v>
      </c>
      <c r="D4179" s="943" t="s">
        <v>45</v>
      </c>
      <c r="E4179" s="128" t="s">
        <v>3888</v>
      </c>
      <c r="F4179" s="128" t="s">
        <v>441</v>
      </c>
      <c r="G4179" s="247">
        <v>9849179307</v>
      </c>
      <c r="H4179" s="128"/>
      <c r="I4179" s="247">
        <v>30</v>
      </c>
      <c r="J4179" s="128" t="s">
        <v>48</v>
      </c>
      <c r="K4179" s="128" t="s">
        <v>4876</v>
      </c>
      <c r="M4179" s="128" t="s">
        <v>1764</v>
      </c>
      <c r="N4179" s="1310">
        <v>65099</v>
      </c>
      <c r="O4179" s="1310">
        <v>65099</v>
      </c>
      <c r="P4179" s="582">
        <v>65112</v>
      </c>
      <c r="Q4179" s="578" t="s">
        <v>51</v>
      </c>
    </row>
    <row r="4180" spans="1:17">
      <c r="A4180" s="512">
        <f t="shared" si="58"/>
        <v>3333</v>
      </c>
      <c r="B4180" s="1332" t="s">
        <v>43</v>
      </c>
      <c r="C4180" s="943" t="s">
        <v>44</v>
      </c>
      <c r="D4180" s="943" t="s">
        <v>45</v>
      </c>
      <c r="E4180" s="128" t="s">
        <v>4891</v>
      </c>
      <c r="F4180" s="128" t="s">
        <v>1008</v>
      </c>
      <c r="G4180" s="247">
        <v>9813892704</v>
      </c>
      <c r="H4180" s="128"/>
      <c r="I4180" s="247">
        <v>36</v>
      </c>
      <c r="J4180" s="128" t="s">
        <v>48</v>
      </c>
      <c r="K4180" s="128" t="s">
        <v>4892</v>
      </c>
      <c r="M4180" s="128" t="s">
        <v>1764</v>
      </c>
      <c r="N4180" s="1310">
        <v>65098</v>
      </c>
      <c r="O4180" s="1310">
        <v>65098</v>
      </c>
      <c r="P4180" s="582">
        <v>65112</v>
      </c>
      <c r="Q4180" s="578" t="s">
        <v>51</v>
      </c>
    </row>
    <row r="4181" spans="1:17">
      <c r="A4181" s="512">
        <f t="shared" si="58"/>
        <v>3334</v>
      </c>
      <c r="B4181" s="1332" t="s">
        <v>43</v>
      </c>
      <c r="C4181" s="943" t="s">
        <v>44</v>
      </c>
      <c r="D4181" s="943" t="s">
        <v>45</v>
      </c>
      <c r="E4181" s="128" t="s">
        <v>4893</v>
      </c>
      <c r="F4181" s="128" t="s">
        <v>1008</v>
      </c>
      <c r="G4181" s="247">
        <v>9844924970</v>
      </c>
      <c r="H4181" s="128"/>
      <c r="I4181" s="247">
        <v>30</v>
      </c>
      <c r="J4181" s="128" t="s">
        <v>48</v>
      </c>
      <c r="K4181" s="1258" t="s">
        <v>4556</v>
      </c>
      <c r="M4181" s="128" t="s">
        <v>1764</v>
      </c>
      <c r="N4181" s="1310">
        <v>65099</v>
      </c>
      <c r="O4181" s="1310">
        <v>65099</v>
      </c>
      <c r="P4181" s="582">
        <v>65112</v>
      </c>
      <c r="Q4181" s="578" t="s">
        <v>51</v>
      </c>
    </row>
    <row r="4182" spans="1:17">
      <c r="A4182" s="512">
        <f t="shared" si="58"/>
        <v>3335</v>
      </c>
      <c r="B4182" s="1332" t="s">
        <v>43</v>
      </c>
      <c r="C4182" s="943" t="s">
        <v>44</v>
      </c>
      <c r="D4182" s="943" t="s">
        <v>45</v>
      </c>
      <c r="E4182" s="128" t="s">
        <v>4894</v>
      </c>
      <c r="F4182" s="128" t="s">
        <v>1008</v>
      </c>
      <c r="G4182" s="247">
        <v>9847862639</v>
      </c>
      <c r="H4182" s="128"/>
      <c r="I4182" s="247">
        <v>48</v>
      </c>
      <c r="J4182" s="128" t="s">
        <v>90</v>
      </c>
      <c r="K4182" s="1258" t="s">
        <v>4556</v>
      </c>
      <c r="M4182" s="128" t="s">
        <v>1764</v>
      </c>
      <c r="N4182" s="1310">
        <v>65099</v>
      </c>
      <c r="O4182" s="1310">
        <v>65099</v>
      </c>
      <c r="P4182" s="582">
        <v>65112</v>
      </c>
      <c r="Q4182" s="578" t="s">
        <v>51</v>
      </c>
    </row>
    <row r="4183" spans="1:17">
      <c r="A4183" s="512">
        <f t="shared" si="58"/>
        <v>3336</v>
      </c>
      <c r="B4183" s="1332" t="s">
        <v>43</v>
      </c>
      <c r="C4183" s="943" t="s">
        <v>44</v>
      </c>
      <c r="D4183" s="943" t="s">
        <v>45</v>
      </c>
      <c r="E4183" s="128" t="s">
        <v>4895</v>
      </c>
      <c r="F4183" s="128" t="s">
        <v>1008</v>
      </c>
      <c r="G4183" s="247">
        <v>9847862639</v>
      </c>
      <c r="H4183" s="128"/>
      <c r="I4183" s="247">
        <v>78</v>
      </c>
      <c r="J4183" s="128" t="s">
        <v>48</v>
      </c>
      <c r="K4183" s="1258" t="s">
        <v>4556</v>
      </c>
      <c r="M4183" s="128" t="s">
        <v>1764</v>
      </c>
      <c r="N4183" s="1310">
        <v>65099</v>
      </c>
      <c r="O4183" s="1310">
        <v>65099</v>
      </c>
      <c r="P4183" s="582">
        <v>65112</v>
      </c>
      <c r="Q4183" s="578" t="s">
        <v>51</v>
      </c>
    </row>
    <row r="4184" spans="1:17">
      <c r="A4184" s="512">
        <f t="shared" si="58"/>
        <v>3337</v>
      </c>
      <c r="B4184" s="1332" t="s">
        <v>43</v>
      </c>
      <c r="C4184" s="943" t="s">
        <v>44</v>
      </c>
      <c r="D4184" s="943" t="s">
        <v>45</v>
      </c>
      <c r="E4184" s="128" t="s">
        <v>4897</v>
      </c>
      <c r="F4184" s="434" t="s">
        <v>529</v>
      </c>
      <c r="G4184" s="247">
        <v>9847944057</v>
      </c>
      <c r="I4184" s="434">
        <v>45</v>
      </c>
      <c r="J4184" s="128" t="s">
        <v>90</v>
      </c>
      <c r="K4184" s="1106" t="s">
        <v>1763</v>
      </c>
      <c r="M4184" s="128" t="s">
        <v>1764</v>
      </c>
      <c r="N4184" s="730">
        <v>65099</v>
      </c>
      <c r="O4184" s="730">
        <v>65099</v>
      </c>
      <c r="P4184" s="582">
        <v>65112</v>
      </c>
      <c r="Q4184" s="578" t="s">
        <v>51</v>
      </c>
    </row>
    <row r="4185" spans="1:17">
      <c r="A4185" s="512">
        <f t="shared" si="58"/>
        <v>3338</v>
      </c>
      <c r="B4185" s="1332" t="s">
        <v>43</v>
      </c>
      <c r="C4185" s="943" t="s">
        <v>44</v>
      </c>
      <c r="D4185" s="943" t="s">
        <v>45</v>
      </c>
      <c r="E4185" s="128" t="s">
        <v>4898</v>
      </c>
      <c r="F4185" s="434" t="s">
        <v>730</v>
      </c>
      <c r="G4185" s="247">
        <v>9869474986</v>
      </c>
      <c r="I4185" s="434">
        <v>30</v>
      </c>
      <c r="J4185" s="128" t="s">
        <v>90</v>
      </c>
      <c r="K4185" s="1106" t="s">
        <v>1763</v>
      </c>
      <c r="M4185" s="128" t="s">
        <v>1764</v>
      </c>
      <c r="N4185" s="1310">
        <v>65100</v>
      </c>
      <c r="O4185" s="1310">
        <v>65100</v>
      </c>
      <c r="P4185" s="541">
        <v>65114</v>
      </c>
      <c r="Q4185" s="533" t="s">
        <v>51</v>
      </c>
    </row>
    <row r="4186" spans="1:17" s="362" customFormat="1">
      <c r="A4186" s="1205">
        <f t="shared" si="58"/>
        <v>3339</v>
      </c>
      <c r="B4186" s="1408" t="s">
        <v>43</v>
      </c>
      <c r="C4186" s="1239" t="s">
        <v>44</v>
      </c>
      <c r="D4186" s="1239" t="s">
        <v>45</v>
      </c>
      <c r="E4186" s="1339" t="s">
        <v>4896</v>
      </c>
      <c r="F4186" s="1339" t="s">
        <v>730</v>
      </c>
      <c r="G4186" s="1321">
        <v>9829511290</v>
      </c>
      <c r="H4186" s="1339"/>
      <c r="I4186" s="1321">
        <v>48</v>
      </c>
      <c r="J4186" s="1339" t="s">
        <v>90</v>
      </c>
      <c r="K4186" s="1340" t="s">
        <v>4556</v>
      </c>
      <c r="L4186" s="1339"/>
      <c r="M4186" s="659" t="s">
        <v>4449</v>
      </c>
      <c r="N4186" s="1409">
        <v>65100</v>
      </c>
      <c r="O4186" s="1409">
        <v>65100</v>
      </c>
      <c r="P4186" s="1126">
        <v>65112</v>
      </c>
      <c r="Q4186" s="1116" t="s">
        <v>51</v>
      </c>
    </row>
    <row r="4187" spans="1:17">
      <c r="A4187" s="1205">
        <f t="shared" si="58"/>
        <v>3340</v>
      </c>
      <c r="B4187" s="1332" t="s">
        <v>43</v>
      </c>
      <c r="C4187" s="943" t="s">
        <v>44</v>
      </c>
      <c r="D4187" s="943" t="s">
        <v>45</v>
      </c>
      <c r="E4187" s="128" t="s">
        <v>4904</v>
      </c>
      <c r="F4187" s="128" t="s">
        <v>598</v>
      </c>
      <c r="G4187" s="247">
        <v>9809459833</v>
      </c>
      <c r="H4187" s="128"/>
      <c r="I4187" s="247">
        <v>20</v>
      </c>
      <c r="J4187" s="128" t="s">
        <v>48</v>
      </c>
      <c r="K4187" s="128" t="s">
        <v>4905</v>
      </c>
      <c r="L4187" s="128"/>
      <c r="M4187" s="128" t="s">
        <v>1764</v>
      </c>
      <c r="N4187" s="1310">
        <v>65101</v>
      </c>
      <c r="O4187" s="1310">
        <v>65101</v>
      </c>
      <c r="P4187" s="459">
        <v>65113</v>
      </c>
      <c r="Q4187" s="432" t="s">
        <v>51</v>
      </c>
    </row>
    <row r="4188" spans="1:17">
      <c r="A4188" s="1205">
        <f t="shared" si="58"/>
        <v>3341</v>
      </c>
      <c r="B4188" s="1332" t="s">
        <v>43</v>
      </c>
      <c r="C4188" s="943" t="s">
        <v>44</v>
      </c>
      <c r="D4188" s="943" t="s">
        <v>45</v>
      </c>
      <c r="E4188" s="128" t="s">
        <v>4906</v>
      </c>
      <c r="F4188" s="128" t="s">
        <v>497</v>
      </c>
      <c r="G4188" s="247">
        <v>9867417672</v>
      </c>
      <c r="H4188" s="128"/>
      <c r="I4188" s="247">
        <v>34</v>
      </c>
      <c r="J4188" s="128" t="s">
        <v>48</v>
      </c>
      <c r="K4188" s="120" t="s">
        <v>53</v>
      </c>
      <c r="L4188" s="128"/>
      <c r="M4188" s="128" t="s">
        <v>1764</v>
      </c>
      <c r="N4188" s="1310">
        <v>65101</v>
      </c>
      <c r="O4188" s="1310">
        <v>65101</v>
      </c>
      <c r="P4188" s="459">
        <v>65113</v>
      </c>
      <c r="Q4188" s="432" t="s">
        <v>51</v>
      </c>
    </row>
    <row r="4189" spans="1:17">
      <c r="A4189" s="1205">
        <f t="shared" si="58"/>
        <v>3342</v>
      </c>
      <c r="B4189" s="1332" t="s">
        <v>43</v>
      </c>
      <c r="C4189" s="943" t="s">
        <v>44</v>
      </c>
      <c r="D4189" s="943" t="s">
        <v>45</v>
      </c>
      <c r="E4189" s="128" t="s">
        <v>4907</v>
      </c>
      <c r="F4189" s="128" t="s">
        <v>730</v>
      </c>
      <c r="G4189" s="247">
        <v>9847853169</v>
      </c>
      <c r="H4189" s="128"/>
      <c r="I4189" s="247">
        <v>56</v>
      </c>
      <c r="J4189" s="128" t="s">
        <v>48</v>
      </c>
      <c r="K4189" s="120" t="s">
        <v>53</v>
      </c>
      <c r="L4189" s="128"/>
      <c r="M4189" s="128" t="s">
        <v>1764</v>
      </c>
      <c r="N4189" s="1310">
        <v>65101</v>
      </c>
      <c r="O4189" s="1310">
        <v>65101</v>
      </c>
      <c r="P4189" s="459">
        <v>65113</v>
      </c>
      <c r="Q4189" s="432" t="s">
        <v>51</v>
      </c>
    </row>
    <row r="4190" spans="1:17">
      <c r="A4190" s="1205">
        <f t="shared" si="58"/>
        <v>3343</v>
      </c>
      <c r="B4190" s="1332" t="s">
        <v>43</v>
      </c>
      <c r="C4190" s="943" t="s">
        <v>44</v>
      </c>
      <c r="D4190" s="943" t="s">
        <v>45</v>
      </c>
      <c r="E4190" s="432" t="s">
        <v>4908</v>
      </c>
      <c r="F4190" s="434" t="s">
        <v>124</v>
      </c>
      <c r="G4190" s="247">
        <v>9847980062</v>
      </c>
      <c r="I4190" s="434">
        <v>32</v>
      </c>
      <c r="J4190" s="128" t="s">
        <v>90</v>
      </c>
      <c r="K4190" s="1106" t="s">
        <v>1763</v>
      </c>
      <c r="M4190" s="128" t="s">
        <v>1764</v>
      </c>
      <c r="N4190" s="1310">
        <v>65101</v>
      </c>
      <c r="O4190" s="1310">
        <v>65101</v>
      </c>
      <c r="P4190" s="459">
        <v>65113</v>
      </c>
      <c r="Q4190" s="432" t="s">
        <v>51</v>
      </c>
    </row>
    <row r="4191" spans="1:17">
      <c r="A4191" s="1205">
        <f t="shared" si="58"/>
        <v>3344</v>
      </c>
      <c r="B4191" s="1332" t="s">
        <v>43</v>
      </c>
      <c r="C4191" s="943" t="s">
        <v>44</v>
      </c>
      <c r="D4191" s="943" t="s">
        <v>45</v>
      </c>
      <c r="E4191" s="1315" t="s">
        <v>4915</v>
      </c>
      <c r="F4191" s="98" t="s">
        <v>636</v>
      </c>
      <c r="G4191" s="1286">
        <v>9801607558</v>
      </c>
      <c r="H4191" s="892"/>
      <c r="I4191" s="1286">
        <v>34</v>
      </c>
      <c r="J4191" s="1315" t="s">
        <v>48</v>
      </c>
      <c r="K4191" s="1158" t="s">
        <v>4916</v>
      </c>
      <c r="L4191" s="98"/>
      <c r="M4191" s="98" t="s">
        <v>1764</v>
      </c>
      <c r="N4191" s="1395">
        <v>65103</v>
      </c>
      <c r="O4191" s="1395">
        <v>65103</v>
      </c>
      <c r="P4191" s="541">
        <v>65114</v>
      </c>
      <c r="Q4191" s="533" t="s">
        <v>51</v>
      </c>
    </row>
    <row r="4192" spans="1:17">
      <c r="A4192" s="1205">
        <f t="shared" si="58"/>
        <v>3345</v>
      </c>
      <c r="B4192" s="1332" t="s">
        <v>43</v>
      </c>
      <c r="C4192" s="943" t="s">
        <v>44</v>
      </c>
      <c r="D4192" s="943" t="s">
        <v>45</v>
      </c>
      <c r="E4192" s="128" t="s">
        <v>4918</v>
      </c>
      <c r="F4192" s="128" t="s">
        <v>636</v>
      </c>
      <c r="G4192" s="247">
        <v>9809801055</v>
      </c>
      <c r="H4192" s="128"/>
      <c r="I4192" s="247">
        <v>58</v>
      </c>
      <c r="J4192" s="128" t="s">
        <v>48</v>
      </c>
      <c r="K4192" s="128" t="s">
        <v>2649</v>
      </c>
      <c r="L4192" s="128"/>
      <c r="M4192" s="128" t="s">
        <v>1764</v>
      </c>
      <c r="N4192" s="1310">
        <v>65103</v>
      </c>
      <c r="O4192" s="1310">
        <v>65103</v>
      </c>
      <c r="P4192" s="541">
        <v>65114</v>
      </c>
      <c r="Q4192" s="533" t="s">
        <v>51</v>
      </c>
    </row>
    <row r="4193" spans="1:17">
      <c r="A4193" s="1205">
        <f t="shared" si="58"/>
        <v>3346</v>
      </c>
      <c r="B4193" s="1332" t="s">
        <v>43</v>
      </c>
      <c r="C4193" s="943" t="s">
        <v>44</v>
      </c>
      <c r="D4193" s="943" t="s">
        <v>45</v>
      </c>
      <c r="E4193" s="128" t="s">
        <v>4920</v>
      </c>
      <c r="F4193" s="128" t="s">
        <v>502</v>
      </c>
      <c r="G4193" s="247">
        <v>9808444325</v>
      </c>
      <c r="H4193" s="128"/>
      <c r="I4193" s="247">
        <v>23</v>
      </c>
      <c r="J4193" s="128" t="s">
        <v>48</v>
      </c>
      <c r="K4193" s="128" t="s">
        <v>4921</v>
      </c>
      <c r="L4193" s="128"/>
      <c r="M4193" s="128" t="s">
        <v>1764</v>
      </c>
      <c r="N4193" s="1310">
        <v>65103</v>
      </c>
      <c r="O4193" s="1310">
        <v>65103</v>
      </c>
      <c r="P4193" s="541">
        <v>65114</v>
      </c>
      <c r="Q4193" s="533" t="s">
        <v>51</v>
      </c>
    </row>
    <row r="4194" spans="1:17">
      <c r="A4194" s="1205">
        <f t="shared" si="58"/>
        <v>3347</v>
      </c>
      <c r="B4194" s="1332" t="s">
        <v>43</v>
      </c>
      <c r="C4194" s="943" t="s">
        <v>44</v>
      </c>
      <c r="D4194" s="943" t="s">
        <v>45</v>
      </c>
      <c r="E4194" s="128" t="s">
        <v>4922</v>
      </c>
      <c r="F4194" s="434" t="s">
        <v>791</v>
      </c>
      <c r="G4194" s="247">
        <v>9847835355</v>
      </c>
      <c r="I4194" s="434">
        <v>38</v>
      </c>
      <c r="J4194" s="128" t="s">
        <v>48</v>
      </c>
      <c r="K4194" s="1106" t="s">
        <v>1763</v>
      </c>
      <c r="M4194" s="128" t="s">
        <v>1764</v>
      </c>
      <c r="N4194" s="730">
        <v>65103</v>
      </c>
      <c r="O4194" s="730">
        <v>65103</v>
      </c>
      <c r="P4194" s="541">
        <v>65114</v>
      </c>
      <c r="Q4194" s="533" t="s">
        <v>51</v>
      </c>
    </row>
    <row r="4195" spans="1:17" s="362" customFormat="1">
      <c r="A4195" s="1399">
        <f t="shared" si="58"/>
        <v>3348</v>
      </c>
      <c r="B4195" s="1327" t="s">
        <v>43</v>
      </c>
      <c r="C4195" s="1313" t="s">
        <v>44</v>
      </c>
      <c r="D4195" s="1313" t="s">
        <v>45</v>
      </c>
      <c r="E4195" s="1424" t="s">
        <v>4919</v>
      </c>
      <c r="F4195" s="1424" t="s">
        <v>1008</v>
      </c>
      <c r="G4195" s="1425">
        <v>9849331749</v>
      </c>
      <c r="H4195" s="1424"/>
      <c r="I4195" s="1425">
        <v>34</v>
      </c>
      <c r="J4195" s="1424" t="s">
        <v>48</v>
      </c>
      <c r="K4195" s="1147" t="s">
        <v>1480</v>
      </c>
      <c r="L4195" s="1424"/>
      <c r="M4195" s="659" t="s">
        <v>4449</v>
      </c>
      <c r="N4195" s="1426">
        <v>65104</v>
      </c>
      <c r="O4195" s="1426">
        <v>65104</v>
      </c>
      <c r="P4195" s="459">
        <v>65123</v>
      </c>
      <c r="Q4195" s="432" t="s">
        <v>51</v>
      </c>
    </row>
    <row r="4196" spans="1:17">
      <c r="A4196" s="1399">
        <f t="shared" si="58"/>
        <v>3349</v>
      </c>
      <c r="B4196" s="1213" t="s">
        <v>43</v>
      </c>
      <c r="C4196" s="1146" t="s">
        <v>44</v>
      </c>
      <c r="D4196" s="1146" t="s">
        <v>45</v>
      </c>
      <c r="E4196" s="128" t="s">
        <v>4925</v>
      </c>
      <c r="F4196" s="128" t="s">
        <v>1046</v>
      </c>
      <c r="G4196" s="247">
        <v>9847842222</v>
      </c>
      <c r="H4196" s="128"/>
      <c r="I4196" s="247">
        <v>30</v>
      </c>
      <c r="J4196" s="128" t="s">
        <v>48</v>
      </c>
      <c r="K4196" s="120" t="s">
        <v>53</v>
      </c>
      <c r="M4196" s="128" t="s">
        <v>1764</v>
      </c>
      <c r="N4196" s="1310">
        <v>65104</v>
      </c>
      <c r="O4196" s="1310">
        <v>65104</v>
      </c>
      <c r="P4196" s="459">
        <v>65115</v>
      </c>
      <c r="Q4196" s="432" t="s">
        <v>51</v>
      </c>
    </row>
    <row r="4197" spans="1:17">
      <c r="A4197" s="1399">
        <f t="shared" si="58"/>
        <v>3350</v>
      </c>
      <c r="B4197" s="1213" t="s">
        <v>43</v>
      </c>
      <c r="C4197" s="1146" t="s">
        <v>44</v>
      </c>
      <c r="D4197" s="1146" t="s">
        <v>45</v>
      </c>
      <c r="E4197" s="247" t="s">
        <v>4926</v>
      </c>
      <c r="F4197" s="247" t="s">
        <v>124</v>
      </c>
      <c r="G4197" s="247">
        <v>9847884793</v>
      </c>
      <c r="H4197" s="247"/>
      <c r="I4197" s="247">
        <v>29</v>
      </c>
      <c r="J4197" s="247" t="s">
        <v>48</v>
      </c>
      <c r="K4197" s="247" t="s">
        <v>1763</v>
      </c>
      <c r="L4197" s="247"/>
      <c r="M4197" s="247" t="s">
        <v>1764</v>
      </c>
      <c r="N4197" s="1257">
        <v>65103</v>
      </c>
      <c r="O4197" s="1257">
        <v>65103</v>
      </c>
      <c r="P4197" s="541">
        <v>65114</v>
      </c>
      <c r="Q4197" s="533" t="s">
        <v>51</v>
      </c>
    </row>
    <row r="4198" spans="1:17">
      <c r="A4198" s="1399">
        <f>A4197+1</f>
        <v>3351</v>
      </c>
      <c r="B4198" s="1213" t="s">
        <v>43</v>
      </c>
      <c r="C4198" s="1146" t="s">
        <v>44</v>
      </c>
      <c r="D4198" s="1146" t="s">
        <v>45</v>
      </c>
      <c r="E4198" s="247" t="s">
        <v>4927</v>
      </c>
      <c r="F4198" s="247" t="s">
        <v>529</v>
      </c>
      <c r="G4198" s="247">
        <v>9866917162</v>
      </c>
      <c r="H4198" s="247"/>
      <c r="I4198" s="247">
        <v>61</v>
      </c>
      <c r="J4198" s="247" t="s">
        <v>90</v>
      </c>
      <c r="K4198" s="247" t="s">
        <v>1763</v>
      </c>
      <c r="L4198" s="247"/>
      <c r="M4198" s="247" t="s">
        <v>1764</v>
      </c>
      <c r="N4198" s="1257">
        <v>65104</v>
      </c>
      <c r="O4198" s="1257">
        <v>65104</v>
      </c>
      <c r="P4198" s="459">
        <v>65115</v>
      </c>
      <c r="Q4198" s="432" t="s">
        <v>51</v>
      </c>
    </row>
    <row r="4199" spans="1:17">
      <c r="A4199" s="1399">
        <f t="shared" ref="A4199:A4262" si="59">A4198+1</f>
        <v>3352</v>
      </c>
      <c r="B4199" s="1213" t="s">
        <v>43</v>
      </c>
      <c r="C4199" s="1146" t="s">
        <v>44</v>
      </c>
      <c r="D4199" s="1146" t="s">
        <v>45</v>
      </c>
      <c r="E4199" s="247" t="s">
        <v>4928</v>
      </c>
      <c r="F4199" s="247" t="s">
        <v>529</v>
      </c>
      <c r="G4199" s="247">
        <v>9541629760</v>
      </c>
      <c r="H4199" s="247"/>
      <c r="I4199" s="247">
        <v>13</v>
      </c>
      <c r="J4199" s="247" t="s">
        <v>48</v>
      </c>
      <c r="K4199" s="247" t="s">
        <v>1763</v>
      </c>
      <c r="L4199" s="247"/>
      <c r="M4199" s="247" t="s">
        <v>1764</v>
      </c>
      <c r="N4199" s="1257">
        <v>65104</v>
      </c>
      <c r="O4199" s="1257">
        <v>65104</v>
      </c>
      <c r="P4199" s="459">
        <v>65115</v>
      </c>
      <c r="Q4199" s="432" t="s">
        <v>51</v>
      </c>
    </row>
    <row r="4200" spans="1:17">
      <c r="A4200" s="1399">
        <f t="shared" si="59"/>
        <v>3353</v>
      </c>
      <c r="B4200" s="1213" t="s">
        <v>43</v>
      </c>
      <c r="C4200" s="1146" t="s">
        <v>44</v>
      </c>
      <c r="D4200" s="1146" t="s">
        <v>45</v>
      </c>
      <c r="E4200" s="1163" t="s">
        <v>4929</v>
      </c>
      <c r="F4200" s="1163" t="s">
        <v>529</v>
      </c>
      <c r="G4200" s="1163">
        <v>9541629760</v>
      </c>
      <c r="H4200" s="1163"/>
      <c r="I4200" s="1163">
        <v>8</v>
      </c>
      <c r="J4200" s="1163" t="s">
        <v>90</v>
      </c>
      <c r="K4200" s="1163" t="s">
        <v>1763</v>
      </c>
      <c r="L4200" s="1163"/>
      <c r="M4200" s="1163" t="s">
        <v>1764</v>
      </c>
      <c r="N4200" s="1405">
        <v>65104</v>
      </c>
      <c r="O4200" s="1405">
        <v>65104</v>
      </c>
      <c r="P4200" s="459">
        <v>65115</v>
      </c>
      <c r="Q4200" s="432" t="s">
        <v>51</v>
      </c>
    </row>
    <row r="4201" spans="1:17">
      <c r="A4201" s="1399">
        <f t="shared" si="59"/>
        <v>3354</v>
      </c>
      <c r="B4201" s="1213" t="s">
        <v>43</v>
      </c>
      <c r="C4201" s="1146" t="s">
        <v>44</v>
      </c>
      <c r="D4201" s="1146" t="s">
        <v>45</v>
      </c>
      <c r="E4201" s="120" t="s">
        <v>4944</v>
      </c>
      <c r="F4201" s="120" t="s">
        <v>636</v>
      </c>
      <c r="G4201" s="150">
        <v>9809801055</v>
      </c>
      <c r="H4201" s="120"/>
      <c r="I4201" s="150">
        <v>60</v>
      </c>
      <c r="J4201" s="120" t="s">
        <v>48</v>
      </c>
      <c r="K4201" s="120" t="s">
        <v>345</v>
      </c>
      <c r="L4201" s="894"/>
      <c r="M4201" s="146" t="s">
        <v>262</v>
      </c>
      <c r="N4201" s="1141">
        <v>65104</v>
      </c>
      <c r="O4201" s="1141">
        <v>65104</v>
      </c>
      <c r="P4201" s="459">
        <v>65115</v>
      </c>
      <c r="Q4201" s="432" t="s">
        <v>51</v>
      </c>
    </row>
    <row r="4202" spans="1:17">
      <c r="A4202" s="1399">
        <f t="shared" si="59"/>
        <v>3355</v>
      </c>
      <c r="B4202" s="1213" t="s">
        <v>43</v>
      </c>
      <c r="C4202" s="1178" t="s">
        <v>44</v>
      </c>
      <c r="D4202" s="943" t="s">
        <v>45</v>
      </c>
      <c r="E4202" s="1251" t="s">
        <v>4935</v>
      </c>
      <c r="F4202" s="1251" t="s">
        <v>557</v>
      </c>
      <c r="G4202" s="1251">
        <v>9847036255</v>
      </c>
      <c r="H4202" s="1251"/>
      <c r="I4202" s="1251">
        <v>35</v>
      </c>
      <c r="J4202" s="1251" t="s">
        <v>48</v>
      </c>
      <c r="K4202" s="1251" t="s">
        <v>4936</v>
      </c>
      <c r="L4202" s="1251"/>
      <c r="M4202" s="1251" t="s">
        <v>1764</v>
      </c>
      <c r="N4202" s="1400">
        <v>65105</v>
      </c>
      <c r="O4202" s="1400">
        <v>65105</v>
      </c>
      <c r="P4202" s="1414">
        <v>65116</v>
      </c>
      <c r="Q4202" s="1415" t="s">
        <v>51</v>
      </c>
    </row>
    <row r="4203" spans="1:17">
      <c r="A4203" s="1399">
        <f t="shared" si="59"/>
        <v>3356</v>
      </c>
      <c r="B4203" s="1213" t="s">
        <v>43</v>
      </c>
      <c r="C4203" s="1146" t="s">
        <v>44</v>
      </c>
      <c r="D4203" s="1146" t="s">
        <v>45</v>
      </c>
      <c r="E4203" s="128" t="s">
        <v>4937</v>
      </c>
      <c r="F4203" s="128" t="s">
        <v>1204</v>
      </c>
      <c r="G4203" s="247">
        <v>9841577000</v>
      </c>
      <c r="H4203" s="128"/>
      <c r="I4203" s="247">
        <v>65</v>
      </c>
      <c r="J4203" s="128" t="s">
        <v>90</v>
      </c>
      <c r="K4203" s="120" t="s">
        <v>53</v>
      </c>
      <c r="L4203" s="128"/>
      <c r="M4203" s="128" t="s">
        <v>1764</v>
      </c>
      <c r="N4203" s="1310">
        <v>65107</v>
      </c>
      <c r="O4203" s="1310">
        <v>65107</v>
      </c>
      <c r="P4203" s="582">
        <v>65117</v>
      </c>
      <c r="Q4203" s="578" t="s">
        <v>51</v>
      </c>
    </row>
    <row r="4204" spans="1:17">
      <c r="A4204" s="1399">
        <f t="shared" si="59"/>
        <v>3357</v>
      </c>
      <c r="B4204" s="1213" t="s">
        <v>43</v>
      </c>
      <c r="C4204" s="1146" t="s">
        <v>44</v>
      </c>
      <c r="D4204" s="1146" t="s">
        <v>45</v>
      </c>
      <c r="E4204" s="128" t="s">
        <v>4938</v>
      </c>
      <c r="F4204" s="128" t="s">
        <v>1009</v>
      </c>
      <c r="G4204" s="247">
        <v>9847665374</v>
      </c>
      <c r="H4204" s="128"/>
      <c r="I4204" s="247">
        <v>70</v>
      </c>
      <c r="J4204" s="128" t="s">
        <v>48</v>
      </c>
      <c r="K4204" s="128" t="s">
        <v>4876</v>
      </c>
      <c r="L4204" s="128"/>
      <c r="M4204" s="128" t="s">
        <v>1764</v>
      </c>
      <c r="N4204" s="1310">
        <v>65107</v>
      </c>
      <c r="O4204" s="1310">
        <v>65107</v>
      </c>
      <c r="P4204" s="582">
        <v>65117</v>
      </c>
      <c r="Q4204" s="578" t="s">
        <v>51</v>
      </c>
    </row>
    <row r="4205" spans="1:17" ht="25.5">
      <c r="A4205" s="1399">
        <f t="shared" si="59"/>
        <v>3358</v>
      </c>
      <c r="B4205" s="1213" t="s">
        <v>43</v>
      </c>
      <c r="C4205" s="1146" t="s">
        <v>44</v>
      </c>
      <c r="D4205" s="1146" t="s">
        <v>45</v>
      </c>
      <c r="E4205" s="128" t="s">
        <v>4939</v>
      </c>
      <c r="F4205" s="128" t="s">
        <v>510</v>
      </c>
      <c r="G4205" s="247">
        <v>9809719806</v>
      </c>
      <c r="H4205" s="128"/>
      <c r="I4205" s="247">
        <v>24</v>
      </c>
      <c r="J4205" s="128" t="s">
        <v>90</v>
      </c>
      <c r="K4205" s="128" t="s">
        <v>4940</v>
      </c>
      <c r="L4205" s="128"/>
      <c r="M4205" s="128" t="s">
        <v>1764</v>
      </c>
      <c r="N4205" s="1310">
        <v>65107</v>
      </c>
      <c r="O4205" s="1310">
        <v>65107</v>
      </c>
      <c r="P4205" s="582">
        <v>65117</v>
      </c>
      <c r="Q4205" s="578" t="s">
        <v>51</v>
      </c>
    </row>
    <row r="4206" spans="1:17" ht="25.5">
      <c r="A4206" s="1399">
        <f t="shared" si="59"/>
        <v>3359</v>
      </c>
      <c r="B4206" s="1213" t="s">
        <v>43</v>
      </c>
      <c r="C4206" s="1146" t="s">
        <v>44</v>
      </c>
      <c r="D4206" s="1146" t="s">
        <v>45</v>
      </c>
      <c r="E4206" s="128" t="s">
        <v>4941</v>
      </c>
      <c r="F4206" s="128" t="s">
        <v>510</v>
      </c>
      <c r="G4206" s="247">
        <v>9847336709</v>
      </c>
      <c r="H4206" s="128"/>
      <c r="I4206" s="247">
        <v>24</v>
      </c>
      <c r="J4206" s="128" t="s">
        <v>90</v>
      </c>
      <c r="K4206" s="128" t="s">
        <v>4940</v>
      </c>
      <c r="L4206" s="128"/>
      <c r="M4206" s="128" t="s">
        <v>1764</v>
      </c>
      <c r="N4206" s="1310">
        <v>65107</v>
      </c>
      <c r="O4206" s="1310">
        <v>65107</v>
      </c>
      <c r="P4206" s="582">
        <v>65117</v>
      </c>
      <c r="Q4206" s="578" t="s">
        <v>51</v>
      </c>
    </row>
    <row r="4207" spans="1:17" ht="25.5">
      <c r="A4207" s="1399">
        <f t="shared" si="59"/>
        <v>3360</v>
      </c>
      <c r="B4207" s="1213" t="s">
        <v>43</v>
      </c>
      <c r="C4207" s="1146" t="s">
        <v>44</v>
      </c>
      <c r="D4207" s="1146" t="s">
        <v>45</v>
      </c>
      <c r="E4207" s="128" t="s">
        <v>4942</v>
      </c>
      <c r="F4207" s="128" t="s">
        <v>502</v>
      </c>
      <c r="G4207" s="247">
        <v>9822920886</v>
      </c>
      <c r="H4207" s="128"/>
      <c r="I4207" s="247">
        <v>20</v>
      </c>
      <c r="J4207" s="128" t="s">
        <v>90</v>
      </c>
      <c r="K4207" s="128" t="s">
        <v>4940</v>
      </c>
      <c r="L4207" s="128"/>
      <c r="M4207" s="128" t="s">
        <v>1764</v>
      </c>
      <c r="N4207" s="1310">
        <v>65107</v>
      </c>
      <c r="O4207" s="1310">
        <v>65107</v>
      </c>
      <c r="P4207" s="582">
        <v>65117</v>
      </c>
      <c r="Q4207" s="578" t="s">
        <v>51</v>
      </c>
    </row>
    <row r="4208" spans="1:17">
      <c r="A4208" s="1399">
        <f t="shared" si="59"/>
        <v>3361</v>
      </c>
      <c r="B4208" s="1213" t="s">
        <v>43</v>
      </c>
      <c r="C4208" s="1146" t="s">
        <v>44</v>
      </c>
      <c r="D4208" s="1146" t="s">
        <v>45</v>
      </c>
      <c r="E4208" s="128" t="s">
        <v>4943</v>
      </c>
      <c r="F4208" s="128" t="s">
        <v>124</v>
      </c>
      <c r="G4208" s="247">
        <v>9847884793</v>
      </c>
      <c r="H4208" s="56"/>
      <c r="I4208" s="247">
        <v>29</v>
      </c>
      <c r="J4208" s="128" t="s">
        <v>90</v>
      </c>
      <c r="K4208" s="128" t="s">
        <v>1763</v>
      </c>
      <c r="L4208" s="56"/>
      <c r="M4208" s="128" t="s">
        <v>1764</v>
      </c>
      <c r="N4208" s="1310">
        <v>65106</v>
      </c>
      <c r="O4208" s="1310">
        <v>65106</v>
      </c>
      <c r="P4208" s="459">
        <v>65118</v>
      </c>
      <c r="Q4208" s="432" t="s">
        <v>51</v>
      </c>
    </row>
    <row r="4209" spans="1:17">
      <c r="A4209" s="1399">
        <f t="shared" si="59"/>
        <v>3362</v>
      </c>
      <c r="B4209" s="1213" t="s">
        <v>43</v>
      </c>
      <c r="C4209" s="1146" t="s">
        <v>44</v>
      </c>
      <c r="D4209" s="1146" t="s">
        <v>45</v>
      </c>
      <c r="E4209" s="128" t="s">
        <v>2397</v>
      </c>
      <c r="F4209" s="128" t="s">
        <v>636</v>
      </c>
      <c r="G4209" s="247">
        <v>9847809295</v>
      </c>
      <c r="H4209" s="128"/>
      <c r="I4209" s="247">
        <v>27</v>
      </c>
      <c r="J4209" s="128" t="s">
        <v>48</v>
      </c>
      <c r="K4209" s="120" t="s">
        <v>53</v>
      </c>
      <c r="L4209" s="128"/>
      <c r="M4209" s="247" t="s">
        <v>1764</v>
      </c>
      <c r="N4209" s="1403">
        <v>65108</v>
      </c>
      <c r="O4209" s="1403">
        <v>65108</v>
      </c>
      <c r="P4209" s="514">
        <v>65119</v>
      </c>
      <c r="Q4209" s="512" t="s">
        <v>51</v>
      </c>
    </row>
    <row r="4210" spans="1:17">
      <c r="A4210" s="1399">
        <f t="shared" si="59"/>
        <v>3363</v>
      </c>
      <c r="B4210" s="1213" t="s">
        <v>43</v>
      </c>
      <c r="C4210" s="1146" t="s">
        <v>44</v>
      </c>
      <c r="D4210" s="1146" t="s">
        <v>45</v>
      </c>
      <c r="E4210" s="1406" t="s">
        <v>4952</v>
      </c>
      <c r="F4210" s="434" t="s">
        <v>529</v>
      </c>
      <c r="G4210" s="247">
        <v>9866828517</v>
      </c>
      <c r="I4210" s="434">
        <v>44</v>
      </c>
      <c r="J4210" s="128" t="s">
        <v>90</v>
      </c>
      <c r="K4210" s="128" t="s">
        <v>1763</v>
      </c>
      <c r="M4210" s="128" t="s">
        <v>1764</v>
      </c>
      <c r="N4210" s="730">
        <v>65108</v>
      </c>
      <c r="O4210" s="730">
        <v>65108</v>
      </c>
      <c r="P4210" s="514">
        <v>65119</v>
      </c>
      <c r="Q4210" s="512" t="s">
        <v>51</v>
      </c>
    </row>
    <row r="4211" spans="1:17">
      <c r="A4211" s="1399">
        <f t="shared" si="59"/>
        <v>3364</v>
      </c>
      <c r="B4211" s="1213" t="s">
        <v>43</v>
      </c>
      <c r="C4211" s="1146" t="s">
        <v>44</v>
      </c>
      <c r="D4211" s="1146" t="s">
        <v>45</v>
      </c>
      <c r="E4211" s="1407" t="s">
        <v>244</v>
      </c>
      <c r="F4211" s="434" t="s">
        <v>529</v>
      </c>
      <c r="G4211" s="247">
        <v>9866828517</v>
      </c>
      <c r="I4211" s="434">
        <v>32</v>
      </c>
      <c r="J4211" s="128" t="s">
        <v>90</v>
      </c>
      <c r="K4211" s="128" t="s">
        <v>1763</v>
      </c>
      <c r="M4211" s="128" t="s">
        <v>1764</v>
      </c>
      <c r="N4211" s="730">
        <v>65108</v>
      </c>
      <c r="O4211" s="730">
        <v>65108</v>
      </c>
      <c r="P4211" s="514">
        <v>65119</v>
      </c>
      <c r="Q4211" s="512" t="s">
        <v>51</v>
      </c>
    </row>
    <row r="4212" spans="1:17">
      <c r="A4212" s="1399">
        <f t="shared" si="59"/>
        <v>3365</v>
      </c>
      <c r="B4212" s="1213" t="s">
        <v>43</v>
      </c>
      <c r="C4212" s="1146" t="s">
        <v>44</v>
      </c>
      <c r="D4212" s="1146" t="s">
        <v>45</v>
      </c>
      <c r="E4212" s="1406" t="s">
        <v>4953</v>
      </c>
      <c r="F4212" s="434" t="s">
        <v>529</v>
      </c>
      <c r="G4212" s="247">
        <v>9829536225</v>
      </c>
      <c r="I4212" s="434">
        <v>13</v>
      </c>
      <c r="J4212" s="128" t="s">
        <v>48</v>
      </c>
      <c r="K4212" s="128" t="s">
        <v>1763</v>
      </c>
      <c r="M4212" s="128" t="s">
        <v>1764</v>
      </c>
      <c r="N4212" s="730">
        <v>65108</v>
      </c>
      <c r="O4212" s="730">
        <v>65108</v>
      </c>
      <c r="P4212" s="514">
        <v>65119</v>
      </c>
      <c r="Q4212" s="512" t="s">
        <v>51</v>
      </c>
    </row>
    <row r="4213" spans="1:17">
      <c r="A4213" s="1399">
        <f t="shared" si="59"/>
        <v>3366</v>
      </c>
      <c r="B4213" s="1213" t="s">
        <v>43</v>
      </c>
      <c r="C4213" s="1146" t="s">
        <v>44</v>
      </c>
      <c r="D4213" s="1146" t="s">
        <v>45</v>
      </c>
      <c r="E4213" s="1407" t="s">
        <v>4954</v>
      </c>
      <c r="F4213" s="434" t="s">
        <v>529</v>
      </c>
      <c r="G4213" s="247">
        <v>9829536225</v>
      </c>
      <c r="I4213" s="434">
        <v>48</v>
      </c>
      <c r="J4213" s="128" t="s">
        <v>90</v>
      </c>
      <c r="K4213" s="128" t="s">
        <v>1763</v>
      </c>
      <c r="M4213" s="128" t="s">
        <v>1764</v>
      </c>
      <c r="N4213" s="730">
        <v>65108</v>
      </c>
      <c r="O4213" s="730">
        <v>65108</v>
      </c>
      <c r="P4213" s="514">
        <v>65119</v>
      </c>
      <c r="Q4213" s="512" t="s">
        <v>51</v>
      </c>
    </row>
    <row r="4214" spans="1:17">
      <c r="A4214" s="1399">
        <f t="shared" si="59"/>
        <v>3367</v>
      </c>
      <c r="B4214" s="1213" t="s">
        <v>43</v>
      </c>
      <c r="C4214" s="1146" t="s">
        <v>44</v>
      </c>
      <c r="D4214" s="1146" t="s">
        <v>45</v>
      </c>
      <c r="E4214" s="1406" t="s">
        <v>4951</v>
      </c>
      <c r="F4214" s="434" t="s">
        <v>1046</v>
      </c>
      <c r="G4214" s="247">
        <v>9847884146</v>
      </c>
      <c r="I4214" s="434">
        <v>46</v>
      </c>
      <c r="J4214" s="128" t="s">
        <v>48</v>
      </c>
      <c r="K4214" s="128" t="s">
        <v>1763</v>
      </c>
      <c r="M4214" s="128" t="s">
        <v>1764</v>
      </c>
      <c r="N4214" s="730">
        <v>65109</v>
      </c>
      <c r="O4214" s="730">
        <v>65109</v>
      </c>
      <c r="P4214" s="459">
        <v>65120</v>
      </c>
      <c r="Q4214" s="432" t="s">
        <v>51</v>
      </c>
    </row>
    <row r="4215" spans="1:17">
      <c r="A4215" s="1399">
        <f t="shared" si="59"/>
        <v>3368</v>
      </c>
      <c r="B4215" s="1213" t="s">
        <v>43</v>
      </c>
      <c r="C4215" s="1146" t="s">
        <v>44</v>
      </c>
      <c r="D4215" s="1146" t="s">
        <v>45</v>
      </c>
      <c r="E4215" s="128" t="s">
        <v>4945</v>
      </c>
      <c r="F4215" s="128" t="s">
        <v>441</v>
      </c>
      <c r="G4215" s="247">
        <v>9813894614</v>
      </c>
      <c r="H4215" s="128"/>
      <c r="I4215" s="247">
        <v>30</v>
      </c>
      <c r="J4215" s="128" t="s">
        <v>48</v>
      </c>
      <c r="K4215" s="128" t="s">
        <v>4950</v>
      </c>
      <c r="L4215" s="128"/>
      <c r="M4215" s="128" t="s">
        <v>1764</v>
      </c>
      <c r="N4215" s="1310">
        <v>65109</v>
      </c>
      <c r="O4215" s="1310">
        <v>65109</v>
      </c>
      <c r="P4215" s="459">
        <v>65120</v>
      </c>
      <c r="Q4215" s="432" t="s">
        <v>51</v>
      </c>
    </row>
    <row r="4216" spans="1:17">
      <c r="A4216" s="1399">
        <f t="shared" si="59"/>
        <v>3369</v>
      </c>
      <c r="B4216" s="1213" t="s">
        <v>43</v>
      </c>
      <c r="C4216" s="1146" t="s">
        <v>44</v>
      </c>
      <c r="D4216" s="1146" t="s">
        <v>45</v>
      </c>
      <c r="E4216" s="128" t="s">
        <v>4946</v>
      </c>
      <c r="F4216" s="128" t="s">
        <v>502</v>
      </c>
      <c r="G4216" s="247">
        <v>9857863163</v>
      </c>
      <c r="H4216" s="128"/>
      <c r="I4216" s="247">
        <v>65</v>
      </c>
      <c r="J4216" s="128" t="s">
        <v>48</v>
      </c>
      <c r="K4216" s="120" t="s">
        <v>1480</v>
      </c>
      <c r="L4216" s="128"/>
      <c r="M4216" s="128" t="s">
        <v>1764</v>
      </c>
      <c r="N4216" s="1310">
        <v>65110</v>
      </c>
      <c r="O4216" s="1310">
        <v>65110</v>
      </c>
      <c r="P4216" s="582">
        <v>65122</v>
      </c>
      <c r="Q4216" s="578" t="s">
        <v>51</v>
      </c>
    </row>
    <row r="4217" spans="1:17">
      <c r="A4217" s="1399">
        <f t="shared" si="59"/>
        <v>3370</v>
      </c>
      <c r="B4217" s="1213" t="s">
        <v>43</v>
      </c>
      <c r="C4217" s="1146" t="s">
        <v>44</v>
      </c>
      <c r="D4217" s="1146" t="s">
        <v>45</v>
      </c>
      <c r="E4217" s="128" t="s">
        <v>4947</v>
      </c>
      <c r="F4217" s="128" t="s">
        <v>502</v>
      </c>
      <c r="G4217" s="247">
        <v>9847912615</v>
      </c>
      <c r="H4217" s="128"/>
      <c r="I4217" s="247">
        <v>38</v>
      </c>
      <c r="J4217" s="128" t="s">
        <v>90</v>
      </c>
      <c r="K4217" s="120" t="s">
        <v>1480</v>
      </c>
      <c r="L4217" s="128"/>
      <c r="M4217" s="128" t="s">
        <v>1764</v>
      </c>
      <c r="N4217" s="1310">
        <v>65110</v>
      </c>
      <c r="O4217" s="1310">
        <v>65110</v>
      </c>
      <c r="P4217" s="582">
        <v>65122</v>
      </c>
      <c r="Q4217" s="578" t="s">
        <v>51</v>
      </c>
    </row>
    <row r="4218" spans="1:17">
      <c r="A4218" s="1399">
        <f t="shared" si="59"/>
        <v>3371</v>
      </c>
      <c r="B4218" s="1213" t="s">
        <v>43</v>
      </c>
      <c r="C4218" s="1146" t="s">
        <v>44</v>
      </c>
      <c r="D4218" s="1146" t="s">
        <v>45</v>
      </c>
      <c r="E4218" s="128" t="s">
        <v>4948</v>
      </c>
      <c r="F4218" s="128" t="s">
        <v>502</v>
      </c>
      <c r="G4218" s="247">
        <v>9848281252</v>
      </c>
      <c r="H4218" s="128"/>
      <c r="I4218" s="247">
        <v>25</v>
      </c>
      <c r="J4218" s="128" t="s">
        <v>48</v>
      </c>
      <c r="K4218" s="128" t="s">
        <v>4949</v>
      </c>
      <c r="L4218" s="128"/>
      <c r="M4218" s="128" t="s">
        <v>1764</v>
      </c>
      <c r="N4218" s="1403">
        <v>65110</v>
      </c>
      <c r="O4218" s="1403">
        <v>65110</v>
      </c>
      <c r="P4218" s="582">
        <v>65122</v>
      </c>
      <c r="Q4218" s="578" t="s">
        <v>51</v>
      </c>
    </row>
    <row r="4219" spans="1:17">
      <c r="A4219" s="1399">
        <f t="shared" si="59"/>
        <v>3372</v>
      </c>
      <c r="B4219" s="1213" t="s">
        <v>43</v>
      </c>
      <c r="C4219" s="1146" t="s">
        <v>44</v>
      </c>
      <c r="D4219" s="1146" t="s">
        <v>45</v>
      </c>
      <c r="E4219" s="128" t="s">
        <v>4964</v>
      </c>
      <c r="F4219" s="128" t="s">
        <v>510</v>
      </c>
      <c r="G4219" s="247">
        <v>9808885343</v>
      </c>
      <c r="H4219" s="128"/>
      <c r="I4219" s="247">
        <v>55</v>
      </c>
      <c r="J4219" s="128" t="s">
        <v>90</v>
      </c>
      <c r="K4219" s="1410" t="s">
        <v>4892</v>
      </c>
      <c r="M4219" s="128" t="s">
        <v>1764</v>
      </c>
      <c r="N4219" s="1310">
        <v>65110</v>
      </c>
      <c r="O4219" s="1310">
        <v>65110</v>
      </c>
      <c r="P4219" s="582">
        <v>65122</v>
      </c>
      <c r="Q4219" s="578" t="s">
        <v>51</v>
      </c>
    </row>
    <row r="4220" spans="1:17">
      <c r="A4220" s="1399">
        <f t="shared" si="59"/>
        <v>3373</v>
      </c>
      <c r="B4220" s="1213" t="s">
        <v>43</v>
      </c>
      <c r="C4220" s="1146" t="s">
        <v>44</v>
      </c>
      <c r="D4220" s="1146" t="s">
        <v>45</v>
      </c>
      <c r="E4220" s="128" t="s">
        <v>4965</v>
      </c>
      <c r="F4220" s="128" t="s">
        <v>730</v>
      </c>
      <c r="G4220" s="247">
        <v>9840091719</v>
      </c>
      <c r="H4220" s="128"/>
      <c r="I4220" s="247">
        <v>18</v>
      </c>
      <c r="J4220" s="128" t="s">
        <v>90</v>
      </c>
      <c r="K4220" s="128" t="s">
        <v>4966</v>
      </c>
      <c r="M4220" s="128" t="s">
        <v>1764</v>
      </c>
      <c r="N4220" s="1310">
        <v>65112</v>
      </c>
      <c r="O4220" s="1310">
        <v>65112</v>
      </c>
      <c r="P4220" s="459">
        <v>65123</v>
      </c>
      <c r="Q4220" s="432" t="s">
        <v>51</v>
      </c>
    </row>
    <row r="4221" spans="1:17">
      <c r="A4221" s="1399">
        <f t="shared" si="59"/>
        <v>3374</v>
      </c>
      <c r="B4221" s="1213" t="s">
        <v>43</v>
      </c>
      <c r="C4221" s="1146" t="s">
        <v>44</v>
      </c>
      <c r="D4221" s="1146" t="s">
        <v>45</v>
      </c>
      <c r="E4221" s="128" t="s">
        <v>4967</v>
      </c>
      <c r="F4221" s="128" t="s">
        <v>491</v>
      </c>
      <c r="G4221" s="247">
        <v>9812821399</v>
      </c>
      <c r="H4221" s="128"/>
      <c r="I4221" s="247">
        <v>61</v>
      </c>
      <c r="J4221" s="128" t="s">
        <v>48</v>
      </c>
      <c r="K4221" s="128" t="s">
        <v>4835</v>
      </c>
      <c r="M4221" s="128" t="s">
        <v>1764</v>
      </c>
      <c r="N4221" s="1310">
        <v>65112</v>
      </c>
      <c r="O4221" s="1310">
        <v>65112</v>
      </c>
      <c r="P4221" s="459">
        <v>65123</v>
      </c>
      <c r="Q4221" s="432" t="s">
        <v>51</v>
      </c>
    </row>
    <row r="4222" spans="1:17">
      <c r="A4222" s="1399">
        <f t="shared" si="59"/>
        <v>3375</v>
      </c>
      <c r="B4222" s="1213" t="s">
        <v>43</v>
      </c>
      <c r="C4222" s="1146" t="s">
        <v>44</v>
      </c>
      <c r="D4222" s="1146" t="s">
        <v>45</v>
      </c>
      <c r="E4222" s="128" t="s">
        <v>4968</v>
      </c>
      <c r="F4222" s="128" t="s">
        <v>730</v>
      </c>
      <c r="G4222" s="247">
        <v>9864421051</v>
      </c>
      <c r="H4222" s="128"/>
      <c r="I4222" s="247">
        <v>0</v>
      </c>
      <c r="J4222" s="128" t="s">
        <v>90</v>
      </c>
      <c r="K4222" s="120" t="s">
        <v>53</v>
      </c>
      <c r="M4222" s="128" t="s">
        <v>1764</v>
      </c>
      <c r="N4222" s="1310">
        <v>65112</v>
      </c>
      <c r="O4222" s="1310">
        <v>65112</v>
      </c>
      <c r="P4222" s="459">
        <v>65123</v>
      </c>
      <c r="Q4222" s="432" t="s">
        <v>51</v>
      </c>
    </row>
    <row r="4223" spans="1:17">
      <c r="A4223" s="1399">
        <f t="shared" si="59"/>
        <v>3376</v>
      </c>
      <c r="B4223" s="1213" t="s">
        <v>43</v>
      </c>
      <c r="C4223" s="1146" t="s">
        <v>44</v>
      </c>
      <c r="D4223" s="1146" t="s">
        <v>45</v>
      </c>
      <c r="E4223" s="128" t="s">
        <v>4969</v>
      </c>
      <c r="F4223" s="128" t="s">
        <v>1008</v>
      </c>
      <c r="G4223" s="247">
        <v>9866810395</v>
      </c>
      <c r="H4223" s="128"/>
      <c r="I4223" s="247">
        <v>0</v>
      </c>
      <c r="J4223" s="128" t="s">
        <v>48</v>
      </c>
      <c r="K4223" s="120" t="s">
        <v>53</v>
      </c>
      <c r="M4223" s="128" t="s">
        <v>1764</v>
      </c>
      <c r="N4223" s="1310">
        <v>65113</v>
      </c>
      <c r="O4223" s="1310">
        <v>65113</v>
      </c>
      <c r="P4223" s="459">
        <v>65124</v>
      </c>
      <c r="Q4223" s="432" t="s">
        <v>51</v>
      </c>
    </row>
    <row r="4224" spans="1:17">
      <c r="A4224" s="1399">
        <f t="shared" si="59"/>
        <v>3377</v>
      </c>
      <c r="B4224" s="1213" t="s">
        <v>43</v>
      </c>
      <c r="C4224" s="1146" t="s">
        <v>44</v>
      </c>
      <c r="D4224" s="1146" t="s">
        <v>45</v>
      </c>
      <c r="E4224" s="128" t="s">
        <v>4970</v>
      </c>
      <c r="F4224" s="128" t="s">
        <v>491</v>
      </c>
      <c r="G4224" s="247">
        <v>9868663977</v>
      </c>
      <c r="H4224" s="128"/>
      <c r="I4224" s="247">
        <v>41</v>
      </c>
      <c r="J4224" s="128" t="s">
        <v>90</v>
      </c>
      <c r="K4224" s="120" t="s">
        <v>1480</v>
      </c>
      <c r="M4224" s="128" t="s">
        <v>1764</v>
      </c>
      <c r="N4224" s="1310">
        <v>65113</v>
      </c>
      <c r="O4224" s="1310">
        <v>65113</v>
      </c>
      <c r="P4224" s="459">
        <v>65124</v>
      </c>
      <c r="Q4224" s="432" t="s">
        <v>51</v>
      </c>
    </row>
    <row r="4225" spans="1:17">
      <c r="A4225" s="1399">
        <f t="shared" si="59"/>
        <v>3378</v>
      </c>
      <c r="B4225" s="1213" t="s">
        <v>43</v>
      </c>
      <c r="C4225" s="1146" t="s">
        <v>44</v>
      </c>
      <c r="D4225" s="1146" t="s">
        <v>45</v>
      </c>
      <c r="E4225" s="1315" t="s">
        <v>4971</v>
      </c>
      <c r="F4225" s="1106" t="s">
        <v>441</v>
      </c>
      <c r="G4225" s="1286">
        <v>9847948094</v>
      </c>
      <c r="H4225" s="892"/>
      <c r="I4225" s="1106">
        <v>34</v>
      </c>
      <c r="J4225" s="1158" t="s">
        <v>90</v>
      </c>
      <c r="K4225" s="932" t="s">
        <v>1480</v>
      </c>
      <c r="L4225" s="1106"/>
      <c r="M4225" s="1158" t="s">
        <v>1764</v>
      </c>
      <c r="N4225" s="1395">
        <v>65114</v>
      </c>
      <c r="O4225" s="1395">
        <v>65114</v>
      </c>
      <c r="P4225" s="582">
        <v>65125</v>
      </c>
      <c r="Q4225" s="578" t="s">
        <v>51</v>
      </c>
    </row>
    <row r="4226" spans="1:17">
      <c r="A4226" s="1399">
        <f t="shared" si="59"/>
        <v>3379</v>
      </c>
      <c r="B4226" s="1213" t="s">
        <v>43</v>
      </c>
      <c r="C4226" s="1146" t="s">
        <v>44</v>
      </c>
      <c r="D4226" s="1146" t="s">
        <v>45</v>
      </c>
      <c r="E4226" s="247" t="s">
        <v>4972</v>
      </c>
      <c r="F4226" s="247" t="s">
        <v>441</v>
      </c>
      <c r="G4226" s="247">
        <v>9868606361</v>
      </c>
      <c r="H4226" s="247"/>
      <c r="I4226" s="247">
        <v>25</v>
      </c>
      <c r="J4226" s="247" t="s">
        <v>90</v>
      </c>
      <c r="K4226" s="247" t="s">
        <v>1763</v>
      </c>
      <c r="L4226" s="247"/>
      <c r="M4226" s="247" t="s">
        <v>1764</v>
      </c>
      <c r="N4226" s="1257">
        <v>65114</v>
      </c>
      <c r="O4226" s="1257">
        <v>65114</v>
      </c>
      <c r="P4226" s="582">
        <v>65125</v>
      </c>
      <c r="Q4226" s="578" t="s">
        <v>51</v>
      </c>
    </row>
    <row r="4227" spans="1:17">
      <c r="A4227" s="1399">
        <f t="shared" si="59"/>
        <v>3380</v>
      </c>
      <c r="B4227" s="1213" t="s">
        <v>43</v>
      </c>
      <c r="C4227" s="1146" t="s">
        <v>44</v>
      </c>
      <c r="D4227" s="1146" t="s">
        <v>45</v>
      </c>
      <c r="E4227" s="247" t="s">
        <v>4973</v>
      </c>
      <c r="F4227" s="247" t="s">
        <v>510</v>
      </c>
      <c r="G4227" s="247">
        <v>9866828257</v>
      </c>
      <c r="H4227" s="247"/>
      <c r="I4227" s="247">
        <v>32</v>
      </c>
      <c r="J4227" s="247" t="s">
        <v>90</v>
      </c>
      <c r="K4227" s="247" t="s">
        <v>1763</v>
      </c>
      <c r="L4227" s="247"/>
      <c r="M4227" s="247" t="s">
        <v>1764</v>
      </c>
      <c r="N4227" s="1257">
        <v>65114</v>
      </c>
      <c r="O4227" s="1257">
        <v>65114</v>
      </c>
      <c r="P4227" s="582">
        <v>65125</v>
      </c>
      <c r="Q4227" s="578" t="s">
        <v>51</v>
      </c>
    </row>
    <row r="4228" spans="1:17">
      <c r="A4228" s="1399">
        <f t="shared" si="59"/>
        <v>3381</v>
      </c>
      <c r="B4228" s="1213" t="s">
        <v>43</v>
      </c>
      <c r="C4228" s="1146" t="s">
        <v>44</v>
      </c>
      <c r="D4228" s="1146" t="s">
        <v>45</v>
      </c>
      <c r="E4228" s="247" t="s">
        <v>4974</v>
      </c>
      <c r="F4228" s="247" t="s">
        <v>441</v>
      </c>
      <c r="G4228" s="247">
        <v>9868606361</v>
      </c>
      <c r="H4228" s="247"/>
      <c r="I4228" s="247">
        <v>70</v>
      </c>
      <c r="J4228" s="247" t="s">
        <v>48</v>
      </c>
      <c r="K4228" s="247" t="s">
        <v>1763</v>
      </c>
      <c r="L4228" s="247"/>
      <c r="M4228" s="247" t="s">
        <v>1764</v>
      </c>
      <c r="N4228" s="1257">
        <v>65114</v>
      </c>
      <c r="O4228" s="1257">
        <v>65114</v>
      </c>
      <c r="P4228" s="582">
        <v>65125</v>
      </c>
      <c r="Q4228" s="578" t="s">
        <v>51</v>
      </c>
    </row>
    <row r="4229" spans="1:17" ht="25.5">
      <c r="A4229" s="1399">
        <f t="shared" si="59"/>
        <v>3382</v>
      </c>
      <c r="B4229" s="1213" t="s">
        <v>43</v>
      </c>
      <c r="C4229" s="1146" t="s">
        <v>44</v>
      </c>
      <c r="D4229" s="1146" t="s">
        <v>45</v>
      </c>
      <c r="E4229" s="247" t="s">
        <v>4975</v>
      </c>
      <c r="F4229" s="247" t="s">
        <v>441</v>
      </c>
      <c r="G4229" s="247">
        <v>9857854030</v>
      </c>
      <c r="H4229" s="247"/>
      <c r="I4229" s="247">
        <v>28</v>
      </c>
      <c r="J4229" s="247" t="s">
        <v>48</v>
      </c>
      <c r="K4229" s="247" t="s">
        <v>4981</v>
      </c>
      <c r="L4229" s="247"/>
      <c r="M4229" s="247" t="s">
        <v>1764</v>
      </c>
      <c r="N4229" s="1257">
        <v>65114</v>
      </c>
      <c r="O4229" s="1257">
        <v>65114</v>
      </c>
      <c r="P4229" s="582">
        <v>65125</v>
      </c>
      <c r="Q4229" s="578" t="s">
        <v>51</v>
      </c>
    </row>
    <row r="4230" spans="1:17" ht="25.5">
      <c r="A4230" s="1399">
        <f t="shared" si="59"/>
        <v>3383</v>
      </c>
      <c r="B4230" s="1213" t="s">
        <v>43</v>
      </c>
      <c r="C4230" s="1146" t="s">
        <v>44</v>
      </c>
      <c r="D4230" s="1146" t="s">
        <v>45</v>
      </c>
      <c r="E4230" s="128" t="s">
        <v>4982</v>
      </c>
      <c r="F4230" s="128" t="s">
        <v>598</v>
      </c>
      <c r="G4230" s="247">
        <v>9822928097</v>
      </c>
      <c r="H4230" s="128"/>
      <c r="I4230" s="247">
        <v>42</v>
      </c>
      <c r="J4230" s="128" t="s">
        <v>48</v>
      </c>
      <c r="K4230" s="128" t="s">
        <v>4983</v>
      </c>
      <c r="L4230" s="128"/>
      <c r="M4230" s="128" t="s">
        <v>1764</v>
      </c>
      <c r="N4230" s="1310">
        <v>65114</v>
      </c>
      <c r="O4230" s="1310">
        <v>65114</v>
      </c>
      <c r="P4230" s="582">
        <v>65125</v>
      </c>
      <c r="Q4230" s="578" t="s">
        <v>51</v>
      </c>
    </row>
    <row r="4231" spans="1:17">
      <c r="A4231" s="1399">
        <f t="shared" si="59"/>
        <v>3384</v>
      </c>
      <c r="B4231" s="1213" t="s">
        <v>43</v>
      </c>
      <c r="C4231" s="1146" t="s">
        <v>44</v>
      </c>
      <c r="D4231" s="1146" t="s">
        <v>45</v>
      </c>
      <c r="E4231" s="128" t="s">
        <v>4984</v>
      </c>
      <c r="F4231" s="128" t="s">
        <v>491</v>
      </c>
      <c r="G4231" s="247">
        <v>9847943391</v>
      </c>
      <c r="H4231" s="128"/>
      <c r="I4231" s="247">
        <v>27</v>
      </c>
      <c r="J4231" s="128" t="s">
        <v>90</v>
      </c>
      <c r="K4231" s="1258" t="s">
        <v>4556</v>
      </c>
      <c r="L4231" s="128"/>
      <c r="M4231" s="128" t="s">
        <v>1764</v>
      </c>
      <c r="N4231" s="1310">
        <v>65114</v>
      </c>
      <c r="O4231" s="1310">
        <v>65114</v>
      </c>
      <c r="P4231" s="582">
        <v>65125</v>
      </c>
      <c r="Q4231" s="578" t="s">
        <v>51</v>
      </c>
    </row>
    <row r="4232" spans="1:17">
      <c r="A4232" s="1399">
        <f t="shared" si="59"/>
        <v>3385</v>
      </c>
      <c r="B4232" s="1213" t="s">
        <v>43</v>
      </c>
      <c r="C4232" s="1146" t="s">
        <v>44</v>
      </c>
      <c r="D4232" s="1146" t="s">
        <v>45</v>
      </c>
      <c r="E4232" s="128" t="s">
        <v>4985</v>
      </c>
      <c r="F4232" s="128" t="s">
        <v>124</v>
      </c>
      <c r="G4232" s="247">
        <v>9866862008</v>
      </c>
      <c r="H4232" s="128"/>
      <c r="I4232" s="247">
        <v>30</v>
      </c>
      <c r="J4232" s="128" t="s">
        <v>48</v>
      </c>
      <c r="K4232" s="120" t="s">
        <v>1480</v>
      </c>
      <c r="L4232" s="128"/>
      <c r="M4232" s="128" t="s">
        <v>1764</v>
      </c>
      <c r="N4232" s="1310">
        <v>65115</v>
      </c>
      <c r="O4232" s="1310">
        <v>65115</v>
      </c>
      <c r="P4232" s="459">
        <v>65126</v>
      </c>
      <c r="Q4232" s="432" t="s">
        <v>51</v>
      </c>
    </row>
    <row r="4233" spans="1:17">
      <c r="A4233" s="1399">
        <f t="shared" si="59"/>
        <v>3386</v>
      </c>
      <c r="B4233" s="1213" t="s">
        <v>43</v>
      </c>
      <c r="C4233" s="1146" t="s">
        <v>44</v>
      </c>
      <c r="D4233" s="1146" t="s">
        <v>45</v>
      </c>
      <c r="E4233" s="128" t="s">
        <v>4503</v>
      </c>
      <c r="F4233" s="128" t="s">
        <v>730</v>
      </c>
      <c r="G4233" s="247">
        <v>9829536679</v>
      </c>
      <c r="H4233" s="128"/>
      <c r="I4233" s="247">
        <v>50</v>
      </c>
      <c r="J4233" s="128" t="s">
        <v>90</v>
      </c>
      <c r="K4233" s="120" t="s">
        <v>1480</v>
      </c>
      <c r="L4233" s="128"/>
      <c r="M4233" s="128" t="s">
        <v>4986</v>
      </c>
      <c r="N4233" s="1310">
        <v>65116</v>
      </c>
      <c r="O4233" s="1310">
        <v>65116</v>
      </c>
      <c r="P4233" s="541">
        <v>65127</v>
      </c>
      <c r="Q4233" s="533" t="s">
        <v>51</v>
      </c>
    </row>
    <row r="4234" spans="1:17">
      <c r="A4234" s="1399">
        <f t="shared" si="59"/>
        <v>3387</v>
      </c>
      <c r="B4234" s="1213" t="s">
        <v>43</v>
      </c>
      <c r="C4234" s="1146" t="s">
        <v>44</v>
      </c>
      <c r="D4234" s="1146" t="s">
        <v>45</v>
      </c>
      <c r="E4234" s="128" t="s">
        <v>4987</v>
      </c>
      <c r="F4234" s="128" t="s">
        <v>1008</v>
      </c>
      <c r="G4234" s="247">
        <v>9812858085</v>
      </c>
      <c r="H4234" s="128"/>
      <c r="I4234" s="247">
        <v>33</v>
      </c>
      <c r="J4234" s="128" t="s">
        <v>90</v>
      </c>
      <c r="K4234" s="120" t="s">
        <v>53</v>
      </c>
      <c r="L4234" s="128"/>
      <c r="M4234" s="128" t="s">
        <v>4986</v>
      </c>
      <c r="N4234" s="1310">
        <v>65116</v>
      </c>
      <c r="O4234" s="1310">
        <v>65116</v>
      </c>
      <c r="P4234" s="541">
        <v>65127</v>
      </c>
      <c r="Q4234" s="533" t="s">
        <v>51</v>
      </c>
    </row>
    <row r="4235" spans="1:17">
      <c r="A4235" s="1399">
        <f t="shared" si="59"/>
        <v>3388</v>
      </c>
      <c r="B4235" s="1213" t="s">
        <v>43</v>
      </c>
      <c r="C4235" s="1146" t="s">
        <v>44</v>
      </c>
      <c r="D4235" s="1146" t="s">
        <v>45</v>
      </c>
      <c r="E4235" s="128" t="s">
        <v>4988</v>
      </c>
      <c r="F4235" s="128" t="s">
        <v>557</v>
      </c>
      <c r="G4235" s="247">
        <v>9806288769</v>
      </c>
      <c r="H4235" s="128"/>
      <c r="I4235" s="247">
        <v>23</v>
      </c>
      <c r="J4235" s="128" t="s">
        <v>90</v>
      </c>
      <c r="K4235" s="120" t="s">
        <v>53</v>
      </c>
      <c r="L4235" s="128"/>
      <c r="M4235" s="128" t="s">
        <v>4986</v>
      </c>
      <c r="N4235" s="1310">
        <v>65116</v>
      </c>
      <c r="O4235" s="1310">
        <v>65116</v>
      </c>
      <c r="P4235" s="541">
        <v>65127</v>
      </c>
      <c r="Q4235" s="533" t="s">
        <v>51</v>
      </c>
    </row>
    <row r="4236" spans="1:17">
      <c r="A4236" s="1399">
        <f t="shared" si="59"/>
        <v>3389</v>
      </c>
      <c r="B4236" s="1213" t="s">
        <v>43</v>
      </c>
      <c r="C4236" s="1146" t="s">
        <v>44</v>
      </c>
      <c r="D4236" s="1146" t="s">
        <v>45</v>
      </c>
      <c r="E4236" s="432" t="s">
        <v>4989</v>
      </c>
      <c r="F4236" s="434" t="s">
        <v>1008</v>
      </c>
      <c r="G4236" s="434">
        <v>9857824339</v>
      </c>
      <c r="I4236" s="434">
        <v>31</v>
      </c>
      <c r="J4236" s="128" t="s">
        <v>48</v>
      </c>
      <c r="K4236" s="247" t="s">
        <v>1763</v>
      </c>
      <c r="M4236" s="128" t="s">
        <v>4986</v>
      </c>
      <c r="N4236" s="1310">
        <v>65116</v>
      </c>
      <c r="O4236" s="1310">
        <v>65116</v>
      </c>
      <c r="P4236" s="541">
        <v>65127</v>
      </c>
      <c r="Q4236" s="533" t="s">
        <v>51</v>
      </c>
    </row>
    <row r="4237" spans="1:17">
      <c r="A4237" s="1399">
        <f t="shared" si="59"/>
        <v>3390</v>
      </c>
      <c r="B4237" s="1213" t="s">
        <v>43</v>
      </c>
      <c r="C4237" s="1146" t="s">
        <v>44</v>
      </c>
      <c r="D4237" s="1146" t="s">
        <v>45</v>
      </c>
      <c r="E4237" s="128" t="s">
        <v>5002</v>
      </c>
      <c r="F4237" s="128" t="s">
        <v>529</v>
      </c>
      <c r="G4237" s="247">
        <v>9857823759</v>
      </c>
      <c r="H4237" s="128"/>
      <c r="I4237" s="247">
        <v>60</v>
      </c>
      <c r="J4237" s="128" t="s">
        <v>48</v>
      </c>
      <c r="K4237" s="128" t="s">
        <v>1763</v>
      </c>
      <c r="M4237" s="128" t="s">
        <v>1764</v>
      </c>
      <c r="N4237" s="1310">
        <v>65116</v>
      </c>
      <c r="O4237" s="1310">
        <v>65116</v>
      </c>
      <c r="P4237" s="541">
        <v>65127</v>
      </c>
      <c r="Q4237" s="533" t="s">
        <v>51</v>
      </c>
    </row>
    <row r="4238" spans="1:17">
      <c r="A4238" s="1399">
        <f t="shared" si="59"/>
        <v>3391</v>
      </c>
      <c r="B4238" s="1213" t="s">
        <v>43</v>
      </c>
      <c r="C4238" s="1146" t="s">
        <v>44</v>
      </c>
      <c r="D4238" s="1146" t="s">
        <v>45</v>
      </c>
      <c r="E4238" s="128" t="s">
        <v>5003</v>
      </c>
      <c r="F4238" s="128" t="s">
        <v>529</v>
      </c>
      <c r="G4238" s="247">
        <v>9844968281</v>
      </c>
      <c r="H4238" s="128"/>
      <c r="I4238" s="247">
        <v>60</v>
      </c>
      <c r="J4238" s="128" t="s">
        <v>48</v>
      </c>
      <c r="K4238" s="128" t="s">
        <v>1763</v>
      </c>
      <c r="M4238" s="128" t="s">
        <v>1764</v>
      </c>
      <c r="N4238" s="1310">
        <v>65116</v>
      </c>
      <c r="O4238" s="1310">
        <v>65116</v>
      </c>
      <c r="P4238" s="541">
        <v>65127</v>
      </c>
      <c r="Q4238" s="533" t="s">
        <v>51</v>
      </c>
    </row>
    <row r="4239" spans="1:17">
      <c r="A4239" s="1399">
        <f t="shared" si="59"/>
        <v>3392</v>
      </c>
      <c r="B4239" s="1213" t="s">
        <v>43</v>
      </c>
      <c r="C4239" s="1146" t="s">
        <v>44</v>
      </c>
      <c r="D4239" s="1146" t="s">
        <v>45</v>
      </c>
      <c r="E4239" s="128" t="s">
        <v>4990</v>
      </c>
      <c r="F4239" s="128" t="s">
        <v>529</v>
      </c>
      <c r="G4239" s="247">
        <v>9809511019</v>
      </c>
      <c r="H4239" s="128"/>
      <c r="I4239" s="247">
        <v>20</v>
      </c>
      <c r="J4239" s="128" t="s">
        <v>90</v>
      </c>
      <c r="K4239" s="1258" t="s">
        <v>4556</v>
      </c>
      <c r="L4239" s="894"/>
      <c r="M4239" s="247" t="s">
        <v>1764</v>
      </c>
      <c r="N4239" s="1310">
        <v>65117</v>
      </c>
      <c r="O4239" s="1310">
        <v>65117</v>
      </c>
      <c r="P4239" s="1066">
        <v>65129</v>
      </c>
      <c r="Q4239" s="1067" t="s">
        <v>51</v>
      </c>
    </row>
    <row r="4240" spans="1:17">
      <c r="A4240" s="1399">
        <f t="shared" si="59"/>
        <v>3393</v>
      </c>
      <c r="B4240" s="1213" t="s">
        <v>43</v>
      </c>
      <c r="C4240" s="1146" t="s">
        <v>44</v>
      </c>
      <c r="D4240" s="1146" t="s">
        <v>45</v>
      </c>
      <c r="E4240" s="128" t="s">
        <v>4991</v>
      </c>
      <c r="F4240" s="128" t="s">
        <v>441</v>
      </c>
      <c r="G4240" s="247">
        <v>9845240525</v>
      </c>
      <c r="H4240" s="128"/>
      <c r="I4240" s="247">
        <v>29</v>
      </c>
      <c r="J4240" s="128" t="s">
        <v>48</v>
      </c>
      <c r="K4240" s="1258" t="s">
        <v>4556</v>
      </c>
      <c r="L4240" s="894"/>
      <c r="M4240" s="247" t="s">
        <v>1764</v>
      </c>
      <c r="N4240" s="1310">
        <v>65117</v>
      </c>
      <c r="O4240" s="1310">
        <v>65117</v>
      </c>
      <c r="P4240" s="1066">
        <v>65129</v>
      </c>
      <c r="Q4240" s="1067" t="s">
        <v>51</v>
      </c>
    </row>
    <row r="4241" spans="1:17">
      <c r="A4241" s="1399">
        <f t="shared" si="59"/>
        <v>3394</v>
      </c>
      <c r="B4241" s="1213" t="s">
        <v>43</v>
      </c>
      <c r="C4241" s="1146" t="s">
        <v>44</v>
      </c>
      <c r="D4241" s="1146" t="s">
        <v>45</v>
      </c>
      <c r="E4241" s="128" t="s">
        <v>4992</v>
      </c>
      <c r="F4241" s="128" t="s">
        <v>502</v>
      </c>
      <c r="G4241" s="247">
        <v>9808546689</v>
      </c>
      <c r="H4241" s="128"/>
      <c r="I4241" s="247">
        <v>21</v>
      </c>
      <c r="J4241" s="128" t="s">
        <v>48</v>
      </c>
      <c r="K4241" s="128" t="s">
        <v>4993</v>
      </c>
      <c r="L4241" s="894"/>
      <c r="M4241" s="247" t="s">
        <v>1764</v>
      </c>
      <c r="N4241" s="1310">
        <v>65118</v>
      </c>
      <c r="O4241" s="1310">
        <v>65118</v>
      </c>
      <c r="P4241" s="1066">
        <v>65129</v>
      </c>
      <c r="Q4241" s="1067" t="s">
        <v>51</v>
      </c>
    </row>
    <row r="4242" spans="1:17">
      <c r="A4242" s="1399">
        <f t="shared" si="59"/>
        <v>3395</v>
      </c>
      <c r="B4242" s="1213" t="s">
        <v>43</v>
      </c>
      <c r="C4242" s="1146" t="s">
        <v>44</v>
      </c>
      <c r="D4242" s="1146" t="s">
        <v>45</v>
      </c>
      <c r="E4242" s="128" t="s">
        <v>5001</v>
      </c>
      <c r="F4242" s="128" t="s">
        <v>441</v>
      </c>
      <c r="G4242" s="247">
        <v>9868605716</v>
      </c>
      <c r="H4242" s="128"/>
      <c r="I4242" s="247">
        <v>36</v>
      </c>
      <c r="J4242" s="128" t="s">
        <v>90</v>
      </c>
      <c r="K4242" s="120" t="s">
        <v>53</v>
      </c>
      <c r="M4242" s="128" t="s">
        <v>1764</v>
      </c>
      <c r="N4242" s="1310">
        <v>65118</v>
      </c>
      <c r="O4242" s="1310">
        <v>65118</v>
      </c>
      <c r="P4242" s="1066">
        <v>65129</v>
      </c>
      <c r="Q4242" s="1067" t="s">
        <v>51</v>
      </c>
    </row>
    <row r="4243" spans="1:17">
      <c r="A4243" s="1399">
        <f t="shared" si="59"/>
        <v>3396</v>
      </c>
      <c r="B4243" s="1213" t="s">
        <v>43</v>
      </c>
      <c r="C4243" s="1146" t="s">
        <v>44</v>
      </c>
      <c r="D4243" s="1146" t="s">
        <v>45</v>
      </c>
      <c r="E4243" s="128" t="s">
        <v>5005</v>
      </c>
      <c r="F4243" s="128" t="s">
        <v>441</v>
      </c>
      <c r="G4243" s="247">
        <v>9847940562</v>
      </c>
      <c r="H4243" s="128"/>
      <c r="I4243" s="247">
        <v>28</v>
      </c>
      <c r="J4243" s="128" t="s">
        <v>90</v>
      </c>
      <c r="K4243" s="128" t="s">
        <v>1763</v>
      </c>
      <c r="M4243" s="128" t="s">
        <v>1764</v>
      </c>
      <c r="N4243" s="1310">
        <v>65118</v>
      </c>
      <c r="O4243" s="1310">
        <v>65118</v>
      </c>
      <c r="P4243" s="1066">
        <v>65129</v>
      </c>
      <c r="Q4243" s="1067" t="s">
        <v>51</v>
      </c>
    </row>
    <row r="4244" spans="1:17">
      <c r="A4244" s="1399">
        <f t="shared" si="59"/>
        <v>3397</v>
      </c>
      <c r="B4244" s="1213" t="s">
        <v>43</v>
      </c>
      <c r="C4244" s="1146" t="s">
        <v>44</v>
      </c>
      <c r="D4244" s="1146" t="s">
        <v>45</v>
      </c>
      <c r="E4244" s="128" t="s">
        <v>5006</v>
      </c>
      <c r="F4244" s="128" t="s">
        <v>491</v>
      </c>
      <c r="G4244" s="247">
        <v>9847827011</v>
      </c>
      <c r="H4244" s="128"/>
      <c r="I4244" s="247">
        <v>39</v>
      </c>
      <c r="J4244" s="128" t="s">
        <v>90</v>
      </c>
      <c r="K4244" s="128" t="s">
        <v>1763</v>
      </c>
      <c r="M4244" s="128" t="s">
        <v>1764</v>
      </c>
      <c r="N4244" s="1310">
        <v>65119</v>
      </c>
      <c r="O4244" s="1310">
        <v>65119</v>
      </c>
      <c r="P4244" s="459">
        <v>65132</v>
      </c>
      <c r="Q4244" s="432" t="s">
        <v>51</v>
      </c>
    </row>
    <row r="4245" spans="1:17">
      <c r="A4245" s="1399">
        <f t="shared" si="59"/>
        <v>3398</v>
      </c>
      <c r="B4245" s="1213" t="s">
        <v>43</v>
      </c>
      <c r="C4245" s="1146" t="s">
        <v>44</v>
      </c>
      <c r="D4245" s="1146" t="s">
        <v>45</v>
      </c>
      <c r="E4245" s="128" t="s">
        <v>5007</v>
      </c>
      <c r="F4245" s="128" t="s">
        <v>491</v>
      </c>
      <c r="G4245" s="247">
        <v>9844178466</v>
      </c>
      <c r="H4245" s="128"/>
      <c r="I4245" s="247">
        <v>43</v>
      </c>
      <c r="J4245" s="128" t="s">
        <v>48</v>
      </c>
      <c r="K4245" s="128" t="s">
        <v>1763</v>
      </c>
      <c r="M4245" s="128" t="s">
        <v>1764</v>
      </c>
      <c r="N4245" s="1310">
        <v>65119</v>
      </c>
      <c r="O4245" s="1310">
        <v>65119</v>
      </c>
      <c r="P4245" s="459">
        <v>65132</v>
      </c>
      <c r="Q4245" s="432" t="s">
        <v>51</v>
      </c>
    </row>
    <row r="4246" spans="1:17">
      <c r="A4246" s="1399">
        <f t="shared" si="59"/>
        <v>3399</v>
      </c>
      <c r="B4246" s="1213" t="s">
        <v>43</v>
      </c>
      <c r="C4246" s="1146" t="s">
        <v>44</v>
      </c>
      <c r="D4246" s="1146" t="s">
        <v>45</v>
      </c>
      <c r="E4246" s="128" t="s">
        <v>5008</v>
      </c>
      <c r="F4246" s="128" t="s">
        <v>529</v>
      </c>
      <c r="G4246" s="247">
        <v>9809760353</v>
      </c>
      <c r="H4246" s="128"/>
      <c r="I4246" s="247">
        <v>18</v>
      </c>
      <c r="J4246" s="128" t="s">
        <v>90</v>
      </c>
      <c r="K4246" s="128" t="s">
        <v>1763</v>
      </c>
      <c r="M4246" s="128" t="s">
        <v>1764</v>
      </c>
      <c r="N4246" s="1310">
        <v>65119</v>
      </c>
      <c r="O4246" s="1310">
        <v>65119</v>
      </c>
      <c r="P4246" s="459">
        <v>65132</v>
      </c>
      <c r="Q4246" s="432" t="s">
        <v>51</v>
      </c>
    </row>
    <row r="4247" spans="1:17">
      <c r="A4247" s="1399">
        <f t="shared" si="59"/>
        <v>3400</v>
      </c>
      <c r="B4247" s="1213" t="s">
        <v>43</v>
      </c>
      <c r="C4247" s="1146" t="s">
        <v>44</v>
      </c>
      <c r="D4247" s="1146" t="s">
        <v>45</v>
      </c>
      <c r="E4247" s="128" t="s">
        <v>5009</v>
      </c>
      <c r="F4247" s="128" t="s">
        <v>502</v>
      </c>
      <c r="G4247" s="247">
        <v>9847992282</v>
      </c>
      <c r="H4247" s="128"/>
      <c r="I4247" s="247">
        <v>54</v>
      </c>
      <c r="J4247" s="128" t="s">
        <v>48</v>
      </c>
      <c r="K4247" s="128" t="s">
        <v>1763</v>
      </c>
      <c r="M4247" s="128" t="s">
        <v>1764</v>
      </c>
      <c r="N4247" s="1310">
        <v>65119</v>
      </c>
      <c r="O4247" s="1310">
        <v>65119</v>
      </c>
      <c r="P4247" s="459">
        <v>65132</v>
      </c>
      <c r="Q4247" s="432" t="s">
        <v>51</v>
      </c>
    </row>
    <row r="4248" spans="1:17">
      <c r="A4248" s="1399">
        <f t="shared" si="59"/>
        <v>3401</v>
      </c>
      <c r="B4248" s="1213" t="s">
        <v>43</v>
      </c>
      <c r="C4248" s="1146" t="s">
        <v>44</v>
      </c>
      <c r="D4248" s="1146" t="s">
        <v>45</v>
      </c>
      <c r="E4248" s="128" t="s">
        <v>4975</v>
      </c>
      <c r="F4248" s="128" t="s">
        <v>502</v>
      </c>
      <c r="G4248" s="247">
        <v>9822843228</v>
      </c>
      <c r="H4248" s="128"/>
      <c r="I4248" s="247">
        <v>20</v>
      </c>
      <c r="J4248" s="128" t="s">
        <v>48</v>
      </c>
      <c r="K4248" s="128" t="s">
        <v>1763</v>
      </c>
      <c r="M4248" s="128" t="s">
        <v>1764</v>
      </c>
      <c r="N4248" s="1310">
        <v>65119</v>
      </c>
      <c r="O4248" s="1310">
        <v>65119</v>
      </c>
      <c r="P4248" s="459">
        <v>65132</v>
      </c>
      <c r="Q4248" s="432" t="s">
        <v>51</v>
      </c>
    </row>
    <row r="4249" spans="1:17">
      <c r="A4249" s="1399">
        <f t="shared" si="59"/>
        <v>3402</v>
      </c>
      <c r="B4249" s="1213" t="s">
        <v>43</v>
      </c>
      <c r="C4249" s="1146" t="s">
        <v>44</v>
      </c>
      <c r="D4249" s="1146" t="s">
        <v>45</v>
      </c>
      <c r="E4249" s="128" t="s">
        <v>5010</v>
      </c>
      <c r="F4249" s="128" t="s">
        <v>512</v>
      </c>
      <c r="G4249" s="247">
        <v>9809551215</v>
      </c>
      <c r="H4249" s="128"/>
      <c r="I4249" s="247">
        <v>49</v>
      </c>
      <c r="J4249" s="128" t="s">
        <v>90</v>
      </c>
      <c r="K4249" s="128" t="s">
        <v>1763</v>
      </c>
      <c r="M4249" s="128" t="s">
        <v>1764</v>
      </c>
      <c r="N4249" s="1310">
        <v>65119</v>
      </c>
      <c r="O4249" s="1310">
        <v>65119</v>
      </c>
      <c r="P4249" s="459">
        <v>65132</v>
      </c>
      <c r="Q4249" s="432" t="s">
        <v>51</v>
      </c>
    </row>
    <row r="4250" spans="1:17">
      <c r="A4250" s="1399">
        <f t="shared" si="59"/>
        <v>3403</v>
      </c>
      <c r="B4250" s="1213" t="s">
        <v>43</v>
      </c>
      <c r="C4250" s="1146" t="s">
        <v>44</v>
      </c>
      <c r="D4250" s="1146" t="s">
        <v>45</v>
      </c>
      <c r="E4250" s="128" t="s">
        <v>5011</v>
      </c>
      <c r="F4250" s="128" t="s">
        <v>512</v>
      </c>
      <c r="G4250" s="247">
        <v>9809551215</v>
      </c>
      <c r="H4250" s="128"/>
      <c r="I4250" s="247">
        <v>50</v>
      </c>
      <c r="J4250" s="128" t="s">
        <v>48</v>
      </c>
      <c r="K4250" s="128" t="s">
        <v>1763</v>
      </c>
      <c r="M4250" s="128" t="s">
        <v>1764</v>
      </c>
      <c r="N4250" s="1310">
        <v>65119</v>
      </c>
      <c r="O4250" s="1310">
        <v>65119</v>
      </c>
      <c r="P4250" s="459">
        <v>65132</v>
      </c>
      <c r="Q4250" s="432" t="s">
        <v>51</v>
      </c>
    </row>
    <row r="4251" spans="1:17">
      <c r="A4251" s="1399">
        <f t="shared" si="59"/>
        <v>3404</v>
      </c>
      <c r="B4251" s="1213" t="s">
        <v>43</v>
      </c>
      <c r="C4251" s="1146" t="s">
        <v>44</v>
      </c>
      <c r="D4251" s="1146" t="s">
        <v>45</v>
      </c>
      <c r="E4251" s="128" t="s">
        <v>5004</v>
      </c>
      <c r="F4251" s="128" t="s">
        <v>529</v>
      </c>
      <c r="G4251" s="247">
        <v>9847822452</v>
      </c>
      <c r="H4251" s="128"/>
      <c r="I4251" s="247">
        <v>39</v>
      </c>
      <c r="J4251" s="128" t="s">
        <v>90</v>
      </c>
      <c r="K4251" s="128" t="s">
        <v>1763</v>
      </c>
      <c r="M4251" s="128" t="s">
        <v>1764</v>
      </c>
      <c r="N4251" s="1310">
        <v>65119</v>
      </c>
      <c r="O4251" s="1310">
        <v>65119</v>
      </c>
      <c r="P4251" s="459">
        <v>65132</v>
      </c>
      <c r="Q4251" s="432" t="s">
        <v>51</v>
      </c>
    </row>
    <row r="4252" spans="1:17">
      <c r="A4252" s="1399">
        <f t="shared" si="59"/>
        <v>3405</v>
      </c>
      <c r="B4252" s="1213" t="s">
        <v>43</v>
      </c>
      <c r="C4252" s="1146" t="s">
        <v>44</v>
      </c>
      <c r="D4252" s="1146" t="s">
        <v>45</v>
      </c>
      <c r="E4252" s="128" t="s">
        <v>5012</v>
      </c>
      <c r="F4252" s="128" t="s">
        <v>529</v>
      </c>
      <c r="G4252" s="247">
        <v>9842508585</v>
      </c>
      <c r="H4252" s="128"/>
      <c r="I4252" s="247">
        <v>63</v>
      </c>
      <c r="J4252" s="128" t="s">
        <v>48</v>
      </c>
      <c r="K4252" s="128" t="s">
        <v>1763</v>
      </c>
      <c r="M4252" s="128" t="s">
        <v>1764</v>
      </c>
      <c r="N4252" s="1310">
        <v>65119</v>
      </c>
      <c r="O4252" s="1310">
        <v>65119</v>
      </c>
      <c r="P4252" s="459">
        <v>65132</v>
      </c>
      <c r="Q4252" s="432" t="s">
        <v>51</v>
      </c>
    </row>
    <row r="4253" spans="1:17">
      <c r="A4253" s="1399">
        <f t="shared" si="59"/>
        <v>3406</v>
      </c>
      <c r="B4253" s="1213" t="s">
        <v>43</v>
      </c>
      <c r="C4253" s="1146" t="s">
        <v>44</v>
      </c>
      <c r="D4253" s="1146" t="s">
        <v>45</v>
      </c>
      <c r="E4253" s="128" t="s">
        <v>5013</v>
      </c>
      <c r="F4253" s="128" t="s">
        <v>529</v>
      </c>
      <c r="G4253" s="247">
        <v>9844968281</v>
      </c>
      <c r="H4253" s="128"/>
      <c r="I4253" s="247">
        <v>55</v>
      </c>
      <c r="J4253" s="128" t="s">
        <v>90</v>
      </c>
      <c r="K4253" s="128" t="s">
        <v>1763</v>
      </c>
      <c r="M4253" s="128" t="s">
        <v>1764</v>
      </c>
      <c r="N4253" s="1310">
        <v>65119</v>
      </c>
      <c r="O4253" s="1310">
        <v>65119</v>
      </c>
      <c r="P4253" s="459">
        <v>65132</v>
      </c>
      <c r="Q4253" s="432" t="s">
        <v>51</v>
      </c>
    </row>
    <row r="4254" spans="1:17">
      <c r="A4254" s="1399">
        <f t="shared" si="59"/>
        <v>3407</v>
      </c>
      <c r="B4254" s="1213" t="s">
        <v>43</v>
      </c>
      <c r="C4254" s="1146" t="s">
        <v>44</v>
      </c>
      <c r="D4254" s="1146" t="s">
        <v>45</v>
      </c>
      <c r="E4254" s="128" t="s">
        <v>5014</v>
      </c>
      <c r="F4254" s="128" t="s">
        <v>491</v>
      </c>
      <c r="G4254" s="247">
        <v>9810958268</v>
      </c>
      <c r="H4254" s="128"/>
      <c r="I4254" s="247">
        <v>27</v>
      </c>
      <c r="J4254" s="128" t="s">
        <v>48</v>
      </c>
      <c r="K4254" s="1258" t="s">
        <v>4556</v>
      </c>
      <c r="L4254" s="128"/>
      <c r="M4254" s="128" t="s">
        <v>1764</v>
      </c>
      <c r="N4254" s="1310">
        <v>65119</v>
      </c>
      <c r="O4254" s="1310">
        <v>65119</v>
      </c>
      <c r="P4254" s="459">
        <v>65132</v>
      </c>
      <c r="Q4254" s="432" t="s">
        <v>51</v>
      </c>
    </row>
    <row r="4255" spans="1:17">
      <c r="A4255" s="1399">
        <f t="shared" si="59"/>
        <v>3408</v>
      </c>
      <c r="B4255" s="1213" t="s">
        <v>43</v>
      </c>
      <c r="C4255" s="1146" t="s">
        <v>44</v>
      </c>
      <c r="D4255" s="1146" t="s">
        <v>45</v>
      </c>
      <c r="E4255" s="128" t="s">
        <v>5015</v>
      </c>
      <c r="F4255" s="128" t="s">
        <v>730</v>
      </c>
      <c r="G4255" s="247">
        <v>9857821751</v>
      </c>
      <c r="H4255" s="128"/>
      <c r="I4255" s="247">
        <v>37</v>
      </c>
      <c r="J4255" s="128" t="s">
        <v>48</v>
      </c>
      <c r="K4255" s="120" t="s">
        <v>53</v>
      </c>
      <c r="L4255" s="128"/>
      <c r="M4255" s="128" t="s">
        <v>1764</v>
      </c>
      <c r="N4255" s="1310">
        <v>65119</v>
      </c>
      <c r="O4255" s="1310">
        <v>65119</v>
      </c>
      <c r="P4255" s="459">
        <v>65132</v>
      </c>
      <c r="Q4255" s="432" t="s">
        <v>51</v>
      </c>
    </row>
    <row r="4256" spans="1:17">
      <c r="A4256" s="1399">
        <f t="shared" si="59"/>
        <v>3409</v>
      </c>
      <c r="B4256" s="1213" t="s">
        <v>43</v>
      </c>
      <c r="C4256" s="1146" t="s">
        <v>44</v>
      </c>
      <c r="D4256" s="1146" t="s">
        <v>45</v>
      </c>
      <c r="E4256" s="128" t="s">
        <v>5016</v>
      </c>
      <c r="F4256" s="128" t="s">
        <v>1204</v>
      </c>
      <c r="G4256" s="247">
        <v>9849405130</v>
      </c>
      <c r="H4256" s="128"/>
      <c r="I4256" s="247">
        <v>32</v>
      </c>
      <c r="J4256" s="128" t="s">
        <v>48</v>
      </c>
      <c r="K4256" s="120" t="s">
        <v>53</v>
      </c>
      <c r="L4256" s="128"/>
      <c r="M4256" s="128" t="s">
        <v>1764</v>
      </c>
      <c r="N4256" s="1310">
        <v>65119</v>
      </c>
      <c r="O4256" s="1310">
        <v>65119</v>
      </c>
      <c r="P4256" s="459">
        <v>65132</v>
      </c>
      <c r="Q4256" s="432" t="s">
        <v>51</v>
      </c>
    </row>
    <row r="4257" spans="1:17">
      <c r="A4257" s="1399">
        <f t="shared" si="59"/>
        <v>3410</v>
      </c>
      <c r="B4257" s="1213" t="s">
        <v>43</v>
      </c>
      <c r="C4257" s="1146" t="s">
        <v>44</v>
      </c>
      <c r="D4257" s="1146" t="s">
        <v>45</v>
      </c>
      <c r="E4257" s="128" t="s">
        <v>3085</v>
      </c>
      <c r="F4257" s="128" t="s">
        <v>617</v>
      </c>
      <c r="G4257" s="247">
        <v>9810945841</v>
      </c>
      <c r="H4257" s="128"/>
      <c r="I4257" s="247">
        <v>23</v>
      </c>
      <c r="J4257" s="128" t="s">
        <v>90</v>
      </c>
      <c r="K4257" s="120" t="s">
        <v>53</v>
      </c>
      <c r="L4257" s="128"/>
      <c r="M4257" s="128" t="s">
        <v>1764</v>
      </c>
      <c r="N4257" s="1310">
        <v>65119</v>
      </c>
      <c r="O4257" s="1310">
        <v>65119</v>
      </c>
      <c r="P4257" s="459">
        <v>65132</v>
      </c>
      <c r="Q4257" s="432" t="s">
        <v>51</v>
      </c>
    </row>
    <row r="4258" spans="1:17">
      <c r="A4258" s="1399">
        <f t="shared" si="59"/>
        <v>3411</v>
      </c>
      <c r="B4258" s="1213" t="s">
        <v>43</v>
      </c>
      <c r="C4258" s="1146" t="s">
        <v>44</v>
      </c>
      <c r="D4258" s="1146" t="s">
        <v>45</v>
      </c>
      <c r="E4258" s="128" t="s">
        <v>5017</v>
      </c>
      <c r="F4258" s="128" t="s">
        <v>1204</v>
      </c>
      <c r="G4258" s="247">
        <v>9866806161</v>
      </c>
      <c r="H4258" s="128"/>
      <c r="I4258" s="247">
        <v>59</v>
      </c>
      <c r="J4258" s="128" t="s">
        <v>90</v>
      </c>
      <c r="K4258" s="120" t="s">
        <v>53</v>
      </c>
      <c r="L4258" s="128"/>
      <c r="M4258" s="128" t="s">
        <v>1764</v>
      </c>
      <c r="N4258" s="1310">
        <v>65119</v>
      </c>
      <c r="O4258" s="1310">
        <v>65119</v>
      </c>
      <c r="P4258" s="459">
        <v>65132</v>
      </c>
      <c r="Q4258" s="432" t="s">
        <v>51</v>
      </c>
    </row>
    <row r="4259" spans="1:17">
      <c r="A4259" s="1399">
        <f t="shared" si="59"/>
        <v>3412</v>
      </c>
      <c r="B4259" s="1213" t="s">
        <v>43</v>
      </c>
      <c r="C4259" s="1146" t="s">
        <v>44</v>
      </c>
      <c r="D4259" s="1146" t="s">
        <v>45</v>
      </c>
      <c r="E4259" s="1158" t="s">
        <v>5018</v>
      </c>
      <c r="F4259" s="1158" t="s">
        <v>1204</v>
      </c>
      <c r="G4259" s="1163">
        <v>9866806161</v>
      </c>
      <c r="H4259" s="1158"/>
      <c r="I4259" s="1163">
        <v>26</v>
      </c>
      <c r="J4259" s="1158" t="s">
        <v>90</v>
      </c>
      <c r="K4259" s="932" t="s">
        <v>53</v>
      </c>
      <c r="L4259" s="1158"/>
      <c r="M4259" s="1158" t="s">
        <v>1764</v>
      </c>
      <c r="N4259" s="1322">
        <v>65119</v>
      </c>
      <c r="O4259" s="1322">
        <v>65119</v>
      </c>
      <c r="P4259" s="459">
        <v>65132</v>
      </c>
      <c r="Q4259" s="432" t="s">
        <v>51</v>
      </c>
    </row>
    <row r="4260" spans="1:17">
      <c r="A4260" s="1399">
        <f t="shared" si="59"/>
        <v>3413</v>
      </c>
      <c r="B4260" s="1213" t="s">
        <v>43</v>
      </c>
      <c r="C4260" s="1146" t="s">
        <v>44</v>
      </c>
      <c r="D4260" s="1146" t="s">
        <v>45</v>
      </c>
      <c r="E4260" s="128" t="s">
        <v>5031</v>
      </c>
      <c r="F4260" s="128" t="s">
        <v>124</v>
      </c>
      <c r="G4260" s="247">
        <v>9857822176</v>
      </c>
      <c r="H4260" s="128"/>
      <c r="I4260" s="247">
        <v>49</v>
      </c>
      <c r="J4260" s="128" t="s">
        <v>48</v>
      </c>
      <c r="K4260" s="128" t="s">
        <v>1763</v>
      </c>
      <c r="L4260" s="894"/>
      <c r="M4260" s="128" t="s">
        <v>1764</v>
      </c>
      <c r="N4260" s="1310">
        <v>65121</v>
      </c>
      <c r="O4260" s="1310">
        <v>65121</v>
      </c>
      <c r="P4260" s="582">
        <v>65134</v>
      </c>
      <c r="Q4260" s="578" t="s">
        <v>51</v>
      </c>
    </row>
    <row r="4261" spans="1:17">
      <c r="A4261" s="1399">
        <f t="shared" si="59"/>
        <v>3414</v>
      </c>
      <c r="B4261" s="1213" t="s">
        <v>43</v>
      </c>
      <c r="C4261" s="1146" t="s">
        <v>44</v>
      </c>
      <c r="D4261" s="1146" t="s">
        <v>45</v>
      </c>
      <c r="E4261" s="128" t="s">
        <v>5032</v>
      </c>
      <c r="F4261" s="128" t="s">
        <v>124</v>
      </c>
      <c r="G4261" s="247">
        <v>9857822176</v>
      </c>
      <c r="H4261" s="128"/>
      <c r="I4261" s="247">
        <v>27</v>
      </c>
      <c r="J4261" s="128" t="s">
        <v>90</v>
      </c>
      <c r="K4261" s="128" t="s">
        <v>1763</v>
      </c>
      <c r="L4261" s="894"/>
      <c r="M4261" s="128" t="s">
        <v>1764</v>
      </c>
      <c r="N4261" s="1310">
        <v>65121</v>
      </c>
      <c r="O4261" s="1310">
        <v>65121</v>
      </c>
      <c r="P4261" s="582">
        <v>65134</v>
      </c>
      <c r="Q4261" s="578" t="s">
        <v>51</v>
      </c>
    </row>
    <row r="4262" spans="1:17">
      <c r="A4262" s="1399">
        <f t="shared" si="59"/>
        <v>3415</v>
      </c>
      <c r="B4262" s="1213" t="s">
        <v>43</v>
      </c>
      <c r="C4262" s="1146" t="s">
        <v>44</v>
      </c>
      <c r="D4262" s="1146" t="s">
        <v>45</v>
      </c>
      <c r="E4262" s="128" t="s">
        <v>5033</v>
      </c>
      <c r="F4262" s="128" t="s">
        <v>529</v>
      </c>
      <c r="G4262" s="247">
        <v>9860976720</v>
      </c>
      <c r="H4262" s="128"/>
      <c r="I4262" s="247">
        <v>35</v>
      </c>
      <c r="J4262" s="128" t="s">
        <v>48</v>
      </c>
      <c r="K4262" s="128" t="s">
        <v>1763</v>
      </c>
      <c r="L4262" s="894"/>
      <c r="M4262" s="128" t="s">
        <v>1764</v>
      </c>
      <c r="N4262" s="1310">
        <v>65121</v>
      </c>
      <c r="O4262" s="1310">
        <v>65121</v>
      </c>
      <c r="P4262" s="582">
        <v>65134</v>
      </c>
      <c r="Q4262" s="578" t="s">
        <v>51</v>
      </c>
    </row>
    <row r="4263" spans="1:17">
      <c r="A4263" s="1399">
        <f t="shared" ref="A4263:A4327" si="60">A4262+1</f>
        <v>3416</v>
      </c>
      <c r="B4263" s="1213" t="s">
        <v>43</v>
      </c>
      <c r="C4263" s="1146" t="s">
        <v>44</v>
      </c>
      <c r="D4263" s="1146" t="s">
        <v>45</v>
      </c>
      <c r="E4263" s="128" t="s">
        <v>5034</v>
      </c>
      <c r="F4263" s="128" t="s">
        <v>510</v>
      </c>
      <c r="G4263" s="247">
        <v>9809834146</v>
      </c>
      <c r="H4263" s="128"/>
      <c r="I4263" s="247">
        <v>19</v>
      </c>
      <c r="J4263" s="128" t="s">
        <v>90</v>
      </c>
      <c r="K4263" s="128" t="s">
        <v>1763</v>
      </c>
      <c r="L4263" s="894"/>
      <c r="M4263" s="128" t="s">
        <v>1764</v>
      </c>
      <c r="N4263" s="1310">
        <v>65121</v>
      </c>
      <c r="O4263" s="1310">
        <v>65121</v>
      </c>
      <c r="P4263" s="582">
        <v>65134</v>
      </c>
      <c r="Q4263" s="578" t="s">
        <v>51</v>
      </c>
    </row>
    <row r="4264" spans="1:17">
      <c r="A4264" s="1399">
        <f t="shared" si="60"/>
        <v>3417</v>
      </c>
      <c r="B4264" s="1213" t="s">
        <v>43</v>
      </c>
      <c r="C4264" s="1146" t="s">
        <v>44</v>
      </c>
      <c r="D4264" s="1146" t="s">
        <v>45</v>
      </c>
      <c r="E4264" s="128" t="s">
        <v>5035</v>
      </c>
      <c r="F4264" s="128" t="s">
        <v>124</v>
      </c>
      <c r="G4264" s="247">
        <v>9848096254</v>
      </c>
      <c r="H4264" s="128"/>
      <c r="I4264" s="247">
        <v>42</v>
      </c>
      <c r="J4264" s="128" t="s">
        <v>48</v>
      </c>
      <c r="K4264" s="128" t="s">
        <v>1763</v>
      </c>
      <c r="L4264" s="894"/>
      <c r="M4264" s="128" t="s">
        <v>1764</v>
      </c>
      <c r="N4264" s="1310">
        <v>65121</v>
      </c>
      <c r="O4264" s="1310">
        <v>65121</v>
      </c>
      <c r="P4264" s="582">
        <v>65134</v>
      </c>
      <c r="Q4264" s="578" t="s">
        <v>51</v>
      </c>
    </row>
    <row r="4265" spans="1:17">
      <c r="A4265" s="1399">
        <f t="shared" si="60"/>
        <v>3418</v>
      </c>
      <c r="B4265" s="1213" t="s">
        <v>43</v>
      </c>
      <c r="C4265" s="1146" t="s">
        <v>44</v>
      </c>
      <c r="D4265" s="1146" t="s">
        <v>45</v>
      </c>
      <c r="E4265" s="128" t="s">
        <v>5036</v>
      </c>
      <c r="F4265" s="128" t="s">
        <v>124</v>
      </c>
      <c r="G4265" s="247">
        <v>9857822176</v>
      </c>
      <c r="H4265" s="128"/>
      <c r="I4265" s="247">
        <v>49</v>
      </c>
      <c r="J4265" s="128" t="s">
        <v>48</v>
      </c>
      <c r="K4265" s="128" t="s">
        <v>1763</v>
      </c>
      <c r="L4265" s="894"/>
      <c r="M4265" s="128" t="s">
        <v>1764</v>
      </c>
      <c r="N4265" s="1310">
        <v>65121</v>
      </c>
      <c r="O4265" s="1310">
        <v>65121</v>
      </c>
      <c r="P4265" s="582">
        <v>65134</v>
      </c>
      <c r="Q4265" s="578" t="s">
        <v>51</v>
      </c>
    </row>
    <row r="4266" spans="1:17">
      <c r="A4266" s="1399">
        <f t="shared" si="60"/>
        <v>3419</v>
      </c>
      <c r="B4266" s="1213" t="s">
        <v>43</v>
      </c>
      <c r="C4266" s="1146" t="s">
        <v>44</v>
      </c>
      <c r="D4266" s="1146" t="s">
        <v>45</v>
      </c>
      <c r="E4266" s="128" t="s">
        <v>5037</v>
      </c>
      <c r="F4266" s="128" t="s">
        <v>124</v>
      </c>
      <c r="G4266" s="247">
        <v>9741486001</v>
      </c>
      <c r="H4266" s="128"/>
      <c r="I4266" s="247">
        <v>33</v>
      </c>
      <c r="J4266" s="128" t="s">
        <v>48</v>
      </c>
      <c r="K4266" s="128" t="s">
        <v>1763</v>
      </c>
      <c r="L4266" s="894"/>
      <c r="M4266" s="128" t="s">
        <v>1764</v>
      </c>
      <c r="N4266" s="1310">
        <v>65121</v>
      </c>
      <c r="O4266" s="1310">
        <v>65121</v>
      </c>
      <c r="P4266" s="582">
        <v>65134</v>
      </c>
      <c r="Q4266" s="578" t="s">
        <v>51</v>
      </c>
    </row>
    <row r="4267" spans="1:17">
      <c r="A4267" s="1399">
        <f t="shared" si="60"/>
        <v>3420</v>
      </c>
      <c r="B4267" s="1213" t="s">
        <v>43</v>
      </c>
      <c r="C4267" s="1146" t="s">
        <v>44</v>
      </c>
      <c r="D4267" s="1146" t="s">
        <v>45</v>
      </c>
      <c r="E4267" s="128" t="s">
        <v>5038</v>
      </c>
      <c r="F4267" s="128" t="s">
        <v>791</v>
      </c>
      <c r="G4267" s="247">
        <v>9847906409</v>
      </c>
      <c r="H4267" s="128"/>
      <c r="I4267" s="247">
        <v>48</v>
      </c>
      <c r="J4267" s="128" t="s">
        <v>48</v>
      </c>
      <c r="K4267" s="128" t="s">
        <v>1763</v>
      </c>
      <c r="L4267" s="894"/>
      <c r="M4267" s="128" t="s">
        <v>1764</v>
      </c>
      <c r="N4267" s="1310">
        <v>65121</v>
      </c>
      <c r="O4267" s="1310">
        <v>65121</v>
      </c>
      <c r="P4267" s="582">
        <v>65134</v>
      </c>
      <c r="Q4267" s="578" t="s">
        <v>51</v>
      </c>
    </row>
    <row r="4268" spans="1:17">
      <c r="A4268" s="1399">
        <f t="shared" si="60"/>
        <v>3421</v>
      </c>
      <c r="B4268" s="1213" t="s">
        <v>43</v>
      </c>
      <c r="C4268" s="1146" t="s">
        <v>44</v>
      </c>
      <c r="D4268" s="1146" t="s">
        <v>45</v>
      </c>
      <c r="E4268" s="128" t="s">
        <v>5039</v>
      </c>
      <c r="F4268" s="128" t="s">
        <v>441</v>
      </c>
      <c r="G4268" s="247">
        <v>9823212816</v>
      </c>
      <c r="H4268" s="128"/>
      <c r="I4268" s="247">
        <v>45</v>
      </c>
      <c r="J4268" s="128" t="s">
        <v>90</v>
      </c>
      <c r="K4268" s="128" t="s">
        <v>1763</v>
      </c>
      <c r="L4268" s="894"/>
      <c r="M4268" s="128" t="s">
        <v>1764</v>
      </c>
      <c r="N4268" s="1310">
        <v>65121</v>
      </c>
      <c r="O4268" s="1310">
        <v>65121</v>
      </c>
      <c r="P4268" s="582">
        <v>65134</v>
      </c>
      <c r="Q4268" s="578" t="s">
        <v>51</v>
      </c>
    </row>
    <row r="4269" spans="1:17">
      <c r="A4269" s="1399">
        <f t="shared" si="60"/>
        <v>3422</v>
      </c>
      <c r="B4269" s="1213" t="s">
        <v>43</v>
      </c>
      <c r="C4269" s="1146" t="s">
        <v>44</v>
      </c>
      <c r="D4269" s="1146" t="s">
        <v>45</v>
      </c>
      <c r="E4269" s="128" t="s">
        <v>5040</v>
      </c>
      <c r="F4269" s="128" t="s">
        <v>441</v>
      </c>
      <c r="G4269" s="247">
        <v>9823212816</v>
      </c>
      <c r="H4269" s="128"/>
      <c r="I4269" s="247">
        <v>46</v>
      </c>
      <c r="J4269" s="128" t="s">
        <v>48</v>
      </c>
      <c r="K4269" s="128" t="s">
        <v>1763</v>
      </c>
      <c r="L4269" s="894"/>
      <c r="M4269" s="128" t="s">
        <v>1764</v>
      </c>
      <c r="N4269" s="1310">
        <v>65121</v>
      </c>
      <c r="O4269" s="1310">
        <v>65121</v>
      </c>
      <c r="P4269" s="582">
        <v>65134</v>
      </c>
      <c r="Q4269" s="578" t="s">
        <v>51</v>
      </c>
    </row>
    <row r="4270" spans="1:17">
      <c r="A4270" s="1399">
        <f t="shared" si="60"/>
        <v>3423</v>
      </c>
      <c r="B4270" s="1213" t="s">
        <v>43</v>
      </c>
      <c r="C4270" s="1146" t="s">
        <v>44</v>
      </c>
      <c r="D4270" s="1146" t="s">
        <v>45</v>
      </c>
      <c r="E4270" s="128" t="s">
        <v>5041</v>
      </c>
      <c r="F4270" s="128" t="s">
        <v>491</v>
      </c>
      <c r="G4270" s="247">
        <v>9847827011</v>
      </c>
      <c r="H4270" s="128"/>
      <c r="I4270" s="247">
        <v>15</v>
      </c>
      <c r="J4270" s="128" t="s">
        <v>90</v>
      </c>
      <c r="K4270" s="128" t="s">
        <v>1763</v>
      </c>
      <c r="L4270" s="894"/>
      <c r="M4270" s="128" t="s">
        <v>1764</v>
      </c>
      <c r="N4270" s="1310">
        <v>65121</v>
      </c>
      <c r="O4270" s="1310">
        <v>65121</v>
      </c>
      <c r="P4270" s="582">
        <v>65134</v>
      </c>
      <c r="Q4270" s="578" t="s">
        <v>51</v>
      </c>
    </row>
    <row r="4271" spans="1:17">
      <c r="A4271" s="1399">
        <f t="shared" si="60"/>
        <v>3424</v>
      </c>
      <c r="B4271" s="1213" t="s">
        <v>43</v>
      </c>
      <c r="C4271" s="1146" t="s">
        <v>44</v>
      </c>
      <c r="D4271" s="1146" t="s">
        <v>45</v>
      </c>
      <c r="E4271" s="128" t="s">
        <v>5023</v>
      </c>
      <c r="F4271" s="128" t="s">
        <v>502</v>
      </c>
      <c r="G4271" s="247">
        <v>9851127621</v>
      </c>
      <c r="H4271" s="128"/>
      <c r="I4271" s="247">
        <v>39</v>
      </c>
      <c r="J4271" s="128" t="s">
        <v>48</v>
      </c>
      <c r="K4271" s="128" t="s">
        <v>5024</v>
      </c>
      <c r="L4271" s="894"/>
      <c r="M4271" s="128" t="s">
        <v>1764</v>
      </c>
      <c r="N4271" s="1310">
        <v>65120</v>
      </c>
      <c r="O4271" s="1310">
        <v>65120</v>
      </c>
      <c r="P4271" s="1414">
        <v>65133</v>
      </c>
      <c r="Q4271" s="491" t="s">
        <v>51</v>
      </c>
    </row>
    <row r="4272" spans="1:17">
      <c r="A4272" s="1399">
        <f t="shared" si="60"/>
        <v>3425</v>
      </c>
      <c r="B4272" s="1213" t="s">
        <v>43</v>
      </c>
      <c r="C4272" s="1146" t="s">
        <v>44</v>
      </c>
      <c r="D4272" s="1146" t="s">
        <v>45</v>
      </c>
      <c r="E4272" s="128" t="s">
        <v>5025</v>
      </c>
      <c r="F4272" s="128" t="s">
        <v>1046</v>
      </c>
      <c r="G4272" s="247">
        <v>9818974189</v>
      </c>
      <c r="H4272" s="128"/>
      <c r="I4272" s="247">
        <v>26</v>
      </c>
      <c r="J4272" s="128" t="s">
        <v>48</v>
      </c>
      <c r="K4272" s="128" t="s">
        <v>4835</v>
      </c>
      <c r="L4272" s="894"/>
      <c r="M4272" s="128" t="s">
        <v>1764</v>
      </c>
      <c r="N4272" s="1310">
        <v>65120</v>
      </c>
      <c r="O4272" s="1310">
        <v>65120</v>
      </c>
      <c r="P4272" s="1414">
        <v>65133</v>
      </c>
      <c r="Q4272" s="491" t="s">
        <v>51</v>
      </c>
    </row>
    <row r="4273" spans="1:17">
      <c r="A4273" s="1399">
        <f t="shared" si="60"/>
        <v>3426</v>
      </c>
      <c r="B4273" s="1213" t="s">
        <v>43</v>
      </c>
      <c r="C4273" s="1146" t="s">
        <v>44</v>
      </c>
      <c r="D4273" s="1146" t="s">
        <v>45</v>
      </c>
      <c r="E4273" s="128" t="s">
        <v>5026</v>
      </c>
      <c r="F4273" s="128" t="s">
        <v>1046</v>
      </c>
      <c r="G4273" s="247">
        <v>9818974189</v>
      </c>
      <c r="H4273" s="128"/>
      <c r="I4273" s="247">
        <v>70</v>
      </c>
      <c r="J4273" s="128" t="s">
        <v>48</v>
      </c>
      <c r="K4273" s="128" t="s">
        <v>4835</v>
      </c>
      <c r="L4273" s="894"/>
      <c r="M4273" s="128" t="s">
        <v>1764</v>
      </c>
      <c r="N4273" s="1310">
        <v>65120</v>
      </c>
      <c r="O4273" s="1310">
        <v>65120</v>
      </c>
      <c r="P4273" s="1414">
        <v>65133</v>
      </c>
      <c r="Q4273" s="491" t="s">
        <v>51</v>
      </c>
    </row>
    <row r="4274" spans="1:17">
      <c r="A4274" s="1399">
        <f t="shared" si="60"/>
        <v>3427</v>
      </c>
      <c r="B4274" s="1213" t="s">
        <v>43</v>
      </c>
      <c r="C4274" s="1146" t="s">
        <v>44</v>
      </c>
      <c r="D4274" s="1146" t="s">
        <v>45</v>
      </c>
      <c r="E4274" s="128" t="s">
        <v>5027</v>
      </c>
      <c r="F4274" s="128" t="s">
        <v>1008</v>
      </c>
      <c r="G4274" s="247">
        <v>9847998676</v>
      </c>
      <c r="H4274" s="128"/>
      <c r="I4274" s="247">
        <v>39</v>
      </c>
      <c r="J4274" s="128" t="s">
        <v>48</v>
      </c>
      <c r="K4274" s="120" t="s">
        <v>53</v>
      </c>
      <c r="L4274" s="894"/>
      <c r="M4274" s="128" t="s">
        <v>1764</v>
      </c>
      <c r="N4274" s="1310">
        <v>65120</v>
      </c>
      <c r="O4274" s="1310">
        <v>65120</v>
      </c>
      <c r="P4274" s="1414">
        <v>65133</v>
      </c>
      <c r="Q4274" s="491" t="s">
        <v>51</v>
      </c>
    </row>
    <row r="4275" spans="1:17">
      <c r="A4275" s="1399">
        <f t="shared" si="60"/>
        <v>3428</v>
      </c>
      <c r="B4275" s="1213" t="s">
        <v>43</v>
      </c>
      <c r="C4275" s="1146" t="s">
        <v>44</v>
      </c>
      <c r="D4275" s="1146" t="s">
        <v>45</v>
      </c>
      <c r="E4275" s="128" t="s">
        <v>5028</v>
      </c>
      <c r="F4275" s="128" t="s">
        <v>1204</v>
      </c>
      <c r="G4275" s="247">
        <v>9857863163</v>
      </c>
      <c r="H4275" s="128"/>
      <c r="I4275" s="247">
        <v>65</v>
      </c>
      <c r="J4275" s="128" t="s">
        <v>48</v>
      </c>
      <c r="K4275" s="120" t="s">
        <v>53</v>
      </c>
      <c r="L4275" s="894"/>
      <c r="M4275" s="128" t="s">
        <v>1764</v>
      </c>
      <c r="N4275" s="1310">
        <v>65120</v>
      </c>
      <c r="O4275" s="1310">
        <v>65120</v>
      </c>
      <c r="P4275" s="1414">
        <v>65133</v>
      </c>
      <c r="Q4275" s="491" t="s">
        <v>51</v>
      </c>
    </row>
    <row r="4276" spans="1:17">
      <c r="A4276" s="1399">
        <f t="shared" si="60"/>
        <v>3429</v>
      </c>
      <c r="B4276" s="1213" t="s">
        <v>43</v>
      </c>
      <c r="C4276" s="1146" t="s">
        <v>44</v>
      </c>
      <c r="D4276" s="1146" t="s">
        <v>45</v>
      </c>
      <c r="E4276" s="128" t="s">
        <v>5029</v>
      </c>
      <c r="F4276" s="128" t="s">
        <v>502</v>
      </c>
      <c r="G4276" s="247">
        <v>9847835619</v>
      </c>
      <c r="H4276" s="128"/>
      <c r="I4276" s="247">
        <v>35</v>
      </c>
      <c r="J4276" s="128" t="s">
        <v>90</v>
      </c>
      <c r="K4276" s="120" t="s">
        <v>53</v>
      </c>
      <c r="L4276" s="894"/>
      <c r="M4276" s="128" t="s">
        <v>1764</v>
      </c>
      <c r="N4276" s="1310">
        <v>65120</v>
      </c>
      <c r="O4276" s="1310">
        <v>65120</v>
      </c>
      <c r="P4276" s="1414">
        <v>65133</v>
      </c>
      <c r="Q4276" s="491" t="s">
        <v>51</v>
      </c>
    </row>
    <row r="4277" spans="1:17">
      <c r="A4277" s="1399">
        <f t="shared" si="60"/>
        <v>3430</v>
      </c>
      <c r="B4277" s="1327" t="s">
        <v>43</v>
      </c>
      <c r="C4277" s="1313" t="s">
        <v>44</v>
      </c>
      <c r="D4277" s="1313" t="s">
        <v>45</v>
      </c>
      <c r="E4277" s="1339" t="s">
        <v>1668</v>
      </c>
      <c r="F4277" s="1339" t="s">
        <v>510</v>
      </c>
      <c r="G4277" s="1321">
        <v>9847855949</v>
      </c>
      <c r="H4277" s="1339"/>
      <c r="I4277" s="1321">
        <v>30</v>
      </c>
      <c r="J4277" s="1339" t="s">
        <v>48</v>
      </c>
      <c r="K4277" s="130" t="s">
        <v>53</v>
      </c>
      <c r="L4277" s="992"/>
      <c r="M4277" s="1339" t="s">
        <v>2648</v>
      </c>
      <c r="N4277" s="1409">
        <v>65120</v>
      </c>
      <c r="O4277" s="1409">
        <v>65120</v>
      </c>
      <c r="P4277" s="1428">
        <v>65129</v>
      </c>
      <c r="Q4277" s="989" t="s">
        <v>51</v>
      </c>
    </row>
    <row r="4278" spans="1:17">
      <c r="A4278" s="1399">
        <f t="shared" si="60"/>
        <v>3431</v>
      </c>
      <c r="B4278" s="1213" t="s">
        <v>43</v>
      </c>
      <c r="C4278" s="1146" t="s">
        <v>44</v>
      </c>
      <c r="D4278" s="1146" t="s">
        <v>45</v>
      </c>
      <c r="E4278" s="128" t="s">
        <v>5030</v>
      </c>
      <c r="F4278" s="128" t="s">
        <v>502</v>
      </c>
      <c r="G4278" s="247">
        <v>9844949204</v>
      </c>
      <c r="H4278" s="128"/>
      <c r="I4278" s="247">
        <v>38</v>
      </c>
      <c r="J4278" s="128" t="s">
        <v>48</v>
      </c>
      <c r="K4278" s="120" t="s">
        <v>53</v>
      </c>
      <c r="L4278" s="894"/>
      <c r="M4278" s="128" t="s">
        <v>1764</v>
      </c>
      <c r="N4278" s="1310">
        <v>65122</v>
      </c>
      <c r="O4278" s="1310">
        <v>65122</v>
      </c>
      <c r="P4278" s="1444" t="s">
        <v>5136</v>
      </c>
      <c r="Q4278" s="1445" t="s">
        <v>51</v>
      </c>
    </row>
    <row r="4279" spans="1:17" ht="25.5">
      <c r="A4279" s="1399">
        <f t="shared" si="60"/>
        <v>3432</v>
      </c>
      <c r="B4279" s="1213" t="s">
        <v>43</v>
      </c>
      <c r="C4279" s="1146" t="s">
        <v>44</v>
      </c>
      <c r="D4279" s="1146" t="s">
        <v>45</v>
      </c>
      <c r="E4279" s="128" t="s">
        <v>5044</v>
      </c>
      <c r="F4279" s="128" t="s">
        <v>502</v>
      </c>
      <c r="G4279" s="247">
        <v>9868635988</v>
      </c>
      <c r="H4279" s="128"/>
      <c r="I4279" s="247">
        <v>24</v>
      </c>
      <c r="J4279" s="128" t="s">
        <v>48</v>
      </c>
      <c r="K4279" s="128" t="s">
        <v>5045</v>
      </c>
      <c r="M4279" s="128" t="s">
        <v>1764</v>
      </c>
      <c r="N4279" s="1310">
        <v>65122</v>
      </c>
      <c r="O4279" s="1310">
        <v>65122</v>
      </c>
      <c r="P4279" s="1444" t="s">
        <v>5136</v>
      </c>
      <c r="Q4279" s="1445" t="s">
        <v>51</v>
      </c>
    </row>
    <row r="4280" spans="1:17">
      <c r="A4280" s="1399">
        <f t="shared" si="60"/>
        <v>3433</v>
      </c>
      <c r="B4280" s="1213" t="s">
        <v>43</v>
      </c>
      <c r="C4280" s="1146" t="s">
        <v>44</v>
      </c>
      <c r="D4280" s="1146" t="s">
        <v>45</v>
      </c>
      <c r="E4280" s="128" t="s">
        <v>5046</v>
      </c>
      <c r="F4280" s="128" t="s">
        <v>124</v>
      </c>
      <c r="G4280" s="247">
        <v>9866854243</v>
      </c>
      <c r="H4280" s="128"/>
      <c r="I4280" s="247">
        <v>37</v>
      </c>
      <c r="J4280" s="128" t="s">
        <v>90</v>
      </c>
      <c r="K4280" s="120" t="s">
        <v>53</v>
      </c>
      <c r="M4280" s="128" t="s">
        <v>1764</v>
      </c>
      <c r="N4280" s="1310">
        <v>65123</v>
      </c>
      <c r="O4280" s="1310">
        <v>65123</v>
      </c>
      <c r="P4280" s="489" t="s">
        <v>5143</v>
      </c>
      <c r="Q4280" s="432" t="s">
        <v>51</v>
      </c>
    </row>
    <row r="4281" spans="1:17">
      <c r="A4281" s="1399">
        <f t="shared" si="60"/>
        <v>3434</v>
      </c>
      <c r="B4281" s="1213" t="s">
        <v>43</v>
      </c>
      <c r="C4281" s="1146" t="s">
        <v>44</v>
      </c>
      <c r="D4281" s="1146" t="s">
        <v>45</v>
      </c>
      <c r="E4281" s="128" t="s">
        <v>5053</v>
      </c>
      <c r="F4281" s="128" t="s">
        <v>730</v>
      </c>
      <c r="G4281" s="247">
        <v>9841053763</v>
      </c>
      <c r="H4281" s="128"/>
      <c r="I4281" s="247">
        <v>33</v>
      </c>
      <c r="J4281" s="128" t="s">
        <v>48</v>
      </c>
      <c r="K4281" s="120" t="s">
        <v>53</v>
      </c>
      <c r="L4281" s="128"/>
      <c r="M4281" s="128" t="s">
        <v>1764</v>
      </c>
      <c r="N4281" s="1310">
        <v>65124</v>
      </c>
      <c r="O4281" s="1310">
        <v>65124</v>
      </c>
      <c r="P4281" s="496">
        <v>65136</v>
      </c>
      <c r="Q4281" s="491" t="s">
        <v>51</v>
      </c>
    </row>
    <row r="4282" spans="1:17">
      <c r="A4282" s="1399">
        <f t="shared" si="60"/>
        <v>3435</v>
      </c>
      <c r="B4282" s="1213" t="s">
        <v>43</v>
      </c>
      <c r="C4282" s="1146" t="s">
        <v>44</v>
      </c>
      <c r="D4282" s="1146" t="s">
        <v>45</v>
      </c>
      <c r="E4282" s="128" t="s">
        <v>5054</v>
      </c>
      <c r="F4282" s="128" t="s">
        <v>1008</v>
      </c>
      <c r="G4282" s="247">
        <v>9810963782</v>
      </c>
      <c r="H4282" s="128"/>
      <c r="I4282" s="247">
        <v>49</v>
      </c>
      <c r="J4282" s="128" t="s">
        <v>48</v>
      </c>
      <c r="K4282" s="120" t="s">
        <v>53</v>
      </c>
      <c r="L4282" s="128"/>
      <c r="M4282" s="128" t="s">
        <v>1764</v>
      </c>
      <c r="N4282" s="1310">
        <v>65124</v>
      </c>
      <c r="O4282" s="1310">
        <v>65124</v>
      </c>
      <c r="P4282" s="496">
        <v>65136</v>
      </c>
      <c r="Q4282" s="491" t="s">
        <v>51</v>
      </c>
    </row>
    <row r="4283" spans="1:17">
      <c r="A4283" s="1399">
        <f t="shared" si="60"/>
        <v>3436</v>
      </c>
      <c r="B4283" s="1213" t="s">
        <v>43</v>
      </c>
      <c r="C4283" s="1146" t="s">
        <v>44</v>
      </c>
      <c r="D4283" s="1146" t="s">
        <v>45</v>
      </c>
      <c r="E4283" s="128" t="s">
        <v>5059</v>
      </c>
      <c r="F4283" s="128" t="s">
        <v>791</v>
      </c>
      <c r="G4283" s="247">
        <v>9857822354</v>
      </c>
      <c r="H4283" s="128"/>
      <c r="I4283" s="247">
        <v>76</v>
      </c>
      <c r="J4283" s="128" t="s">
        <v>48</v>
      </c>
      <c r="K4283" s="1258" t="s">
        <v>4556</v>
      </c>
      <c r="M4283" s="128" t="s">
        <v>1764</v>
      </c>
      <c r="N4283" s="1310">
        <v>65124</v>
      </c>
      <c r="O4283" s="1310">
        <v>65124</v>
      </c>
      <c r="P4283" s="496">
        <v>65136</v>
      </c>
      <c r="Q4283" s="491" t="s">
        <v>51</v>
      </c>
    </row>
    <row r="4284" spans="1:17">
      <c r="A4284" s="1399">
        <f t="shared" si="60"/>
        <v>3437</v>
      </c>
      <c r="B4284" s="1213" t="s">
        <v>43</v>
      </c>
      <c r="C4284" s="1146" t="s">
        <v>44</v>
      </c>
      <c r="D4284" s="1146" t="s">
        <v>45</v>
      </c>
      <c r="E4284" s="432" t="s">
        <v>5060</v>
      </c>
      <c r="F4284" s="434" t="s">
        <v>529</v>
      </c>
      <c r="G4284" s="434">
        <v>9822991301</v>
      </c>
      <c r="I4284" s="434">
        <v>50</v>
      </c>
      <c r="J4284" s="128" t="s">
        <v>48</v>
      </c>
      <c r="K4284" s="434" t="s">
        <v>1763</v>
      </c>
      <c r="M4284" s="128" t="s">
        <v>1764</v>
      </c>
      <c r="N4284" s="730">
        <v>65124</v>
      </c>
      <c r="O4284" s="730">
        <v>65124</v>
      </c>
      <c r="P4284" s="496">
        <v>65136</v>
      </c>
      <c r="Q4284" s="491" t="s">
        <v>51</v>
      </c>
    </row>
    <row r="4285" spans="1:17">
      <c r="A4285" s="1399">
        <f t="shared" si="60"/>
        <v>3438</v>
      </c>
      <c r="B4285" s="1213" t="s">
        <v>43</v>
      </c>
      <c r="C4285" s="1146" t="s">
        <v>44</v>
      </c>
      <c r="D4285" s="1146" t="s">
        <v>45</v>
      </c>
      <c r="E4285" s="432" t="s">
        <v>5061</v>
      </c>
      <c r="F4285" s="434" t="s">
        <v>441</v>
      </c>
      <c r="G4285" s="434">
        <v>9857852052</v>
      </c>
      <c r="I4285" s="434">
        <v>33</v>
      </c>
      <c r="J4285" s="128" t="s">
        <v>48</v>
      </c>
      <c r="K4285" s="434" t="s">
        <v>1763</v>
      </c>
      <c r="M4285" s="128" t="s">
        <v>1764</v>
      </c>
      <c r="N4285" s="730">
        <v>65124</v>
      </c>
      <c r="O4285" s="730">
        <v>65124</v>
      </c>
      <c r="P4285" s="496">
        <v>65136</v>
      </c>
      <c r="Q4285" s="491" t="s">
        <v>51</v>
      </c>
    </row>
    <row r="4286" spans="1:17">
      <c r="A4286" s="1399">
        <f t="shared" si="60"/>
        <v>3439</v>
      </c>
      <c r="B4286" s="1213" t="s">
        <v>43</v>
      </c>
      <c r="C4286" s="1146" t="s">
        <v>44</v>
      </c>
      <c r="D4286" s="1146" t="s">
        <v>45</v>
      </c>
      <c r="E4286" s="432" t="s">
        <v>5062</v>
      </c>
      <c r="F4286" s="434" t="s">
        <v>441</v>
      </c>
      <c r="G4286" s="434">
        <v>9847940565</v>
      </c>
      <c r="I4286" s="434">
        <v>28</v>
      </c>
      <c r="J4286" s="128" t="s">
        <v>90</v>
      </c>
      <c r="K4286" s="434" t="s">
        <v>1763</v>
      </c>
      <c r="M4286" s="128" t="s">
        <v>1764</v>
      </c>
      <c r="N4286" s="730">
        <v>65124</v>
      </c>
      <c r="O4286" s="730">
        <v>65124</v>
      </c>
      <c r="P4286" s="496">
        <v>65136</v>
      </c>
      <c r="Q4286" s="491" t="s">
        <v>51</v>
      </c>
    </row>
    <row r="4287" spans="1:17">
      <c r="A4287" s="1399">
        <f t="shared" si="60"/>
        <v>3440</v>
      </c>
      <c r="B4287" s="1213" t="s">
        <v>43</v>
      </c>
      <c r="C4287" s="1146" t="s">
        <v>44</v>
      </c>
      <c r="D4287" s="1146" t="s">
        <v>45</v>
      </c>
      <c r="E4287" s="432" t="s">
        <v>5063</v>
      </c>
      <c r="F4287" s="434" t="s">
        <v>529</v>
      </c>
      <c r="G4287" s="434">
        <v>9866958297</v>
      </c>
      <c r="I4287" s="434">
        <v>33</v>
      </c>
      <c r="J4287" s="128" t="s">
        <v>90</v>
      </c>
      <c r="K4287" s="434" t="s">
        <v>1763</v>
      </c>
      <c r="M4287" s="128" t="s">
        <v>1764</v>
      </c>
      <c r="N4287" s="730">
        <v>65124</v>
      </c>
      <c r="O4287" s="730">
        <v>65124</v>
      </c>
      <c r="P4287" s="496">
        <v>65136</v>
      </c>
      <c r="Q4287" s="491" t="s">
        <v>51</v>
      </c>
    </row>
    <row r="4288" spans="1:17">
      <c r="A4288" s="1399">
        <f t="shared" si="60"/>
        <v>3441</v>
      </c>
      <c r="B4288" s="1213" t="s">
        <v>43</v>
      </c>
      <c r="C4288" s="1146" t="s">
        <v>44</v>
      </c>
      <c r="D4288" s="1146" t="s">
        <v>45</v>
      </c>
      <c r="E4288" s="432" t="s">
        <v>5064</v>
      </c>
      <c r="F4288" s="434" t="s">
        <v>529</v>
      </c>
      <c r="G4288" s="434">
        <v>9866958297</v>
      </c>
      <c r="I4288" s="434">
        <v>15</v>
      </c>
      <c r="J4288" s="128" t="s">
        <v>90</v>
      </c>
      <c r="K4288" s="434" t="s">
        <v>1763</v>
      </c>
      <c r="M4288" s="128" t="s">
        <v>1764</v>
      </c>
      <c r="N4288" s="730">
        <v>65124</v>
      </c>
      <c r="O4288" s="730">
        <v>65124</v>
      </c>
      <c r="P4288" s="496">
        <v>65136</v>
      </c>
      <c r="Q4288" s="491" t="s">
        <v>51</v>
      </c>
    </row>
    <row r="4289" spans="1:17">
      <c r="A4289" s="1399">
        <f t="shared" si="60"/>
        <v>3442</v>
      </c>
      <c r="B4289" s="1213" t="s">
        <v>43</v>
      </c>
      <c r="C4289" s="1146" t="s">
        <v>44</v>
      </c>
      <c r="D4289" s="1146" t="s">
        <v>45</v>
      </c>
      <c r="E4289" s="432" t="s">
        <v>5065</v>
      </c>
      <c r="F4289" s="434" t="s">
        <v>529</v>
      </c>
      <c r="G4289" s="434">
        <v>9809747454</v>
      </c>
      <c r="I4289" s="434">
        <v>44</v>
      </c>
      <c r="J4289" s="128" t="s">
        <v>48</v>
      </c>
      <c r="K4289" s="434" t="s">
        <v>1763</v>
      </c>
      <c r="M4289" s="128" t="s">
        <v>1764</v>
      </c>
      <c r="N4289" s="730">
        <v>65124</v>
      </c>
      <c r="O4289" s="730">
        <v>65124</v>
      </c>
      <c r="P4289" s="496">
        <v>65136</v>
      </c>
      <c r="Q4289" s="491" t="s">
        <v>51</v>
      </c>
    </row>
    <row r="4290" spans="1:17">
      <c r="A4290" s="1399">
        <f t="shared" si="60"/>
        <v>3443</v>
      </c>
      <c r="B4290" s="1213" t="s">
        <v>43</v>
      </c>
      <c r="C4290" s="1146" t="s">
        <v>44</v>
      </c>
      <c r="D4290" s="1146" t="s">
        <v>45</v>
      </c>
      <c r="E4290" s="128" t="s">
        <v>5069</v>
      </c>
      <c r="F4290" s="128" t="s">
        <v>1009</v>
      </c>
      <c r="G4290" s="247">
        <v>9843376083</v>
      </c>
      <c r="H4290" s="128"/>
      <c r="I4290" s="247">
        <v>35</v>
      </c>
      <c r="J4290" s="128" t="s">
        <v>48</v>
      </c>
      <c r="K4290" s="128" t="s">
        <v>4876</v>
      </c>
      <c r="L4290" s="128"/>
      <c r="M4290" s="128" t="s">
        <v>1764</v>
      </c>
      <c r="N4290" s="1310">
        <v>65125</v>
      </c>
      <c r="O4290" s="1310">
        <v>65125</v>
      </c>
      <c r="P4290" s="459">
        <v>65137</v>
      </c>
      <c r="Q4290" s="432" t="s">
        <v>51</v>
      </c>
    </row>
    <row r="4291" spans="1:17">
      <c r="A4291" s="1399">
        <f t="shared" si="60"/>
        <v>3444</v>
      </c>
      <c r="B4291" s="1213" t="s">
        <v>43</v>
      </c>
      <c r="C4291" s="1146" t="s">
        <v>44</v>
      </c>
      <c r="D4291" s="1146" t="s">
        <v>45</v>
      </c>
      <c r="E4291" s="128" t="s">
        <v>5070</v>
      </c>
      <c r="F4291" s="128" t="s">
        <v>730</v>
      </c>
      <c r="G4291" s="247">
        <v>9847940929</v>
      </c>
      <c r="H4291" s="128"/>
      <c r="I4291" s="247">
        <v>73</v>
      </c>
      <c r="J4291" s="128" t="s">
        <v>48</v>
      </c>
      <c r="K4291" s="1258" t="s">
        <v>4556</v>
      </c>
      <c r="L4291" s="128"/>
      <c r="M4291" s="128" t="s">
        <v>1764</v>
      </c>
      <c r="N4291" s="1310">
        <v>65125</v>
      </c>
      <c r="O4291" s="1310">
        <v>65125</v>
      </c>
      <c r="P4291" s="459">
        <v>65137</v>
      </c>
      <c r="Q4291" s="432" t="s">
        <v>51</v>
      </c>
    </row>
    <row r="4292" spans="1:17">
      <c r="A4292" s="1399">
        <f t="shared" si="60"/>
        <v>3445</v>
      </c>
      <c r="B4292" s="1213" t="s">
        <v>43</v>
      </c>
      <c r="C4292" s="1146" t="s">
        <v>44</v>
      </c>
      <c r="D4292" s="1146" t="s">
        <v>45</v>
      </c>
      <c r="E4292" s="128" t="s">
        <v>5071</v>
      </c>
      <c r="F4292" s="128" t="s">
        <v>491</v>
      </c>
      <c r="G4292" s="247">
        <v>9847879401</v>
      </c>
      <c r="H4292" s="128"/>
      <c r="I4292" s="247">
        <v>70</v>
      </c>
      <c r="J4292" s="128" t="s">
        <v>48</v>
      </c>
      <c r="K4292" s="1258" t="s">
        <v>4556</v>
      </c>
      <c r="L4292" s="128"/>
      <c r="M4292" s="128" t="s">
        <v>1764</v>
      </c>
      <c r="N4292" s="1310">
        <v>65125</v>
      </c>
      <c r="O4292" s="1310">
        <v>65125</v>
      </c>
      <c r="P4292" s="459">
        <v>65137</v>
      </c>
      <c r="Q4292" s="432" t="s">
        <v>51</v>
      </c>
    </row>
    <row r="4293" spans="1:17">
      <c r="A4293" s="1399">
        <f t="shared" si="60"/>
        <v>3446</v>
      </c>
      <c r="B4293" s="1213" t="s">
        <v>43</v>
      </c>
      <c r="C4293" s="1146" t="s">
        <v>44</v>
      </c>
      <c r="D4293" s="1146" t="s">
        <v>45</v>
      </c>
      <c r="E4293" s="128" t="s">
        <v>5072</v>
      </c>
      <c r="F4293" s="128" t="s">
        <v>441</v>
      </c>
      <c r="G4293" s="247">
        <v>9857820039</v>
      </c>
      <c r="H4293" s="128"/>
      <c r="I4293" s="247">
        <v>53</v>
      </c>
      <c r="J4293" s="128" t="s">
        <v>90</v>
      </c>
      <c r="K4293" s="1258" t="s">
        <v>4556</v>
      </c>
      <c r="L4293" s="128"/>
      <c r="M4293" s="128" t="s">
        <v>1764</v>
      </c>
      <c r="N4293" s="1310">
        <v>65125</v>
      </c>
      <c r="O4293" s="1310">
        <v>65125</v>
      </c>
      <c r="P4293" s="459">
        <v>65137</v>
      </c>
      <c r="Q4293" s="432" t="s">
        <v>51</v>
      </c>
    </row>
    <row r="4294" spans="1:17">
      <c r="A4294" s="1399">
        <f t="shared" si="60"/>
        <v>3447</v>
      </c>
      <c r="B4294" s="1213" t="s">
        <v>43</v>
      </c>
      <c r="C4294" s="1146" t="s">
        <v>44</v>
      </c>
      <c r="D4294" s="1146" t="s">
        <v>45</v>
      </c>
      <c r="E4294" s="432" t="s">
        <v>5073</v>
      </c>
      <c r="F4294" s="434" t="s">
        <v>529</v>
      </c>
      <c r="G4294" s="434">
        <v>9806246489</v>
      </c>
      <c r="I4294" s="434">
        <v>12</v>
      </c>
      <c r="J4294" s="128" t="s">
        <v>48</v>
      </c>
      <c r="K4294" s="434" t="s">
        <v>1763</v>
      </c>
      <c r="M4294" s="128" t="s">
        <v>1764</v>
      </c>
      <c r="N4294" s="1310">
        <v>65125</v>
      </c>
      <c r="O4294" s="1310">
        <v>65125</v>
      </c>
      <c r="P4294" s="459">
        <v>65137</v>
      </c>
      <c r="Q4294" s="432" t="s">
        <v>51</v>
      </c>
    </row>
    <row r="4295" spans="1:17">
      <c r="A4295" s="1399">
        <f t="shared" si="60"/>
        <v>3448</v>
      </c>
      <c r="B4295" s="1213" t="s">
        <v>43</v>
      </c>
      <c r="C4295" s="1146" t="s">
        <v>44</v>
      </c>
      <c r="D4295" s="1146" t="s">
        <v>45</v>
      </c>
      <c r="E4295" s="432" t="s">
        <v>5074</v>
      </c>
      <c r="F4295" s="434" t="s">
        <v>124</v>
      </c>
      <c r="G4295" s="434">
        <v>9840218667</v>
      </c>
      <c r="I4295" s="434">
        <v>20</v>
      </c>
      <c r="J4295" s="128" t="s">
        <v>90</v>
      </c>
      <c r="K4295" s="434" t="s">
        <v>1763</v>
      </c>
      <c r="M4295" s="128" t="s">
        <v>1764</v>
      </c>
      <c r="N4295" s="1310">
        <v>65125</v>
      </c>
      <c r="O4295" s="1310">
        <v>65125</v>
      </c>
      <c r="P4295" s="459">
        <v>65137</v>
      </c>
      <c r="Q4295" s="432" t="s">
        <v>51</v>
      </c>
    </row>
    <row r="4296" spans="1:17">
      <c r="A4296" s="1399">
        <f t="shared" si="60"/>
        <v>3449</v>
      </c>
      <c r="B4296" s="1213" t="s">
        <v>43</v>
      </c>
      <c r="C4296" s="1146" t="s">
        <v>44</v>
      </c>
      <c r="D4296" s="1146" t="s">
        <v>45</v>
      </c>
      <c r="E4296" s="432" t="s">
        <v>5075</v>
      </c>
      <c r="F4296" s="434" t="s">
        <v>502</v>
      </c>
      <c r="G4296" s="434">
        <v>9844902463</v>
      </c>
      <c r="I4296" s="434">
        <v>30</v>
      </c>
      <c r="J4296" s="128" t="s">
        <v>48</v>
      </c>
      <c r="K4296" s="434" t="s">
        <v>1763</v>
      </c>
      <c r="M4296" s="128" t="s">
        <v>1764</v>
      </c>
      <c r="N4296" s="1310">
        <v>65125</v>
      </c>
      <c r="O4296" s="1310">
        <v>65125</v>
      </c>
      <c r="P4296" s="459">
        <v>65137</v>
      </c>
      <c r="Q4296" s="432" t="s">
        <v>51</v>
      </c>
    </row>
    <row r="4297" spans="1:17">
      <c r="A4297" s="1399">
        <f t="shared" si="60"/>
        <v>3450</v>
      </c>
      <c r="B4297" s="1213" t="s">
        <v>43</v>
      </c>
      <c r="C4297" s="1146" t="s">
        <v>44</v>
      </c>
      <c r="D4297" s="1146" t="s">
        <v>45</v>
      </c>
      <c r="E4297" s="432" t="s">
        <v>5076</v>
      </c>
      <c r="F4297" s="434" t="s">
        <v>124</v>
      </c>
      <c r="G4297" s="434">
        <v>9822868967</v>
      </c>
      <c r="I4297" s="434">
        <v>23</v>
      </c>
      <c r="J4297" s="128" t="s">
        <v>90</v>
      </c>
      <c r="K4297" s="434" t="s">
        <v>1763</v>
      </c>
      <c r="M4297" s="128" t="s">
        <v>1764</v>
      </c>
      <c r="N4297" s="1310">
        <v>65125</v>
      </c>
      <c r="O4297" s="1310">
        <v>65125</v>
      </c>
      <c r="P4297" s="459">
        <v>65137</v>
      </c>
      <c r="Q4297" s="432" t="s">
        <v>51</v>
      </c>
    </row>
    <row r="4298" spans="1:17">
      <c r="A4298" s="1399">
        <f t="shared" si="60"/>
        <v>3451</v>
      </c>
      <c r="B4298" s="1213" t="s">
        <v>43</v>
      </c>
      <c r="C4298" s="1146" t="s">
        <v>44</v>
      </c>
      <c r="D4298" s="1146" t="s">
        <v>45</v>
      </c>
      <c r="E4298" s="432" t="s">
        <v>5077</v>
      </c>
      <c r="F4298" s="434" t="s">
        <v>491</v>
      </c>
      <c r="G4298" s="434">
        <v>9847820854</v>
      </c>
      <c r="I4298" s="434">
        <v>33</v>
      </c>
      <c r="J4298" s="128" t="s">
        <v>90</v>
      </c>
      <c r="K4298" s="434" t="s">
        <v>1763</v>
      </c>
      <c r="M4298" s="128" t="s">
        <v>1764</v>
      </c>
      <c r="N4298" s="1310">
        <v>65125</v>
      </c>
      <c r="O4298" s="1310">
        <v>65125</v>
      </c>
      <c r="P4298" s="459">
        <v>65137</v>
      </c>
      <c r="Q4298" s="432" t="s">
        <v>51</v>
      </c>
    </row>
    <row r="4299" spans="1:17">
      <c r="A4299" s="1399">
        <f t="shared" si="60"/>
        <v>3452</v>
      </c>
      <c r="B4299" s="1213" t="s">
        <v>43</v>
      </c>
      <c r="C4299" s="1146" t="s">
        <v>44</v>
      </c>
      <c r="D4299" s="1146" t="s">
        <v>45</v>
      </c>
      <c r="E4299" s="432" t="s">
        <v>5078</v>
      </c>
      <c r="F4299" s="434" t="s">
        <v>491</v>
      </c>
      <c r="G4299" s="434">
        <v>9810881781</v>
      </c>
      <c r="I4299" s="434">
        <v>36</v>
      </c>
      <c r="J4299" s="128" t="s">
        <v>48</v>
      </c>
      <c r="K4299" s="434" t="s">
        <v>1763</v>
      </c>
      <c r="M4299" s="128" t="s">
        <v>1764</v>
      </c>
      <c r="N4299" s="1310">
        <v>65125</v>
      </c>
      <c r="O4299" s="1310">
        <v>65125</v>
      </c>
      <c r="P4299" s="459">
        <v>65137</v>
      </c>
      <c r="Q4299" s="432" t="s">
        <v>51</v>
      </c>
    </row>
    <row r="4300" spans="1:17">
      <c r="A4300" s="1399">
        <f t="shared" si="60"/>
        <v>3453</v>
      </c>
      <c r="B4300" s="1213" t="s">
        <v>43</v>
      </c>
      <c r="C4300" s="1146" t="s">
        <v>44</v>
      </c>
      <c r="D4300" s="1146" t="s">
        <v>45</v>
      </c>
      <c r="E4300" s="432" t="s">
        <v>5079</v>
      </c>
      <c r="F4300" s="434" t="s">
        <v>1008</v>
      </c>
      <c r="G4300" s="434">
        <v>9869737911</v>
      </c>
      <c r="I4300" s="434">
        <v>82</v>
      </c>
      <c r="J4300" s="128" t="s">
        <v>48</v>
      </c>
      <c r="K4300" s="434" t="s">
        <v>1763</v>
      </c>
      <c r="M4300" s="128" t="s">
        <v>1764</v>
      </c>
      <c r="N4300" s="1310">
        <v>65125</v>
      </c>
      <c r="O4300" s="1310">
        <v>65125</v>
      </c>
      <c r="P4300" s="459">
        <v>65137</v>
      </c>
      <c r="Q4300" s="432" t="s">
        <v>51</v>
      </c>
    </row>
    <row r="4301" spans="1:17">
      <c r="A4301" s="1399">
        <f t="shared" si="60"/>
        <v>3454</v>
      </c>
      <c r="B4301" s="1213" t="s">
        <v>43</v>
      </c>
      <c r="C4301" s="1146" t="s">
        <v>44</v>
      </c>
      <c r="D4301" s="1146" t="s">
        <v>45</v>
      </c>
      <c r="E4301" s="432" t="s">
        <v>5080</v>
      </c>
      <c r="F4301" s="434" t="s">
        <v>529</v>
      </c>
      <c r="G4301" s="434">
        <v>9866918973</v>
      </c>
      <c r="I4301" s="434">
        <v>76</v>
      </c>
      <c r="J4301" s="128" t="s">
        <v>48</v>
      </c>
      <c r="K4301" s="434" t="s">
        <v>1763</v>
      </c>
      <c r="M4301" s="128" t="s">
        <v>1764</v>
      </c>
      <c r="N4301" s="1310">
        <v>65125</v>
      </c>
      <c r="O4301" s="1310">
        <v>65125</v>
      </c>
      <c r="P4301" s="459">
        <v>65137</v>
      </c>
      <c r="Q4301" s="432" t="s">
        <v>51</v>
      </c>
    </row>
    <row r="4302" spans="1:17">
      <c r="A4302" s="1399">
        <f t="shared" si="60"/>
        <v>3455</v>
      </c>
      <c r="B4302" s="1213" t="s">
        <v>43</v>
      </c>
      <c r="C4302" s="1146" t="s">
        <v>44</v>
      </c>
      <c r="D4302" s="1146" t="s">
        <v>45</v>
      </c>
      <c r="E4302" s="128" t="s">
        <v>5083</v>
      </c>
      <c r="F4302" s="128" t="s">
        <v>491</v>
      </c>
      <c r="G4302" s="247">
        <v>9847835723</v>
      </c>
      <c r="H4302" s="56"/>
      <c r="I4302" s="247">
        <v>45</v>
      </c>
      <c r="J4302" s="128" t="s">
        <v>48</v>
      </c>
      <c r="K4302" s="120" t="s">
        <v>53</v>
      </c>
      <c r="L4302" s="128"/>
      <c r="M4302" s="128" t="s">
        <v>1764</v>
      </c>
      <c r="N4302" s="1310">
        <v>65126</v>
      </c>
      <c r="O4302" s="1310">
        <v>65126</v>
      </c>
      <c r="P4302" s="496">
        <v>65138</v>
      </c>
      <c r="Q4302" s="491" t="s">
        <v>51</v>
      </c>
    </row>
    <row r="4303" spans="1:17">
      <c r="A4303" s="1399">
        <f t="shared" si="60"/>
        <v>3456</v>
      </c>
      <c r="B4303" s="1213" t="s">
        <v>43</v>
      </c>
      <c r="C4303" s="1146" t="s">
        <v>44</v>
      </c>
      <c r="D4303" s="1146" t="s">
        <v>45</v>
      </c>
      <c r="E4303" s="128" t="s">
        <v>5084</v>
      </c>
      <c r="F4303" s="128" t="s">
        <v>1204</v>
      </c>
      <c r="G4303" s="247">
        <v>9847865356</v>
      </c>
      <c r="H4303" s="56"/>
      <c r="I4303" s="247">
        <v>38</v>
      </c>
      <c r="J4303" s="128" t="s">
        <v>48</v>
      </c>
      <c r="K4303" s="1258" t="s">
        <v>4556</v>
      </c>
      <c r="L4303" s="128"/>
      <c r="M4303" s="128" t="s">
        <v>1764</v>
      </c>
      <c r="N4303" s="1310">
        <v>65126</v>
      </c>
      <c r="O4303" s="1310">
        <v>65126</v>
      </c>
      <c r="P4303" s="496">
        <v>65138</v>
      </c>
      <c r="Q4303" s="491" t="s">
        <v>51</v>
      </c>
    </row>
    <row r="4304" spans="1:17" s="326" customFormat="1">
      <c r="A4304" s="1438">
        <f t="shared" si="60"/>
        <v>3457</v>
      </c>
      <c r="B4304" s="1439" t="s">
        <v>43</v>
      </c>
      <c r="C4304" s="1248" t="s">
        <v>44</v>
      </c>
      <c r="D4304" s="1248" t="s">
        <v>45</v>
      </c>
      <c r="E4304" s="1440" t="s">
        <v>5140</v>
      </c>
      <c r="F4304" s="1440" t="s">
        <v>491</v>
      </c>
      <c r="G4304" s="1441">
        <v>9848109518</v>
      </c>
      <c r="H4304" s="69"/>
      <c r="I4304" s="1441">
        <v>78</v>
      </c>
      <c r="J4304" s="1440" t="s">
        <v>90</v>
      </c>
      <c r="K4304" s="1442" t="s">
        <v>4556</v>
      </c>
      <c r="L4304" s="1440"/>
      <c r="M4304" s="1440" t="s">
        <v>2648</v>
      </c>
      <c r="N4304" s="1443">
        <v>65126</v>
      </c>
      <c r="O4304" s="1443">
        <v>65126</v>
      </c>
      <c r="P4304" s="476">
        <v>65135</v>
      </c>
      <c r="Q4304" s="422" t="s">
        <v>940</v>
      </c>
    </row>
    <row r="4305" spans="1:17">
      <c r="A4305" s="1399">
        <f t="shared" si="60"/>
        <v>3458</v>
      </c>
      <c r="B4305" s="1213" t="s">
        <v>43</v>
      </c>
      <c r="C4305" s="1146" t="s">
        <v>44</v>
      </c>
      <c r="D4305" s="1146" t="s">
        <v>45</v>
      </c>
      <c r="E4305" s="128" t="s">
        <v>5085</v>
      </c>
      <c r="F4305" s="128" t="s">
        <v>529</v>
      </c>
      <c r="G4305" s="247">
        <v>9847940031</v>
      </c>
      <c r="H4305" s="56"/>
      <c r="I4305" s="247">
        <v>31</v>
      </c>
      <c r="J4305" s="128" t="s">
        <v>48</v>
      </c>
      <c r="K4305" s="1258" t="s">
        <v>4556</v>
      </c>
      <c r="L4305" s="128"/>
      <c r="M4305" s="128" t="s">
        <v>1764</v>
      </c>
      <c r="N4305" s="1310">
        <v>65126</v>
      </c>
      <c r="O4305" s="1310">
        <v>65126</v>
      </c>
      <c r="P4305" s="496">
        <v>65138</v>
      </c>
      <c r="Q4305" s="491" t="s">
        <v>51</v>
      </c>
    </row>
    <row r="4306" spans="1:17">
      <c r="A4306" s="1399">
        <f t="shared" si="60"/>
        <v>3459</v>
      </c>
      <c r="B4306" s="1213" t="s">
        <v>43</v>
      </c>
      <c r="C4306" s="1146" t="s">
        <v>44</v>
      </c>
      <c r="D4306" s="1146" t="s">
        <v>45</v>
      </c>
      <c r="E4306" s="128" t="s">
        <v>5086</v>
      </c>
      <c r="F4306" s="128" t="s">
        <v>1008</v>
      </c>
      <c r="G4306" s="247">
        <v>9847854509</v>
      </c>
      <c r="H4306" s="56"/>
      <c r="I4306" s="247">
        <v>36</v>
      </c>
      <c r="J4306" s="128" t="s">
        <v>90</v>
      </c>
      <c r="K4306" s="1258" t="s">
        <v>4556</v>
      </c>
      <c r="L4306" s="128"/>
      <c r="M4306" s="128" t="s">
        <v>1764</v>
      </c>
      <c r="N4306" s="1310">
        <v>65126</v>
      </c>
      <c r="O4306" s="1310">
        <v>65126</v>
      </c>
      <c r="P4306" s="496">
        <v>65138</v>
      </c>
      <c r="Q4306" s="491" t="s">
        <v>51</v>
      </c>
    </row>
    <row r="4307" spans="1:17">
      <c r="A4307" s="1399">
        <f t="shared" si="60"/>
        <v>3460</v>
      </c>
      <c r="B4307" s="1213" t="s">
        <v>43</v>
      </c>
      <c r="C4307" s="1146" t="s">
        <v>44</v>
      </c>
      <c r="D4307" s="1146" t="s">
        <v>45</v>
      </c>
      <c r="E4307" s="128" t="s">
        <v>5087</v>
      </c>
      <c r="F4307" s="128" t="s">
        <v>529</v>
      </c>
      <c r="G4307" s="247">
        <v>9847914492</v>
      </c>
      <c r="H4307" s="56"/>
      <c r="I4307" s="247">
        <v>76</v>
      </c>
      <c r="J4307" s="128" t="s">
        <v>48</v>
      </c>
      <c r="K4307" s="1258" t="s">
        <v>4556</v>
      </c>
      <c r="L4307" s="128"/>
      <c r="M4307" s="128" t="s">
        <v>1764</v>
      </c>
      <c r="N4307" s="1310">
        <v>65126</v>
      </c>
      <c r="O4307" s="1310">
        <v>65126</v>
      </c>
      <c r="P4307" s="496">
        <v>65138</v>
      </c>
      <c r="Q4307" s="491" t="s">
        <v>51</v>
      </c>
    </row>
    <row r="4308" spans="1:17">
      <c r="A4308" s="1438">
        <f t="shared" si="60"/>
        <v>3461</v>
      </c>
      <c r="B4308" s="1439" t="s">
        <v>43</v>
      </c>
      <c r="C4308" s="1248" t="s">
        <v>44</v>
      </c>
      <c r="D4308" s="1248" t="s">
        <v>45</v>
      </c>
      <c r="E4308" s="1440" t="s">
        <v>5090</v>
      </c>
      <c r="F4308" s="1440" t="s">
        <v>557</v>
      </c>
      <c r="G4308" s="1441">
        <v>9809701073</v>
      </c>
      <c r="H4308" s="1440"/>
      <c r="I4308" s="1441">
        <v>45</v>
      </c>
      <c r="J4308" s="1440" t="s">
        <v>48</v>
      </c>
      <c r="K4308" s="1442" t="s">
        <v>4556</v>
      </c>
      <c r="L4308" s="1440"/>
      <c r="M4308" s="1440" t="s">
        <v>1764</v>
      </c>
      <c r="N4308" s="1443">
        <v>65127</v>
      </c>
      <c r="O4308" s="1443">
        <v>65127</v>
      </c>
      <c r="P4308" s="508" t="s">
        <v>5143</v>
      </c>
      <c r="Q4308" s="423" t="s">
        <v>940</v>
      </c>
    </row>
    <row r="4309" spans="1:17">
      <c r="A4309" s="1399">
        <f t="shared" si="60"/>
        <v>3462</v>
      </c>
      <c r="B4309" s="1213" t="s">
        <v>43</v>
      </c>
      <c r="C4309" s="1146" t="s">
        <v>44</v>
      </c>
      <c r="D4309" s="1146" t="s">
        <v>45</v>
      </c>
      <c r="E4309" s="128" t="s">
        <v>5091</v>
      </c>
      <c r="F4309" s="128" t="s">
        <v>124</v>
      </c>
      <c r="G4309" s="247">
        <v>9822843213</v>
      </c>
      <c r="H4309" s="128"/>
      <c r="I4309" s="247">
        <v>40</v>
      </c>
      <c r="J4309" s="128" t="s">
        <v>90</v>
      </c>
      <c r="K4309" s="1258" t="s">
        <v>4556</v>
      </c>
      <c r="L4309" s="128"/>
      <c r="M4309" s="128" t="s">
        <v>1764</v>
      </c>
      <c r="N4309" s="1310">
        <v>65128</v>
      </c>
      <c r="O4309" s="1310">
        <v>65128</v>
      </c>
      <c r="P4309" s="541">
        <v>65142</v>
      </c>
      <c r="Q4309" s="533" t="s">
        <v>51</v>
      </c>
    </row>
    <row r="4310" spans="1:17">
      <c r="A4310" s="1399">
        <f t="shared" si="60"/>
        <v>3463</v>
      </c>
      <c r="B4310" s="1213" t="s">
        <v>43</v>
      </c>
      <c r="C4310" s="1146" t="s">
        <v>44</v>
      </c>
      <c r="D4310" s="1146" t="s">
        <v>45</v>
      </c>
      <c r="E4310" s="128" t="s">
        <v>5092</v>
      </c>
      <c r="F4310" s="128" t="s">
        <v>441</v>
      </c>
      <c r="G4310" s="247">
        <v>9843838174</v>
      </c>
      <c r="H4310" s="128"/>
      <c r="I4310" s="247">
        <v>19</v>
      </c>
      <c r="J4310" s="128" t="s">
        <v>90</v>
      </c>
      <c r="K4310" s="1258" t="s">
        <v>4556</v>
      </c>
      <c r="L4310" s="128"/>
      <c r="M4310" s="128" t="s">
        <v>1764</v>
      </c>
      <c r="N4310" s="1310">
        <v>65128</v>
      </c>
      <c r="O4310" s="1310">
        <v>65128</v>
      </c>
      <c r="P4310" s="541">
        <v>65142</v>
      </c>
      <c r="Q4310" s="533" t="s">
        <v>51</v>
      </c>
    </row>
    <row r="4311" spans="1:17" s="362" customFormat="1">
      <c r="A4311" s="1399">
        <f t="shared" si="60"/>
        <v>3464</v>
      </c>
      <c r="B4311" s="1327" t="s">
        <v>43</v>
      </c>
      <c r="C4311" s="1313" t="s">
        <v>44</v>
      </c>
      <c r="D4311" s="1313" t="s">
        <v>45</v>
      </c>
      <c r="E4311" s="989" t="s">
        <v>5093</v>
      </c>
      <c r="F4311" s="659" t="s">
        <v>124</v>
      </c>
      <c r="G4311" s="1321">
        <v>9866907243</v>
      </c>
      <c r="H4311" s="989"/>
      <c r="I4311" s="659">
        <v>37</v>
      </c>
      <c r="J4311" s="1339" t="s">
        <v>48</v>
      </c>
      <c r="K4311" s="659" t="s">
        <v>1763</v>
      </c>
      <c r="L4311" s="659"/>
      <c r="M4311" s="659" t="s">
        <v>2648</v>
      </c>
      <c r="N4311" s="1409">
        <v>65128</v>
      </c>
      <c r="O4311" s="1409">
        <v>65128</v>
      </c>
      <c r="P4311" s="1211">
        <v>65133</v>
      </c>
      <c r="Q4311" s="989" t="s">
        <v>51</v>
      </c>
    </row>
    <row r="4312" spans="1:17" s="362" customFormat="1">
      <c r="A4312" s="1399">
        <f t="shared" si="60"/>
        <v>3465</v>
      </c>
      <c r="B4312" s="1327" t="s">
        <v>43</v>
      </c>
      <c r="C4312" s="1313" t="s">
        <v>44</v>
      </c>
      <c r="D4312" s="1313" t="s">
        <v>45</v>
      </c>
      <c r="E4312" s="989" t="s">
        <v>5094</v>
      </c>
      <c r="F4312" s="659" t="s">
        <v>124</v>
      </c>
      <c r="G4312" s="1321">
        <v>9847817230</v>
      </c>
      <c r="H4312" s="989"/>
      <c r="I4312" s="659">
        <v>37</v>
      </c>
      <c r="J4312" s="1339" t="s">
        <v>90</v>
      </c>
      <c r="K4312" s="659" t="s">
        <v>1763</v>
      </c>
      <c r="L4312" s="659"/>
      <c r="M4312" s="659" t="s">
        <v>2648</v>
      </c>
      <c r="N4312" s="1409">
        <v>65128</v>
      </c>
      <c r="O4312" s="1409">
        <v>65128</v>
      </c>
      <c r="P4312" s="1211">
        <v>65133</v>
      </c>
      <c r="Q4312" s="989" t="s">
        <v>51</v>
      </c>
    </row>
    <row r="4313" spans="1:17">
      <c r="A4313" s="1399">
        <f t="shared" si="60"/>
        <v>3466</v>
      </c>
      <c r="B4313" s="1213" t="s">
        <v>43</v>
      </c>
      <c r="C4313" s="1146" t="s">
        <v>44</v>
      </c>
      <c r="D4313" s="1146" t="s">
        <v>45</v>
      </c>
      <c r="E4313" s="432" t="s">
        <v>5095</v>
      </c>
      <c r="F4313" s="434" t="s">
        <v>124</v>
      </c>
      <c r="G4313" s="434">
        <v>9829506145</v>
      </c>
      <c r="I4313" s="434">
        <v>21</v>
      </c>
      <c r="J4313" s="128" t="s">
        <v>90</v>
      </c>
      <c r="K4313" s="434" t="s">
        <v>1763</v>
      </c>
      <c r="M4313" s="434" t="s">
        <v>4844</v>
      </c>
      <c r="N4313" s="1310">
        <v>65128</v>
      </c>
      <c r="O4313" s="1310">
        <v>65128</v>
      </c>
      <c r="P4313" s="541">
        <v>65142</v>
      </c>
      <c r="Q4313" s="533" t="s">
        <v>51</v>
      </c>
    </row>
    <row r="4314" spans="1:17">
      <c r="A4314" s="1399">
        <f t="shared" si="60"/>
        <v>3467</v>
      </c>
      <c r="B4314" s="1213" t="s">
        <v>43</v>
      </c>
      <c r="C4314" s="1146" t="s">
        <v>44</v>
      </c>
      <c r="D4314" s="1146" t="s">
        <v>45</v>
      </c>
      <c r="E4314" s="128" t="s">
        <v>5097</v>
      </c>
      <c r="F4314" s="128" t="s">
        <v>1008</v>
      </c>
      <c r="G4314" s="247">
        <v>9809852552</v>
      </c>
      <c r="H4314" s="128"/>
      <c r="I4314" s="247">
        <v>28</v>
      </c>
      <c r="J4314" s="128" t="s">
        <v>90</v>
      </c>
      <c r="K4314" s="120" t="s">
        <v>1480</v>
      </c>
      <c r="L4314" s="128"/>
      <c r="M4314" s="128" t="s">
        <v>1764</v>
      </c>
      <c r="N4314" s="1310">
        <v>65129</v>
      </c>
      <c r="O4314" s="1310">
        <v>65129</v>
      </c>
      <c r="P4314" s="541">
        <v>65142</v>
      </c>
      <c r="Q4314" s="533" t="s">
        <v>51</v>
      </c>
    </row>
    <row r="4315" spans="1:17">
      <c r="A4315" s="1399">
        <f t="shared" si="60"/>
        <v>3468</v>
      </c>
      <c r="B4315" s="1213" t="s">
        <v>43</v>
      </c>
      <c r="C4315" s="1146" t="s">
        <v>44</v>
      </c>
      <c r="D4315" s="1146" t="s">
        <v>45</v>
      </c>
      <c r="E4315" s="128" t="s">
        <v>5098</v>
      </c>
      <c r="F4315" s="128" t="s">
        <v>502</v>
      </c>
      <c r="G4315" s="247">
        <v>9810820728</v>
      </c>
      <c r="H4315" s="128"/>
      <c r="I4315" s="247">
        <v>22</v>
      </c>
      <c r="J4315" s="128" t="s">
        <v>90</v>
      </c>
      <c r="K4315" s="128" t="s">
        <v>4835</v>
      </c>
      <c r="L4315" s="128"/>
      <c r="M4315" s="128" t="s">
        <v>1764</v>
      </c>
      <c r="N4315" s="1310">
        <v>65129</v>
      </c>
      <c r="O4315" s="1310">
        <v>65129</v>
      </c>
      <c r="P4315" s="541">
        <v>65142</v>
      </c>
      <c r="Q4315" s="533" t="s">
        <v>51</v>
      </c>
    </row>
    <row r="4316" spans="1:17">
      <c r="A4316" s="1399">
        <f t="shared" si="60"/>
        <v>3469</v>
      </c>
      <c r="B4316" s="1213" t="s">
        <v>43</v>
      </c>
      <c r="C4316" s="1146" t="s">
        <v>44</v>
      </c>
      <c r="D4316" s="1146" t="s">
        <v>45</v>
      </c>
      <c r="E4316" s="128" t="s">
        <v>5099</v>
      </c>
      <c r="F4316" s="128" t="s">
        <v>124</v>
      </c>
      <c r="G4316" s="247">
        <v>9848143424</v>
      </c>
      <c r="H4316" s="128"/>
      <c r="I4316" s="247">
        <v>72</v>
      </c>
      <c r="J4316" s="128" t="s">
        <v>90</v>
      </c>
      <c r="K4316" s="128" t="s">
        <v>2649</v>
      </c>
      <c r="L4316" s="128"/>
      <c r="M4316" s="128" t="s">
        <v>1764</v>
      </c>
      <c r="N4316" s="1310">
        <v>65129</v>
      </c>
      <c r="O4316" s="1310">
        <v>65129</v>
      </c>
      <c r="P4316" s="541">
        <v>65142</v>
      </c>
      <c r="Q4316" s="533" t="s">
        <v>51</v>
      </c>
    </row>
    <row r="4317" spans="1:17">
      <c r="A4317" s="1399">
        <f t="shared" si="60"/>
        <v>3470</v>
      </c>
      <c r="B4317" s="1213" t="s">
        <v>43</v>
      </c>
      <c r="C4317" s="1146" t="s">
        <v>44</v>
      </c>
      <c r="D4317" s="1146" t="s">
        <v>45</v>
      </c>
      <c r="E4317" s="128" t="s">
        <v>5100</v>
      </c>
      <c r="F4317" s="128" t="s">
        <v>124</v>
      </c>
      <c r="G4317" s="247">
        <v>9857824653</v>
      </c>
      <c r="H4317" s="128"/>
      <c r="I4317" s="247">
        <v>57</v>
      </c>
      <c r="J4317" s="128" t="s">
        <v>90</v>
      </c>
      <c r="K4317" s="120" t="s">
        <v>1480</v>
      </c>
      <c r="L4317" s="128"/>
      <c r="M4317" s="128" t="s">
        <v>1764</v>
      </c>
      <c r="N4317" s="1310">
        <v>65130</v>
      </c>
      <c r="O4317" s="1310">
        <v>65130</v>
      </c>
      <c r="P4317" s="541">
        <v>65142</v>
      </c>
      <c r="Q4317" s="533" t="s">
        <v>51</v>
      </c>
    </row>
    <row r="4318" spans="1:17">
      <c r="A4318" s="1399">
        <f t="shared" si="60"/>
        <v>3471</v>
      </c>
      <c r="B4318" s="1213" t="s">
        <v>43</v>
      </c>
      <c r="C4318" s="1146" t="s">
        <v>44</v>
      </c>
      <c r="D4318" s="1146" t="s">
        <v>45</v>
      </c>
      <c r="E4318" s="128" t="s">
        <v>5101</v>
      </c>
      <c r="F4318" s="128" t="s">
        <v>512</v>
      </c>
      <c r="G4318" s="247">
        <v>9847836617</v>
      </c>
      <c r="H4318" s="128"/>
      <c r="I4318" s="247">
        <v>49</v>
      </c>
      <c r="J4318" s="128" t="s">
        <v>48</v>
      </c>
      <c r="K4318" s="120" t="s">
        <v>1480</v>
      </c>
      <c r="L4318" s="128"/>
      <c r="M4318" s="128" t="s">
        <v>1764</v>
      </c>
      <c r="N4318" s="1310">
        <v>65130</v>
      </c>
      <c r="O4318" s="1310">
        <v>65130</v>
      </c>
      <c r="P4318" s="541">
        <v>65142</v>
      </c>
      <c r="Q4318" s="533" t="s">
        <v>51</v>
      </c>
    </row>
    <row r="4319" spans="1:17">
      <c r="A4319" s="1399">
        <f t="shared" si="60"/>
        <v>3472</v>
      </c>
      <c r="B4319" s="1213" t="s">
        <v>43</v>
      </c>
      <c r="C4319" s="1146" t="s">
        <v>44</v>
      </c>
      <c r="D4319" s="1146" t="s">
        <v>45</v>
      </c>
      <c r="E4319" s="128" t="s">
        <v>5102</v>
      </c>
      <c r="F4319" s="128" t="s">
        <v>510</v>
      </c>
      <c r="G4319" s="247">
        <v>9809895410</v>
      </c>
      <c r="H4319" s="128"/>
      <c r="I4319" s="247">
        <v>25</v>
      </c>
      <c r="J4319" s="128" t="s">
        <v>48</v>
      </c>
      <c r="K4319" s="120" t="s">
        <v>53</v>
      </c>
      <c r="L4319" s="128"/>
      <c r="M4319" s="128" t="s">
        <v>1764</v>
      </c>
      <c r="N4319" s="1310">
        <v>65130</v>
      </c>
      <c r="O4319" s="1310">
        <v>65130</v>
      </c>
      <c r="P4319" s="541">
        <v>65142</v>
      </c>
      <c r="Q4319" s="533" t="s">
        <v>51</v>
      </c>
    </row>
    <row r="4320" spans="1:17">
      <c r="A4320" s="1399">
        <f t="shared" si="60"/>
        <v>3473</v>
      </c>
      <c r="B4320" s="1213" t="s">
        <v>43</v>
      </c>
      <c r="C4320" s="1146" t="s">
        <v>44</v>
      </c>
      <c r="D4320" s="1146" t="s">
        <v>45</v>
      </c>
      <c r="E4320" s="128" t="s">
        <v>5103</v>
      </c>
      <c r="F4320" s="128" t="s">
        <v>1046</v>
      </c>
      <c r="G4320" s="247">
        <v>9815584846</v>
      </c>
      <c r="H4320" s="128"/>
      <c r="I4320" s="247">
        <v>19</v>
      </c>
      <c r="J4320" s="128" t="s">
        <v>48</v>
      </c>
      <c r="K4320" s="120" t="s">
        <v>53</v>
      </c>
      <c r="L4320" s="128"/>
      <c r="M4320" s="128" t="s">
        <v>1764</v>
      </c>
      <c r="N4320" s="1310">
        <v>65130</v>
      </c>
      <c r="O4320" s="1310">
        <v>65130</v>
      </c>
      <c r="P4320" s="541">
        <v>65142</v>
      </c>
      <c r="Q4320" s="533" t="s">
        <v>51</v>
      </c>
    </row>
    <row r="4321" spans="1:17">
      <c r="A4321" s="1399">
        <f t="shared" si="60"/>
        <v>3474</v>
      </c>
      <c r="B4321" s="1213" t="s">
        <v>43</v>
      </c>
      <c r="C4321" s="1146" t="s">
        <v>44</v>
      </c>
      <c r="D4321" s="1146" t="s">
        <v>45</v>
      </c>
      <c r="E4321" s="128" t="s">
        <v>5104</v>
      </c>
      <c r="F4321" s="128" t="s">
        <v>557</v>
      </c>
      <c r="G4321" s="247">
        <v>9857834253</v>
      </c>
      <c r="H4321" s="128"/>
      <c r="I4321" s="247">
        <v>40</v>
      </c>
      <c r="J4321" s="128" t="s">
        <v>48</v>
      </c>
      <c r="K4321" s="128" t="s">
        <v>5105</v>
      </c>
      <c r="L4321" s="128"/>
      <c r="M4321" s="128" t="s">
        <v>1764</v>
      </c>
      <c r="N4321" s="1310">
        <v>65130</v>
      </c>
      <c r="O4321" s="1310">
        <v>65130</v>
      </c>
      <c r="P4321" s="541">
        <v>65142</v>
      </c>
      <c r="Q4321" s="533" t="s">
        <v>51</v>
      </c>
    </row>
    <row r="4322" spans="1:17">
      <c r="A4322" s="1399">
        <f t="shared" si="60"/>
        <v>3475</v>
      </c>
      <c r="B4322" s="1213" t="s">
        <v>43</v>
      </c>
      <c r="C4322" s="1146" t="s">
        <v>44</v>
      </c>
      <c r="D4322" s="1146" t="s">
        <v>45</v>
      </c>
      <c r="E4322" s="128" t="s">
        <v>5106</v>
      </c>
      <c r="F4322" s="128" t="s">
        <v>497</v>
      </c>
      <c r="G4322" s="247">
        <v>9847935081</v>
      </c>
      <c r="H4322" s="128"/>
      <c r="I4322" s="247">
        <v>42</v>
      </c>
      <c r="J4322" s="128" t="s">
        <v>48</v>
      </c>
      <c r="K4322" s="128" t="s">
        <v>1763</v>
      </c>
      <c r="L4322" s="894"/>
      <c r="M4322" s="128" t="s">
        <v>1764</v>
      </c>
      <c r="N4322" s="1310">
        <v>65127</v>
      </c>
      <c r="O4322" s="1310">
        <v>65127</v>
      </c>
      <c r="P4322" s="541">
        <v>65142</v>
      </c>
      <c r="Q4322" s="533" t="s">
        <v>51</v>
      </c>
    </row>
    <row r="4323" spans="1:17">
      <c r="A4323" s="1399">
        <f t="shared" si="60"/>
        <v>3476</v>
      </c>
      <c r="B4323" s="1213" t="s">
        <v>43</v>
      </c>
      <c r="C4323" s="1146" t="s">
        <v>44</v>
      </c>
      <c r="D4323" s="1146" t="s">
        <v>45</v>
      </c>
      <c r="E4323" s="128" t="s">
        <v>5107</v>
      </c>
      <c r="F4323" s="128" t="s">
        <v>1046</v>
      </c>
      <c r="G4323" s="247">
        <v>9818148453</v>
      </c>
      <c r="H4323" s="128"/>
      <c r="I4323" s="247">
        <v>26</v>
      </c>
      <c r="J4323" s="128" t="s">
        <v>48</v>
      </c>
      <c r="K4323" s="128" t="s">
        <v>1763</v>
      </c>
      <c r="L4323" s="894"/>
      <c r="M4323" s="128" t="s">
        <v>1764</v>
      </c>
      <c r="N4323" s="1310">
        <v>65127</v>
      </c>
      <c r="O4323" s="1310">
        <v>65127</v>
      </c>
      <c r="P4323" s="541">
        <v>65142</v>
      </c>
      <c r="Q4323" s="533" t="s">
        <v>51</v>
      </c>
    </row>
    <row r="4324" spans="1:17">
      <c r="A4324" s="1399">
        <f t="shared" si="60"/>
        <v>3477</v>
      </c>
      <c r="B4324" s="1213" t="s">
        <v>43</v>
      </c>
      <c r="C4324" s="1146" t="s">
        <v>44</v>
      </c>
      <c r="D4324" s="1146" t="s">
        <v>45</v>
      </c>
      <c r="E4324" s="128" t="s">
        <v>2963</v>
      </c>
      <c r="F4324" s="128" t="s">
        <v>491</v>
      </c>
      <c r="G4324" s="247">
        <v>9847884740</v>
      </c>
      <c r="H4324" s="128"/>
      <c r="I4324" s="247">
        <v>31</v>
      </c>
      <c r="J4324" s="128" t="s">
        <v>48</v>
      </c>
      <c r="K4324" s="120" t="s">
        <v>1480</v>
      </c>
      <c r="L4324" s="128"/>
      <c r="M4324" s="128" t="s">
        <v>1764</v>
      </c>
      <c r="N4324" s="1310">
        <v>65131</v>
      </c>
      <c r="O4324" s="1310">
        <v>65131</v>
      </c>
      <c r="P4324" s="459">
        <v>65143</v>
      </c>
      <c r="Q4324" s="432" t="s">
        <v>51</v>
      </c>
    </row>
    <row r="4325" spans="1:17">
      <c r="A4325" s="1399">
        <f t="shared" si="60"/>
        <v>3478</v>
      </c>
      <c r="B4325" s="1213" t="s">
        <v>43</v>
      </c>
      <c r="C4325" s="1146" t="s">
        <v>44</v>
      </c>
      <c r="D4325" s="1146" t="s">
        <v>45</v>
      </c>
      <c r="E4325" s="128" t="s">
        <v>5111</v>
      </c>
      <c r="F4325" s="128" t="s">
        <v>1009</v>
      </c>
      <c r="G4325" s="247">
        <v>9809773022</v>
      </c>
      <c r="H4325" s="128"/>
      <c r="I4325" s="247">
        <v>34</v>
      </c>
      <c r="J4325" s="128" t="s">
        <v>48</v>
      </c>
      <c r="K4325" s="120" t="s">
        <v>53</v>
      </c>
      <c r="L4325" s="128"/>
      <c r="M4325" s="128" t="s">
        <v>1764</v>
      </c>
      <c r="N4325" s="1310">
        <v>65131</v>
      </c>
      <c r="O4325" s="1310">
        <v>65131</v>
      </c>
      <c r="P4325" s="459">
        <v>65143</v>
      </c>
      <c r="Q4325" s="432" t="s">
        <v>51</v>
      </c>
    </row>
    <row r="4326" spans="1:17">
      <c r="A4326" s="1399">
        <f t="shared" si="60"/>
        <v>3479</v>
      </c>
      <c r="B4326" s="1213" t="s">
        <v>43</v>
      </c>
      <c r="C4326" s="1146" t="s">
        <v>44</v>
      </c>
      <c r="D4326" s="1146" t="s">
        <v>45</v>
      </c>
      <c r="E4326" s="128" t="s">
        <v>5112</v>
      </c>
      <c r="F4326" s="128" t="s">
        <v>502</v>
      </c>
      <c r="G4326" s="247">
        <v>9809734600</v>
      </c>
      <c r="H4326" s="128"/>
      <c r="I4326" s="247">
        <v>44</v>
      </c>
      <c r="J4326" s="128" t="s">
        <v>48</v>
      </c>
      <c r="K4326" s="1258" t="s">
        <v>4556</v>
      </c>
      <c r="L4326" s="128"/>
      <c r="M4326" s="128" t="s">
        <v>1764</v>
      </c>
      <c r="N4326" s="1310">
        <v>65131</v>
      </c>
      <c r="O4326" s="1310">
        <v>65131</v>
      </c>
      <c r="P4326" s="459">
        <v>65143</v>
      </c>
      <c r="Q4326" s="432" t="s">
        <v>51</v>
      </c>
    </row>
    <row r="4327" spans="1:17">
      <c r="A4327" s="1399">
        <f t="shared" si="60"/>
        <v>3480</v>
      </c>
      <c r="B4327" s="1439" t="s">
        <v>43</v>
      </c>
      <c r="C4327" s="1248" t="s">
        <v>44</v>
      </c>
      <c r="D4327" s="1248" t="s">
        <v>45</v>
      </c>
      <c r="E4327" s="1440" t="s">
        <v>5115</v>
      </c>
      <c r="F4327" s="1440" t="s">
        <v>491</v>
      </c>
      <c r="G4327" s="1441">
        <v>9844902298</v>
      </c>
      <c r="H4327" s="1440"/>
      <c r="I4327" s="1441">
        <v>55</v>
      </c>
      <c r="J4327" s="1440" t="s">
        <v>48</v>
      </c>
      <c r="K4327" s="1440" t="s">
        <v>1763</v>
      </c>
      <c r="L4327" s="423"/>
      <c r="M4327" s="1440" t="s">
        <v>1225</v>
      </c>
      <c r="N4327" s="1443">
        <v>65132</v>
      </c>
      <c r="O4327" s="1443">
        <v>65132</v>
      </c>
      <c r="P4327" s="476">
        <v>65141</v>
      </c>
      <c r="Q4327" s="422" t="s">
        <v>940</v>
      </c>
    </row>
    <row r="4328" spans="1:17">
      <c r="A4328" s="1399">
        <f t="shared" ref="A4328:A4391" si="61">A4327+1</f>
        <v>3481</v>
      </c>
      <c r="B4328" s="1213" t="s">
        <v>43</v>
      </c>
      <c r="C4328" s="1146" t="s">
        <v>44</v>
      </c>
      <c r="D4328" s="1146" t="s">
        <v>45</v>
      </c>
      <c r="E4328" s="128" t="s">
        <v>5116</v>
      </c>
      <c r="F4328" s="128" t="s">
        <v>491</v>
      </c>
      <c r="G4328" s="247">
        <v>9847876258</v>
      </c>
      <c r="H4328" s="128"/>
      <c r="I4328" s="247">
        <v>18</v>
      </c>
      <c r="J4328" s="128" t="s">
        <v>48</v>
      </c>
      <c r="K4328" s="128" t="s">
        <v>1763</v>
      </c>
      <c r="M4328" s="128" t="s">
        <v>1764</v>
      </c>
      <c r="N4328" s="1310">
        <v>65132</v>
      </c>
      <c r="O4328" s="1310">
        <v>65132</v>
      </c>
      <c r="P4328" s="459">
        <v>65144</v>
      </c>
      <c r="Q4328" s="432" t="s">
        <v>51</v>
      </c>
    </row>
    <row r="4329" spans="1:17">
      <c r="A4329" s="1399">
        <f t="shared" si="61"/>
        <v>3482</v>
      </c>
      <c r="B4329" s="1213" t="s">
        <v>43</v>
      </c>
      <c r="C4329" s="1146" t="s">
        <v>44</v>
      </c>
      <c r="D4329" s="1146" t="s">
        <v>45</v>
      </c>
      <c r="E4329" s="128" t="s">
        <v>5117</v>
      </c>
      <c r="F4329" s="128" t="s">
        <v>491</v>
      </c>
      <c r="G4329" s="247">
        <v>9847876258</v>
      </c>
      <c r="H4329" s="128"/>
      <c r="I4329" s="247">
        <v>50</v>
      </c>
      <c r="J4329" s="128" t="s">
        <v>90</v>
      </c>
      <c r="K4329" s="128" t="s">
        <v>1763</v>
      </c>
      <c r="M4329" s="128" t="s">
        <v>1764</v>
      </c>
      <c r="N4329" s="1310">
        <v>65132</v>
      </c>
      <c r="O4329" s="1310">
        <v>65132</v>
      </c>
      <c r="P4329" s="459">
        <v>65144</v>
      </c>
      <c r="Q4329" s="432" t="s">
        <v>51</v>
      </c>
    </row>
    <row r="4330" spans="1:17">
      <c r="A4330" s="1205">
        <f t="shared" si="61"/>
        <v>3483</v>
      </c>
      <c r="B4330" s="1213" t="s">
        <v>43</v>
      </c>
      <c r="C4330" s="1146" t="s">
        <v>44</v>
      </c>
      <c r="D4330" s="1146" t="s">
        <v>45</v>
      </c>
      <c r="E4330" s="128" t="s">
        <v>5123</v>
      </c>
      <c r="F4330" s="128" t="s">
        <v>502</v>
      </c>
      <c r="G4330" s="247">
        <v>9862520692</v>
      </c>
      <c r="H4330" s="128"/>
      <c r="I4330" s="247">
        <v>27</v>
      </c>
      <c r="J4330" s="128" t="s">
        <v>90</v>
      </c>
      <c r="K4330" s="120" t="s">
        <v>1480</v>
      </c>
      <c r="L4330" s="128"/>
      <c r="M4330" s="128" t="s">
        <v>1764</v>
      </c>
      <c r="N4330" s="1310">
        <v>65133</v>
      </c>
      <c r="O4330" s="1310">
        <v>65133</v>
      </c>
      <c r="P4330" s="541">
        <v>65145</v>
      </c>
      <c r="Q4330" s="533" t="s">
        <v>51</v>
      </c>
    </row>
    <row r="4331" spans="1:17">
      <c r="A4331" s="1205">
        <f t="shared" si="61"/>
        <v>3484</v>
      </c>
      <c r="B4331" s="1213" t="s">
        <v>43</v>
      </c>
      <c r="C4331" s="1146" t="s">
        <v>44</v>
      </c>
      <c r="D4331" s="1146" t="s">
        <v>45</v>
      </c>
      <c r="E4331" s="128" t="s">
        <v>2715</v>
      </c>
      <c r="F4331" s="128" t="s">
        <v>730</v>
      </c>
      <c r="G4331" s="247">
        <v>9847831032</v>
      </c>
      <c r="H4331" s="128"/>
      <c r="I4331" s="247">
        <v>65</v>
      </c>
      <c r="J4331" s="128" t="s">
        <v>90</v>
      </c>
      <c r="K4331" s="120" t="s">
        <v>1480</v>
      </c>
      <c r="L4331" s="128"/>
      <c r="M4331" s="128" t="s">
        <v>1764</v>
      </c>
      <c r="N4331" s="1310">
        <v>65133</v>
      </c>
      <c r="O4331" s="1310">
        <v>65133</v>
      </c>
      <c r="P4331" s="541">
        <v>65145</v>
      </c>
      <c r="Q4331" s="533" t="s">
        <v>51</v>
      </c>
    </row>
    <row r="4332" spans="1:17">
      <c r="A4332" s="1205">
        <f t="shared" si="61"/>
        <v>3485</v>
      </c>
      <c r="B4332" s="1213" t="s">
        <v>43</v>
      </c>
      <c r="C4332" s="1146" t="s">
        <v>44</v>
      </c>
      <c r="D4332" s="1146" t="s">
        <v>45</v>
      </c>
      <c r="E4332" s="128" t="s">
        <v>5124</v>
      </c>
      <c r="F4332" s="128" t="s">
        <v>1008</v>
      </c>
      <c r="G4332" s="247">
        <v>9847840323</v>
      </c>
      <c r="H4332" s="128"/>
      <c r="I4332" s="247">
        <v>52</v>
      </c>
      <c r="J4332" s="128" t="s">
        <v>48</v>
      </c>
      <c r="K4332" s="120" t="s">
        <v>53</v>
      </c>
      <c r="L4332" s="128"/>
      <c r="M4332" s="128" t="s">
        <v>1764</v>
      </c>
      <c r="N4332" s="1310">
        <v>65133</v>
      </c>
      <c r="O4332" s="1310">
        <v>65133</v>
      </c>
      <c r="P4332" s="541">
        <v>65145</v>
      </c>
      <c r="Q4332" s="533" t="s">
        <v>51</v>
      </c>
    </row>
    <row r="4333" spans="1:17">
      <c r="A4333" s="1205">
        <f t="shared" si="61"/>
        <v>3486</v>
      </c>
      <c r="B4333" s="1213" t="s">
        <v>43</v>
      </c>
      <c r="C4333" s="1146" t="s">
        <v>44</v>
      </c>
      <c r="D4333" s="1146" t="s">
        <v>45</v>
      </c>
      <c r="E4333" s="1185" t="s">
        <v>3389</v>
      </c>
      <c r="F4333" s="322" t="s">
        <v>491</v>
      </c>
      <c r="G4333" s="247">
        <v>9866900199</v>
      </c>
      <c r="H4333" s="1184"/>
      <c r="I4333" s="247">
        <v>29</v>
      </c>
      <c r="J4333" s="128" t="s">
        <v>90</v>
      </c>
      <c r="K4333" s="120" t="s">
        <v>1480</v>
      </c>
      <c r="L4333" s="1186"/>
      <c r="M4333" s="128" t="s">
        <v>1764</v>
      </c>
      <c r="N4333" s="1310">
        <v>65133</v>
      </c>
      <c r="O4333" s="1310">
        <v>65133</v>
      </c>
      <c r="P4333" s="541">
        <v>65145</v>
      </c>
      <c r="Q4333" s="533" t="s">
        <v>51</v>
      </c>
    </row>
    <row r="4334" spans="1:17">
      <c r="A4334" s="1205">
        <f t="shared" si="61"/>
        <v>3487</v>
      </c>
      <c r="B4334" s="1213" t="s">
        <v>43</v>
      </c>
      <c r="C4334" s="1146" t="s">
        <v>44</v>
      </c>
      <c r="D4334" s="1146" t="s">
        <v>45</v>
      </c>
      <c r="E4334" s="1185" t="s">
        <v>5125</v>
      </c>
      <c r="F4334" s="434" t="s">
        <v>502</v>
      </c>
      <c r="G4334" s="247">
        <v>9822866055</v>
      </c>
      <c r="H4334" s="1184"/>
      <c r="I4334" s="247">
        <v>25</v>
      </c>
      <c r="J4334" s="128" t="s">
        <v>90</v>
      </c>
      <c r="K4334" s="120" t="s">
        <v>1480</v>
      </c>
      <c r="L4334" s="1186"/>
      <c r="M4334" s="128" t="s">
        <v>1764</v>
      </c>
      <c r="N4334" s="1310">
        <v>65133</v>
      </c>
      <c r="O4334" s="1310">
        <v>65133</v>
      </c>
      <c r="P4334" s="541">
        <v>65145</v>
      </c>
      <c r="Q4334" s="533" t="s">
        <v>51</v>
      </c>
    </row>
    <row r="4335" spans="1:17">
      <c r="A4335" s="1205">
        <f t="shared" si="61"/>
        <v>3488</v>
      </c>
      <c r="B4335" s="1213" t="s">
        <v>43</v>
      </c>
      <c r="C4335" s="1146" t="s">
        <v>44</v>
      </c>
      <c r="D4335" s="1146" t="s">
        <v>45</v>
      </c>
      <c r="E4335" s="128" t="s">
        <v>5137</v>
      </c>
      <c r="F4335" s="128" t="s">
        <v>1008</v>
      </c>
      <c r="G4335" s="247">
        <v>9803757294</v>
      </c>
      <c r="H4335" s="128"/>
      <c r="I4335" s="247">
        <v>33</v>
      </c>
      <c r="J4335" s="128" t="s">
        <v>48</v>
      </c>
      <c r="K4335" s="128" t="s">
        <v>5126</v>
      </c>
      <c r="M4335" s="128" t="s">
        <v>1764</v>
      </c>
      <c r="N4335" s="1257">
        <v>65134</v>
      </c>
      <c r="O4335" s="1257">
        <v>65134</v>
      </c>
      <c r="P4335" s="459">
        <v>65148</v>
      </c>
      <c r="Q4335" s="432" t="s">
        <v>51</v>
      </c>
    </row>
    <row r="4336" spans="1:17">
      <c r="A4336" s="1205">
        <f t="shared" si="61"/>
        <v>3489</v>
      </c>
      <c r="B4336" s="1213" t="s">
        <v>43</v>
      </c>
      <c r="C4336" s="1146" t="s">
        <v>44</v>
      </c>
      <c r="D4336" s="1146" t="s">
        <v>45</v>
      </c>
      <c r="E4336" s="128" t="s">
        <v>5127</v>
      </c>
      <c r="F4336" s="128" t="s">
        <v>502</v>
      </c>
      <c r="G4336" s="247">
        <v>9823322851</v>
      </c>
      <c r="H4336" s="128"/>
      <c r="I4336" s="247">
        <v>28</v>
      </c>
      <c r="J4336" s="128" t="s">
        <v>48</v>
      </c>
      <c r="K4336" s="128" t="s">
        <v>5128</v>
      </c>
      <c r="M4336" s="128" t="s">
        <v>1764</v>
      </c>
      <c r="N4336" s="1257">
        <v>65134</v>
      </c>
      <c r="O4336" s="1257">
        <v>65134</v>
      </c>
      <c r="P4336" s="459">
        <v>65148</v>
      </c>
      <c r="Q4336" s="432" t="s">
        <v>51</v>
      </c>
    </row>
    <row r="4337" spans="1:17">
      <c r="A4337" s="1205">
        <f t="shared" si="61"/>
        <v>3490</v>
      </c>
      <c r="B4337" s="1213" t="s">
        <v>43</v>
      </c>
      <c r="C4337" s="1146" t="s">
        <v>44</v>
      </c>
      <c r="D4337" s="1146" t="s">
        <v>45</v>
      </c>
      <c r="E4337" s="128" t="s">
        <v>5129</v>
      </c>
      <c r="F4337" s="128" t="s">
        <v>491</v>
      </c>
      <c r="G4337" s="1437"/>
      <c r="H4337" s="1436"/>
      <c r="I4337" s="247">
        <v>65</v>
      </c>
      <c r="J4337" s="128" t="s">
        <v>90</v>
      </c>
      <c r="K4337" s="128" t="s">
        <v>5138</v>
      </c>
      <c r="M4337" s="128" t="s">
        <v>1764</v>
      </c>
      <c r="N4337" s="1257">
        <v>65134</v>
      </c>
      <c r="O4337" s="1257">
        <v>65134</v>
      </c>
      <c r="P4337" s="459">
        <v>65148</v>
      </c>
      <c r="Q4337" s="432" t="s">
        <v>51</v>
      </c>
    </row>
    <row r="4338" spans="1:17">
      <c r="A4338" s="1205">
        <f t="shared" si="61"/>
        <v>3491</v>
      </c>
      <c r="B4338" s="1213" t="s">
        <v>43</v>
      </c>
      <c r="C4338" s="1146" t="s">
        <v>44</v>
      </c>
      <c r="D4338" s="1146" t="s">
        <v>45</v>
      </c>
      <c r="E4338" s="128" t="s">
        <v>5130</v>
      </c>
      <c r="F4338" s="128" t="s">
        <v>512</v>
      </c>
      <c r="G4338" s="247">
        <v>9848272484</v>
      </c>
      <c r="H4338" s="128"/>
      <c r="I4338" s="247">
        <v>72</v>
      </c>
      <c r="J4338" s="128" t="s">
        <v>48</v>
      </c>
      <c r="K4338" s="128" t="s">
        <v>2649</v>
      </c>
      <c r="M4338" s="128" t="s">
        <v>1764</v>
      </c>
      <c r="N4338" s="1257">
        <v>65134</v>
      </c>
      <c r="O4338" s="1257">
        <v>65134</v>
      </c>
      <c r="P4338" s="459">
        <v>65148</v>
      </c>
      <c r="Q4338" s="432" t="s">
        <v>51</v>
      </c>
    </row>
    <row r="4339" spans="1:17">
      <c r="A4339" s="1205">
        <f t="shared" si="61"/>
        <v>3492</v>
      </c>
      <c r="B4339" s="1213" t="s">
        <v>43</v>
      </c>
      <c r="C4339" s="1146" t="s">
        <v>44</v>
      </c>
      <c r="D4339" s="1146" t="s">
        <v>45</v>
      </c>
      <c r="E4339" s="128" t="s">
        <v>5131</v>
      </c>
      <c r="F4339" s="128" t="s">
        <v>510</v>
      </c>
      <c r="G4339" s="247">
        <v>9809834146</v>
      </c>
      <c r="H4339" s="128"/>
      <c r="I4339" s="247">
        <v>63</v>
      </c>
      <c r="J4339" s="128" t="s">
        <v>90</v>
      </c>
      <c r="K4339" s="120" t="s">
        <v>1480</v>
      </c>
      <c r="L4339" s="894"/>
      <c r="M4339" s="128" t="s">
        <v>1764</v>
      </c>
      <c r="N4339" s="1257">
        <v>65135</v>
      </c>
      <c r="O4339" s="1257">
        <v>65135</v>
      </c>
      <c r="P4339" s="459">
        <v>65148</v>
      </c>
      <c r="Q4339" s="432" t="s">
        <v>51</v>
      </c>
    </row>
    <row r="4340" spans="1:17">
      <c r="A4340" s="1205">
        <f t="shared" si="61"/>
        <v>3493</v>
      </c>
      <c r="B4340" s="1213" t="s">
        <v>43</v>
      </c>
      <c r="C4340" s="1146" t="s">
        <v>44</v>
      </c>
      <c r="D4340" s="1146" t="s">
        <v>45</v>
      </c>
      <c r="E4340" s="128" t="s">
        <v>5132</v>
      </c>
      <c r="F4340" s="128" t="s">
        <v>491</v>
      </c>
      <c r="G4340" s="247">
        <v>9847891311</v>
      </c>
      <c r="H4340" s="128"/>
      <c r="I4340" s="247">
        <v>18</v>
      </c>
      <c r="J4340" s="128" t="s">
        <v>90</v>
      </c>
      <c r="K4340" s="1258" t="s">
        <v>4556</v>
      </c>
      <c r="L4340" s="894"/>
      <c r="M4340" s="128" t="s">
        <v>1764</v>
      </c>
      <c r="N4340" s="1257">
        <v>65135</v>
      </c>
      <c r="O4340" s="1257">
        <v>65135</v>
      </c>
      <c r="P4340" s="459">
        <v>65148</v>
      </c>
      <c r="Q4340" s="432" t="s">
        <v>51</v>
      </c>
    </row>
    <row r="4341" spans="1:17">
      <c r="A4341" s="1205">
        <f t="shared" si="61"/>
        <v>3494</v>
      </c>
      <c r="B4341" s="1213" t="s">
        <v>43</v>
      </c>
      <c r="C4341" s="1146" t="s">
        <v>44</v>
      </c>
      <c r="D4341" s="1146" t="s">
        <v>45</v>
      </c>
      <c r="E4341" s="128" t="s">
        <v>5133</v>
      </c>
      <c r="F4341" s="128" t="s">
        <v>491</v>
      </c>
      <c r="G4341" s="247">
        <v>9866900199</v>
      </c>
      <c r="H4341" s="128"/>
      <c r="I4341" s="247">
        <v>4</v>
      </c>
      <c r="J4341" s="128" t="s">
        <v>48</v>
      </c>
      <c r="K4341" s="1258" t="s">
        <v>4556</v>
      </c>
      <c r="L4341" s="894"/>
      <c r="M4341" s="128" t="s">
        <v>1764</v>
      </c>
      <c r="N4341" s="1257">
        <v>65135</v>
      </c>
      <c r="O4341" s="1257">
        <v>65135</v>
      </c>
      <c r="P4341" s="459">
        <v>65148</v>
      </c>
      <c r="Q4341" s="432" t="s">
        <v>51</v>
      </c>
    </row>
    <row r="4342" spans="1:17">
      <c r="A4342" s="1205">
        <f t="shared" si="61"/>
        <v>3495</v>
      </c>
      <c r="B4342" s="1213" t="s">
        <v>43</v>
      </c>
      <c r="C4342" s="1146" t="s">
        <v>44</v>
      </c>
      <c r="D4342" s="1146" t="s">
        <v>45</v>
      </c>
      <c r="E4342" s="128" t="s">
        <v>5134</v>
      </c>
      <c r="F4342" s="128" t="s">
        <v>491</v>
      </c>
      <c r="G4342" s="247">
        <v>9868110222</v>
      </c>
      <c r="H4342" s="128"/>
      <c r="I4342" s="247">
        <v>49</v>
      </c>
      <c r="J4342" s="128" t="s">
        <v>48</v>
      </c>
      <c r="K4342" s="1258" t="s">
        <v>4556</v>
      </c>
      <c r="L4342" s="894"/>
      <c r="M4342" s="128" t="s">
        <v>1764</v>
      </c>
      <c r="N4342" s="1257">
        <v>65135</v>
      </c>
      <c r="O4342" s="1257">
        <v>65135</v>
      </c>
      <c r="P4342" s="459">
        <v>65148</v>
      </c>
      <c r="Q4342" s="432" t="s">
        <v>51</v>
      </c>
    </row>
    <row r="4343" spans="1:17">
      <c r="A4343" s="1205">
        <f t="shared" si="61"/>
        <v>3496</v>
      </c>
      <c r="B4343" s="1213" t="s">
        <v>43</v>
      </c>
      <c r="C4343" s="1146" t="s">
        <v>44</v>
      </c>
      <c r="D4343" s="1146" t="s">
        <v>45</v>
      </c>
      <c r="E4343" s="1339" t="s">
        <v>5135</v>
      </c>
      <c r="F4343" s="1339" t="s">
        <v>502</v>
      </c>
      <c r="G4343" s="1321">
        <v>9822985833</v>
      </c>
      <c r="H4343" s="1339"/>
      <c r="I4343" s="1321">
        <v>33</v>
      </c>
      <c r="J4343" s="1339" t="s">
        <v>90</v>
      </c>
      <c r="K4343" s="130" t="s">
        <v>1480</v>
      </c>
      <c r="L4343" s="992"/>
      <c r="M4343" s="1339" t="s">
        <v>2648</v>
      </c>
      <c r="N4343" s="1427" t="s">
        <v>5136</v>
      </c>
      <c r="O4343" s="1427" t="s">
        <v>5136</v>
      </c>
      <c r="P4343" s="1211">
        <v>65150</v>
      </c>
      <c r="Q4343" s="989" t="s">
        <v>51</v>
      </c>
    </row>
    <row r="4344" spans="1:17">
      <c r="A4344" s="1205">
        <f t="shared" si="61"/>
        <v>3497</v>
      </c>
      <c r="B4344" s="1213" t="s">
        <v>43</v>
      </c>
      <c r="C4344" s="1146" t="s">
        <v>44</v>
      </c>
      <c r="D4344" s="1146" t="s">
        <v>45</v>
      </c>
      <c r="E4344" s="128" t="s">
        <v>5144</v>
      </c>
      <c r="F4344" s="128" t="s">
        <v>1046</v>
      </c>
      <c r="G4344" s="247">
        <v>9847884946</v>
      </c>
      <c r="H4344" s="128"/>
      <c r="I4344" s="247">
        <v>24</v>
      </c>
      <c r="J4344" s="128" t="s">
        <v>48</v>
      </c>
      <c r="K4344" s="1410" t="s">
        <v>4892</v>
      </c>
      <c r="M4344" s="128" t="s">
        <v>1764</v>
      </c>
      <c r="N4344" s="235" t="s">
        <v>5136</v>
      </c>
      <c r="O4344" s="235" t="s">
        <v>5136</v>
      </c>
      <c r="P4344" s="459">
        <v>65150</v>
      </c>
      <c r="Q4344" s="432" t="s">
        <v>51</v>
      </c>
    </row>
    <row r="4345" spans="1:17">
      <c r="A4345" s="1205">
        <f t="shared" si="61"/>
        <v>3498</v>
      </c>
      <c r="B4345" s="1213" t="s">
        <v>43</v>
      </c>
      <c r="C4345" s="1146" t="s">
        <v>44</v>
      </c>
      <c r="D4345" s="1146" t="s">
        <v>45</v>
      </c>
      <c r="E4345" s="128" t="s">
        <v>5145</v>
      </c>
      <c r="F4345" s="128" t="s">
        <v>512</v>
      </c>
      <c r="G4345" s="247">
        <v>9810819757</v>
      </c>
      <c r="H4345" s="128"/>
      <c r="I4345" s="247">
        <v>21</v>
      </c>
      <c r="J4345" s="128" t="s">
        <v>90</v>
      </c>
      <c r="K4345" s="128" t="s">
        <v>4835</v>
      </c>
      <c r="M4345" s="128" t="s">
        <v>1764</v>
      </c>
      <c r="N4345" s="235" t="s">
        <v>5136</v>
      </c>
      <c r="O4345" s="235" t="s">
        <v>5136</v>
      </c>
      <c r="P4345" s="459">
        <v>65150</v>
      </c>
      <c r="Q4345" s="432" t="s">
        <v>51</v>
      </c>
    </row>
    <row r="4346" spans="1:17">
      <c r="A4346" s="1205">
        <f t="shared" si="61"/>
        <v>3499</v>
      </c>
      <c r="B4346" s="1213" t="s">
        <v>43</v>
      </c>
      <c r="C4346" s="1146" t="s">
        <v>44</v>
      </c>
      <c r="D4346" s="1146" t="s">
        <v>45</v>
      </c>
      <c r="E4346" s="128" t="s">
        <v>5146</v>
      </c>
      <c r="F4346" s="128" t="s">
        <v>1008</v>
      </c>
      <c r="G4346" s="247">
        <v>9866948478</v>
      </c>
      <c r="H4346" s="128"/>
      <c r="I4346" s="247">
        <v>18</v>
      </c>
      <c r="J4346" s="128" t="s">
        <v>48</v>
      </c>
      <c r="K4346" s="120" t="s">
        <v>53</v>
      </c>
      <c r="M4346" s="128" t="s">
        <v>1764</v>
      </c>
      <c r="N4346" s="235" t="s">
        <v>5143</v>
      </c>
      <c r="O4346" s="235" t="s">
        <v>5143</v>
      </c>
      <c r="P4346" s="459">
        <v>65150</v>
      </c>
      <c r="Q4346" s="432" t="s">
        <v>51</v>
      </c>
    </row>
    <row r="4347" spans="1:17">
      <c r="A4347" s="1205">
        <f t="shared" si="61"/>
        <v>3500</v>
      </c>
      <c r="B4347" s="1213" t="s">
        <v>43</v>
      </c>
      <c r="C4347" s="1146" t="s">
        <v>44</v>
      </c>
      <c r="D4347" s="1146" t="s">
        <v>45</v>
      </c>
      <c r="E4347" s="128" t="s">
        <v>5147</v>
      </c>
      <c r="F4347" s="128" t="s">
        <v>502</v>
      </c>
      <c r="G4347" s="247">
        <v>9868632624</v>
      </c>
      <c r="H4347" s="128"/>
      <c r="I4347" s="247">
        <v>34</v>
      </c>
      <c r="J4347" s="128" t="s">
        <v>90</v>
      </c>
      <c r="K4347" s="120" t="s">
        <v>53</v>
      </c>
      <c r="M4347" s="128" t="s">
        <v>1764</v>
      </c>
      <c r="N4347" s="235" t="s">
        <v>5143</v>
      </c>
      <c r="O4347" s="235" t="s">
        <v>5143</v>
      </c>
      <c r="P4347" s="459">
        <v>65150</v>
      </c>
      <c r="Q4347" s="432" t="s">
        <v>51</v>
      </c>
    </row>
    <row r="4348" spans="1:17">
      <c r="A4348" s="1205">
        <f t="shared" si="61"/>
        <v>3501</v>
      </c>
      <c r="B4348" s="1213" t="s">
        <v>43</v>
      </c>
      <c r="C4348" s="1146" t="s">
        <v>44</v>
      </c>
      <c r="D4348" s="1146" t="s">
        <v>45</v>
      </c>
      <c r="E4348" s="128" t="s">
        <v>5148</v>
      </c>
      <c r="F4348" s="128" t="s">
        <v>491</v>
      </c>
      <c r="G4348" s="247">
        <v>9857891111</v>
      </c>
      <c r="H4348" s="128"/>
      <c r="I4348" s="247">
        <v>89</v>
      </c>
      <c r="J4348" s="128" t="s">
        <v>48</v>
      </c>
      <c r="K4348" s="1258" t="s">
        <v>4556</v>
      </c>
      <c r="M4348" s="128" t="s">
        <v>1764</v>
      </c>
      <c r="N4348" s="235" t="s">
        <v>5143</v>
      </c>
      <c r="O4348" s="235" t="s">
        <v>5143</v>
      </c>
      <c r="P4348" s="459">
        <v>65150</v>
      </c>
      <c r="Q4348" s="432" t="s">
        <v>51</v>
      </c>
    </row>
    <row r="4349" spans="1:17">
      <c r="A4349" s="1205">
        <f t="shared" si="61"/>
        <v>3502</v>
      </c>
      <c r="B4349" s="1213" t="s">
        <v>43</v>
      </c>
      <c r="C4349" s="1146" t="s">
        <v>44</v>
      </c>
      <c r="D4349" s="1146" t="s">
        <v>45</v>
      </c>
      <c r="E4349" s="1158" t="s">
        <v>5149</v>
      </c>
      <c r="F4349" s="1158" t="s">
        <v>124</v>
      </c>
      <c r="G4349" s="1163">
        <v>9845818003</v>
      </c>
      <c r="H4349" s="1158"/>
      <c r="I4349" s="1163">
        <v>36</v>
      </c>
      <c r="J4349" s="1158" t="s">
        <v>48</v>
      </c>
      <c r="K4349" s="1283" t="s">
        <v>4556</v>
      </c>
      <c r="L4349" s="1106"/>
      <c r="M4349" s="1158" t="s">
        <v>1764</v>
      </c>
      <c r="N4349" s="1404" t="s">
        <v>5143</v>
      </c>
      <c r="O4349" s="1404" t="s">
        <v>5143</v>
      </c>
      <c r="P4349" s="459">
        <v>65150</v>
      </c>
      <c r="Q4349" s="432" t="s">
        <v>51</v>
      </c>
    </row>
    <row r="4350" spans="1:17">
      <c r="A4350" s="1205">
        <f t="shared" si="61"/>
        <v>3503</v>
      </c>
      <c r="B4350" s="1213" t="s">
        <v>43</v>
      </c>
      <c r="C4350" s="1146" t="s">
        <v>44</v>
      </c>
      <c r="D4350" s="1146" t="s">
        <v>45</v>
      </c>
      <c r="E4350" s="128" t="s">
        <v>5169</v>
      </c>
      <c r="F4350" s="128" t="s">
        <v>1046</v>
      </c>
      <c r="G4350" s="247">
        <v>9841763649</v>
      </c>
      <c r="H4350" s="128"/>
      <c r="I4350" s="247">
        <v>38</v>
      </c>
      <c r="J4350" s="128" t="s">
        <v>90</v>
      </c>
      <c r="K4350" s="128" t="s">
        <v>4835</v>
      </c>
      <c r="L4350" s="128"/>
      <c r="M4350" s="128" t="s">
        <v>1764</v>
      </c>
      <c r="N4350" s="235" t="s">
        <v>5143</v>
      </c>
      <c r="O4350" s="235" t="s">
        <v>5143</v>
      </c>
      <c r="P4350" s="459">
        <v>65150</v>
      </c>
      <c r="Q4350" s="432" t="s">
        <v>51</v>
      </c>
    </row>
    <row r="4351" spans="1:17">
      <c r="A4351" s="1205">
        <f t="shared" si="61"/>
        <v>3504</v>
      </c>
      <c r="B4351" s="1213" t="s">
        <v>43</v>
      </c>
      <c r="C4351" s="1146" t="s">
        <v>44</v>
      </c>
      <c r="D4351" s="1146" t="s">
        <v>45</v>
      </c>
      <c r="E4351" s="120" t="s">
        <v>5151</v>
      </c>
      <c r="F4351" s="150" t="s">
        <v>730</v>
      </c>
      <c r="G4351" s="150">
        <v>9847859625</v>
      </c>
      <c r="I4351" s="150">
        <v>50</v>
      </c>
      <c r="J4351" s="120" t="s">
        <v>90</v>
      </c>
      <c r="K4351" s="120" t="s">
        <v>5152</v>
      </c>
      <c r="L4351" s="120"/>
      <c r="M4351" s="146" t="s">
        <v>119</v>
      </c>
      <c r="N4351" s="710">
        <v>65137</v>
      </c>
      <c r="O4351" s="710">
        <v>65137</v>
      </c>
      <c r="P4351" s="1309">
        <v>65151</v>
      </c>
      <c r="Q4351" s="533" t="s">
        <v>51</v>
      </c>
    </row>
    <row r="4352" spans="1:17">
      <c r="A4352" s="1205">
        <f t="shared" si="61"/>
        <v>3505</v>
      </c>
      <c r="B4352" s="1213" t="s">
        <v>43</v>
      </c>
      <c r="C4352" s="1146" t="s">
        <v>44</v>
      </c>
      <c r="D4352" s="1146" t="s">
        <v>45</v>
      </c>
      <c r="E4352" s="120" t="s">
        <v>5153</v>
      </c>
      <c r="F4352" s="150" t="s">
        <v>491</v>
      </c>
      <c r="G4352" s="150">
        <v>9857823319</v>
      </c>
      <c r="I4352" s="150">
        <v>22</v>
      </c>
      <c r="J4352" s="120" t="s">
        <v>48</v>
      </c>
      <c r="K4352" s="120" t="s">
        <v>5152</v>
      </c>
      <c r="L4352" s="120"/>
      <c r="M4352" s="146" t="s">
        <v>119</v>
      </c>
      <c r="N4352" s="710">
        <v>65137</v>
      </c>
      <c r="O4352" s="710">
        <v>65137</v>
      </c>
      <c r="P4352" s="1309">
        <v>65151</v>
      </c>
      <c r="Q4352" s="533" t="s">
        <v>51</v>
      </c>
    </row>
    <row r="4353" spans="1:17">
      <c r="A4353" s="1205">
        <f t="shared" si="61"/>
        <v>3506</v>
      </c>
      <c r="B4353" s="1213" t="s">
        <v>43</v>
      </c>
      <c r="C4353" s="1146" t="s">
        <v>44</v>
      </c>
      <c r="D4353" s="1146" t="s">
        <v>45</v>
      </c>
      <c r="E4353" s="128" t="s">
        <v>5154</v>
      </c>
      <c r="F4353" s="128" t="s">
        <v>491</v>
      </c>
      <c r="G4353" s="247">
        <v>9810816213</v>
      </c>
      <c r="H4353" s="128"/>
      <c r="I4353" s="247">
        <v>24</v>
      </c>
      <c r="J4353" s="128" t="s">
        <v>90</v>
      </c>
      <c r="K4353" s="1258" t="s">
        <v>4556</v>
      </c>
      <c r="L4353" s="128"/>
      <c r="M4353" s="128" t="s">
        <v>1764</v>
      </c>
      <c r="N4353" s="1310">
        <v>65136</v>
      </c>
      <c r="O4353" s="1310">
        <v>65136</v>
      </c>
      <c r="P4353" s="1309">
        <v>65151</v>
      </c>
      <c r="Q4353" s="533" t="s">
        <v>51</v>
      </c>
    </row>
    <row r="4354" spans="1:17" s="362" customFormat="1">
      <c r="A4354" s="1205">
        <f t="shared" si="61"/>
        <v>3507</v>
      </c>
      <c r="B4354" s="1327" t="s">
        <v>43</v>
      </c>
      <c r="C4354" s="1313" t="s">
        <v>44</v>
      </c>
      <c r="D4354" s="1313" t="s">
        <v>45</v>
      </c>
      <c r="E4354" s="1339" t="s">
        <v>5155</v>
      </c>
      <c r="F4354" s="1339" t="s">
        <v>497</v>
      </c>
      <c r="G4354" s="1321">
        <v>9857822988</v>
      </c>
      <c r="H4354" s="1339"/>
      <c r="I4354" s="1321">
        <v>70</v>
      </c>
      <c r="J4354" s="1339" t="s">
        <v>90</v>
      </c>
      <c r="K4354" s="130" t="s">
        <v>53</v>
      </c>
      <c r="L4354" s="1339"/>
      <c r="M4354" s="1339" t="s">
        <v>1764</v>
      </c>
      <c r="N4354" s="1409">
        <v>65137</v>
      </c>
      <c r="O4354" s="1409">
        <v>65137</v>
      </c>
      <c r="P4354" s="1211">
        <v>65156</v>
      </c>
      <c r="Q4354" s="989" t="s">
        <v>51</v>
      </c>
    </row>
    <row r="4355" spans="1:17">
      <c r="A4355" s="1205">
        <f t="shared" si="61"/>
        <v>3508</v>
      </c>
      <c r="B4355" s="1213" t="s">
        <v>43</v>
      </c>
      <c r="C4355" s="1146" t="s">
        <v>44</v>
      </c>
      <c r="D4355" s="1146" t="s">
        <v>45</v>
      </c>
      <c r="E4355" s="128" t="s">
        <v>5156</v>
      </c>
      <c r="F4355" s="128" t="s">
        <v>617</v>
      </c>
      <c r="G4355" s="247">
        <v>9847847159</v>
      </c>
      <c r="H4355" s="128"/>
      <c r="I4355" s="247">
        <v>63</v>
      </c>
      <c r="J4355" s="128" t="s">
        <v>48</v>
      </c>
      <c r="K4355" s="120" t="s">
        <v>53</v>
      </c>
      <c r="L4355" s="128"/>
      <c r="M4355" s="128" t="s">
        <v>1764</v>
      </c>
      <c r="N4355" s="1310">
        <v>65137</v>
      </c>
      <c r="O4355" s="1310">
        <v>65137</v>
      </c>
      <c r="P4355" s="1309">
        <v>65151</v>
      </c>
      <c r="Q4355" s="533" t="s">
        <v>51</v>
      </c>
    </row>
    <row r="4356" spans="1:17">
      <c r="A4356" s="1205">
        <f t="shared" si="61"/>
        <v>3509</v>
      </c>
      <c r="B4356" s="1213" t="s">
        <v>43</v>
      </c>
      <c r="C4356" s="1146" t="s">
        <v>44</v>
      </c>
      <c r="D4356" s="1146" t="s">
        <v>45</v>
      </c>
      <c r="E4356" s="128" t="s">
        <v>5157</v>
      </c>
      <c r="F4356" s="128" t="s">
        <v>1204</v>
      </c>
      <c r="G4356" s="247">
        <v>9847845037</v>
      </c>
      <c r="H4356" s="128"/>
      <c r="I4356" s="247">
        <v>55</v>
      </c>
      <c r="J4356" s="128" t="s">
        <v>90</v>
      </c>
      <c r="K4356" s="120" t="s">
        <v>1480</v>
      </c>
      <c r="L4356" s="128"/>
      <c r="M4356" s="128" t="s">
        <v>1764</v>
      </c>
      <c r="N4356" s="1310">
        <v>65137</v>
      </c>
      <c r="O4356" s="1310">
        <v>65137</v>
      </c>
      <c r="P4356" s="1309">
        <v>65151</v>
      </c>
      <c r="Q4356" s="533" t="s">
        <v>51</v>
      </c>
    </row>
    <row r="4357" spans="1:17">
      <c r="A4357" s="1205">
        <f t="shared" si="61"/>
        <v>3510</v>
      </c>
      <c r="B4357" s="1213" t="s">
        <v>43</v>
      </c>
      <c r="C4357" s="1146" t="s">
        <v>44</v>
      </c>
      <c r="D4357" s="1146" t="s">
        <v>45</v>
      </c>
      <c r="E4357" s="128" t="s">
        <v>5158</v>
      </c>
      <c r="F4357" s="128" t="s">
        <v>441</v>
      </c>
      <c r="G4357" s="247">
        <v>9848291242</v>
      </c>
      <c r="H4357" s="128"/>
      <c r="I4357" s="247">
        <v>27</v>
      </c>
      <c r="J4357" s="128" t="s">
        <v>48</v>
      </c>
      <c r="K4357" s="120" t="s">
        <v>1480</v>
      </c>
      <c r="L4357" s="128"/>
      <c r="M4357" s="128" t="s">
        <v>1764</v>
      </c>
      <c r="N4357" s="1310">
        <v>65137</v>
      </c>
      <c r="O4357" s="1310">
        <v>65137</v>
      </c>
      <c r="P4357" s="1309">
        <v>65151</v>
      </c>
      <c r="Q4357" s="533" t="s">
        <v>51</v>
      </c>
    </row>
    <row r="4358" spans="1:17">
      <c r="A4358" s="1205">
        <f t="shared" si="61"/>
        <v>3511</v>
      </c>
      <c r="B4358" s="1213" t="s">
        <v>43</v>
      </c>
      <c r="C4358" s="1146" t="s">
        <v>44</v>
      </c>
      <c r="D4358" s="1146" t="s">
        <v>45</v>
      </c>
      <c r="E4358" s="128" t="s">
        <v>4070</v>
      </c>
      <c r="F4358" s="128" t="s">
        <v>441</v>
      </c>
      <c r="G4358" s="247">
        <v>9849758739</v>
      </c>
      <c r="H4358" s="128"/>
      <c r="I4358" s="247">
        <v>29</v>
      </c>
      <c r="J4358" s="128" t="s">
        <v>90</v>
      </c>
      <c r="K4358" s="1258" t="s">
        <v>4556</v>
      </c>
      <c r="L4358" s="128"/>
      <c r="M4358" s="128" t="s">
        <v>1764</v>
      </c>
      <c r="N4358" s="1310">
        <v>65137</v>
      </c>
      <c r="O4358" s="1310">
        <v>65137</v>
      </c>
      <c r="P4358" s="1309">
        <v>65151</v>
      </c>
      <c r="Q4358" s="533" t="s">
        <v>51</v>
      </c>
    </row>
    <row r="4359" spans="1:17">
      <c r="A4359" s="1205">
        <f t="shared" si="61"/>
        <v>3512</v>
      </c>
      <c r="B4359" s="1213" t="s">
        <v>43</v>
      </c>
      <c r="C4359" s="1146" t="s">
        <v>44</v>
      </c>
      <c r="D4359" s="1146" t="s">
        <v>45</v>
      </c>
      <c r="E4359" s="128" t="s">
        <v>5159</v>
      </c>
      <c r="F4359" s="128" t="s">
        <v>1008</v>
      </c>
      <c r="G4359" s="247">
        <v>9814059319</v>
      </c>
      <c r="H4359" s="128"/>
      <c r="I4359" s="247">
        <v>28</v>
      </c>
      <c r="J4359" s="128" t="s">
        <v>1762</v>
      </c>
      <c r="K4359" s="120" t="s">
        <v>1480</v>
      </c>
      <c r="L4359" s="128"/>
      <c r="M4359" s="128" t="s">
        <v>1764</v>
      </c>
      <c r="N4359" s="1310">
        <v>65138</v>
      </c>
      <c r="O4359" s="1310">
        <v>65138</v>
      </c>
      <c r="P4359" s="459">
        <v>65152</v>
      </c>
      <c r="Q4359" s="432" t="s">
        <v>51</v>
      </c>
    </row>
    <row r="4360" spans="1:17">
      <c r="A4360" s="1205">
        <f t="shared" si="61"/>
        <v>3513</v>
      </c>
      <c r="B4360" s="1213" t="s">
        <v>43</v>
      </c>
      <c r="C4360" s="1146" t="s">
        <v>44</v>
      </c>
      <c r="D4360" s="1146" t="s">
        <v>45</v>
      </c>
      <c r="E4360" s="128" t="s">
        <v>5160</v>
      </c>
      <c r="F4360" s="128" t="s">
        <v>1008</v>
      </c>
      <c r="G4360" s="247">
        <v>9842093094</v>
      </c>
      <c r="H4360" s="128"/>
      <c r="I4360" s="247">
        <v>32</v>
      </c>
      <c r="J4360" s="128" t="s">
        <v>1762</v>
      </c>
      <c r="K4360" s="120" t="s">
        <v>1480</v>
      </c>
      <c r="L4360" s="128"/>
      <c r="M4360" s="128" t="s">
        <v>1764</v>
      </c>
      <c r="N4360" s="1310">
        <v>65138</v>
      </c>
      <c r="O4360" s="1310">
        <v>65138</v>
      </c>
      <c r="P4360" s="459">
        <v>65152</v>
      </c>
      <c r="Q4360" s="432" t="s">
        <v>51</v>
      </c>
    </row>
    <row r="4361" spans="1:17">
      <c r="A4361" s="1205">
        <f t="shared" si="61"/>
        <v>3514</v>
      </c>
      <c r="B4361" s="1213" t="s">
        <v>43</v>
      </c>
      <c r="C4361" s="1146" t="s">
        <v>44</v>
      </c>
      <c r="D4361" s="1146" t="s">
        <v>45</v>
      </c>
      <c r="E4361" s="128" t="s">
        <v>5161</v>
      </c>
      <c r="F4361" s="128" t="s">
        <v>1204</v>
      </c>
      <c r="G4361" s="247">
        <v>9857823398</v>
      </c>
      <c r="H4361" s="128"/>
      <c r="I4361" s="247">
        <v>56</v>
      </c>
      <c r="J4361" s="128" t="s">
        <v>1762</v>
      </c>
      <c r="K4361" s="128" t="s">
        <v>2649</v>
      </c>
      <c r="L4361" s="128"/>
      <c r="M4361" s="128" t="s">
        <v>1764</v>
      </c>
      <c r="N4361" s="1310">
        <v>65138</v>
      </c>
      <c r="O4361" s="1310">
        <v>65138</v>
      </c>
      <c r="P4361" s="459">
        <v>65152</v>
      </c>
      <c r="Q4361" s="432" t="s">
        <v>51</v>
      </c>
    </row>
    <row r="4362" spans="1:17">
      <c r="A4362" s="1205">
        <f t="shared" si="61"/>
        <v>3515</v>
      </c>
      <c r="B4362" s="1213" t="s">
        <v>43</v>
      </c>
      <c r="C4362" s="1146" t="s">
        <v>44</v>
      </c>
      <c r="D4362" s="1146" t="s">
        <v>45</v>
      </c>
      <c r="E4362" s="128" t="s">
        <v>5162</v>
      </c>
      <c r="F4362" s="128" t="s">
        <v>512</v>
      </c>
      <c r="G4362" s="247">
        <v>9857890339</v>
      </c>
      <c r="H4362" s="128"/>
      <c r="I4362" s="247">
        <v>83</v>
      </c>
      <c r="J4362" s="128" t="s">
        <v>48</v>
      </c>
      <c r="K4362" s="128" t="s">
        <v>2650</v>
      </c>
      <c r="L4362" s="128"/>
      <c r="M4362" s="128" t="s">
        <v>1764</v>
      </c>
      <c r="N4362" s="1310">
        <v>65139</v>
      </c>
      <c r="O4362" s="1257">
        <v>65139</v>
      </c>
      <c r="P4362" s="1211">
        <v>65156</v>
      </c>
      <c r="Q4362" s="989" t="s">
        <v>51</v>
      </c>
    </row>
    <row r="4363" spans="1:17">
      <c r="A4363" s="1205">
        <f t="shared" si="61"/>
        <v>3516</v>
      </c>
      <c r="B4363" s="1213" t="s">
        <v>43</v>
      </c>
      <c r="C4363" s="1146" t="s">
        <v>44</v>
      </c>
      <c r="D4363" s="1146" t="s">
        <v>45</v>
      </c>
      <c r="E4363" s="128" t="s">
        <v>5163</v>
      </c>
      <c r="F4363" s="128" t="s">
        <v>1008</v>
      </c>
      <c r="G4363" s="247">
        <v>9848202012</v>
      </c>
      <c r="H4363" s="128"/>
      <c r="I4363" s="247">
        <v>29</v>
      </c>
      <c r="J4363" s="128" t="s">
        <v>48</v>
      </c>
      <c r="K4363" s="120" t="s">
        <v>53</v>
      </c>
      <c r="L4363" s="128"/>
      <c r="M4363" s="128" t="s">
        <v>1764</v>
      </c>
      <c r="N4363" s="1310">
        <v>65139</v>
      </c>
      <c r="O4363" s="1257">
        <v>65139</v>
      </c>
      <c r="P4363" s="1211">
        <v>65156</v>
      </c>
      <c r="Q4363" s="989" t="s">
        <v>51</v>
      </c>
    </row>
    <row r="4364" spans="1:17">
      <c r="A4364" s="1205">
        <f t="shared" si="61"/>
        <v>3517</v>
      </c>
      <c r="B4364" s="1213" t="s">
        <v>43</v>
      </c>
      <c r="C4364" s="1146" t="s">
        <v>44</v>
      </c>
      <c r="D4364" s="1146" t="s">
        <v>45</v>
      </c>
      <c r="E4364" s="128" t="s">
        <v>5164</v>
      </c>
      <c r="F4364" s="128" t="s">
        <v>1008</v>
      </c>
      <c r="G4364" s="247">
        <v>9802053216</v>
      </c>
      <c r="H4364" s="128"/>
      <c r="I4364" s="247">
        <v>43</v>
      </c>
      <c r="J4364" s="128" t="s">
        <v>48</v>
      </c>
      <c r="K4364" s="120" t="s">
        <v>53</v>
      </c>
      <c r="L4364" s="128"/>
      <c r="M4364" s="128" t="s">
        <v>1764</v>
      </c>
      <c r="N4364" s="1310">
        <v>65139</v>
      </c>
      <c r="O4364" s="1257">
        <v>65139</v>
      </c>
      <c r="P4364" s="1211">
        <v>65156</v>
      </c>
      <c r="Q4364" s="989" t="s">
        <v>51</v>
      </c>
    </row>
    <row r="4365" spans="1:17">
      <c r="A4365" s="1205">
        <f t="shared" si="61"/>
        <v>3518</v>
      </c>
      <c r="B4365" s="1213" t="s">
        <v>43</v>
      </c>
      <c r="C4365" s="1146" t="s">
        <v>44</v>
      </c>
      <c r="D4365" s="1146" t="s">
        <v>45</v>
      </c>
      <c r="E4365" s="128" t="s">
        <v>5165</v>
      </c>
      <c r="F4365" s="128" t="s">
        <v>730</v>
      </c>
      <c r="G4365" s="247">
        <v>9844968456</v>
      </c>
      <c r="H4365" s="128"/>
      <c r="I4365" s="247">
        <v>24</v>
      </c>
      <c r="J4365" s="128" t="s">
        <v>90</v>
      </c>
      <c r="K4365" s="120" t="s">
        <v>53</v>
      </c>
      <c r="L4365" s="128"/>
      <c r="M4365" s="128" t="s">
        <v>1764</v>
      </c>
      <c r="N4365" s="1310">
        <v>65139</v>
      </c>
      <c r="O4365" s="1257">
        <v>65139</v>
      </c>
      <c r="P4365" s="1211">
        <v>65156</v>
      </c>
      <c r="Q4365" s="989" t="s">
        <v>51</v>
      </c>
    </row>
    <row r="4366" spans="1:17">
      <c r="A4366" s="1205">
        <f t="shared" si="61"/>
        <v>3519</v>
      </c>
      <c r="B4366" s="1213" t="s">
        <v>43</v>
      </c>
      <c r="C4366" s="1146" t="s">
        <v>44</v>
      </c>
      <c r="D4366" s="1146" t="s">
        <v>45</v>
      </c>
      <c r="E4366" s="128" t="s">
        <v>5166</v>
      </c>
      <c r="F4366" s="128" t="s">
        <v>730</v>
      </c>
      <c r="G4366" s="247">
        <v>9863475028</v>
      </c>
      <c r="H4366" s="128"/>
      <c r="I4366" s="247">
        <v>25</v>
      </c>
      <c r="J4366" s="128" t="s">
        <v>48</v>
      </c>
      <c r="K4366" s="128" t="s">
        <v>5105</v>
      </c>
      <c r="L4366" s="128"/>
      <c r="M4366" s="128" t="s">
        <v>1764</v>
      </c>
      <c r="N4366" s="1310">
        <v>65139</v>
      </c>
      <c r="O4366" s="1257">
        <v>65139</v>
      </c>
      <c r="P4366" s="1211">
        <v>65156</v>
      </c>
      <c r="Q4366" s="989" t="s">
        <v>51</v>
      </c>
    </row>
    <row r="4367" spans="1:17">
      <c r="A4367" s="1205">
        <f t="shared" si="61"/>
        <v>3520</v>
      </c>
      <c r="B4367" s="1213" t="s">
        <v>43</v>
      </c>
      <c r="C4367" s="1146" t="s">
        <v>44</v>
      </c>
      <c r="D4367" s="1146" t="s">
        <v>45</v>
      </c>
      <c r="E4367" s="128" t="s">
        <v>5167</v>
      </c>
      <c r="F4367" s="128" t="s">
        <v>730</v>
      </c>
      <c r="G4367" s="247">
        <v>9857825808</v>
      </c>
      <c r="H4367" s="128"/>
      <c r="I4367" s="247">
        <v>53</v>
      </c>
      <c r="J4367" s="128" t="s">
        <v>90</v>
      </c>
      <c r="K4367" s="120" t="s">
        <v>1480</v>
      </c>
      <c r="L4367" s="128"/>
      <c r="M4367" s="128" t="s">
        <v>1764</v>
      </c>
      <c r="N4367" s="1310">
        <v>65140</v>
      </c>
      <c r="O4367" s="1257">
        <v>65140</v>
      </c>
      <c r="P4367" s="1211">
        <v>65156</v>
      </c>
      <c r="Q4367" s="989" t="s">
        <v>51</v>
      </c>
    </row>
    <row r="4368" spans="1:17">
      <c r="A4368" s="1205">
        <f t="shared" si="61"/>
        <v>3521</v>
      </c>
      <c r="B4368" s="1213" t="s">
        <v>43</v>
      </c>
      <c r="C4368" s="1146" t="s">
        <v>44</v>
      </c>
      <c r="D4368" s="1146" t="s">
        <v>45</v>
      </c>
      <c r="E4368" s="128" t="s">
        <v>5168</v>
      </c>
      <c r="F4368" s="128" t="s">
        <v>502</v>
      </c>
      <c r="G4368" s="247">
        <v>9808314332</v>
      </c>
      <c r="H4368" s="128"/>
      <c r="I4368" s="247">
        <v>25</v>
      </c>
      <c r="J4368" s="128" t="s">
        <v>48</v>
      </c>
      <c r="K4368" s="120" t="s">
        <v>1480</v>
      </c>
      <c r="L4368" s="128"/>
      <c r="M4368" s="128" t="s">
        <v>1764</v>
      </c>
      <c r="N4368" s="1310">
        <v>65141</v>
      </c>
      <c r="O4368" s="1257">
        <v>65141</v>
      </c>
      <c r="P4368" s="1211">
        <v>65156</v>
      </c>
      <c r="Q4368" s="989" t="s">
        <v>51</v>
      </c>
    </row>
    <row r="4369" spans="1:17" s="362" customFormat="1">
      <c r="A4369" s="1205">
        <f t="shared" si="61"/>
        <v>3522</v>
      </c>
      <c r="B4369" s="1327" t="s">
        <v>43</v>
      </c>
      <c r="C4369" s="1313" t="s">
        <v>44</v>
      </c>
      <c r="D4369" s="1313" t="s">
        <v>45</v>
      </c>
      <c r="E4369" s="1339" t="s">
        <v>5170</v>
      </c>
      <c r="F4369" s="1339" t="s">
        <v>502</v>
      </c>
      <c r="G4369" s="1321">
        <v>9847823952</v>
      </c>
      <c r="H4369" s="1339"/>
      <c r="I4369" s="1321">
        <v>50</v>
      </c>
      <c r="J4369" s="1339" t="s">
        <v>48</v>
      </c>
      <c r="K4369" s="130" t="s">
        <v>1480</v>
      </c>
      <c r="L4369" s="1339"/>
      <c r="M4369" s="1339" t="s">
        <v>2648</v>
      </c>
      <c r="N4369" s="1409">
        <v>65141</v>
      </c>
      <c r="O4369" s="1416">
        <v>65141</v>
      </c>
      <c r="P4369" s="1211">
        <v>65156</v>
      </c>
      <c r="Q4369" s="989" t="s">
        <v>51</v>
      </c>
    </row>
    <row r="4370" spans="1:17">
      <c r="A4370" s="1205">
        <f t="shared" si="61"/>
        <v>3523</v>
      </c>
      <c r="B4370" s="1213" t="s">
        <v>43</v>
      </c>
      <c r="C4370" s="1146" t="s">
        <v>44</v>
      </c>
      <c r="D4370" s="1146" t="s">
        <v>45</v>
      </c>
      <c r="E4370" s="128" t="s">
        <v>5171</v>
      </c>
      <c r="F4370" s="128" t="s">
        <v>491</v>
      </c>
      <c r="G4370" s="247">
        <v>9801023557</v>
      </c>
      <c r="H4370" s="128"/>
      <c r="I4370" s="247">
        <v>32</v>
      </c>
      <c r="J4370" s="128" t="s">
        <v>48</v>
      </c>
      <c r="K4370" s="120" t="s">
        <v>1480</v>
      </c>
      <c r="L4370" s="128"/>
      <c r="M4370" s="128" t="s">
        <v>1764</v>
      </c>
      <c r="N4370" s="1310">
        <v>65142</v>
      </c>
      <c r="O4370" s="1257">
        <v>65142</v>
      </c>
      <c r="P4370" s="541">
        <v>65157</v>
      </c>
      <c r="Q4370" s="533" t="s">
        <v>51</v>
      </c>
    </row>
    <row r="4371" spans="1:17">
      <c r="A4371" s="1205">
        <f t="shared" si="61"/>
        <v>3524</v>
      </c>
      <c r="B4371" s="1213" t="s">
        <v>43</v>
      </c>
      <c r="C4371" s="1146" t="s">
        <v>44</v>
      </c>
      <c r="D4371" s="1146" t="s">
        <v>45</v>
      </c>
      <c r="E4371" s="128" t="s">
        <v>5172</v>
      </c>
      <c r="F4371" s="128" t="s">
        <v>529</v>
      </c>
      <c r="G4371" s="247">
        <v>9851001366</v>
      </c>
      <c r="H4371" s="128"/>
      <c r="I4371" s="247">
        <v>79</v>
      </c>
      <c r="J4371" s="128" t="s">
        <v>90</v>
      </c>
      <c r="K4371" s="128" t="s">
        <v>1763</v>
      </c>
      <c r="M4371" s="128" t="s">
        <v>1764</v>
      </c>
      <c r="N4371" s="1257">
        <v>65133</v>
      </c>
      <c r="O4371" s="1257">
        <v>65133</v>
      </c>
      <c r="P4371" s="459">
        <v>65145</v>
      </c>
      <c r="Q4371" s="432" t="s">
        <v>51</v>
      </c>
    </row>
    <row r="4372" spans="1:17">
      <c r="A4372" s="1205">
        <f t="shared" si="61"/>
        <v>3525</v>
      </c>
      <c r="B4372" s="1213" t="s">
        <v>43</v>
      </c>
      <c r="C4372" s="1146" t="s">
        <v>44</v>
      </c>
      <c r="D4372" s="1146" t="s">
        <v>45</v>
      </c>
      <c r="E4372" s="128" t="s">
        <v>5173</v>
      </c>
      <c r="F4372" s="128" t="s">
        <v>491</v>
      </c>
      <c r="G4372" s="247">
        <v>9857830559</v>
      </c>
      <c r="H4372" s="128"/>
      <c r="I4372" s="247">
        <v>54</v>
      </c>
      <c r="J4372" s="128" t="s">
        <v>48</v>
      </c>
      <c r="K4372" s="128" t="s">
        <v>1763</v>
      </c>
      <c r="L4372" s="894"/>
      <c r="M4372" s="128" t="s">
        <v>1764</v>
      </c>
      <c r="N4372" s="235" t="s">
        <v>5136</v>
      </c>
      <c r="O4372" s="235" t="s">
        <v>5136</v>
      </c>
      <c r="P4372" s="459">
        <v>65150</v>
      </c>
      <c r="Q4372" s="432" t="s">
        <v>51</v>
      </c>
    </row>
    <row r="4373" spans="1:17">
      <c r="A4373" s="1205">
        <f t="shared" si="61"/>
        <v>3526</v>
      </c>
      <c r="B4373" s="1213" t="s">
        <v>43</v>
      </c>
      <c r="C4373" s="1146" t="s">
        <v>44</v>
      </c>
      <c r="D4373" s="1146" t="s">
        <v>45</v>
      </c>
      <c r="E4373" s="128" t="s">
        <v>5174</v>
      </c>
      <c r="F4373" s="128" t="s">
        <v>441</v>
      </c>
      <c r="G4373" s="247">
        <v>9844966404</v>
      </c>
      <c r="H4373" s="128"/>
      <c r="I4373" s="247">
        <v>53</v>
      </c>
      <c r="J4373" s="128" t="s">
        <v>48</v>
      </c>
      <c r="K4373" s="128" t="s">
        <v>1763</v>
      </c>
      <c r="L4373" s="894"/>
      <c r="M4373" s="128" t="s">
        <v>1764</v>
      </c>
      <c r="N4373" s="235" t="s">
        <v>5136</v>
      </c>
      <c r="O4373" s="235" t="s">
        <v>5136</v>
      </c>
      <c r="P4373" s="459">
        <v>65150</v>
      </c>
      <c r="Q4373" s="432" t="s">
        <v>51</v>
      </c>
    </row>
    <row r="4374" spans="1:17">
      <c r="A4374" s="1205">
        <f t="shared" si="61"/>
        <v>3527</v>
      </c>
      <c r="B4374" s="1213" t="s">
        <v>43</v>
      </c>
      <c r="C4374" s="1146" t="s">
        <v>44</v>
      </c>
      <c r="D4374" s="1146" t="s">
        <v>45</v>
      </c>
      <c r="E4374" s="128" t="s">
        <v>5175</v>
      </c>
      <c r="F4374" s="128" t="s">
        <v>441</v>
      </c>
      <c r="G4374" s="247">
        <v>9844966404</v>
      </c>
      <c r="H4374" s="128"/>
      <c r="I4374" s="247">
        <v>27</v>
      </c>
      <c r="J4374" s="128" t="s">
        <v>90</v>
      </c>
      <c r="K4374" s="128" t="s">
        <v>1763</v>
      </c>
      <c r="L4374" s="894"/>
      <c r="M4374" s="128" t="s">
        <v>1764</v>
      </c>
      <c r="N4374" s="235" t="s">
        <v>5136</v>
      </c>
      <c r="O4374" s="235" t="s">
        <v>5136</v>
      </c>
      <c r="P4374" s="459">
        <v>65150</v>
      </c>
      <c r="Q4374" s="432" t="s">
        <v>51</v>
      </c>
    </row>
    <row r="4375" spans="1:17">
      <c r="A4375" s="1205">
        <f t="shared" si="61"/>
        <v>3528</v>
      </c>
      <c r="B4375" s="1213" t="s">
        <v>43</v>
      </c>
      <c r="C4375" s="1146" t="s">
        <v>44</v>
      </c>
      <c r="D4375" s="1146" t="s">
        <v>45</v>
      </c>
      <c r="E4375" s="128" t="s">
        <v>5176</v>
      </c>
      <c r="F4375" s="128" t="s">
        <v>441</v>
      </c>
      <c r="G4375" s="247">
        <v>9844966404</v>
      </c>
      <c r="H4375" s="128"/>
      <c r="I4375" s="247">
        <v>57</v>
      </c>
      <c r="J4375" s="128" t="s">
        <v>48</v>
      </c>
      <c r="K4375" s="128" t="s">
        <v>1763</v>
      </c>
      <c r="L4375" s="894"/>
      <c r="M4375" s="128" t="s">
        <v>1764</v>
      </c>
      <c r="N4375" s="235" t="s">
        <v>5136</v>
      </c>
      <c r="O4375" s="235" t="s">
        <v>5136</v>
      </c>
      <c r="P4375" s="459">
        <v>65150</v>
      </c>
      <c r="Q4375" s="432" t="s">
        <v>51</v>
      </c>
    </row>
    <row r="4376" spans="1:17">
      <c r="A4376" s="1205">
        <f t="shared" si="61"/>
        <v>3529</v>
      </c>
      <c r="B4376" s="1213" t="s">
        <v>43</v>
      </c>
      <c r="C4376" s="1146" t="s">
        <v>44</v>
      </c>
      <c r="D4376" s="1146" t="s">
        <v>45</v>
      </c>
      <c r="E4376" s="128" t="s">
        <v>5177</v>
      </c>
      <c r="F4376" s="128" t="s">
        <v>510</v>
      </c>
      <c r="G4376" s="247">
        <v>9822846873</v>
      </c>
      <c r="H4376" s="56"/>
      <c r="I4376" s="247">
        <v>59</v>
      </c>
      <c r="J4376" s="128" t="s">
        <v>48</v>
      </c>
      <c r="K4376" s="128" t="s">
        <v>1763</v>
      </c>
      <c r="L4376" s="894"/>
      <c r="M4376" s="128" t="s">
        <v>1764</v>
      </c>
      <c r="N4376" s="1451">
        <v>65139</v>
      </c>
      <c r="O4376" s="1451">
        <v>65139</v>
      </c>
      <c r="P4376" s="1211">
        <v>65156</v>
      </c>
      <c r="Q4376" s="989" t="s">
        <v>51</v>
      </c>
    </row>
    <row r="4377" spans="1:17">
      <c r="A4377" s="1205">
        <f t="shared" si="61"/>
        <v>3530</v>
      </c>
      <c r="B4377" s="1213" t="s">
        <v>43</v>
      </c>
      <c r="C4377" s="1146" t="s">
        <v>44</v>
      </c>
      <c r="D4377" s="1146" t="s">
        <v>45</v>
      </c>
      <c r="E4377" s="128" t="s">
        <v>5178</v>
      </c>
      <c r="F4377" s="128" t="s">
        <v>502</v>
      </c>
      <c r="G4377" s="247">
        <v>9849595678</v>
      </c>
      <c r="H4377" s="56"/>
      <c r="I4377" s="247">
        <v>65</v>
      </c>
      <c r="J4377" s="128" t="s">
        <v>48</v>
      </c>
      <c r="K4377" s="128" t="s">
        <v>1763</v>
      </c>
      <c r="L4377" s="894"/>
      <c r="M4377" s="128" t="s">
        <v>1764</v>
      </c>
      <c r="N4377" s="1451">
        <v>65139</v>
      </c>
      <c r="O4377" s="1451">
        <v>65139</v>
      </c>
      <c r="P4377" s="1211">
        <v>65156</v>
      </c>
      <c r="Q4377" s="989" t="s">
        <v>51</v>
      </c>
    </row>
    <row r="4378" spans="1:17">
      <c r="A4378" s="1205">
        <f t="shared" si="61"/>
        <v>3531</v>
      </c>
      <c r="B4378" s="1213" t="s">
        <v>43</v>
      </c>
      <c r="C4378" s="1146" t="s">
        <v>44</v>
      </c>
      <c r="D4378" s="1146" t="s">
        <v>45</v>
      </c>
      <c r="E4378" s="128" t="s">
        <v>5179</v>
      </c>
      <c r="F4378" s="128" t="s">
        <v>491</v>
      </c>
      <c r="G4378" s="247">
        <v>9849595678</v>
      </c>
      <c r="H4378" s="56"/>
      <c r="I4378" s="247">
        <v>51</v>
      </c>
      <c r="J4378" s="128" t="s">
        <v>90</v>
      </c>
      <c r="K4378" s="128" t="s">
        <v>1763</v>
      </c>
      <c r="L4378" s="894"/>
      <c r="M4378" s="128" t="s">
        <v>1764</v>
      </c>
      <c r="N4378" s="1451">
        <v>65139</v>
      </c>
      <c r="O4378" s="1451">
        <v>65139</v>
      </c>
      <c r="P4378" s="1211">
        <v>65156</v>
      </c>
      <c r="Q4378" s="989" t="s">
        <v>51</v>
      </c>
    </row>
    <row r="4379" spans="1:17">
      <c r="A4379" s="1205">
        <f t="shared" si="61"/>
        <v>3532</v>
      </c>
      <c r="B4379" s="1213" t="s">
        <v>43</v>
      </c>
      <c r="C4379" s="1146" t="s">
        <v>44</v>
      </c>
      <c r="D4379" s="1146" t="s">
        <v>45</v>
      </c>
      <c r="E4379" s="128" t="s">
        <v>5180</v>
      </c>
      <c r="F4379" s="128" t="s">
        <v>510</v>
      </c>
      <c r="G4379" s="247">
        <v>9822846873</v>
      </c>
      <c r="H4379" s="56"/>
      <c r="I4379" s="247">
        <v>50</v>
      </c>
      <c r="J4379" s="128" t="s">
        <v>90</v>
      </c>
      <c r="K4379" s="128" t="s">
        <v>1763</v>
      </c>
      <c r="L4379" s="894"/>
      <c r="M4379" s="128" t="s">
        <v>1764</v>
      </c>
      <c r="N4379" s="1451">
        <v>65139</v>
      </c>
      <c r="O4379" s="1451">
        <v>65139</v>
      </c>
      <c r="P4379" s="1211">
        <v>65156</v>
      </c>
      <c r="Q4379" s="989" t="s">
        <v>51</v>
      </c>
    </row>
    <row r="4380" spans="1:17">
      <c r="A4380" s="1205">
        <f t="shared" si="61"/>
        <v>3533</v>
      </c>
      <c r="B4380" s="1213" t="s">
        <v>43</v>
      </c>
      <c r="C4380" s="1146" t="s">
        <v>44</v>
      </c>
      <c r="D4380" s="1146" t="s">
        <v>45</v>
      </c>
      <c r="E4380" s="128" t="s">
        <v>5181</v>
      </c>
      <c r="F4380" s="128" t="s">
        <v>730</v>
      </c>
      <c r="G4380" s="247">
        <v>9857825805</v>
      </c>
      <c r="H4380" s="128"/>
      <c r="I4380" s="247">
        <v>58</v>
      </c>
      <c r="J4380" s="128" t="s">
        <v>48</v>
      </c>
      <c r="K4380" s="120" t="s">
        <v>1480</v>
      </c>
      <c r="L4380" s="128"/>
      <c r="M4380" s="128" t="s">
        <v>1764</v>
      </c>
      <c r="N4380" s="1310">
        <v>65143</v>
      </c>
      <c r="O4380" s="1310">
        <v>65143</v>
      </c>
      <c r="P4380" s="496">
        <v>65158</v>
      </c>
      <c r="Q4380" s="491" t="s">
        <v>51</v>
      </c>
    </row>
    <row r="4381" spans="1:17">
      <c r="A4381" s="1205">
        <f t="shared" si="61"/>
        <v>3534</v>
      </c>
      <c r="B4381" s="1213" t="s">
        <v>43</v>
      </c>
      <c r="C4381" s="1146" t="s">
        <v>44</v>
      </c>
      <c r="D4381" s="1146" t="s">
        <v>45</v>
      </c>
      <c r="E4381" s="128" t="s">
        <v>5182</v>
      </c>
      <c r="F4381" s="128" t="s">
        <v>730</v>
      </c>
      <c r="G4381" s="247">
        <v>9867253455</v>
      </c>
      <c r="H4381" s="128"/>
      <c r="I4381" s="247">
        <v>42</v>
      </c>
      <c r="J4381" s="128" t="s">
        <v>90</v>
      </c>
      <c r="K4381" s="120" t="s">
        <v>1480</v>
      </c>
      <c r="L4381" s="128"/>
      <c r="M4381" s="128" t="s">
        <v>1764</v>
      </c>
      <c r="N4381" s="1310">
        <v>65143</v>
      </c>
      <c r="O4381" s="1310">
        <v>65143</v>
      </c>
      <c r="P4381" s="496">
        <v>65158</v>
      </c>
      <c r="Q4381" s="491" t="s">
        <v>51</v>
      </c>
    </row>
    <row r="4382" spans="1:17">
      <c r="A4382" s="1205">
        <f t="shared" si="61"/>
        <v>3535</v>
      </c>
      <c r="B4382" s="1213" t="s">
        <v>43</v>
      </c>
      <c r="C4382" s="1146" t="s">
        <v>44</v>
      </c>
      <c r="D4382" s="1146" t="s">
        <v>45</v>
      </c>
      <c r="E4382" s="128" t="s">
        <v>5183</v>
      </c>
      <c r="F4382" s="128" t="s">
        <v>491</v>
      </c>
      <c r="G4382" s="247">
        <v>9868110222</v>
      </c>
      <c r="H4382" s="128"/>
      <c r="I4382" s="247">
        <v>49</v>
      </c>
      <c r="J4382" s="128" t="s">
        <v>90</v>
      </c>
      <c r="K4382" s="128" t="s">
        <v>1763</v>
      </c>
      <c r="M4382" s="128" t="s">
        <v>1764</v>
      </c>
      <c r="N4382" s="1310">
        <v>65142</v>
      </c>
      <c r="O4382" s="1310">
        <v>65142</v>
      </c>
      <c r="P4382" s="541">
        <v>65157</v>
      </c>
      <c r="Q4382" s="533" t="s">
        <v>51</v>
      </c>
    </row>
    <row r="4383" spans="1:17">
      <c r="A4383" s="1205">
        <f t="shared" si="61"/>
        <v>3536</v>
      </c>
      <c r="B4383" s="1213" t="s">
        <v>43</v>
      </c>
      <c r="C4383" s="1146" t="s">
        <v>44</v>
      </c>
      <c r="D4383" s="1146" t="s">
        <v>45</v>
      </c>
      <c r="E4383" s="128" t="s">
        <v>5184</v>
      </c>
      <c r="F4383" s="128" t="s">
        <v>491</v>
      </c>
      <c r="G4383" s="247">
        <v>9847849223</v>
      </c>
      <c r="H4383" s="128"/>
      <c r="I4383" s="247">
        <v>20</v>
      </c>
      <c r="J4383" s="128" t="s">
        <v>90</v>
      </c>
      <c r="K4383" s="128" t="s">
        <v>1763</v>
      </c>
      <c r="M4383" s="128" t="s">
        <v>1764</v>
      </c>
      <c r="N4383" s="1310">
        <v>65142</v>
      </c>
      <c r="O4383" s="1310">
        <v>65142</v>
      </c>
      <c r="P4383" s="541">
        <v>65157</v>
      </c>
      <c r="Q4383" s="533" t="s">
        <v>51</v>
      </c>
    </row>
    <row r="4384" spans="1:17">
      <c r="A4384" s="1205">
        <f t="shared" si="61"/>
        <v>3537</v>
      </c>
      <c r="B4384" s="1213" t="s">
        <v>43</v>
      </c>
      <c r="C4384" s="1146" t="s">
        <v>44</v>
      </c>
      <c r="D4384" s="1146" t="s">
        <v>45</v>
      </c>
      <c r="E4384" s="128" t="s">
        <v>5185</v>
      </c>
      <c r="F4384" s="128" t="s">
        <v>491</v>
      </c>
      <c r="G4384" s="247">
        <v>9847849223</v>
      </c>
      <c r="H4384" s="128"/>
      <c r="I4384" s="247">
        <v>29</v>
      </c>
      <c r="J4384" s="128" t="s">
        <v>48</v>
      </c>
      <c r="K4384" s="128" t="s">
        <v>1763</v>
      </c>
      <c r="M4384" s="128" t="s">
        <v>1764</v>
      </c>
      <c r="N4384" s="1310">
        <v>65142</v>
      </c>
      <c r="O4384" s="1310">
        <v>65142</v>
      </c>
      <c r="P4384" s="541">
        <v>65157</v>
      </c>
      <c r="Q4384" s="533" t="s">
        <v>51</v>
      </c>
    </row>
    <row r="4385" spans="1:17">
      <c r="A4385" s="1205">
        <f t="shared" si="61"/>
        <v>3538</v>
      </c>
      <c r="B4385" s="1213" t="s">
        <v>43</v>
      </c>
      <c r="C4385" s="1146" t="s">
        <v>44</v>
      </c>
      <c r="D4385" s="1146" t="s">
        <v>45</v>
      </c>
      <c r="E4385" s="128" t="s">
        <v>5186</v>
      </c>
      <c r="F4385" s="128" t="s">
        <v>491</v>
      </c>
      <c r="G4385" s="247">
        <v>9847849223</v>
      </c>
      <c r="H4385" s="128"/>
      <c r="I4385" s="247">
        <v>51</v>
      </c>
      <c r="J4385" s="128" t="s">
        <v>90</v>
      </c>
      <c r="K4385" s="128" t="s">
        <v>1763</v>
      </c>
      <c r="M4385" s="128" t="s">
        <v>1764</v>
      </c>
      <c r="N4385" s="1310">
        <v>65142</v>
      </c>
      <c r="O4385" s="1310">
        <v>65142</v>
      </c>
      <c r="P4385" s="541">
        <v>65157</v>
      </c>
      <c r="Q4385" s="533" t="s">
        <v>51</v>
      </c>
    </row>
    <row r="4386" spans="1:17">
      <c r="A4386" s="1205">
        <f t="shared" si="61"/>
        <v>3539</v>
      </c>
      <c r="B4386" s="1213" t="s">
        <v>43</v>
      </c>
      <c r="C4386" s="1146" t="s">
        <v>44</v>
      </c>
      <c r="D4386" s="1146" t="s">
        <v>45</v>
      </c>
      <c r="E4386" s="128" t="s">
        <v>5187</v>
      </c>
      <c r="F4386" s="128" t="s">
        <v>791</v>
      </c>
      <c r="G4386" s="247">
        <v>9868086831</v>
      </c>
      <c r="H4386" s="128"/>
      <c r="I4386" s="247">
        <v>46</v>
      </c>
      <c r="J4386" s="128" t="s">
        <v>48</v>
      </c>
      <c r="K4386" s="128" t="s">
        <v>1763</v>
      </c>
      <c r="M4386" s="128" t="s">
        <v>1764</v>
      </c>
      <c r="N4386" s="1310">
        <v>65142</v>
      </c>
      <c r="O4386" s="1310">
        <v>65142</v>
      </c>
      <c r="P4386" s="541">
        <v>65157</v>
      </c>
      <c r="Q4386" s="533" t="s">
        <v>51</v>
      </c>
    </row>
    <row r="4387" spans="1:17">
      <c r="A4387" s="1205">
        <f t="shared" si="61"/>
        <v>3540</v>
      </c>
      <c r="B4387" s="1213" t="s">
        <v>43</v>
      </c>
      <c r="C4387" s="1146" t="s">
        <v>44</v>
      </c>
      <c r="D4387" s="1146" t="s">
        <v>45</v>
      </c>
      <c r="E4387" s="128" t="s">
        <v>5188</v>
      </c>
      <c r="F4387" s="128" t="s">
        <v>512</v>
      </c>
      <c r="G4387" s="247">
        <v>9812859388</v>
      </c>
      <c r="H4387" s="128"/>
      <c r="I4387" s="247">
        <v>29</v>
      </c>
      <c r="J4387" s="128" t="s">
        <v>48</v>
      </c>
      <c r="K4387" s="128" t="s">
        <v>1763</v>
      </c>
      <c r="M4387" s="128" t="s">
        <v>1764</v>
      </c>
      <c r="N4387" s="1310">
        <v>65143</v>
      </c>
      <c r="O4387" s="1310">
        <v>65143</v>
      </c>
      <c r="P4387" s="496">
        <v>65158</v>
      </c>
      <c r="Q4387" s="491" t="s">
        <v>51</v>
      </c>
    </row>
    <row r="4388" spans="1:17">
      <c r="A4388" s="1205">
        <f t="shared" si="61"/>
        <v>3541</v>
      </c>
      <c r="B4388" s="1213" t="s">
        <v>43</v>
      </c>
      <c r="C4388" s="1146" t="s">
        <v>44</v>
      </c>
      <c r="D4388" s="1146" t="s">
        <v>45</v>
      </c>
      <c r="E4388" s="128" t="s">
        <v>5189</v>
      </c>
      <c r="F4388" s="128" t="s">
        <v>512</v>
      </c>
      <c r="G4388" s="247">
        <v>9812859388</v>
      </c>
      <c r="H4388" s="128"/>
      <c r="I4388" s="247">
        <v>24</v>
      </c>
      <c r="J4388" s="128" t="s">
        <v>90</v>
      </c>
      <c r="K4388" s="128" t="s">
        <v>1763</v>
      </c>
      <c r="M4388" s="128" t="s">
        <v>1764</v>
      </c>
      <c r="N4388" s="1310">
        <v>65143</v>
      </c>
      <c r="O4388" s="1310">
        <v>65143</v>
      </c>
      <c r="P4388" s="496">
        <v>65158</v>
      </c>
      <c r="Q4388" s="491" t="s">
        <v>51</v>
      </c>
    </row>
    <row r="4389" spans="1:17">
      <c r="A4389" s="1205">
        <f t="shared" si="61"/>
        <v>3542</v>
      </c>
      <c r="B4389" s="1213" t="s">
        <v>43</v>
      </c>
      <c r="C4389" s="1146" t="s">
        <v>44</v>
      </c>
      <c r="D4389" s="1146" t="s">
        <v>45</v>
      </c>
      <c r="E4389" s="128" t="s">
        <v>5190</v>
      </c>
      <c r="F4389" s="128" t="s">
        <v>636</v>
      </c>
      <c r="G4389" s="247">
        <v>9862415265</v>
      </c>
      <c r="H4389" s="128"/>
      <c r="I4389" s="247">
        <v>50</v>
      </c>
      <c r="J4389" s="128" t="s">
        <v>90</v>
      </c>
      <c r="K4389" s="128" t="s">
        <v>1763</v>
      </c>
      <c r="M4389" s="128" t="s">
        <v>1764</v>
      </c>
      <c r="N4389" s="1310">
        <v>65143</v>
      </c>
      <c r="O4389" s="1310">
        <v>65143</v>
      </c>
      <c r="P4389" s="496">
        <v>65158</v>
      </c>
      <c r="Q4389" s="491" t="s">
        <v>51</v>
      </c>
    </row>
    <row r="4390" spans="1:17">
      <c r="A4390" s="1205">
        <f t="shared" si="61"/>
        <v>3543</v>
      </c>
      <c r="B4390" s="1327" t="s">
        <v>43</v>
      </c>
      <c r="C4390" s="1313" t="s">
        <v>44</v>
      </c>
      <c r="D4390" s="1313" t="s">
        <v>45</v>
      </c>
      <c r="E4390" s="989" t="s">
        <v>5191</v>
      </c>
      <c r="F4390" s="659" t="s">
        <v>497</v>
      </c>
      <c r="G4390" s="1321">
        <v>9857822988</v>
      </c>
      <c r="H4390" s="989"/>
      <c r="I4390" s="659">
        <v>71</v>
      </c>
      <c r="J4390" s="1339" t="s">
        <v>48</v>
      </c>
      <c r="K4390" s="130" t="s">
        <v>53</v>
      </c>
      <c r="L4390" s="659"/>
      <c r="M4390" s="1339" t="s">
        <v>2648</v>
      </c>
      <c r="N4390" s="722">
        <v>65143</v>
      </c>
      <c r="O4390" s="1409">
        <v>65143</v>
      </c>
      <c r="P4390" s="1211">
        <v>65150</v>
      </c>
      <c r="Q4390" s="989" t="s">
        <v>51</v>
      </c>
    </row>
    <row r="4391" spans="1:17">
      <c r="A4391" s="1205">
        <f t="shared" si="61"/>
        <v>3544</v>
      </c>
      <c r="B4391" s="1213" t="s">
        <v>43</v>
      </c>
      <c r="C4391" s="1146" t="s">
        <v>44</v>
      </c>
      <c r="D4391" s="1146" t="s">
        <v>45</v>
      </c>
      <c r="E4391" s="128" t="s">
        <v>5199</v>
      </c>
      <c r="F4391" s="128" t="s">
        <v>512</v>
      </c>
      <c r="G4391" s="247">
        <v>9810815137</v>
      </c>
      <c r="H4391" s="128"/>
      <c r="I4391" s="247">
        <v>50</v>
      </c>
      <c r="J4391" s="128" t="s">
        <v>90</v>
      </c>
      <c r="K4391" s="128" t="s">
        <v>1763</v>
      </c>
      <c r="M4391" s="128" t="s">
        <v>1764</v>
      </c>
      <c r="N4391" s="1310">
        <v>65143</v>
      </c>
      <c r="O4391" s="1310">
        <v>65143</v>
      </c>
      <c r="P4391" s="496">
        <v>65158</v>
      </c>
      <c r="Q4391" s="491" t="s">
        <v>51</v>
      </c>
    </row>
    <row r="4392" spans="1:17">
      <c r="A4392" s="1205">
        <f t="shared" ref="A4392:A4455" si="62">A4391+1</f>
        <v>3545</v>
      </c>
      <c r="B4392" s="1213" t="s">
        <v>43</v>
      </c>
      <c r="C4392" s="1146" t="s">
        <v>44</v>
      </c>
      <c r="D4392" s="1146" t="s">
        <v>45</v>
      </c>
      <c r="E4392" s="128" t="s">
        <v>5200</v>
      </c>
      <c r="F4392" s="128" t="s">
        <v>512</v>
      </c>
      <c r="G4392" s="247">
        <v>9810815137</v>
      </c>
      <c r="H4392" s="128"/>
      <c r="I4392" s="247">
        <v>11</v>
      </c>
      <c r="J4392" s="128" t="s">
        <v>48</v>
      </c>
      <c r="K4392" s="128" t="s">
        <v>1763</v>
      </c>
      <c r="M4392" s="128" t="s">
        <v>1764</v>
      </c>
      <c r="N4392" s="1310">
        <v>65143</v>
      </c>
      <c r="O4392" s="1310">
        <v>65143</v>
      </c>
      <c r="P4392" s="496">
        <v>65158</v>
      </c>
      <c r="Q4392" s="491" t="s">
        <v>51</v>
      </c>
    </row>
    <row r="4393" spans="1:17">
      <c r="A4393" s="1205">
        <f t="shared" si="62"/>
        <v>3546</v>
      </c>
      <c r="B4393" s="1213" t="s">
        <v>43</v>
      </c>
      <c r="C4393" s="1146" t="s">
        <v>44</v>
      </c>
      <c r="D4393" s="1146" t="s">
        <v>45</v>
      </c>
      <c r="E4393" s="128" t="s">
        <v>5201</v>
      </c>
      <c r="F4393" s="128" t="s">
        <v>512</v>
      </c>
      <c r="G4393" s="247">
        <v>9810815137</v>
      </c>
      <c r="H4393" s="128"/>
      <c r="I4393" s="247">
        <v>55</v>
      </c>
      <c r="J4393" s="128" t="s">
        <v>48</v>
      </c>
      <c r="K4393" s="128" t="s">
        <v>1763</v>
      </c>
      <c r="M4393" s="128" t="s">
        <v>1764</v>
      </c>
      <c r="N4393" s="1310">
        <v>65143</v>
      </c>
      <c r="O4393" s="1310">
        <v>65143</v>
      </c>
      <c r="P4393" s="496">
        <v>65158</v>
      </c>
      <c r="Q4393" s="491" t="s">
        <v>51</v>
      </c>
    </row>
    <row r="4394" spans="1:17">
      <c r="A4394" s="1205">
        <f t="shared" si="62"/>
        <v>3547</v>
      </c>
      <c r="B4394" s="1213" t="s">
        <v>43</v>
      </c>
      <c r="C4394" s="1146" t="s">
        <v>44</v>
      </c>
      <c r="D4394" s="1146" t="s">
        <v>45</v>
      </c>
      <c r="E4394" s="128" t="s">
        <v>80</v>
      </c>
      <c r="F4394" s="128" t="s">
        <v>491</v>
      </c>
      <c r="G4394" s="247">
        <v>9849048325</v>
      </c>
      <c r="H4394" s="128"/>
      <c r="I4394" s="247">
        <v>58</v>
      </c>
      <c r="J4394" s="128" t="s">
        <v>48</v>
      </c>
      <c r="K4394" s="128" t="s">
        <v>1763</v>
      </c>
      <c r="M4394" s="128" t="s">
        <v>1764</v>
      </c>
      <c r="N4394" s="1310">
        <v>65143</v>
      </c>
      <c r="O4394" s="1310">
        <v>65143</v>
      </c>
      <c r="P4394" s="496">
        <v>65158</v>
      </c>
      <c r="Q4394" s="491" t="s">
        <v>51</v>
      </c>
    </row>
    <row r="4395" spans="1:17">
      <c r="A4395" s="1205">
        <f t="shared" si="62"/>
        <v>3548</v>
      </c>
      <c r="B4395" s="1213" t="s">
        <v>43</v>
      </c>
      <c r="C4395" s="1146" t="s">
        <v>44</v>
      </c>
      <c r="D4395" s="1146" t="s">
        <v>45</v>
      </c>
      <c r="E4395" s="1446" t="s">
        <v>5231</v>
      </c>
      <c r="F4395" s="1446" t="s">
        <v>1009</v>
      </c>
      <c r="G4395" s="1447">
        <v>9847993712</v>
      </c>
      <c r="H4395" s="1446"/>
      <c r="I4395" s="1447">
        <v>48</v>
      </c>
      <c r="J4395" s="1446" t="s">
        <v>48</v>
      </c>
      <c r="K4395" s="1446" t="s">
        <v>5150</v>
      </c>
      <c r="L4395" s="1454"/>
      <c r="M4395" s="1446" t="s">
        <v>1764</v>
      </c>
      <c r="N4395" s="1452">
        <v>65143</v>
      </c>
      <c r="O4395" s="1452">
        <v>65143</v>
      </c>
      <c r="P4395" s="459">
        <v>65163</v>
      </c>
      <c r="Q4395" s="432" t="s">
        <v>51</v>
      </c>
    </row>
    <row r="4396" spans="1:17">
      <c r="A4396" s="1205">
        <f t="shared" si="62"/>
        <v>3549</v>
      </c>
      <c r="B4396" s="1213" t="s">
        <v>43</v>
      </c>
      <c r="C4396" s="1146" t="s">
        <v>44</v>
      </c>
      <c r="D4396" s="1146" t="s">
        <v>45</v>
      </c>
      <c r="E4396" s="128" t="s">
        <v>5192</v>
      </c>
      <c r="F4396" s="128" t="s">
        <v>491</v>
      </c>
      <c r="G4396" s="247">
        <v>9810946371</v>
      </c>
      <c r="H4396" s="128"/>
      <c r="I4396" s="247">
        <v>22</v>
      </c>
      <c r="J4396" s="128" t="s">
        <v>90</v>
      </c>
      <c r="K4396" s="120" t="s">
        <v>1480</v>
      </c>
      <c r="L4396" s="128"/>
      <c r="M4396" s="128" t="s">
        <v>1764</v>
      </c>
      <c r="N4396" s="1310">
        <v>65144</v>
      </c>
      <c r="O4396" s="1310">
        <v>65144</v>
      </c>
      <c r="P4396" s="459">
        <v>65160</v>
      </c>
      <c r="Q4396" s="432" t="s">
        <v>51</v>
      </c>
    </row>
    <row r="4397" spans="1:17">
      <c r="A4397" s="1205">
        <f t="shared" si="62"/>
        <v>3550</v>
      </c>
      <c r="B4397" s="1213" t="s">
        <v>43</v>
      </c>
      <c r="C4397" s="1146" t="s">
        <v>44</v>
      </c>
      <c r="D4397" s="1146" t="s">
        <v>45</v>
      </c>
      <c r="E4397" s="128" t="s">
        <v>5193</v>
      </c>
      <c r="F4397" s="128" t="s">
        <v>510</v>
      </c>
      <c r="G4397" s="247">
        <v>9863171500</v>
      </c>
      <c r="H4397" s="128"/>
      <c r="I4397" s="247">
        <v>41</v>
      </c>
      <c r="J4397" s="128" t="s">
        <v>90</v>
      </c>
      <c r="K4397" s="120" t="s">
        <v>53</v>
      </c>
      <c r="L4397" s="128"/>
      <c r="M4397" s="128" t="s">
        <v>1764</v>
      </c>
      <c r="N4397" s="1310">
        <v>65144</v>
      </c>
      <c r="O4397" s="1310">
        <v>65144</v>
      </c>
      <c r="P4397" s="459">
        <v>65160</v>
      </c>
      <c r="Q4397" s="432" t="s">
        <v>51</v>
      </c>
    </row>
    <row r="4398" spans="1:17">
      <c r="A4398" s="1205">
        <f t="shared" si="62"/>
        <v>3551</v>
      </c>
      <c r="B4398" s="1213" t="s">
        <v>43</v>
      </c>
      <c r="C4398" s="1146" t="s">
        <v>44</v>
      </c>
      <c r="D4398" s="1146" t="s">
        <v>45</v>
      </c>
      <c r="E4398" s="128" t="s">
        <v>5194</v>
      </c>
      <c r="F4398" s="128" t="s">
        <v>730</v>
      </c>
      <c r="G4398" s="247">
        <v>9847873277</v>
      </c>
      <c r="H4398" s="128"/>
      <c r="I4398" s="247">
        <v>33</v>
      </c>
      <c r="J4398" s="128" t="s">
        <v>90</v>
      </c>
      <c r="K4398" s="120" t="s">
        <v>53</v>
      </c>
      <c r="L4398" s="128"/>
      <c r="M4398" s="128" t="s">
        <v>1764</v>
      </c>
      <c r="N4398" s="1310">
        <v>65144</v>
      </c>
      <c r="O4398" s="1310">
        <v>65144</v>
      </c>
      <c r="P4398" s="459">
        <v>65160</v>
      </c>
      <c r="Q4398" s="432" t="s">
        <v>51</v>
      </c>
    </row>
    <row r="4399" spans="1:17">
      <c r="A4399" s="1205">
        <f t="shared" si="62"/>
        <v>3552</v>
      </c>
      <c r="B4399" s="1213" t="s">
        <v>43</v>
      </c>
      <c r="C4399" s="1146" t="s">
        <v>44</v>
      </c>
      <c r="D4399" s="1146" t="s">
        <v>45</v>
      </c>
      <c r="E4399" s="128" t="s">
        <v>5195</v>
      </c>
      <c r="F4399" s="128" t="s">
        <v>730</v>
      </c>
      <c r="G4399" s="247">
        <v>9847873277</v>
      </c>
      <c r="H4399" s="128"/>
      <c r="I4399" s="247">
        <v>38</v>
      </c>
      <c r="J4399" s="128" t="s">
        <v>48</v>
      </c>
      <c r="K4399" s="120" t="s">
        <v>53</v>
      </c>
      <c r="L4399" s="128"/>
      <c r="M4399" s="128" t="s">
        <v>1764</v>
      </c>
      <c r="N4399" s="1310">
        <v>65144</v>
      </c>
      <c r="O4399" s="1310">
        <v>65144</v>
      </c>
      <c r="P4399" s="459">
        <v>65160</v>
      </c>
      <c r="Q4399" s="432" t="s">
        <v>51</v>
      </c>
    </row>
    <row r="4400" spans="1:17">
      <c r="A4400" s="1205">
        <f t="shared" si="62"/>
        <v>3553</v>
      </c>
      <c r="B4400" s="1213" t="s">
        <v>43</v>
      </c>
      <c r="C4400" s="1146" t="s">
        <v>44</v>
      </c>
      <c r="D4400" s="1146" t="s">
        <v>45</v>
      </c>
      <c r="E4400" s="128" t="s">
        <v>5196</v>
      </c>
      <c r="F4400" s="128" t="s">
        <v>441</v>
      </c>
      <c r="G4400" s="247">
        <v>9812857808</v>
      </c>
      <c r="H4400" s="128"/>
      <c r="I4400" s="247">
        <v>23</v>
      </c>
      <c r="J4400" s="128" t="s">
        <v>48</v>
      </c>
      <c r="K4400" s="120" t="s">
        <v>53</v>
      </c>
      <c r="L4400" s="128"/>
      <c r="M4400" s="128" t="s">
        <v>1764</v>
      </c>
      <c r="N4400" s="1310">
        <v>65144</v>
      </c>
      <c r="O4400" s="1310">
        <v>65144</v>
      </c>
      <c r="P4400" s="459">
        <v>65160</v>
      </c>
      <c r="Q4400" s="432" t="s">
        <v>51</v>
      </c>
    </row>
    <row r="4401" spans="1:17">
      <c r="A4401" s="1205">
        <f t="shared" si="62"/>
        <v>3554</v>
      </c>
      <c r="B4401" s="1213" t="s">
        <v>43</v>
      </c>
      <c r="C4401" s="1146" t="s">
        <v>44</v>
      </c>
      <c r="D4401" s="1146" t="s">
        <v>45</v>
      </c>
      <c r="E4401" s="128" t="s">
        <v>5197</v>
      </c>
      <c r="F4401" s="128" t="s">
        <v>502</v>
      </c>
      <c r="G4401" s="247">
        <v>9810126189</v>
      </c>
      <c r="H4401" s="128"/>
      <c r="I4401" s="247">
        <v>24</v>
      </c>
      <c r="J4401" s="128" t="s">
        <v>48</v>
      </c>
      <c r="K4401" s="128" t="s">
        <v>5198</v>
      </c>
      <c r="L4401" s="128"/>
      <c r="M4401" s="128" t="s">
        <v>1764</v>
      </c>
      <c r="N4401" s="1310">
        <v>65144</v>
      </c>
      <c r="O4401" s="1310">
        <v>65144</v>
      </c>
      <c r="P4401" s="459">
        <v>65160</v>
      </c>
      <c r="Q4401" s="432" t="s">
        <v>51</v>
      </c>
    </row>
    <row r="4402" spans="1:17">
      <c r="A4402" s="1205">
        <f t="shared" si="62"/>
        <v>3555</v>
      </c>
      <c r="B4402" s="1213" t="s">
        <v>43</v>
      </c>
      <c r="C4402" s="1146" t="s">
        <v>44</v>
      </c>
      <c r="D4402" s="1146" t="s">
        <v>45</v>
      </c>
      <c r="E4402" s="128" t="s">
        <v>5202</v>
      </c>
      <c r="F4402" s="128" t="s">
        <v>1008</v>
      </c>
      <c r="G4402" s="247">
        <v>9849331749</v>
      </c>
      <c r="H4402" s="128"/>
      <c r="I4402" s="247">
        <v>34</v>
      </c>
      <c r="J4402" s="128" t="s">
        <v>48</v>
      </c>
      <c r="K4402" s="120" t="s">
        <v>53</v>
      </c>
      <c r="M4402" s="128" t="s">
        <v>1764</v>
      </c>
      <c r="N4402" s="1310">
        <v>65145</v>
      </c>
      <c r="O4402" s="1310">
        <v>65145</v>
      </c>
      <c r="P4402" s="459">
        <v>65160</v>
      </c>
      <c r="Q4402" s="432" t="s">
        <v>51</v>
      </c>
    </row>
    <row r="4403" spans="1:17">
      <c r="A4403" s="1205">
        <f t="shared" si="62"/>
        <v>3556</v>
      </c>
      <c r="B4403" s="1213" t="s">
        <v>43</v>
      </c>
      <c r="C4403" s="1146" t="s">
        <v>44</v>
      </c>
      <c r="D4403" s="1146" t="s">
        <v>45</v>
      </c>
      <c r="E4403" s="128" t="s">
        <v>5212</v>
      </c>
      <c r="F4403" s="128" t="s">
        <v>529</v>
      </c>
      <c r="G4403" s="247">
        <v>9844997696</v>
      </c>
      <c r="H4403" s="128"/>
      <c r="I4403" s="247">
        <v>21</v>
      </c>
      <c r="J4403" s="128" t="s">
        <v>90</v>
      </c>
      <c r="K4403" s="128" t="s">
        <v>1763</v>
      </c>
      <c r="L4403" s="56"/>
      <c r="M4403" s="128" t="s">
        <v>1764</v>
      </c>
      <c r="N4403" s="1310">
        <v>65144</v>
      </c>
      <c r="O4403" s="1310">
        <v>65144</v>
      </c>
      <c r="P4403" s="459">
        <v>65160</v>
      </c>
      <c r="Q4403" s="432" t="s">
        <v>51</v>
      </c>
    </row>
    <row r="4404" spans="1:17">
      <c r="A4404" s="1205">
        <f t="shared" si="62"/>
        <v>3557</v>
      </c>
      <c r="B4404" s="1213" t="s">
        <v>43</v>
      </c>
      <c r="C4404" s="1146" t="s">
        <v>44</v>
      </c>
      <c r="D4404" s="1146" t="s">
        <v>45</v>
      </c>
      <c r="E4404" s="128" t="s">
        <v>1450</v>
      </c>
      <c r="F4404" s="128" t="s">
        <v>730</v>
      </c>
      <c r="G4404" s="247">
        <v>9844991176</v>
      </c>
      <c r="H4404" s="128"/>
      <c r="I4404" s="247">
        <v>28</v>
      </c>
      <c r="J4404" s="128" t="s">
        <v>90</v>
      </c>
      <c r="K4404" s="128" t="s">
        <v>1763</v>
      </c>
      <c r="L4404" s="56"/>
      <c r="M4404" s="128" t="s">
        <v>1764</v>
      </c>
      <c r="N4404" s="1310">
        <v>65144</v>
      </c>
      <c r="O4404" s="1310">
        <v>65144</v>
      </c>
      <c r="P4404" s="459">
        <v>65160</v>
      </c>
      <c r="Q4404" s="432" t="s">
        <v>51</v>
      </c>
    </row>
    <row r="4405" spans="1:17">
      <c r="A4405" s="1205">
        <f t="shared" si="62"/>
        <v>3558</v>
      </c>
      <c r="B4405" s="1213" t="s">
        <v>43</v>
      </c>
      <c r="C4405" s="1146" t="s">
        <v>44</v>
      </c>
      <c r="D4405" s="1146" t="s">
        <v>45</v>
      </c>
      <c r="E4405" s="128" t="s">
        <v>5213</v>
      </c>
      <c r="F4405" s="128" t="s">
        <v>441</v>
      </c>
      <c r="G4405" s="247">
        <v>9849068190</v>
      </c>
      <c r="H4405" s="128"/>
      <c r="I4405" s="247">
        <v>28</v>
      </c>
      <c r="J4405" s="128" t="s">
        <v>48</v>
      </c>
      <c r="K4405" s="128" t="s">
        <v>1763</v>
      </c>
      <c r="L4405" s="56"/>
      <c r="M4405" s="128" t="s">
        <v>1764</v>
      </c>
      <c r="N4405" s="1310">
        <v>65144</v>
      </c>
      <c r="O4405" s="1310">
        <v>65144</v>
      </c>
      <c r="P4405" s="459">
        <v>65160</v>
      </c>
      <c r="Q4405" s="432" t="s">
        <v>51</v>
      </c>
    </row>
    <row r="4406" spans="1:17">
      <c r="A4406" s="1205">
        <f t="shared" si="62"/>
        <v>3559</v>
      </c>
      <c r="B4406" s="1213" t="s">
        <v>43</v>
      </c>
      <c r="C4406" s="1146" t="s">
        <v>44</v>
      </c>
      <c r="D4406" s="1146" t="s">
        <v>45</v>
      </c>
      <c r="E4406" s="128" t="s">
        <v>5214</v>
      </c>
      <c r="F4406" s="128" t="s">
        <v>491</v>
      </c>
      <c r="G4406" s="247">
        <v>9847842109</v>
      </c>
      <c r="H4406" s="128"/>
      <c r="I4406" s="247">
        <v>45</v>
      </c>
      <c r="J4406" s="128" t="s">
        <v>48</v>
      </c>
      <c r="K4406" s="128" t="s">
        <v>1763</v>
      </c>
      <c r="L4406" s="56"/>
      <c r="M4406" s="128" t="s">
        <v>1764</v>
      </c>
      <c r="N4406" s="1310">
        <v>65145</v>
      </c>
      <c r="O4406" s="1310">
        <v>65145</v>
      </c>
      <c r="P4406" s="459">
        <v>65160</v>
      </c>
      <c r="Q4406" s="432" t="s">
        <v>51</v>
      </c>
    </row>
    <row r="4407" spans="1:17">
      <c r="A4407" s="1205">
        <f t="shared" si="62"/>
        <v>3560</v>
      </c>
      <c r="B4407" s="1213" t="s">
        <v>43</v>
      </c>
      <c r="C4407" s="1146" t="s">
        <v>44</v>
      </c>
      <c r="D4407" s="1146" t="s">
        <v>45</v>
      </c>
      <c r="E4407" s="128" t="s">
        <v>5215</v>
      </c>
      <c r="F4407" s="128" t="s">
        <v>529</v>
      </c>
      <c r="G4407" s="247">
        <v>9801343334</v>
      </c>
      <c r="H4407" s="128"/>
      <c r="I4407" s="247">
        <v>25</v>
      </c>
      <c r="J4407" s="128" t="s">
        <v>48</v>
      </c>
      <c r="K4407" s="128" t="s">
        <v>1763</v>
      </c>
      <c r="L4407" s="56"/>
      <c r="M4407" s="128" t="s">
        <v>1764</v>
      </c>
      <c r="N4407" s="1310">
        <v>65145</v>
      </c>
      <c r="O4407" s="1310">
        <v>65145</v>
      </c>
      <c r="P4407" s="459">
        <v>65160</v>
      </c>
      <c r="Q4407" s="432" t="s">
        <v>51</v>
      </c>
    </row>
    <row r="4408" spans="1:17">
      <c r="A4408" s="1205">
        <f t="shared" si="62"/>
        <v>3561</v>
      </c>
      <c r="B4408" s="1213" t="s">
        <v>43</v>
      </c>
      <c r="C4408" s="1146" t="s">
        <v>44</v>
      </c>
      <c r="D4408" s="1146" t="s">
        <v>45</v>
      </c>
      <c r="E4408" s="128" t="s">
        <v>5216</v>
      </c>
      <c r="F4408" s="128" t="s">
        <v>491</v>
      </c>
      <c r="G4408" s="247">
        <v>9847908496</v>
      </c>
      <c r="H4408" s="128"/>
      <c r="I4408" s="247">
        <v>48</v>
      </c>
      <c r="J4408" s="128" t="s">
        <v>90</v>
      </c>
      <c r="K4408" s="128" t="s">
        <v>1763</v>
      </c>
      <c r="L4408" s="56"/>
      <c r="M4408" s="128" t="s">
        <v>1764</v>
      </c>
      <c r="N4408" s="1310">
        <v>65145</v>
      </c>
      <c r="O4408" s="1310">
        <v>65145</v>
      </c>
      <c r="P4408" s="459">
        <v>65160</v>
      </c>
      <c r="Q4408" s="432" t="s">
        <v>51</v>
      </c>
    </row>
    <row r="4409" spans="1:17">
      <c r="A4409" s="1205">
        <f t="shared" si="62"/>
        <v>3562</v>
      </c>
      <c r="B4409" s="1213" t="s">
        <v>43</v>
      </c>
      <c r="C4409" s="1146" t="s">
        <v>44</v>
      </c>
      <c r="D4409" s="1146" t="s">
        <v>45</v>
      </c>
      <c r="E4409" s="1446" t="s">
        <v>5217</v>
      </c>
      <c r="F4409" s="1446" t="s">
        <v>730</v>
      </c>
      <c r="G4409" s="1447">
        <v>9866907310</v>
      </c>
      <c r="H4409" s="1446"/>
      <c r="I4409" s="1447">
        <v>35</v>
      </c>
      <c r="J4409" s="1446" t="s">
        <v>48</v>
      </c>
      <c r="K4409" s="1446" t="s">
        <v>1763</v>
      </c>
      <c r="L4409" s="1455"/>
      <c r="M4409" s="1446" t="s">
        <v>2648</v>
      </c>
      <c r="N4409" s="1452">
        <v>65145</v>
      </c>
      <c r="O4409" s="1452">
        <v>65145</v>
      </c>
      <c r="P4409" s="459">
        <v>65167</v>
      </c>
      <c r="Q4409" s="432" t="s">
        <v>51</v>
      </c>
    </row>
    <row r="4410" spans="1:17">
      <c r="A4410" s="1205">
        <f t="shared" si="62"/>
        <v>3563</v>
      </c>
      <c r="B4410" s="1213" t="s">
        <v>43</v>
      </c>
      <c r="C4410" s="1146" t="s">
        <v>44</v>
      </c>
      <c r="D4410" s="1146" t="s">
        <v>45</v>
      </c>
      <c r="E4410" s="128" t="s">
        <v>1402</v>
      </c>
      <c r="F4410" s="128" t="s">
        <v>1008</v>
      </c>
      <c r="G4410" s="247">
        <v>9847823303</v>
      </c>
      <c r="H4410" s="128"/>
      <c r="I4410" s="247">
        <v>38</v>
      </c>
      <c r="J4410" s="128" t="s">
        <v>90</v>
      </c>
      <c r="K4410" s="128" t="s">
        <v>1763</v>
      </c>
      <c r="L4410" s="56"/>
      <c r="M4410" s="128" t="s">
        <v>1764</v>
      </c>
      <c r="N4410" s="1310">
        <v>65145</v>
      </c>
      <c r="O4410" s="1310">
        <v>65145</v>
      </c>
      <c r="P4410" s="459">
        <v>65071</v>
      </c>
      <c r="Q4410" s="432" t="s">
        <v>51</v>
      </c>
    </row>
    <row r="4411" spans="1:17">
      <c r="A4411" s="1205">
        <f t="shared" si="62"/>
        <v>3564</v>
      </c>
      <c r="B4411" s="1213" t="s">
        <v>43</v>
      </c>
      <c r="C4411" s="1146" t="s">
        <v>44</v>
      </c>
      <c r="D4411" s="1146" t="s">
        <v>45</v>
      </c>
      <c r="E4411" s="128" t="s">
        <v>5203</v>
      </c>
      <c r="F4411" s="128" t="s">
        <v>502</v>
      </c>
      <c r="G4411" s="247">
        <v>9810804269</v>
      </c>
      <c r="H4411" s="128"/>
      <c r="I4411" s="247">
        <v>22</v>
      </c>
      <c r="J4411" s="128" t="s">
        <v>48</v>
      </c>
      <c r="K4411" s="128" t="s">
        <v>5128</v>
      </c>
      <c r="M4411" s="128" t="s">
        <v>1764</v>
      </c>
      <c r="N4411" s="1310">
        <v>65146</v>
      </c>
      <c r="O4411" s="1310">
        <v>65146</v>
      </c>
      <c r="P4411" s="541">
        <v>65163</v>
      </c>
      <c r="Q4411" s="533" t="s">
        <v>51</v>
      </c>
    </row>
    <row r="4412" spans="1:17" ht="25.5">
      <c r="A4412" s="1205">
        <f t="shared" si="62"/>
        <v>3565</v>
      </c>
      <c r="B4412" s="1213" t="s">
        <v>43</v>
      </c>
      <c r="C4412" s="1146" t="s">
        <v>44</v>
      </c>
      <c r="D4412" s="1146" t="s">
        <v>45</v>
      </c>
      <c r="E4412" s="128" t="s">
        <v>5204</v>
      </c>
      <c r="F4412" s="128" t="s">
        <v>502</v>
      </c>
      <c r="G4412" s="247">
        <v>9806258924</v>
      </c>
      <c r="H4412" s="128"/>
      <c r="I4412" s="247">
        <v>34</v>
      </c>
      <c r="J4412" s="128" t="s">
        <v>90</v>
      </c>
      <c r="K4412" s="128" t="s">
        <v>5205</v>
      </c>
      <c r="M4412" s="128" t="s">
        <v>1764</v>
      </c>
      <c r="N4412" s="1310">
        <v>65146</v>
      </c>
      <c r="O4412" s="1310">
        <v>65146</v>
      </c>
      <c r="P4412" s="541">
        <v>65163</v>
      </c>
      <c r="Q4412" s="533" t="s">
        <v>51</v>
      </c>
    </row>
    <row r="4413" spans="1:17" ht="25.5">
      <c r="A4413" s="1205">
        <f t="shared" si="62"/>
        <v>3566</v>
      </c>
      <c r="B4413" s="1213" t="s">
        <v>43</v>
      </c>
      <c r="C4413" s="1146" t="s">
        <v>44</v>
      </c>
      <c r="D4413" s="1146" t="s">
        <v>45</v>
      </c>
      <c r="E4413" s="128" t="s">
        <v>5206</v>
      </c>
      <c r="F4413" s="128" t="s">
        <v>1046</v>
      </c>
      <c r="G4413" s="247">
        <v>9844934580</v>
      </c>
      <c r="H4413" s="128"/>
      <c r="I4413" s="247">
        <v>52</v>
      </c>
      <c r="J4413" s="128" t="s">
        <v>48</v>
      </c>
      <c r="K4413" s="128" t="s">
        <v>5205</v>
      </c>
      <c r="M4413" s="128" t="s">
        <v>1764</v>
      </c>
      <c r="N4413" s="1310">
        <v>65146</v>
      </c>
      <c r="O4413" s="1310">
        <v>65146</v>
      </c>
      <c r="P4413" s="541">
        <v>65163</v>
      </c>
      <c r="Q4413" s="533" t="s">
        <v>51</v>
      </c>
    </row>
    <row r="4414" spans="1:17" ht="25.5">
      <c r="A4414" s="1205">
        <f t="shared" si="62"/>
        <v>3567</v>
      </c>
      <c r="B4414" s="1213" t="s">
        <v>43</v>
      </c>
      <c r="C4414" s="1146" t="s">
        <v>44</v>
      </c>
      <c r="D4414" s="1146" t="s">
        <v>45</v>
      </c>
      <c r="E4414" s="128" t="s">
        <v>5207</v>
      </c>
      <c r="F4414" s="128" t="s">
        <v>1204</v>
      </c>
      <c r="G4414" s="247">
        <v>9844854000</v>
      </c>
      <c r="H4414" s="128"/>
      <c r="I4414" s="247">
        <v>82</v>
      </c>
      <c r="J4414" s="128" t="s">
        <v>48</v>
      </c>
      <c r="K4414" s="128" t="s">
        <v>5205</v>
      </c>
      <c r="M4414" s="128" t="s">
        <v>1764</v>
      </c>
      <c r="N4414" s="1310">
        <v>65146</v>
      </c>
      <c r="O4414" s="1310">
        <v>65146</v>
      </c>
      <c r="P4414" s="541">
        <v>65163</v>
      </c>
      <c r="Q4414" s="533" t="s">
        <v>51</v>
      </c>
    </row>
    <row r="4415" spans="1:17">
      <c r="A4415" s="1205">
        <f t="shared" si="62"/>
        <v>3568</v>
      </c>
      <c r="B4415" s="1213" t="s">
        <v>43</v>
      </c>
      <c r="C4415" s="1146" t="s">
        <v>44</v>
      </c>
      <c r="D4415" s="1146" t="s">
        <v>45</v>
      </c>
      <c r="E4415" s="128" t="s">
        <v>5208</v>
      </c>
      <c r="F4415" s="128" t="s">
        <v>441</v>
      </c>
      <c r="G4415" s="247">
        <v>9829539166</v>
      </c>
      <c r="H4415" s="128"/>
      <c r="I4415" s="247">
        <v>28</v>
      </c>
      <c r="J4415" s="128" t="s">
        <v>90</v>
      </c>
      <c r="K4415" s="120" t="s">
        <v>1480</v>
      </c>
      <c r="M4415" s="128" t="s">
        <v>1764</v>
      </c>
      <c r="N4415" s="1310">
        <v>65146</v>
      </c>
      <c r="O4415" s="1310">
        <v>65146</v>
      </c>
      <c r="P4415" s="541">
        <v>65163</v>
      </c>
      <c r="Q4415" s="533" t="s">
        <v>51</v>
      </c>
    </row>
    <row r="4416" spans="1:17">
      <c r="A4416" s="1205">
        <f t="shared" si="62"/>
        <v>3569</v>
      </c>
      <c r="B4416" s="1213" t="s">
        <v>43</v>
      </c>
      <c r="C4416" s="1146" t="s">
        <v>44</v>
      </c>
      <c r="D4416" s="1146" t="s">
        <v>45</v>
      </c>
      <c r="E4416" s="128" t="s">
        <v>5218</v>
      </c>
      <c r="F4416" s="128" t="s">
        <v>124</v>
      </c>
      <c r="G4416" s="247">
        <v>9843492639</v>
      </c>
      <c r="H4416" s="128"/>
      <c r="I4416" s="247">
        <v>45</v>
      </c>
      <c r="J4416" s="128" t="s">
        <v>90</v>
      </c>
      <c r="K4416" s="128" t="s">
        <v>1763</v>
      </c>
      <c r="L4416" s="56"/>
      <c r="M4416" s="128" t="s">
        <v>1764</v>
      </c>
      <c r="N4416" s="1310">
        <v>65146</v>
      </c>
      <c r="O4416" s="1310">
        <v>65146</v>
      </c>
      <c r="P4416" s="541">
        <v>65163</v>
      </c>
      <c r="Q4416" s="533" t="s">
        <v>51</v>
      </c>
    </row>
    <row r="4417" spans="1:17">
      <c r="A4417" s="1205">
        <f t="shared" si="62"/>
        <v>3570</v>
      </c>
      <c r="B4417" s="1213" t="s">
        <v>43</v>
      </c>
      <c r="C4417" s="1146" t="s">
        <v>44</v>
      </c>
      <c r="D4417" s="1146" t="s">
        <v>45</v>
      </c>
      <c r="E4417" s="128" t="s">
        <v>5219</v>
      </c>
      <c r="F4417" s="128" t="s">
        <v>491</v>
      </c>
      <c r="G4417" s="247">
        <v>9822909143</v>
      </c>
      <c r="H4417" s="128"/>
      <c r="I4417" s="247">
        <v>37</v>
      </c>
      <c r="J4417" s="128" t="s">
        <v>48</v>
      </c>
      <c r="K4417" s="128" t="s">
        <v>1763</v>
      </c>
      <c r="L4417" s="56"/>
      <c r="M4417" s="128" t="s">
        <v>1764</v>
      </c>
      <c r="N4417" s="1310">
        <v>65146</v>
      </c>
      <c r="O4417" s="1310">
        <v>65146</v>
      </c>
      <c r="P4417" s="541">
        <v>65163</v>
      </c>
      <c r="Q4417" s="533" t="s">
        <v>51</v>
      </c>
    </row>
    <row r="4418" spans="1:17">
      <c r="A4418" s="1205">
        <f t="shared" si="62"/>
        <v>3571</v>
      </c>
      <c r="B4418" s="1213" t="s">
        <v>43</v>
      </c>
      <c r="C4418" s="1146" t="s">
        <v>44</v>
      </c>
      <c r="D4418" s="1146" t="s">
        <v>45</v>
      </c>
      <c r="E4418" s="128" t="s">
        <v>5209</v>
      </c>
      <c r="F4418" s="128" t="s">
        <v>730</v>
      </c>
      <c r="G4418" s="247">
        <v>9840090309</v>
      </c>
      <c r="H4418" s="128"/>
      <c r="I4418" s="247">
        <v>29</v>
      </c>
      <c r="J4418" s="128" t="s">
        <v>48</v>
      </c>
      <c r="K4418" s="128" t="s">
        <v>5210</v>
      </c>
      <c r="M4418" s="128" t="s">
        <v>1764</v>
      </c>
      <c r="N4418" s="1310">
        <v>65147</v>
      </c>
      <c r="O4418" s="1310">
        <v>65147</v>
      </c>
      <c r="P4418" s="541">
        <v>65163</v>
      </c>
      <c r="Q4418" s="533" t="s">
        <v>51</v>
      </c>
    </row>
    <row r="4419" spans="1:17">
      <c r="A4419" s="1205">
        <f t="shared" si="62"/>
        <v>3572</v>
      </c>
      <c r="B4419" s="1213" t="s">
        <v>43</v>
      </c>
      <c r="C4419" s="1146" t="s">
        <v>44</v>
      </c>
      <c r="D4419" s="1146" t="s">
        <v>45</v>
      </c>
      <c r="E4419" s="128" t="s">
        <v>5211</v>
      </c>
      <c r="F4419" s="128" t="s">
        <v>1009</v>
      </c>
      <c r="G4419" s="247">
        <v>9866985683</v>
      </c>
      <c r="H4419" s="128"/>
      <c r="I4419" s="247">
        <v>50</v>
      </c>
      <c r="J4419" s="128" t="s">
        <v>48</v>
      </c>
      <c r="K4419" s="120" t="s">
        <v>1480</v>
      </c>
      <c r="M4419" s="128" t="s">
        <v>1764</v>
      </c>
      <c r="N4419" s="1310">
        <v>65147</v>
      </c>
      <c r="O4419" s="1310">
        <v>65147</v>
      </c>
      <c r="P4419" s="541">
        <v>65163</v>
      </c>
      <c r="Q4419" s="533" t="s">
        <v>51</v>
      </c>
    </row>
    <row r="4420" spans="1:17">
      <c r="A4420" s="1205">
        <f t="shared" si="62"/>
        <v>3573</v>
      </c>
      <c r="B4420" s="1213" t="s">
        <v>43</v>
      </c>
      <c r="C4420" s="1146" t="s">
        <v>44</v>
      </c>
      <c r="D4420" s="1146" t="s">
        <v>45</v>
      </c>
      <c r="E4420" s="128" t="s">
        <v>5220</v>
      </c>
      <c r="F4420" s="128" t="s">
        <v>441</v>
      </c>
      <c r="G4420" s="247">
        <v>9809800342</v>
      </c>
      <c r="H4420" s="128"/>
      <c r="I4420" s="247">
        <v>10</v>
      </c>
      <c r="J4420" s="128" t="s">
        <v>90</v>
      </c>
      <c r="K4420" s="128" t="s">
        <v>1763</v>
      </c>
      <c r="L4420" s="56"/>
      <c r="M4420" s="128" t="s">
        <v>1764</v>
      </c>
      <c r="N4420" s="1310">
        <v>65147</v>
      </c>
      <c r="O4420" s="1310">
        <v>65147</v>
      </c>
      <c r="P4420" s="541">
        <v>65163</v>
      </c>
      <c r="Q4420" s="533" t="s">
        <v>51</v>
      </c>
    </row>
    <row r="4421" spans="1:17">
      <c r="A4421" s="1205">
        <f t="shared" si="62"/>
        <v>3574</v>
      </c>
      <c r="B4421" s="1213" t="s">
        <v>43</v>
      </c>
      <c r="C4421" s="1146" t="s">
        <v>44</v>
      </c>
      <c r="D4421" s="1146" t="s">
        <v>45</v>
      </c>
      <c r="E4421" s="128" t="s">
        <v>5221</v>
      </c>
      <c r="F4421" s="128" t="s">
        <v>441</v>
      </c>
      <c r="G4421" s="247">
        <v>9809800342</v>
      </c>
      <c r="H4421" s="128"/>
      <c r="I4421" s="247">
        <v>60</v>
      </c>
      <c r="J4421" s="128" t="s">
        <v>48</v>
      </c>
      <c r="K4421" s="128" t="s">
        <v>1763</v>
      </c>
      <c r="L4421" s="56"/>
      <c r="M4421" s="128" t="s">
        <v>1764</v>
      </c>
      <c r="N4421" s="1310">
        <v>65147</v>
      </c>
      <c r="O4421" s="1310">
        <v>65147</v>
      </c>
      <c r="P4421" s="541">
        <v>65163</v>
      </c>
      <c r="Q4421" s="533" t="s">
        <v>51</v>
      </c>
    </row>
    <row r="4422" spans="1:17">
      <c r="A4422" s="1205">
        <f t="shared" si="62"/>
        <v>3575</v>
      </c>
      <c r="B4422" s="1213" t="s">
        <v>43</v>
      </c>
      <c r="C4422" s="1146" t="s">
        <v>44</v>
      </c>
      <c r="D4422" s="1146" t="s">
        <v>45</v>
      </c>
      <c r="E4422" s="128" t="s">
        <v>5222</v>
      </c>
      <c r="F4422" s="128" t="s">
        <v>441</v>
      </c>
      <c r="G4422" s="247">
        <v>9809800342</v>
      </c>
      <c r="H4422" s="128"/>
      <c r="I4422" s="247">
        <v>54</v>
      </c>
      <c r="J4422" s="128" t="s">
        <v>90</v>
      </c>
      <c r="K4422" s="128" t="s">
        <v>1763</v>
      </c>
      <c r="L4422" s="56"/>
      <c r="M4422" s="128" t="s">
        <v>1764</v>
      </c>
      <c r="N4422" s="1310">
        <v>65147</v>
      </c>
      <c r="O4422" s="1310">
        <v>65147</v>
      </c>
      <c r="P4422" s="541">
        <v>65163</v>
      </c>
      <c r="Q4422" s="533" t="s">
        <v>51</v>
      </c>
    </row>
    <row r="4423" spans="1:17">
      <c r="A4423" s="1205">
        <f t="shared" si="62"/>
        <v>3576</v>
      </c>
      <c r="B4423" s="1213" t="s">
        <v>43</v>
      </c>
      <c r="C4423" s="1146" t="s">
        <v>44</v>
      </c>
      <c r="D4423" s="1146" t="s">
        <v>45</v>
      </c>
      <c r="E4423" s="128" t="s">
        <v>5223</v>
      </c>
      <c r="F4423" s="128" t="s">
        <v>491</v>
      </c>
      <c r="G4423" s="247">
        <v>9841679997</v>
      </c>
      <c r="H4423" s="128"/>
      <c r="I4423" s="247">
        <v>41</v>
      </c>
      <c r="J4423" s="128" t="s">
        <v>90</v>
      </c>
      <c r="K4423" s="128" t="s">
        <v>4916</v>
      </c>
      <c r="L4423" s="128"/>
      <c r="M4423" s="128" t="s">
        <v>1764</v>
      </c>
      <c r="N4423" s="1310">
        <v>65149</v>
      </c>
      <c r="O4423" s="1310">
        <v>65149</v>
      </c>
      <c r="P4423" s="459">
        <v>65164</v>
      </c>
      <c r="Q4423" s="432" t="s">
        <v>51</v>
      </c>
    </row>
    <row r="4424" spans="1:17">
      <c r="A4424" s="1205">
        <f t="shared" si="62"/>
        <v>3577</v>
      </c>
      <c r="B4424" s="1213" t="s">
        <v>43</v>
      </c>
      <c r="C4424" s="1146" t="s">
        <v>44</v>
      </c>
      <c r="D4424" s="1146" t="s">
        <v>45</v>
      </c>
      <c r="E4424" s="128" t="s">
        <v>5224</v>
      </c>
      <c r="F4424" s="128" t="s">
        <v>441</v>
      </c>
      <c r="G4424" s="247">
        <v>9868600987</v>
      </c>
      <c r="H4424" s="128"/>
      <c r="I4424" s="247">
        <v>39</v>
      </c>
      <c r="J4424" s="128" t="s">
        <v>90</v>
      </c>
      <c r="K4424" s="120" t="s">
        <v>1480</v>
      </c>
      <c r="L4424" s="128"/>
      <c r="M4424" s="128" t="s">
        <v>1764</v>
      </c>
      <c r="N4424" s="1310">
        <v>65149</v>
      </c>
      <c r="O4424" s="1310">
        <v>65149</v>
      </c>
      <c r="P4424" s="459">
        <v>65164</v>
      </c>
      <c r="Q4424" s="432" t="s">
        <v>51</v>
      </c>
    </row>
    <row r="4425" spans="1:17">
      <c r="A4425" s="1205">
        <f t="shared" si="62"/>
        <v>3578</v>
      </c>
      <c r="B4425" s="1213" t="s">
        <v>43</v>
      </c>
      <c r="C4425" s="1146" t="s">
        <v>44</v>
      </c>
      <c r="D4425" s="1146" t="s">
        <v>45</v>
      </c>
      <c r="E4425" s="128" t="s">
        <v>5225</v>
      </c>
      <c r="F4425" s="128" t="s">
        <v>730</v>
      </c>
      <c r="G4425" s="247">
        <v>9866640520</v>
      </c>
      <c r="H4425" s="128"/>
      <c r="I4425" s="247">
        <v>18</v>
      </c>
      <c r="J4425" s="128" t="s">
        <v>90</v>
      </c>
      <c r="K4425" s="120" t="s">
        <v>1480</v>
      </c>
      <c r="L4425" s="128"/>
      <c r="M4425" s="128" t="s">
        <v>1764</v>
      </c>
      <c r="N4425" s="1310">
        <v>65150</v>
      </c>
      <c r="O4425" s="1310">
        <v>65150</v>
      </c>
      <c r="P4425" s="496">
        <v>65167</v>
      </c>
      <c r="Q4425" s="491" t="s">
        <v>51</v>
      </c>
    </row>
    <row r="4426" spans="1:17">
      <c r="A4426" s="1205">
        <f t="shared" si="62"/>
        <v>3579</v>
      </c>
      <c r="B4426" s="1213" t="s">
        <v>43</v>
      </c>
      <c r="C4426" s="1146" t="s">
        <v>44</v>
      </c>
      <c r="D4426" s="1146" t="s">
        <v>45</v>
      </c>
      <c r="E4426" s="1158" t="s">
        <v>5226</v>
      </c>
      <c r="F4426" s="1158" t="s">
        <v>491</v>
      </c>
      <c r="G4426" s="1163">
        <v>9847945401</v>
      </c>
      <c r="H4426" s="1158"/>
      <c r="I4426" s="1163">
        <v>52</v>
      </c>
      <c r="J4426" s="1158" t="s">
        <v>48</v>
      </c>
      <c r="K4426" s="1158" t="s">
        <v>2649</v>
      </c>
      <c r="L4426" s="1158"/>
      <c r="M4426" s="1158" t="s">
        <v>1764</v>
      </c>
      <c r="N4426" s="1322">
        <v>65150</v>
      </c>
      <c r="O4426" s="1322">
        <v>65150</v>
      </c>
      <c r="P4426" s="496">
        <v>65167</v>
      </c>
      <c r="Q4426" s="491" t="s">
        <v>51</v>
      </c>
    </row>
    <row r="4427" spans="1:17">
      <c r="A4427" s="1205">
        <f t="shared" si="62"/>
        <v>3580</v>
      </c>
      <c r="B4427" s="1213" t="s">
        <v>43</v>
      </c>
      <c r="C4427" s="1146" t="s">
        <v>44</v>
      </c>
      <c r="D4427" s="1146" t="s">
        <v>45</v>
      </c>
      <c r="E4427" s="120" t="s">
        <v>5227</v>
      </c>
      <c r="F4427" s="150" t="s">
        <v>730</v>
      </c>
      <c r="G4427" s="150">
        <v>9857823033</v>
      </c>
      <c r="H4427" s="894"/>
      <c r="I4427" s="150">
        <v>25</v>
      </c>
      <c r="J4427" s="120" t="s">
        <v>90</v>
      </c>
      <c r="K4427" s="120" t="s">
        <v>1480</v>
      </c>
      <c r="L4427" s="120"/>
      <c r="M4427" s="128" t="s">
        <v>1764</v>
      </c>
      <c r="N4427" s="1310">
        <v>65150</v>
      </c>
      <c r="O4427" s="1310">
        <v>65150</v>
      </c>
      <c r="P4427" s="496">
        <v>65167</v>
      </c>
      <c r="Q4427" s="491" t="s">
        <v>51</v>
      </c>
    </row>
    <row r="4428" spans="1:17">
      <c r="A4428" s="1205">
        <f>A4427+1</f>
        <v>3581</v>
      </c>
      <c r="B4428" s="1213" t="s">
        <v>43</v>
      </c>
      <c r="C4428" s="1146" t="s">
        <v>44</v>
      </c>
      <c r="D4428" s="1146" t="s">
        <v>45</v>
      </c>
      <c r="E4428" s="128" t="s">
        <v>5228</v>
      </c>
      <c r="F4428" s="128" t="s">
        <v>441</v>
      </c>
      <c r="G4428" s="247">
        <v>9808883026</v>
      </c>
      <c r="H4428" s="128"/>
      <c r="I4428" s="247">
        <v>82</v>
      </c>
      <c r="J4428" s="128" t="s">
        <v>48</v>
      </c>
      <c r="K4428" s="120" t="s">
        <v>1480</v>
      </c>
      <c r="M4428" s="247" t="s">
        <v>1764</v>
      </c>
      <c r="N4428" s="1310">
        <v>65152</v>
      </c>
      <c r="O4428" s="1310">
        <v>65152</v>
      </c>
      <c r="P4428" s="496">
        <v>65167</v>
      </c>
      <c r="Q4428" s="491" t="s">
        <v>51</v>
      </c>
    </row>
    <row r="4429" spans="1:17">
      <c r="A4429" s="1205">
        <f t="shared" si="62"/>
        <v>3582</v>
      </c>
      <c r="B4429" s="1213" t="s">
        <v>43</v>
      </c>
      <c r="C4429" s="1146" t="s">
        <v>44</v>
      </c>
      <c r="D4429" s="1146" t="s">
        <v>45</v>
      </c>
      <c r="E4429" s="128" t="s">
        <v>5229</v>
      </c>
      <c r="F4429" s="128" t="s">
        <v>730</v>
      </c>
      <c r="G4429" s="247">
        <v>9857821990</v>
      </c>
      <c r="H4429" s="128"/>
      <c r="I4429" s="247">
        <v>20</v>
      </c>
      <c r="J4429" s="128" t="s">
        <v>48</v>
      </c>
      <c r="K4429" s="120" t="s">
        <v>53</v>
      </c>
      <c r="M4429" s="247" t="s">
        <v>1764</v>
      </c>
      <c r="N4429" s="1310">
        <v>65152</v>
      </c>
      <c r="O4429" s="1310">
        <v>65152</v>
      </c>
      <c r="P4429" s="496">
        <v>65167</v>
      </c>
      <c r="Q4429" s="491" t="s">
        <v>51</v>
      </c>
    </row>
    <row r="4430" spans="1:17">
      <c r="A4430" s="1205">
        <f t="shared" si="62"/>
        <v>3583</v>
      </c>
      <c r="B4430" s="1213" t="s">
        <v>43</v>
      </c>
      <c r="C4430" s="1146" t="s">
        <v>44</v>
      </c>
      <c r="D4430" s="1146" t="s">
        <v>45</v>
      </c>
      <c r="E4430" s="128" t="s">
        <v>5230</v>
      </c>
      <c r="F4430" s="128" t="s">
        <v>124</v>
      </c>
      <c r="G4430" s="247">
        <v>9808658190</v>
      </c>
      <c r="H4430" s="128"/>
      <c r="I4430" s="247">
        <v>34</v>
      </c>
      <c r="J4430" s="128" t="s">
        <v>48</v>
      </c>
      <c r="K4430" s="128" t="s">
        <v>4876</v>
      </c>
      <c r="M4430" s="247" t="s">
        <v>1764</v>
      </c>
      <c r="N4430" s="1310">
        <v>65152</v>
      </c>
      <c r="O4430" s="1310">
        <v>65152</v>
      </c>
      <c r="P4430" s="496">
        <v>65167</v>
      </c>
      <c r="Q4430" s="491" t="s">
        <v>51</v>
      </c>
    </row>
    <row r="4431" spans="1:17">
      <c r="A4431" s="1205">
        <f t="shared" si="62"/>
        <v>3584</v>
      </c>
      <c r="B4431" s="1213" t="s">
        <v>43</v>
      </c>
      <c r="C4431" s="1146" t="s">
        <v>44</v>
      </c>
      <c r="D4431" s="1146" t="s">
        <v>45</v>
      </c>
      <c r="E4431" s="128" t="s">
        <v>5232</v>
      </c>
      <c r="F4431" s="128" t="s">
        <v>502</v>
      </c>
      <c r="G4431" s="247">
        <v>9848125966</v>
      </c>
      <c r="H4431" s="128"/>
      <c r="I4431" s="247">
        <v>46</v>
      </c>
      <c r="J4431" s="128" t="s">
        <v>90</v>
      </c>
      <c r="K4431" s="128" t="s">
        <v>5233</v>
      </c>
      <c r="L4431" s="128"/>
      <c r="M4431" s="247" t="s">
        <v>1764</v>
      </c>
      <c r="N4431" s="1310">
        <v>65153</v>
      </c>
      <c r="O4431" s="1310">
        <v>65153</v>
      </c>
      <c r="P4431" s="459">
        <v>65170</v>
      </c>
      <c r="Q4431" s="432" t="s">
        <v>51</v>
      </c>
    </row>
    <row r="4432" spans="1:17">
      <c r="A4432" s="1205">
        <f t="shared" si="62"/>
        <v>3585</v>
      </c>
      <c r="B4432" s="1213" t="s">
        <v>43</v>
      </c>
      <c r="C4432" s="1146" t="s">
        <v>44</v>
      </c>
      <c r="D4432" s="1146" t="s">
        <v>45</v>
      </c>
      <c r="E4432" s="128" t="s">
        <v>5234</v>
      </c>
      <c r="F4432" s="128" t="s">
        <v>636</v>
      </c>
      <c r="G4432" s="247">
        <v>9862776174</v>
      </c>
      <c r="H4432" s="128"/>
      <c r="I4432" s="247">
        <v>30</v>
      </c>
      <c r="J4432" s="128" t="s">
        <v>48</v>
      </c>
      <c r="K4432" s="128" t="s">
        <v>5235</v>
      </c>
      <c r="L4432" s="128"/>
      <c r="M4432" s="247" t="s">
        <v>1764</v>
      </c>
      <c r="N4432" s="1310">
        <v>65153</v>
      </c>
      <c r="O4432" s="1310">
        <v>65153</v>
      </c>
      <c r="P4432" s="459">
        <v>65170</v>
      </c>
      <c r="Q4432" s="432" t="s">
        <v>51</v>
      </c>
    </row>
    <row r="4433" spans="1:17">
      <c r="A4433" s="1205">
        <f t="shared" si="62"/>
        <v>3586</v>
      </c>
      <c r="B4433" s="1213" t="s">
        <v>43</v>
      </c>
      <c r="C4433" s="1146" t="s">
        <v>44</v>
      </c>
      <c r="D4433" s="1146" t="s">
        <v>45</v>
      </c>
      <c r="E4433" s="128" t="s">
        <v>5236</v>
      </c>
      <c r="F4433" s="128" t="s">
        <v>491</v>
      </c>
      <c r="G4433" s="247">
        <v>9848129374</v>
      </c>
      <c r="H4433" s="128"/>
      <c r="I4433" s="247">
        <v>50</v>
      </c>
      <c r="J4433" s="128" t="s">
        <v>48</v>
      </c>
      <c r="K4433" s="120" t="s">
        <v>53</v>
      </c>
      <c r="L4433" s="128"/>
      <c r="M4433" s="247" t="s">
        <v>1764</v>
      </c>
      <c r="N4433" s="1310">
        <v>65153</v>
      </c>
      <c r="O4433" s="1310">
        <v>65153</v>
      </c>
      <c r="P4433" s="459">
        <v>65170</v>
      </c>
      <c r="Q4433" s="432" t="s">
        <v>51</v>
      </c>
    </row>
    <row r="4434" spans="1:17">
      <c r="A4434" s="1205">
        <f t="shared" si="62"/>
        <v>3587</v>
      </c>
      <c r="B4434" s="1213" t="s">
        <v>43</v>
      </c>
      <c r="C4434" s="1146" t="s">
        <v>44</v>
      </c>
      <c r="D4434" s="1146" t="s">
        <v>45</v>
      </c>
      <c r="E4434" s="128" t="s">
        <v>5237</v>
      </c>
      <c r="F4434" s="128" t="s">
        <v>730</v>
      </c>
      <c r="G4434" s="247">
        <v>9857825401</v>
      </c>
      <c r="H4434" s="128"/>
      <c r="I4434" s="247">
        <v>22</v>
      </c>
      <c r="J4434" s="128" t="s">
        <v>48</v>
      </c>
      <c r="K4434" s="128" t="s">
        <v>5126</v>
      </c>
      <c r="L4434" s="128"/>
      <c r="M4434" s="247" t="s">
        <v>1764</v>
      </c>
      <c r="N4434" s="1310">
        <v>65154</v>
      </c>
      <c r="O4434" s="1310">
        <v>65154</v>
      </c>
      <c r="P4434" s="459">
        <v>65170</v>
      </c>
      <c r="Q4434" s="432" t="s">
        <v>51</v>
      </c>
    </row>
    <row r="4435" spans="1:17">
      <c r="A4435" s="1205">
        <f t="shared" si="62"/>
        <v>3588</v>
      </c>
      <c r="B4435" s="1213" t="s">
        <v>43</v>
      </c>
      <c r="C4435" s="1146" t="s">
        <v>44</v>
      </c>
      <c r="D4435" s="1146" t="s">
        <v>45</v>
      </c>
      <c r="E4435" s="128" t="s">
        <v>5238</v>
      </c>
      <c r="F4435" s="128" t="s">
        <v>491</v>
      </c>
      <c r="G4435" s="247">
        <v>9868995459</v>
      </c>
      <c r="H4435" s="128"/>
      <c r="I4435" s="247">
        <v>80</v>
      </c>
      <c r="J4435" s="128" t="s">
        <v>48</v>
      </c>
      <c r="K4435" s="120" t="s">
        <v>1480</v>
      </c>
      <c r="L4435" s="128"/>
      <c r="M4435" s="247" t="s">
        <v>1764</v>
      </c>
      <c r="N4435" s="1310">
        <v>65154</v>
      </c>
      <c r="O4435" s="1310">
        <v>65154</v>
      </c>
      <c r="P4435" s="459">
        <v>65170</v>
      </c>
      <c r="Q4435" s="432" t="s">
        <v>51</v>
      </c>
    </row>
    <row r="4436" spans="1:17">
      <c r="A4436" s="1205">
        <f t="shared" si="62"/>
        <v>3589</v>
      </c>
      <c r="B4436" s="1213" t="s">
        <v>43</v>
      </c>
      <c r="C4436" s="1146" t="s">
        <v>44</v>
      </c>
      <c r="D4436" s="1146" t="s">
        <v>45</v>
      </c>
      <c r="E4436" s="432" t="s">
        <v>5239</v>
      </c>
      <c r="F4436" s="128" t="s">
        <v>491</v>
      </c>
      <c r="G4436" s="1286">
        <v>9848237944</v>
      </c>
      <c r="I4436" s="434">
        <v>32</v>
      </c>
      <c r="J4436" s="128" t="s">
        <v>48</v>
      </c>
      <c r="K4436" s="120" t="s">
        <v>53</v>
      </c>
      <c r="M4436" s="247" t="s">
        <v>1764</v>
      </c>
      <c r="N4436" s="730">
        <v>65156</v>
      </c>
      <c r="O4436" s="730">
        <v>65156</v>
      </c>
      <c r="P4436" s="459">
        <v>65170</v>
      </c>
      <c r="Q4436" s="432" t="s">
        <v>51</v>
      </c>
    </row>
    <row r="4437" spans="1:17">
      <c r="A4437" s="1205">
        <f t="shared" si="62"/>
        <v>3590</v>
      </c>
      <c r="B4437" s="1213" t="s">
        <v>43</v>
      </c>
      <c r="C4437" s="1146" t="s">
        <v>44</v>
      </c>
      <c r="D4437" s="1146" t="s">
        <v>45</v>
      </c>
      <c r="E4437" s="892" t="s">
        <v>5240</v>
      </c>
      <c r="F4437" s="1106" t="s">
        <v>491</v>
      </c>
      <c r="G4437" s="1456">
        <v>9857833137</v>
      </c>
      <c r="H4437" s="892"/>
      <c r="I4437" s="1106">
        <v>52</v>
      </c>
      <c r="J4437" s="1158" t="s">
        <v>90</v>
      </c>
      <c r="K4437" s="1158" t="s">
        <v>1763</v>
      </c>
      <c r="L4437" s="1106"/>
      <c r="M4437" s="1163" t="s">
        <v>1764</v>
      </c>
      <c r="N4437" s="1395">
        <v>65156</v>
      </c>
      <c r="O4437" s="1395">
        <v>65156</v>
      </c>
      <c r="P4437" s="459">
        <v>65170</v>
      </c>
      <c r="Q4437" s="432" t="s">
        <v>51</v>
      </c>
    </row>
    <row r="4438" spans="1:17">
      <c r="A4438" s="1205">
        <f t="shared" si="62"/>
        <v>3591</v>
      </c>
      <c r="B4438" s="1213" t="s">
        <v>43</v>
      </c>
      <c r="C4438" s="1146" t="s">
        <v>44</v>
      </c>
      <c r="D4438" s="1146" t="s">
        <v>45</v>
      </c>
      <c r="E4438" s="128" t="s">
        <v>5241</v>
      </c>
      <c r="F4438" s="128" t="s">
        <v>124</v>
      </c>
      <c r="G4438" s="247">
        <v>9822960043</v>
      </c>
      <c r="H4438" s="128"/>
      <c r="I4438" s="247">
        <v>52</v>
      </c>
      <c r="J4438" s="128" t="s">
        <v>48</v>
      </c>
      <c r="K4438" s="128" t="s">
        <v>5242</v>
      </c>
      <c r="M4438" s="128" t="s">
        <v>1764</v>
      </c>
      <c r="N4438" s="1310">
        <v>65156</v>
      </c>
      <c r="O4438" s="1310">
        <v>65156</v>
      </c>
      <c r="P4438" s="459">
        <v>65170</v>
      </c>
      <c r="Q4438" s="432" t="s">
        <v>51</v>
      </c>
    </row>
    <row r="4439" spans="1:17" ht="25.5">
      <c r="A4439" s="1205">
        <f t="shared" si="62"/>
        <v>3592</v>
      </c>
      <c r="B4439" s="1213" t="s">
        <v>43</v>
      </c>
      <c r="C4439" s="1146" t="s">
        <v>44</v>
      </c>
      <c r="D4439" s="1146" t="s">
        <v>45</v>
      </c>
      <c r="E4439" s="128" t="s">
        <v>5243</v>
      </c>
      <c r="F4439" s="128" t="s">
        <v>441</v>
      </c>
      <c r="G4439" s="247">
        <v>9847832038</v>
      </c>
      <c r="H4439" s="128"/>
      <c r="I4439" s="247">
        <v>33</v>
      </c>
      <c r="J4439" s="128" t="s">
        <v>90</v>
      </c>
      <c r="K4439" s="128" t="s">
        <v>5205</v>
      </c>
      <c r="M4439" s="128" t="s">
        <v>1764</v>
      </c>
      <c r="N4439" s="1310">
        <v>65157</v>
      </c>
      <c r="O4439" s="1310">
        <v>65157</v>
      </c>
      <c r="P4439" s="459">
        <v>65172</v>
      </c>
      <c r="Q4439" s="432" t="s">
        <v>51</v>
      </c>
    </row>
    <row r="4440" spans="1:17">
      <c r="A4440" s="1205">
        <f t="shared" si="62"/>
        <v>3593</v>
      </c>
      <c r="B4440" s="1213" t="s">
        <v>43</v>
      </c>
      <c r="C4440" s="1146" t="s">
        <v>44</v>
      </c>
      <c r="D4440" s="1146" t="s">
        <v>45</v>
      </c>
      <c r="E4440" s="128" t="s">
        <v>5244</v>
      </c>
      <c r="F4440" s="128" t="s">
        <v>502</v>
      </c>
      <c r="G4440" s="247">
        <v>9857055344</v>
      </c>
      <c r="H4440" s="128"/>
      <c r="I4440" s="247">
        <v>41</v>
      </c>
      <c r="J4440" s="128" t="s">
        <v>48</v>
      </c>
      <c r="K4440" s="120" t="s">
        <v>1480</v>
      </c>
      <c r="M4440" s="128" t="s">
        <v>1764</v>
      </c>
      <c r="N4440" s="1310">
        <v>65158</v>
      </c>
      <c r="O4440" s="1310">
        <v>65158</v>
      </c>
      <c r="P4440" s="459">
        <v>65172</v>
      </c>
      <c r="Q4440" s="432" t="s">
        <v>51</v>
      </c>
    </row>
    <row r="4441" spans="1:17">
      <c r="A4441" s="1205">
        <f t="shared" si="62"/>
        <v>3594</v>
      </c>
      <c r="B4441" s="1213" t="s">
        <v>43</v>
      </c>
      <c r="C4441" s="1146" t="s">
        <v>44</v>
      </c>
      <c r="D4441" s="1146" t="s">
        <v>45</v>
      </c>
      <c r="E4441" s="128" t="s">
        <v>5245</v>
      </c>
      <c r="F4441" s="128" t="s">
        <v>510</v>
      </c>
      <c r="G4441" s="247">
        <v>9847887223</v>
      </c>
      <c r="H4441" s="128"/>
      <c r="I4441" s="247">
        <v>41</v>
      </c>
      <c r="J4441" s="128" t="s">
        <v>90</v>
      </c>
      <c r="K4441" s="120" t="s">
        <v>1480</v>
      </c>
      <c r="M4441" s="128" t="s">
        <v>1764</v>
      </c>
      <c r="N4441" s="1310">
        <v>65158</v>
      </c>
      <c r="O4441" s="1310">
        <v>65158</v>
      </c>
      <c r="P4441" s="459">
        <v>65172</v>
      </c>
      <c r="Q4441" s="432" t="s">
        <v>51</v>
      </c>
    </row>
    <row r="4442" spans="1:17">
      <c r="A4442" s="1205">
        <f t="shared" si="62"/>
        <v>3595</v>
      </c>
      <c r="B4442" s="1213" t="s">
        <v>43</v>
      </c>
      <c r="C4442" s="1146" t="s">
        <v>44</v>
      </c>
      <c r="D4442" s="1146" t="s">
        <v>45</v>
      </c>
      <c r="E4442" s="128" t="s">
        <v>5246</v>
      </c>
      <c r="F4442" s="128" t="s">
        <v>636</v>
      </c>
      <c r="G4442" s="247">
        <v>9843384061</v>
      </c>
      <c r="H4442" s="128" t="s">
        <v>5247</v>
      </c>
      <c r="I4442" s="247">
        <v>41</v>
      </c>
      <c r="J4442" s="128" t="s">
        <v>48</v>
      </c>
      <c r="K4442" s="128" t="s">
        <v>4916</v>
      </c>
      <c r="M4442" s="128" t="s">
        <v>1764</v>
      </c>
      <c r="N4442" s="1310">
        <v>65159</v>
      </c>
      <c r="O4442" s="1310">
        <v>65159</v>
      </c>
      <c r="P4442" s="459">
        <v>65172</v>
      </c>
      <c r="Q4442" s="432" t="s">
        <v>51</v>
      </c>
    </row>
    <row r="4443" spans="1:17">
      <c r="A4443" s="1205">
        <f t="shared" si="62"/>
        <v>3596</v>
      </c>
      <c r="B4443" s="1213" t="s">
        <v>43</v>
      </c>
      <c r="C4443" s="1146" t="s">
        <v>44</v>
      </c>
      <c r="D4443" s="1146" t="s">
        <v>45</v>
      </c>
      <c r="E4443" s="1339" t="s">
        <v>5248</v>
      </c>
      <c r="F4443" s="1339" t="s">
        <v>497</v>
      </c>
      <c r="G4443" s="1321">
        <v>9866539402</v>
      </c>
      <c r="H4443" s="1339" t="s">
        <v>5249</v>
      </c>
      <c r="I4443" s="1321">
        <v>7</v>
      </c>
      <c r="J4443" s="1339" t="s">
        <v>48</v>
      </c>
      <c r="K4443" s="130" t="s">
        <v>53</v>
      </c>
      <c r="L4443" s="659"/>
      <c r="M4443" s="1339" t="s">
        <v>2648</v>
      </c>
      <c r="N4443" s="1409">
        <v>65160</v>
      </c>
      <c r="O4443" s="1409">
        <v>65160</v>
      </c>
      <c r="P4443" s="1211">
        <v>65172</v>
      </c>
      <c r="Q4443" s="989" t="s">
        <v>51</v>
      </c>
    </row>
    <row r="4444" spans="1:17">
      <c r="A4444" s="1205">
        <f t="shared" si="62"/>
        <v>3597</v>
      </c>
      <c r="B4444" s="1213" t="s">
        <v>43</v>
      </c>
      <c r="C4444" s="1146" t="s">
        <v>44</v>
      </c>
      <c r="D4444" s="1146" t="s">
        <v>45</v>
      </c>
      <c r="E4444" s="1339" t="s">
        <v>5250</v>
      </c>
      <c r="F4444" s="1339" t="s">
        <v>497</v>
      </c>
      <c r="G4444" s="1321">
        <v>9866539402</v>
      </c>
      <c r="H4444" s="1339" t="s">
        <v>5249</v>
      </c>
      <c r="I4444" s="1321">
        <v>32</v>
      </c>
      <c r="J4444" s="1339" t="s">
        <v>90</v>
      </c>
      <c r="K4444" s="130" t="s">
        <v>53</v>
      </c>
      <c r="L4444" s="659"/>
      <c r="M4444" s="1339" t="s">
        <v>2648</v>
      </c>
      <c r="N4444" s="1409">
        <v>65160</v>
      </c>
      <c r="O4444" s="1409">
        <v>65160</v>
      </c>
      <c r="P4444" s="1211">
        <v>65172</v>
      </c>
      <c r="Q4444" s="989" t="s">
        <v>51</v>
      </c>
    </row>
    <row r="4445" spans="1:17">
      <c r="A4445" s="1205">
        <f t="shared" si="62"/>
        <v>3598</v>
      </c>
      <c r="B4445" s="1213" t="s">
        <v>43</v>
      </c>
      <c r="C4445" s="1146" t="s">
        <v>44</v>
      </c>
      <c r="D4445" s="1146" t="s">
        <v>45</v>
      </c>
      <c r="E4445" s="128" t="s">
        <v>5251</v>
      </c>
      <c r="F4445" s="128" t="s">
        <v>497</v>
      </c>
      <c r="G4445" s="247">
        <v>9847081684</v>
      </c>
      <c r="H4445" s="128" t="s">
        <v>5252</v>
      </c>
      <c r="I4445" s="247">
        <v>35</v>
      </c>
      <c r="J4445" s="128" t="s">
        <v>48</v>
      </c>
      <c r="K4445" s="128" t="s">
        <v>5253</v>
      </c>
      <c r="M4445" s="128" t="s">
        <v>1764</v>
      </c>
      <c r="N4445" s="1310">
        <v>65160</v>
      </c>
      <c r="O4445" s="1310">
        <v>65160</v>
      </c>
      <c r="P4445" s="514">
        <v>65173</v>
      </c>
      <c r="Q4445" s="512" t="s">
        <v>51</v>
      </c>
    </row>
    <row r="4446" spans="1:17">
      <c r="A4446" s="1205">
        <f t="shared" si="62"/>
        <v>3599</v>
      </c>
      <c r="B4446" s="1213" t="s">
        <v>43</v>
      </c>
      <c r="C4446" s="1146" t="s">
        <v>44</v>
      </c>
      <c r="D4446" s="1146" t="s">
        <v>45</v>
      </c>
      <c r="E4446" s="128" t="s">
        <v>5254</v>
      </c>
      <c r="F4446" s="128" t="s">
        <v>491</v>
      </c>
      <c r="G4446" s="247">
        <v>9858025923</v>
      </c>
      <c r="H4446" s="128" t="s">
        <v>5247</v>
      </c>
      <c r="I4446" s="247">
        <v>43</v>
      </c>
      <c r="J4446" s="128" t="s">
        <v>48</v>
      </c>
      <c r="K4446" s="120" t="s">
        <v>1480</v>
      </c>
      <c r="M4446" s="128" t="s">
        <v>1764</v>
      </c>
      <c r="N4446" s="1310">
        <v>65162</v>
      </c>
      <c r="O4446" s="1310">
        <v>65162</v>
      </c>
      <c r="P4446" s="514">
        <v>65173</v>
      </c>
      <c r="Q4446" s="512" t="s">
        <v>51</v>
      </c>
    </row>
    <row r="4447" spans="1:17">
      <c r="A4447" s="1205">
        <f t="shared" si="62"/>
        <v>3600</v>
      </c>
      <c r="B4447" s="1213" t="s">
        <v>43</v>
      </c>
      <c r="C4447" s="1146" t="s">
        <v>44</v>
      </c>
      <c r="D4447" s="1146" t="s">
        <v>45</v>
      </c>
      <c r="E4447" s="128" t="s">
        <v>5255</v>
      </c>
      <c r="F4447" s="128" t="s">
        <v>491</v>
      </c>
      <c r="G4447" s="247">
        <v>9849405884</v>
      </c>
      <c r="H4447" s="128" t="s">
        <v>5256</v>
      </c>
      <c r="I4447" s="247">
        <v>73</v>
      </c>
      <c r="J4447" s="128" t="s">
        <v>48</v>
      </c>
      <c r="K4447" s="128" t="s">
        <v>1763</v>
      </c>
      <c r="M4447" s="128" t="s">
        <v>1764</v>
      </c>
      <c r="N4447" s="1310">
        <v>65156</v>
      </c>
      <c r="O4447" s="1310">
        <v>65156</v>
      </c>
      <c r="P4447" s="459">
        <v>65170</v>
      </c>
      <c r="Q4447" s="432" t="s">
        <v>51</v>
      </c>
    </row>
    <row r="4448" spans="1:17">
      <c r="A4448" s="1205">
        <f t="shared" si="62"/>
        <v>3601</v>
      </c>
      <c r="B4448" s="1213" t="s">
        <v>43</v>
      </c>
      <c r="C4448" s="1146" t="s">
        <v>44</v>
      </c>
      <c r="D4448" s="1146" t="s">
        <v>45</v>
      </c>
      <c r="E4448" s="128" t="s">
        <v>5257</v>
      </c>
      <c r="F4448" s="128" t="s">
        <v>491</v>
      </c>
      <c r="G4448" s="247">
        <v>9858025923</v>
      </c>
      <c r="H4448" s="128" t="s">
        <v>5247</v>
      </c>
      <c r="I4448" s="247">
        <v>40</v>
      </c>
      <c r="J4448" s="128" t="s">
        <v>90</v>
      </c>
      <c r="K4448" s="120" t="s">
        <v>1480</v>
      </c>
      <c r="M4448" s="128" t="s">
        <v>1764</v>
      </c>
      <c r="N4448" s="1310">
        <v>65162</v>
      </c>
      <c r="O4448" s="1310">
        <v>65162</v>
      </c>
      <c r="P4448" s="514">
        <v>65173</v>
      </c>
      <c r="Q4448" s="512" t="s">
        <v>51</v>
      </c>
    </row>
    <row r="4449" spans="1:17" ht="25.5">
      <c r="A4449" s="1205">
        <f t="shared" si="62"/>
        <v>3602</v>
      </c>
      <c r="B4449" s="1213" t="s">
        <v>43</v>
      </c>
      <c r="C4449" s="1146" t="s">
        <v>44</v>
      </c>
      <c r="D4449" s="1146" t="s">
        <v>45</v>
      </c>
      <c r="E4449" s="128" t="s">
        <v>5258</v>
      </c>
      <c r="F4449" s="128" t="s">
        <v>441</v>
      </c>
      <c r="G4449" s="247">
        <v>9847995110</v>
      </c>
      <c r="H4449" s="128" t="s">
        <v>5259</v>
      </c>
      <c r="I4449" s="247">
        <v>32</v>
      </c>
      <c r="J4449" s="128" t="s">
        <v>90</v>
      </c>
      <c r="K4449" s="128" t="s">
        <v>1763</v>
      </c>
      <c r="M4449" s="128" t="s">
        <v>1764</v>
      </c>
      <c r="N4449" s="1310">
        <v>65160</v>
      </c>
      <c r="O4449" s="1310">
        <v>65160</v>
      </c>
      <c r="P4449" s="514">
        <v>65173</v>
      </c>
      <c r="Q4449" s="512" t="s">
        <v>51</v>
      </c>
    </row>
    <row r="4450" spans="1:17" ht="25.5">
      <c r="A4450" s="1205">
        <f t="shared" si="62"/>
        <v>3603</v>
      </c>
      <c r="B4450" s="1213" t="s">
        <v>43</v>
      </c>
      <c r="C4450" s="1146" t="s">
        <v>44</v>
      </c>
      <c r="D4450" s="1146" t="s">
        <v>45</v>
      </c>
      <c r="E4450" s="128" t="s">
        <v>5260</v>
      </c>
      <c r="F4450" s="128" t="s">
        <v>124</v>
      </c>
      <c r="G4450" s="247">
        <v>9849125089</v>
      </c>
      <c r="H4450" s="128" t="s">
        <v>5259</v>
      </c>
      <c r="I4450" s="247">
        <v>32</v>
      </c>
      <c r="J4450" s="128" t="s">
        <v>48</v>
      </c>
      <c r="K4450" s="128" t="s">
        <v>1763</v>
      </c>
      <c r="M4450" s="128" t="s">
        <v>1764</v>
      </c>
      <c r="N4450" s="1310">
        <v>65160</v>
      </c>
      <c r="O4450" s="1310">
        <v>65160</v>
      </c>
      <c r="P4450" s="514">
        <v>65173</v>
      </c>
      <c r="Q4450" s="512" t="s">
        <v>51</v>
      </c>
    </row>
    <row r="4451" spans="1:17">
      <c r="A4451" s="1205">
        <f t="shared" si="62"/>
        <v>3604</v>
      </c>
      <c r="B4451" s="1213" t="s">
        <v>43</v>
      </c>
      <c r="C4451" s="1146" t="s">
        <v>44</v>
      </c>
      <c r="D4451" s="1146" t="s">
        <v>45</v>
      </c>
      <c r="E4451" s="128" t="s">
        <v>5261</v>
      </c>
      <c r="F4451" s="128" t="s">
        <v>1046</v>
      </c>
      <c r="G4451" s="247">
        <v>9847849938</v>
      </c>
      <c r="H4451" s="128" t="s">
        <v>5256</v>
      </c>
      <c r="I4451" s="247">
        <v>70</v>
      </c>
      <c r="J4451" s="128" t="s">
        <v>48</v>
      </c>
      <c r="K4451" s="128" t="s">
        <v>1763</v>
      </c>
      <c r="M4451" s="128" t="s">
        <v>1764</v>
      </c>
      <c r="N4451" s="1310">
        <v>65160</v>
      </c>
      <c r="O4451" s="1310">
        <v>65160</v>
      </c>
      <c r="P4451" s="514">
        <v>65173</v>
      </c>
      <c r="Q4451" s="512" t="s">
        <v>51</v>
      </c>
    </row>
    <row r="4452" spans="1:17">
      <c r="A4452" s="1205">
        <f t="shared" si="62"/>
        <v>3605</v>
      </c>
      <c r="B4452" s="1213" t="s">
        <v>43</v>
      </c>
      <c r="C4452" s="1146" t="s">
        <v>44</v>
      </c>
      <c r="D4452" s="1146" t="s">
        <v>45</v>
      </c>
      <c r="E4452" s="128" t="s">
        <v>5262</v>
      </c>
      <c r="F4452" s="128" t="s">
        <v>497</v>
      </c>
      <c r="G4452" s="247">
        <v>9852070651</v>
      </c>
      <c r="H4452" s="128" t="s">
        <v>5247</v>
      </c>
      <c r="I4452" s="247">
        <v>50</v>
      </c>
      <c r="J4452" s="128" t="s">
        <v>48</v>
      </c>
      <c r="K4452" s="120" t="s">
        <v>1480</v>
      </c>
      <c r="M4452" s="128" t="s">
        <v>1764</v>
      </c>
      <c r="N4452" s="1310">
        <v>65162</v>
      </c>
      <c r="O4452" s="1310">
        <v>65162</v>
      </c>
      <c r="P4452" s="514">
        <v>65173</v>
      </c>
      <c r="Q4452" s="512" t="s">
        <v>51</v>
      </c>
    </row>
    <row r="4453" spans="1:17" ht="25.5">
      <c r="A4453" s="1205">
        <f t="shared" si="62"/>
        <v>3606</v>
      </c>
      <c r="B4453" s="1213" t="s">
        <v>43</v>
      </c>
      <c r="C4453" s="1146" t="s">
        <v>44</v>
      </c>
      <c r="D4453" s="1146" t="s">
        <v>45</v>
      </c>
      <c r="E4453" s="128" t="s">
        <v>5263</v>
      </c>
      <c r="F4453" s="128" t="s">
        <v>1008</v>
      </c>
      <c r="G4453" s="247">
        <v>9868999987</v>
      </c>
      <c r="H4453" s="128" t="s">
        <v>5249</v>
      </c>
      <c r="I4453" s="247">
        <v>78</v>
      </c>
      <c r="J4453" s="128" t="s">
        <v>48</v>
      </c>
      <c r="K4453" s="128" t="s">
        <v>5205</v>
      </c>
      <c r="M4453" s="128" t="s">
        <v>1764</v>
      </c>
      <c r="N4453" s="1310">
        <v>65161</v>
      </c>
      <c r="O4453" s="1310">
        <v>65161</v>
      </c>
      <c r="P4453" s="514">
        <v>65173</v>
      </c>
      <c r="Q4453" s="512" t="s">
        <v>51</v>
      </c>
    </row>
    <row r="4454" spans="1:17" ht="25.5">
      <c r="A4454" s="1205">
        <f t="shared" si="62"/>
        <v>3607</v>
      </c>
      <c r="B4454" s="1213" t="s">
        <v>43</v>
      </c>
      <c r="C4454" s="1146" t="s">
        <v>44</v>
      </c>
      <c r="D4454" s="1146" t="s">
        <v>45</v>
      </c>
      <c r="E4454" s="1339" t="s">
        <v>5264</v>
      </c>
      <c r="F4454" s="1339" t="s">
        <v>1008</v>
      </c>
      <c r="G4454" s="1321">
        <v>9847850144</v>
      </c>
      <c r="H4454" s="1339" t="s">
        <v>5259</v>
      </c>
      <c r="I4454" s="1321">
        <v>24</v>
      </c>
      <c r="J4454" s="1339" t="s">
        <v>90</v>
      </c>
      <c r="K4454" s="1339" t="s">
        <v>1763</v>
      </c>
      <c r="L4454" s="659"/>
      <c r="M4454" s="1339" t="s">
        <v>2648</v>
      </c>
      <c r="N4454" s="1409">
        <v>65162</v>
      </c>
      <c r="O4454" s="1409">
        <v>65162</v>
      </c>
      <c r="P4454" s="459">
        <v>65179</v>
      </c>
      <c r="Q4454" s="432" t="s">
        <v>51</v>
      </c>
    </row>
    <row r="4455" spans="1:17">
      <c r="A4455" s="1205">
        <f t="shared" si="62"/>
        <v>3608</v>
      </c>
      <c r="B4455" s="1213" t="s">
        <v>43</v>
      </c>
      <c r="C4455" s="1146" t="s">
        <v>44</v>
      </c>
      <c r="D4455" s="1146" t="s">
        <v>45</v>
      </c>
      <c r="E4455" s="247" t="s">
        <v>5265</v>
      </c>
      <c r="F4455" s="247" t="s">
        <v>512</v>
      </c>
      <c r="G4455" s="247">
        <v>9829805953</v>
      </c>
      <c r="H4455" s="247" t="s">
        <v>5247</v>
      </c>
      <c r="I4455" s="247">
        <v>2</v>
      </c>
      <c r="J4455" s="247" t="s">
        <v>90</v>
      </c>
      <c r="K4455" s="247" t="s">
        <v>4556</v>
      </c>
      <c r="M4455" s="247" t="s">
        <v>1764</v>
      </c>
      <c r="N4455" s="1257">
        <v>65163</v>
      </c>
      <c r="O4455" s="1257">
        <v>65163</v>
      </c>
      <c r="P4455" s="459">
        <v>65176</v>
      </c>
      <c r="Q4455" s="432" t="s">
        <v>51</v>
      </c>
    </row>
    <row r="4456" spans="1:17">
      <c r="A4456" s="1205">
        <f t="shared" ref="A4456:A4519" si="63">A4455+1</f>
        <v>3609</v>
      </c>
      <c r="B4456" s="1213" t="s">
        <v>43</v>
      </c>
      <c r="C4456" s="1146" t="s">
        <v>44</v>
      </c>
      <c r="D4456" s="1146" t="s">
        <v>45</v>
      </c>
      <c r="E4456" s="247" t="s">
        <v>5266</v>
      </c>
      <c r="F4456" s="247" t="s">
        <v>512</v>
      </c>
      <c r="G4456" s="247">
        <v>9809552685</v>
      </c>
      <c r="H4456" s="247" t="s">
        <v>5247</v>
      </c>
      <c r="I4456" s="247">
        <v>23</v>
      </c>
      <c r="J4456" s="247" t="s">
        <v>90</v>
      </c>
      <c r="K4456" s="120" t="s">
        <v>1480</v>
      </c>
      <c r="M4456" s="247" t="s">
        <v>1764</v>
      </c>
      <c r="N4456" s="1257">
        <v>65164</v>
      </c>
      <c r="O4456" s="1257">
        <v>65164</v>
      </c>
      <c r="P4456" s="459">
        <v>65176</v>
      </c>
      <c r="Q4456" s="432" t="s">
        <v>51</v>
      </c>
    </row>
    <row r="4457" spans="1:17">
      <c r="A4457" s="1205">
        <f t="shared" si="63"/>
        <v>3610</v>
      </c>
      <c r="B4457" s="1213" t="s">
        <v>43</v>
      </c>
      <c r="C4457" s="1146" t="s">
        <v>44</v>
      </c>
      <c r="D4457" s="1146" t="s">
        <v>45</v>
      </c>
      <c r="E4457" s="1440" t="s">
        <v>5267</v>
      </c>
      <c r="F4457" s="1440" t="s">
        <v>441</v>
      </c>
      <c r="G4457" s="1441">
        <v>9857820703</v>
      </c>
      <c r="H4457" s="1440" t="s">
        <v>5268</v>
      </c>
      <c r="I4457" s="1441">
        <v>44</v>
      </c>
      <c r="J4457" s="1440" t="s">
        <v>48</v>
      </c>
      <c r="K4457" s="1440" t="s">
        <v>1763</v>
      </c>
      <c r="L4457" s="1463"/>
      <c r="M4457" s="1440" t="s">
        <v>2648</v>
      </c>
      <c r="N4457" s="1443">
        <v>65164</v>
      </c>
      <c r="O4457" s="1443">
        <v>65164</v>
      </c>
      <c r="P4457" s="1464">
        <v>65168</v>
      </c>
      <c r="Q4457" s="422" t="s">
        <v>940</v>
      </c>
    </row>
    <row r="4458" spans="1:17" ht="25.5">
      <c r="A4458" s="1205">
        <f t="shared" si="63"/>
        <v>3611</v>
      </c>
      <c r="B4458" s="1213" t="s">
        <v>43</v>
      </c>
      <c r="C4458" s="1146" t="s">
        <v>44</v>
      </c>
      <c r="D4458" s="1146" t="s">
        <v>45</v>
      </c>
      <c r="E4458" s="128" t="s">
        <v>5269</v>
      </c>
      <c r="F4458" s="128" t="s">
        <v>441</v>
      </c>
      <c r="G4458" s="247">
        <v>9848071852</v>
      </c>
      <c r="H4458" s="128" t="s">
        <v>5259</v>
      </c>
      <c r="I4458" s="247">
        <v>13</v>
      </c>
      <c r="J4458" s="128" t="s">
        <v>48</v>
      </c>
      <c r="K4458" s="128" t="s">
        <v>1763</v>
      </c>
      <c r="L4458" s="894"/>
      <c r="M4458" s="128" t="s">
        <v>1764</v>
      </c>
      <c r="N4458" s="1310">
        <v>65164</v>
      </c>
      <c r="O4458" s="1310">
        <v>65164</v>
      </c>
      <c r="P4458" s="459">
        <v>65176</v>
      </c>
      <c r="Q4458" s="432" t="s">
        <v>51</v>
      </c>
    </row>
    <row r="4459" spans="1:17" ht="25.5">
      <c r="A4459" s="1205">
        <f t="shared" si="63"/>
        <v>3612</v>
      </c>
      <c r="B4459" s="1213" t="s">
        <v>43</v>
      </c>
      <c r="C4459" s="1146" t="s">
        <v>44</v>
      </c>
      <c r="D4459" s="1146" t="s">
        <v>45</v>
      </c>
      <c r="E4459" s="128" t="s">
        <v>5270</v>
      </c>
      <c r="F4459" s="128" t="s">
        <v>441</v>
      </c>
      <c r="G4459" s="247">
        <v>9823460918</v>
      </c>
      <c r="H4459" s="128" t="s">
        <v>5259</v>
      </c>
      <c r="I4459" s="247">
        <v>21</v>
      </c>
      <c r="J4459" s="128" t="s">
        <v>90</v>
      </c>
      <c r="K4459" s="128" t="s">
        <v>1763</v>
      </c>
      <c r="M4459" s="128" t="s">
        <v>1764</v>
      </c>
      <c r="N4459" s="1310">
        <v>65164</v>
      </c>
      <c r="O4459" s="1310">
        <v>65164</v>
      </c>
      <c r="P4459" s="459">
        <v>65176</v>
      </c>
      <c r="Q4459" s="432" t="s">
        <v>51</v>
      </c>
    </row>
    <row r="4460" spans="1:17" ht="25.5">
      <c r="A4460" s="1205">
        <f t="shared" si="63"/>
        <v>3613</v>
      </c>
      <c r="B4460" s="1213" t="s">
        <v>43</v>
      </c>
      <c r="C4460" s="1146" t="s">
        <v>44</v>
      </c>
      <c r="D4460" s="1146" t="s">
        <v>45</v>
      </c>
      <c r="E4460" s="128" t="s">
        <v>5271</v>
      </c>
      <c r="F4460" s="128" t="s">
        <v>441</v>
      </c>
      <c r="G4460" s="247">
        <v>9809771310</v>
      </c>
      <c r="H4460" s="128" t="s">
        <v>5259</v>
      </c>
      <c r="I4460" s="247">
        <v>23</v>
      </c>
      <c r="J4460" s="128" t="s">
        <v>90</v>
      </c>
      <c r="K4460" s="128" t="s">
        <v>1763</v>
      </c>
      <c r="M4460" s="128" t="s">
        <v>1764</v>
      </c>
      <c r="N4460" s="1310">
        <v>65164</v>
      </c>
      <c r="O4460" s="1310">
        <v>65164</v>
      </c>
      <c r="P4460" s="459">
        <v>65176</v>
      </c>
      <c r="Q4460" s="432" t="s">
        <v>51</v>
      </c>
    </row>
    <row r="4461" spans="1:17" ht="25.5">
      <c r="A4461" s="1205">
        <f t="shared" si="63"/>
        <v>3614</v>
      </c>
      <c r="B4461" s="1213" t="s">
        <v>43</v>
      </c>
      <c r="C4461" s="1146" t="s">
        <v>44</v>
      </c>
      <c r="D4461" s="1146" t="s">
        <v>45</v>
      </c>
      <c r="E4461" s="128" t="s">
        <v>5272</v>
      </c>
      <c r="F4461" s="128" t="s">
        <v>441</v>
      </c>
      <c r="G4461" s="247">
        <v>9848071852</v>
      </c>
      <c r="H4461" s="128" t="s">
        <v>5259</v>
      </c>
      <c r="I4461" s="247">
        <v>21</v>
      </c>
      <c r="J4461" s="128" t="s">
        <v>90</v>
      </c>
      <c r="K4461" s="128" t="s">
        <v>1763</v>
      </c>
      <c r="M4461" s="128" t="s">
        <v>1764</v>
      </c>
      <c r="N4461" s="1310">
        <v>65164</v>
      </c>
      <c r="O4461" s="1310">
        <v>65164</v>
      </c>
      <c r="P4461" s="459">
        <v>65176</v>
      </c>
      <c r="Q4461" s="432" t="s">
        <v>51</v>
      </c>
    </row>
    <row r="4462" spans="1:17">
      <c r="A4462" s="1205">
        <f t="shared" si="63"/>
        <v>3615</v>
      </c>
      <c r="B4462" s="1213" t="s">
        <v>43</v>
      </c>
      <c r="C4462" s="1146" t="s">
        <v>44</v>
      </c>
      <c r="D4462" s="1146" t="s">
        <v>45</v>
      </c>
      <c r="E4462" s="128" t="s">
        <v>5273</v>
      </c>
      <c r="F4462" s="128" t="s">
        <v>441</v>
      </c>
      <c r="G4462" s="247">
        <v>9847890462</v>
      </c>
      <c r="H4462" s="128" t="s">
        <v>5268</v>
      </c>
      <c r="I4462" s="247">
        <v>50</v>
      </c>
      <c r="J4462" s="128" t="s">
        <v>90</v>
      </c>
      <c r="K4462" s="128" t="s">
        <v>1763</v>
      </c>
      <c r="M4462" s="128" t="s">
        <v>1764</v>
      </c>
      <c r="N4462" s="1310">
        <v>65164</v>
      </c>
      <c r="O4462" s="1310">
        <v>65164</v>
      </c>
      <c r="P4462" s="459">
        <v>65176</v>
      </c>
      <c r="Q4462" s="432" t="s">
        <v>51</v>
      </c>
    </row>
    <row r="4463" spans="1:17">
      <c r="A4463" s="1205">
        <f t="shared" si="63"/>
        <v>3616</v>
      </c>
      <c r="B4463" s="1213" t="s">
        <v>43</v>
      </c>
      <c r="C4463" s="1146" t="s">
        <v>44</v>
      </c>
      <c r="D4463" s="1146" t="s">
        <v>45</v>
      </c>
      <c r="E4463" s="128" t="s">
        <v>5274</v>
      </c>
      <c r="F4463" s="128" t="s">
        <v>441</v>
      </c>
      <c r="G4463" s="247">
        <v>9843684200</v>
      </c>
      <c r="H4463" s="128" t="s">
        <v>5268</v>
      </c>
      <c r="I4463" s="247">
        <v>58</v>
      </c>
      <c r="J4463" s="128" t="s">
        <v>48</v>
      </c>
      <c r="K4463" s="128" t="s">
        <v>1763</v>
      </c>
      <c r="M4463" s="128" t="s">
        <v>1764</v>
      </c>
      <c r="N4463" s="1310">
        <v>65164</v>
      </c>
      <c r="O4463" s="1310">
        <v>65164</v>
      </c>
      <c r="P4463" s="459">
        <v>65176</v>
      </c>
      <c r="Q4463" s="432" t="s">
        <v>51</v>
      </c>
    </row>
    <row r="4464" spans="1:17">
      <c r="A4464" s="1205">
        <f t="shared" si="63"/>
        <v>3617</v>
      </c>
      <c r="B4464" s="1213" t="s">
        <v>43</v>
      </c>
      <c r="C4464" s="1146" t="s">
        <v>44</v>
      </c>
      <c r="D4464" s="1146" t="s">
        <v>45</v>
      </c>
      <c r="E4464" s="128" t="s">
        <v>1703</v>
      </c>
      <c r="F4464" s="128" t="s">
        <v>441</v>
      </c>
      <c r="G4464" s="247">
        <v>9868050429</v>
      </c>
      <c r="H4464" s="128"/>
      <c r="I4464" s="247">
        <v>70</v>
      </c>
      <c r="J4464" s="128" t="s">
        <v>48</v>
      </c>
      <c r="K4464" s="1258" t="s">
        <v>4556</v>
      </c>
      <c r="L4464" s="128"/>
      <c r="M4464" s="128" t="s">
        <v>1764</v>
      </c>
      <c r="N4464" s="1310">
        <v>65166</v>
      </c>
      <c r="O4464" s="1310">
        <v>65166</v>
      </c>
      <c r="P4464" s="541">
        <v>65179</v>
      </c>
      <c r="Q4464" s="533" t="s">
        <v>51</v>
      </c>
    </row>
    <row r="4465" spans="1:17">
      <c r="A4465" s="1205">
        <f t="shared" si="63"/>
        <v>3618</v>
      </c>
      <c r="B4465" s="1213" t="s">
        <v>43</v>
      </c>
      <c r="C4465" s="1146" t="s">
        <v>44</v>
      </c>
      <c r="D4465" s="1146" t="s">
        <v>45</v>
      </c>
      <c r="E4465" s="128" t="s">
        <v>5275</v>
      </c>
      <c r="F4465" s="128" t="s">
        <v>730</v>
      </c>
      <c r="G4465" s="247">
        <v>9847860472</v>
      </c>
      <c r="H4465" s="128"/>
      <c r="I4465" s="247">
        <v>40</v>
      </c>
      <c r="J4465" s="128" t="s">
        <v>48</v>
      </c>
      <c r="K4465" s="120" t="s">
        <v>53</v>
      </c>
      <c r="L4465" s="128"/>
      <c r="M4465" s="128" t="s">
        <v>1764</v>
      </c>
      <c r="N4465" s="1310">
        <v>65166</v>
      </c>
      <c r="O4465" s="1310">
        <v>65166</v>
      </c>
      <c r="P4465" s="541">
        <v>65179</v>
      </c>
      <c r="Q4465" s="533" t="s">
        <v>51</v>
      </c>
    </row>
    <row r="4466" spans="1:17">
      <c r="A4466" s="1205">
        <f t="shared" si="63"/>
        <v>3619</v>
      </c>
      <c r="B4466" s="1213" t="s">
        <v>43</v>
      </c>
      <c r="C4466" s="1146" t="s">
        <v>44</v>
      </c>
      <c r="D4466" s="1146" t="s">
        <v>45</v>
      </c>
      <c r="E4466" s="432" t="s">
        <v>5276</v>
      </c>
      <c r="F4466" s="434" t="s">
        <v>557</v>
      </c>
      <c r="G4466" s="434">
        <v>9847945515</v>
      </c>
      <c r="I4466" s="434">
        <v>27</v>
      </c>
      <c r="J4466" s="128" t="s">
        <v>90</v>
      </c>
      <c r="K4466" s="128" t="s">
        <v>1763</v>
      </c>
      <c r="M4466" s="128" t="s">
        <v>1764</v>
      </c>
      <c r="N4466" s="1310">
        <v>65166</v>
      </c>
      <c r="O4466" s="1310">
        <v>65166</v>
      </c>
      <c r="P4466" s="541">
        <v>65179</v>
      </c>
      <c r="Q4466" s="533" t="s">
        <v>51</v>
      </c>
    </row>
    <row r="4467" spans="1:17">
      <c r="A4467" s="1205">
        <f t="shared" si="63"/>
        <v>3620</v>
      </c>
      <c r="B4467" s="1213" t="s">
        <v>43</v>
      </c>
      <c r="C4467" s="1146" t="s">
        <v>44</v>
      </c>
      <c r="D4467" s="1146" t="s">
        <v>45</v>
      </c>
      <c r="E4467" s="432" t="s">
        <v>5277</v>
      </c>
      <c r="F4467" s="434" t="s">
        <v>557</v>
      </c>
      <c r="G4467" s="434">
        <v>9847945515</v>
      </c>
      <c r="I4467" s="434">
        <v>5</v>
      </c>
      <c r="J4467" s="128" t="s">
        <v>48</v>
      </c>
      <c r="K4467" s="128" t="s">
        <v>1763</v>
      </c>
      <c r="M4467" s="128" t="s">
        <v>1764</v>
      </c>
      <c r="N4467" s="1310">
        <v>65166</v>
      </c>
      <c r="O4467" s="1310">
        <v>65166</v>
      </c>
      <c r="P4467" s="541">
        <v>65179</v>
      </c>
      <c r="Q4467" s="533" t="s">
        <v>51</v>
      </c>
    </row>
    <row r="4468" spans="1:17">
      <c r="A4468" s="1205">
        <f t="shared" si="63"/>
        <v>3621</v>
      </c>
      <c r="B4468" s="1213" t="s">
        <v>43</v>
      </c>
      <c r="C4468" s="1146" t="s">
        <v>44</v>
      </c>
      <c r="D4468" s="1146" t="s">
        <v>45</v>
      </c>
      <c r="E4468" s="432" t="s">
        <v>5278</v>
      </c>
      <c r="F4468" s="434" t="s">
        <v>529</v>
      </c>
      <c r="G4468" s="434">
        <v>9829590940</v>
      </c>
      <c r="I4468" s="434">
        <v>24</v>
      </c>
      <c r="J4468" s="128" t="s">
        <v>48</v>
      </c>
      <c r="K4468" s="128" t="s">
        <v>1763</v>
      </c>
      <c r="M4468" s="128" t="s">
        <v>1764</v>
      </c>
      <c r="N4468" s="1310">
        <v>65166</v>
      </c>
      <c r="O4468" s="1310">
        <v>65166</v>
      </c>
      <c r="P4468" s="541">
        <v>65179</v>
      </c>
      <c r="Q4468" s="533" t="s">
        <v>51</v>
      </c>
    </row>
    <row r="4469" spans="1:17">
      <c r="A4469" s="1205">
        <f t="shared" si="63"/>
        <v>3622</v>
      </c>
      <c r="B4469" s="1213" t="s">
        <v>43</v>
      </c>
      <c r="C4469" s="1146" t="s">
        <v>44</v>
      </c>
      <c r="D4469" s="1146" t="s">
        <v>45</v>
      </c>
      <c r="E4469" s="432" t="s">
        <v>5279</v>
      </c>
      <c r="F4469" s="434" t="s">
        <v>1008</v>
      </c>
      <c r="G4469" s="434">
        <v>9812860487</v>
      </c>
      <c r="I4469" s="434">
        <v>17</v>
      </c>
      <c r="J4469" s="128" t="s">
        <v>48</v>
      </c>
      <c r="K4469" s="128" t="s">
        <v>1763</v>
      </c>
      <c r="M4469" s="128" t="s">
        <v>1764</v>
      </c>
      <c r="N4469" s="1310">
        <v>65166</v>
      </c>
      <c r="O4469" s="1310">
        <v>65166</v>
      </c>
      <c r="P4469" s="541">
        <v>65179</v>
      </c>
      <c r="Q4469" s="533" t="s">
        <v>51</v>
      </c>
    </row>
    <row r="4470" spans="1:17">
      <c r="A4470" s="1205">
        <f t="shared" si="63"/>
        <v>3623</v>
      </c>
      <c r="B4470" s="1213" t="s">
        <v>43</v>
      </c>
      <c r="C4470" s="1146" t="s">
        <v>44</v>
      </c>
      <c r="D4470" s="1146" t="s">
        <v>45</v>
      </c>
      <c r="E4470" s="432" t="s">
        <v>5280</v>
      </c>
      <c r="F4470" s="434" t="s">
        <v>1008</v>
      </c>
      <c r="G4470" s="434">
        <v>9812860487</v>
      </c>
      <c r="I4470" s="434">
        <v>20</v>
      </c>
      <c r="J4470" s="128" t="s">
        <v>90</v>
      </c>
      <c r="K4470" s="128" t="s">
        <v>1763</v>
      </c>
      <c r="M4470" s="128" t="s">
        <v>1764</v>
      </c>
      <c r="N4470" s="1310">
        <v>65166</v>
      </c>
      <c r="O4470" s="1310">
        <v>65166</v>
      </c>
      <c r="P4470" s="541">
        <v>65179</v>
      </c>
      <c r="Q4470" s="533" t="s">
        <v>51</v>
      </c>
    </row>
    <row r="4471" spans="1:17">
      <c r="A4471" s="1205">
        <f t="shared" si="63"/>
        <v>3624</v>
      </c>
      <c r="B4471" s="1213" t="s">
        <v>43</v>
      </c>
      <c r="C4471" s="1146" t="s">
        <v>44</v>
      </c>
      <c r="D4471" s="1146" t="s">
        <v>45</v>
      </c>
      <c r="E4471" s="432" t="s">
        <v>5281</v>
      </c>
      <c r="F4471" s="434" t="s">
        <v>441</v>
      </c>
      <c r="G4471" s="434">
        <v>9844966366</v>
      </c>
      <c r="I4471" s="434">
        <v>39</v>
      </c>
      <c r="J4471" s="128" t="s">
        <v>90</v>
      </c>
      <c r="K4471" s="128" t="s">
        <v>1763</v>
      </c>
      <c r="M4471" s="128" t="s">
        <v>1764</v>
      </c>
      <c r="N4471" s="1310">
        <v>65166</v>
      </c>
      <c r="O4471" s="1310">
        <v>65166</v>
      </c>
      <c r="P4471" s="541">
        <v>65179</v>
      </c>
      <c r="Q4471" s="533" t="s">
        <v>51</v>
      </c>
    </row>
    <row r="4472" spans="1:17">
      <c r="A4472" s="1205">
        <f t="shared" si="63"/>
        <v>3625</v>
      </c>
      <c r="B4472" s="1213" t="s">
        <v>43</v>
      </c>
      <c r="C4472" s="1146" t="s">
        <v>44</v>
      </c>
      <c r="D4472" s="1146" t="s">
        <v>45</v>
      </c>
      <c r="E4472" s="432" t="s">
        <v>5282</v>
      </c>
      <c r="F4472" s="434" t="s">
        <v>1204</v>
      </c>
      <c r="G4472" s="434">
        <v>9866706600</v>
      </c>
      <c r="I4472" s="434">
        <v>32</v>
      </c>
      <c r="J4472" s="128" t="s">
        <v>90</v>
      </c>
      <c r="K4472" s="128" t="s">
        <v>1763</v>
      </c>
      <c r="M4472" s="128" t="s">
        <v>1764</v>
      </c>
      <c r="N4472" s="1310">
        <v>65166</v>
      </c>
      <c r="O4472" s="1310">
        <v>65166</v>
      </c>
      <c r="P4472" s="541">
        <v>65179</v>
      </c>
      <c r="Q4472" s="533" t="s">
        <v>51</v>
      </c>
    </row>
    <row r="4473" spans="1:17">
      <c r="A4473" s="1205">
        <f t="shared" si="63"/>
        <v>3626</v>
      </c>
      <c r="B4473" s="1213" t="s">
        <v>43</v>
      </c>
      <c r="C4473" s="1146" t="s">
        <v>44</v>
      </c>
      <c r="D4473" s="1146" t="s">
        <v>45</v>
      </c>
      <c r="E4473" s="432" t="s">
        <v>5283</v>
      </c>
      <c r="F4473" s="434" t="s">
        <v>497</v>
      </c>
      <c r="G4473" s="434">
        <v>9868647945</v>
      </c>
      <c r="I4473" s="434">
        <v>42</v>
      </c>
      <c r="J4473" s="128" t="s">
        <v>48</v>
      </c>
      <c r="K4473" s="128" t="s">
        <v>1763</v>
      </c>
      <c r="M4473" s="128" t="s">
        <v>1764</v>
      </c>
      <c r="N4473" s="1310">
        <v>65166</v>
      </c>
      <c r="O4473" s="1310">
        <v>65166</v>
      </c>
      <c r="P4473" s="541">
        <v>65179</v>
      </c>
      <c r="Q4473" s="533" t="s">
        <v>51</v>
      </c>
    </row>
    <row r="4474" spans="1:17">
      <c r="A4474" s="1205">
        <f t="shared" si="63"/>
        <v>3627</v>
      </c>
      <c r="B4474" s="1213" t="s">
        <v>43</v>
      </c>
      <c r="C4474" s="1146" t="s">
        <v>44</v>
      </c>
      <c r="D4474" s="1146" t="s">
        <v>45</v>
      </c>
      <c r="E4474" s="432" t="s">
        <v>5284</v>
      </c>
      <c r="F4474" s="434" t="s">
        <v>497</v>
      </c>
      <c r="G4474" s="434">
        <v>9847825804</v>
      </c>
      <c r="I4474" s="434">
        <v>60</v>
      </c>
      <c r="J4474" s="128" t="s">
        <v>90</v>
      </c>
      <c r="K4474" s="128" t="s">
        <v>1763</v>
      </c>
      <c r="M4474" s="128" t="s">
        <v>1764</v>
      </c>
      <c r="N4474" s="1310">
        <v>65166</v>
      </c>
      <c r="O4474" s="1310">
        <v>65166</v>
      </c>
      <c r="P4474" s="541">
        <v>65179</v>
      </c>
      <c r="Q4474" s="533" t="s">
        <v>51</v>
      </c>
    </row>
    <row r="4475" spans="1:17">
      <c r="A4475" s="1205">
        <f t="shared" si="63"/>
        <v>3628</v>
      </c>
      <c r="B4475" s="1213" t="s">
        <v>43</v>
      </c>
      <c r="C4475" s="1146" t="s">
        <v>44</v>
      </c>
      <c r="D4475" s="1146" t="s">
        <v>45</v>
      </c>
      <c r="E4475" s="432" t="s">
        <v>5285</v>
      </c>
      <c r="F4475" s="434" t="s">
        <v>497</v>
      </c>
      <c r="G4475" s="434">
        <v>9847947262</v>
      </c>
      <c r="I4475" s="434">
        <v>62</v>
      </c>
      <c r="J4475" s="128" t="s">
        <v>90</v>
      </c>
      <c r="K4475" s="128" t="s">
        <v>1763</v>
      </c>
      <c r="M4475" s="128" t="s">
        <v>1764</v>
      </c>
      <c r="N4475" s="1310">
        <v>65166</v>
      </c>
      <c r="O4475" s="1310">
        <v>65166</v>
      </c>
      <c r="P4475" s="541">
        <v>65179</v>
      </c>
      <c r="Q4475" s="533" t="s">
        <v>51</v>
      </c>
    </row>
    <row r="4476" spans="1:17">
      <c r="A4476" s="1205">
        <f t="shared" si="63"/>
        <v>3629</v>
      </c>
      <c r="B4476" s="1213" t="s">
        <v>43</v>
      </c>
      <c r="C4476" s="1146" t="s">
        <v>44</v>
      </c>
      <c r="D4476" s="1146" t="s">
        <v>45</v>
      </c>
      <c r="E4476" s="432" t="s">
        <v>5286</v>
      </c>
      <c r="F4476" s="434" t="s">
        <v>730</v>
      </c>
      <c r="G4476" s="434">
        <v>9806210085</v>
      </c>
      <c r="I4476" s="434">
        <v>48</v>
      </c>
      <c r="J4476" s="128" t="s">
        <v>90</v>
      </c>
      <c r="K4476" s="128" t="s">
        <v>1763</v>
      </c>
      <c r="M4476" s="128" t="s">
        <v>1764</v>
      </c>
      <c r="N4476" s="1310">
        <v>65166</v>
      </c>
      <c r="O4476" s="1310">
        <v>65166</v>
      </c>
      <c r="P4476" s="541">
        <v>65179</v>
      </c>
      <c r="Q4476" s="533" t="s">
        <v>51</v>
      </c>
    </row>
    <row r="4477" spans="1:17">
      <c r="A4477" s="1205">
        <f t="shared" si="63"/>
        <v>3630</v>
      </c>
      <c r="B4477" s="1213" t="s">
        <v>43</v>
      </c>
      <c r="C4477" s="1146" t="s">
        <v>44</v>
      </c>
      <c r="D4477" s="1146" t="s">
        <v>45</v>
      </c>
      <c r="E4477" s="432" t="s">
        <v>5287</v>
      </c>
      <c r="F4477" s="434" t="s">
        <v>441</v>
      </c>
      <c r="G4477" s="434">
        <v>9847880166</v>
      </c>
      <c r="I4477" s="434">
        <v>52</v>
      </c>
      <c r="J4477" s="128" t="s">
        <v>90</v>
      </c>
      <c r="K4477" s="128" t="s">
        <v>1763</v>
      </c>
      <c r="M4477" s="128" t="s">
        <v>1764</v>
      </c>
      <c r="N4477" s="1310">
        <v>65166</v>
      </c>
      <c r="O4477" s="1310">
        <v>65166</v>
      </c>
      <c r="P4477" s="541">
        <v>65179</v>
      </c>
      <c r="Q4477" s="533" t="s">
        <v>51</v>
      </c>
    </row>
    <row r="4478" spans="1:17">
      <c r="A4478" s="1205">
        <f t="shared" si="63"/>
        <v>3631</v>
      </c>
      <c r="B4478" s="1213" t="s">
        <v>43</v>
      </c>
      <c r="C4478" s="1146" t="s">
        <v>44</v>
      </c>
      <c r="D4478" s="1146" t="s">
        <v>45</v>
      </c>
      <c r="E4478" s="432" t="s">
        <v>5288</v>
      </c>
      <c r="F4478" s="434" t="s">
        <v>617</v>
      </c>
      <c r="G4478" s="434">
        <v>9846845030</v>
      </c>
      <c r="I4478" s="434">
        <v>31</v>
      </c>
      <c r="J4478" s="128" t="s">
        <v>90</v>
      </c>
      <c r="K4478" s="128" t="s">
        <v>1763</v>
      </c>
      <c r="M4478" s="128" t="s">
        <v>1764</v>
      </c>
      <c r="N4478" s="1310">
        <v>65166</v>
      </c>
      <c r="O4478" s="1310">
        <v>65166</v>
      </c>
      <c r="P4478" s="541">
        <v>65179</v>
      </c>
      <c r="Q4478" s="533" t="s">
        <v>51</v>
      </c>
    </row>
    <row r="4479" spans="1:17">
      <c r="A4479" s="1205">
        <f t="shared" si="63"/>
        <v>3632</v>
      </c>
      <c r="B4479" s="1213" t="s">
        <v>43</v>
      </c>
      <c r="C4479" s="1146" t="s">
        <v>44</v>
      </c>
      <c r="D4479" s="1146" t="s">
        <v>45</v>
      </c>
      <c r="E4479" s="432" t="s">
        <v>5289</v>
      </c>
      <c r="F4479" s="434" t="s">
        <v>1204</v>
      </c>
      <c r="G4479" s="434">
        <v>9823389420</v>
      </c>
      <c r="I4479" s="434">
        <v>57</v>
      </c>
      <c r="J4479" s="128" t="s">
        <v>90</v>
      </c>
      <c r="K4479" s="128" t="s">
        <v>1763</v>
      </c>
      <c r="M4479" s="128" t="s">
        <v>1764</v>
      </c>
      <c r="N4479" s="1310">
        <v>65166</v>
      </c>
      <c r="O4479" s="1310">
        <v>65166</v>
      </c>
      <c r="P4479" s="541">
        <v>65179</v>
      </c>
      <c r="Q4479" s="533" t="s">
        <v>51</v>
      </c>
    </row>
    <row r="4480" spans="1:17">
      <c r="A4480" s="1205">
        <f t="shared" si="63"/>
        <v>3633</v>
      </c>
      <c r="B4480" s="1213" t="s">
        <v>43</v>
      </c>
      <c r="C4480" s="1146" t="s">
        <v>44</v>
      </c>
      <c r="D4480" s="1146" t="s">
        <v>45</v>
      </c>
      <c r="E4480" s="432" t="s">
        <v>5293</v>
      </c>
      <c r="F4480" s="434" t="s">
        <v>124</v>
      </c>
      <c r="G4480" s="434">
        <v>9866934488</v>
      </c>
      <c r="I4480" s="434">
        <v>29</v>
      </c>
      <c r="J4480" s="128" t="s">
        <v>48</v>
      </c>
      <c r="K4480" s="128" t="s">
        <v>1763</v>
      </c>
      <c r="M4480" s="128" t="s">
        <v>1764</v>
      </c>
      <c r="N4480" s="730">
        <v>65167</v>
      </c>
      <c r="O4480" s="730">
        <v>65167</v>
      </c>
      <c r="P4480" s="541">
        <v>65179</v>
      </c>
      <c r="Q4480" s="533" t="s">
        <v>51</v>
      </c>
    </row>
    <row r="4481" spans="1:17">
      <c r="A4481" s="1205">
        <f t="shared" si="63"/>
        <v>3634</v>
      </c>
      <c r="B4481" s="1213" t="s">
        <v>43</v>
      </c>
      <c r="C4481" s="1146" t="s">
        <v>44</v>
      </c>
      <c r="D4481" s="1146" t="s">
        <v>45</v>
      </c>
      <c r="E4481" s="432" t="s">
        <v>5294</v>
      </c>
      <c r="F4481" s="434" t="s">
        <v>529</v>
      </c>
      <c r="G4481" s="434">
        <v>9866934488</v>
      </c>
      <c r="I4481" s="434">
        <v>25</v>
      </c>
      <c r="J4481" s="128" t="s">
        <v>90</v>
      </c>
      <c r="K4481" s="128" t="s">
        <v>1763</v>
      </c>
      <c r="M4481" s="128" t="s">
        <v>1764</v>
      </c>
      <c r="N4481" s="730">
        <v>65167</v>
      </c>
      <c r="O4481" s="730">
        <v>65167</v>
      </c>
      <c r="P4481" s="541">
        <v>65179</v>
      </c>
      <c r="Q4481" s="533" t="s">
        <v>51</v>
      </c>
    </row>
    <row r="4482" spans="1:17">
      <c r="A4482" s="1205">
        <f t="shared" si="63"/>
        <v>3635</v>
      </c>
      <c r="B4482" s="1213" t="s">
        <v>43</v>
      </c>
      <c r="C4482" s="1146" t="s">
        <v>44</v>
      </c>
      <c r="D4482" s="1146" t="s">
        <v>45</v>
      </c>
      <c r="E4482" s="432" t="s">
        <v>5295</v>
      </c>
      <c r="F4482" s="434" t="s">
        <v>529</v>
      </c>
      <c r="G4482" s="434">
        <v>9866934488</v>
      </c>
      <c r="I4482" s="434">
        <v>64</v>
      </c>
      <c r="J4482" s="128" t="s">
        <v>48</v>
      </c>
      <c r="K4482" s="128" t="s">
        <v>1763</v>
      </c>
      <c r="M4482" s="128" t="s">
        <v>1764</v>
      </c>
      <c r="N4482" s="730">
        <v>65167</v>
      </c>
      <c r="O4482" s="730">
        <v>65167</v>
      </c>
      <c r="P4482" s="541">
        <v>65179</v>
      </c>
      <c r="Q4482" s="533" t="s">
        <v>51</v>
      </c>
    </row>
    <row r="4483" spans="1:17" ht="25.5">
      <c r="A4483" s="1205">
        <f t="shared" si="63"/>
        <v>3636</v>
      </c>
      <c r="B4483" s="1213" t="s">
        <v>43</v>
      </c>
      <c r="C4483" s="1146" t="s">
        <v>44</v>
      </c>
      <c r="D4483" s="1146" t="s">
        <v>45</v>
      </c>
      <c r="E4483" s="128" t="s">
        <v>5290</v>
      </c>
      <c r="F4483" s="128" t="s">
        <v>1008</v>
      </c>
      <c r="G4483" s="247">
        <v>9810802613</v>
      </c>
      <c r="H4483" s="128"/>
      <c r="I4483" s="247">
        <v>22</v>
      </c>
      <c r="J4483" s="128" t="s">
        <v>48</v>
      </c>
      <c r="K4483" s="128" t="s">
        <v>4940</v>
      </c>
      <c r="L4483" s="894"/>
      <c r="M4483" s="128" t="s">
        <v>1764</v>
      </c>
      <c r="N4483" s="1310">
        <v>65168</v>
      </c>
      <c r="O4483" s="1310">
        <v>65168</v>
      </c>
      <c r="P4483" s="541">
        <v>65179</v>
      </c>
      <c r="Q4483" s="533" t="s">
        <v>51</v>
      </c>
    </row>
    <row r="4484" spans="1:17">
      <c r="A4484" s="1205">
        <f t="shared" si="63"/>
        <v>3637</v>
      </c>
      <c r="B4484" s="1213" t="s">
        <v>43</v>
      </c>
      <c r="C4484" s="1146" t="s">
        <v>44</v>
      </c>
      <c r="D4484" s="1146" t="s">
        <v>45</v>
      </c>
      <c r="E4484" s="128" t="s">
        <v>5291</v>
      </c>
      <c r="F4484" s="128" t="s">
        <v>441</v>
      </c>
      <c r="G4484" s="247">
        <v>9857821531</v>
      </c>
      <c r="H4484" s="128"/>
      <c r="I4484" s="247">
        <v>68</v>
      </c>
      <c r="J4484" s="128" t="s">
        <v>48</v>
      </c>
      <c r="K4484" s="120" t="s">
        <v>1480</v>
      </c>
      <c r="L4484" s="894"/>
      <c r="M4484" s="128" t="s">
        <v>1764</v>
      </c>
      <c r="N4484" s="1310">
        <v>65170</v>
      </c>
      <c r="O4484" s="1310">
        <v>65170</v>
      </c>
      <c r="P4484" s="459">
        <v>65180</v>
      </c>
      <c r="Q4484" s="533" t="s">
        <v>51</v>
      </c>
    </row>
    <row r="4485" spans="1:17">
      <c r="A4485" s="1205">
        <f t="shared" si="63"/>
        <v>3638</v>
      </c>
      <c r="B4485" s="1213" t="s">
        <v>43</v>
      </c>
      <c r="C4485" s="1146" t="s">
        <v>44</v>
      </c>
      <c r="D4485" s="1146" t="s">
        <v>45</v>
      </c>
      <c r="E4485" s="128" t="s">
        <v>5292</v>
      </c>
      <c r="F4485" s="128" t="s">
        <v>441</v>
      </c>
      <c r="G4485" s="247">
        <v>9849622668</v>
      </c>
      <c r="H4485" s="128"/>
      <c r="I4485" s="247">
        <v>57</v>
      </c>
      <c r="J4485" s="128" t="s">
        <v>90</v>
      </c>
      <c r="K4485" s="120" t="s">
        <v>53</v>
      </c>
      <c r="L4485" s="894"/>
      <c r="M4485" s="128" t="s">
        <v>1764</v>
      </c>
      <c r="N4485" s="1310">
        <v>65170</v>
      </c>
      <c r="O4485" s="1310">
        <v>65170</v>
      </c>
      <c r="P4485" s="459">
        <v>65180</v>
      </c>
      <c r="Q4485" s="533" t="s">
        <v>51</v>
      </c>
    </row>
    <row r="4486" spans="1:17">
      <c r="A4486" s="1205">
        <f t="shared" si="63"/>
        <v>3639</v>
      </c>
      <c r="B4486" s="1213" t="s">
        <v>43</v>
      </c>
      <c r="C4486" s="1146" t="s">
        <v>44</v>
      </c>
      <c r="D4486" s="1146" t="s">
        <v>45</v>
      </c>
      <c r="E4486" s="128" t="s">
        <v>5296</v>
      </c>
      <c r="F4486" s="128" t="s">
        <v>1008</v>
      </c>
      <c r="G4486" s="247">
        <v>9814892323</v>
      </c>
      <c r="H4486" s="128" t="s">
        <v>5249</v>
      </c>
      <c r="I4486" s="247">
        <v>68</v>
      </c>
      <c r="J4486" s="128" t="s">
        <v>48</v>
      </c>
      <c r="K4486" s="128" t="s">
        <v>5297</v>
      </c>
      <c r="M4486" s="128" t="s">
        <v>1764</v>
      </c>
      <c r="N4486" s="1310">
        <v>65171</v>
      </c>
      <c r="O4486" s="1310">
        <v>65171</v>
      </c>
      <c r="P4486" s="496">
        <v>65186</v>
      </c>
      <c r="Q4486" s="491" t="s">
        <v>51</v>
      </c>
    </row>
    <row r="4487" spans="1:17">
      <c r="A4487" s="1205">
        <f t="shared" si="63"/>
        <v>3640</v>
      </c>
      <c r="B4487" s="1213" t="s">
        <v>43</v>
      </c>
      <c r="C4487" s="1146" t="s">
        <v>44</v>
      </c>
      <c r="D4487" s="1146" t="s">
        <v>45</v>
      </c>
      <c r="E4487" s="128" t="s">
        <v>5298</v>
      </c>
      <c r="F4487" s="128" t="s">
        <v>491</v>
      </c>
      <c r="G4487" s="247">
        <v>9864526966</v>
      </c>
      <c r="H4487" s="128" t="s">
        <v>5249</v>
      </c>
      <c r="I4487" s="247">
        <v>36</v>
      </c>
      <c r="J4487" s="128" t="s">
        <v>48</v>
      </c>
      <c r="K4487" s="128" t="s">
        <v>5299</v>
      </c>
      <c r="M4487" s="128" t="s">
        <v>1764</v>
      </c>
      <c r="N4487" s="1310">
        <v>65171</v>
      </c>
      <c r="O4487" s="1310">
        <v>65171</v>
      </c>
      <c r="P4487" s="496">
        <v>65186</v>
      </c>
      <c r="Q4487" s="491" t="s">
        <v>51</v>
      </c>
    </row>
    <row r="4488" spans="1:17">
      <c r="A4488" s="1205">
        <f t="shared" si="63"/>
        <v>3641</v>
      </c>
      <c r="B4488" s="1213" t="s">
        <v>43</v>
      </c>
      <c r="C4488" s="1146" t="s">
        <v>44</v>
      </c>
      <c r="D4488" s="1146" t="s">
        <v>45</v>
      </c>
      <c r="E4488" s="128" t="s">
        <v>5300</v>
      </c>
      <c r="F4488" s="128" t="s">
        <v>512</v>
      </c>
      <c r="G4488" s="247">
        <v>9847800000</v>
      </c>
      <c r="H4488" s="128" t="s">
        <v>5256</v>
      </c>
      <c r="I4488" s="247">
        <v>55</v>
      </c>
      <c r="J4488" s="128" t="s">
        <v>48</v>
      </c>
      <c r="K4488" s="128" t="s">
        <v>5301</v>
      </c>
      <c r="M4488" s="128" t="s">
        <v>1764</v>
      </c>
      <c r="N4488" s="1310">
        <v>65172</v>
      </c>
      <c r="O4488" s="1310">
        <v>65172</v>
      </c>
      <c r="P4488" s="496">
        <v>65186</v>
      </c>
      <c r="Q4488" s="491" t="s">
        <v>51</v>
      </c>
    </row>
    <row r="4489" spans="1:17">
      <c r="A4489" s="1205">
        <f t="shared" si="63"/>
        <v>3642</v>
      </c>
      <c r="B4489" s="1213" t="s">
        <v>43</v>
      </c>
      <c r="C4489" s="1146" t="s">
        <v>44</v>
      </c>
      <c r="D4489" s="1146" t="s">
        <v>45</v>
      </c>
      <c r="E4489" s="128" t="s">
        <v>5303</v>
      </c>
      <c r="F4489" s="128" t="s">
        <v>502</v>
      </c>
      <c r="G4489" s="247">
        <v>9849512524</v>
      </c>
      <c r="H4489" s="128" t="s">
        <v>5302</v>
      </c>
      <c r="I4489" s="247">
        <v>26</v>
      </c>
      <c r="J4489" s="128" t="s">
        <v>48</v>
      </c>
      <c r="K4489" s="128" t="s">
        <v>5301</v>
      </c>
      <c r="M4489" s="128" t="s">
        <v>1764</v>
      </c>
      <c r="N4489" s="1310">
        <v>65172</v>
      </c>
      <c r="O4489" s="1310">
        <v>65172</v>
      </c>
      <c r="P4489" s="496">
        <v>65186</v>
      </c>
      <c r="Q4489" s="491" t="s">
        <v>51</v>
      </c>
    </row>
    <row r="4490" spans="1:17">
      <c r="A4490" s="1205">
        <f t="shared" si="63"/>
        <v>3643</v>
      </c>
      <c r="B4490" s="1213" t="s">
        <v>43</v>
      </c>
      <c r="C4490" s="1146" t="s">
        <v>44</v>
      </c>
      <c r="D4490" s="1146" t="s">
        <v>45</v>
      </c>
      <c r="E4490" s="128" t="s">
        <v>5304</v>
      </c>
      <c r="F4490" s="128" t="s">
        <v>510</v>
      </c>
      <c r="G4490" s="247">
        <v>9810777750</v>
      </c>
      <c r="H4490" s="128" t="s">
        <v>5256</v>
      </c>
      <c r="I4490" s="247">
        <v>80</v>
      </c>
      <c r="J4490" s="128" t="s">
        <v>48</v>
      </c>
      <c r="K4490" s="128" t="s">
        <v>5253</v>
      </c>
      <c r="M4490" s="128" t="s">
        <v>1764</v>
      </c>
      <c r="N4490" s="1310">
        <v>65172</v>
      </c>
      <c r="O4490" s="1310">
        <v>65172</v>
      </c>
      <c r="P4490" s="496">
        <v>65186</v>
      </c>
      <c r="Q4490" s="491" t="s">
        <v>51</v>
      </c>
    </row>
    <row r="4491" spans="1:17">
      <c r="A4491" s="1205">
        <f t="shared" si="63"/>
        <v>3644</v>
      </c>
      <c r="B4491" s="1213" t="s">
        <v>43</v>
      </c>
      <c r="C4491" s="1146" t="s">
        <v>44</v>
      </c>
      <c r="D4491" s="1146" t="s">
        <v>45</v>
      </c>
      <c r="E4491" s="432" t="s">
        <v>5305</v>
      </c>
      <c r="F4491" s="128" t="s">
        <v>491</v>
      </c>
      <c r="G4491" s="434">
        <v>9841115808</v>
      </c>
      <c r="I4491" s="434">
        <v>35</v>
      </c>
      <c r="J4491" s="128" t="s">
        <v>48</v>
      </c>
      <c r="K4491" s="128" t="s">
        <v>1763</v>
      </c>
      <c r="M4491" s="128" t="s">
        <v>1764</v>
      </c>
      <c r="N4491" s="730">
        <v>65170</v>
      </c>
      <c r="O4491" s="730">
        <v>65170</v>
      </c>
      <c r="P4491" s="496">
        <v>65186</v>
      </c>
      <c r="Q4491" s="491" t="s">
        <v>51</v>
      </c>
    </row>
    <row r="4492" spans="1:17">
      <c r="A4492" s="1205">
        <f t="shared" si="63"/>
        <v>3645</v>
      </c>
      <c r="B4492" s="1213" t="s">
        <v>43</v>
      </c>
      <c r="C4492" s="1146" t="s">
        <v>44</v>
      </c>
      <c r="D4492" s="1146" t="s">
        <v>45</v>
      </c>
      <c r="E4492" s="432" t="s">
        <v>5306</v>
      </c>
      <c r="F4492" s="434" t="s">
        <v>1046</v>
      </c>
      <c r="G4492" s="434">
        <v>9847827087</v>
      </c>
      <c r="I4492" s="434">
        <v>47</v>
      </c>
      <c r="J4492" s="434" t="s">
        <v>90</v>
      </c>
      <c r="K4492" s="128" t="s">
        <v>1763</v>
      </c>
      <c r="M4492" s="128" t="s">
        <v>1764</v>
      </c>
      <c r="N4492" s="730">
        <v>65170</v>
      </c>
      <c r="O4492" s="730">
        <v>65170</v>
      </c>
      <c r="P4492" s="496">
        <v>65186</v>
      </c>
      <c r="Q4492" s="491" t="s">
        <v>51</v>
      </c>
    </row>
    <row r="4493" spans="1:17">
      <c r="A4493" s="1205">
        <f t="shared" si="63"/>
        <v>3646</v>
      </c>
      <c r="B4493" s="1213" t="s">
        <v>43</v>
      </c>
      <c r="C4493" s="1146" t="s">
        <v>44</v>
      </c>
      <c r="D4493" s="1146" t="s">
        <v>45</v>
      </c>
      <c r="E4493" s="432" t="s">
        <v>5307</v>
      </c>
      <c r="F4493" s="434" t="s">
        <v>1046</v>
      </c>
      <c r="G4493" s="434">
        <v>9847827087</v>
      </c>
      <c r="I4493" s="434">
        <v>17</v>
      </c>
      <c r="J4493" s="128" t="s">
        <v>48</v>
      </c>
      <c r="K4493" s="128" t="s">
        <v>1763</v>
      </c>
      <c r="M4493" s="128" t="s">
        <v>1764</v>
      </c>
      <c r="N4493" s="730">
        <v>65170</v>
      </c>
      <c r="O4493" s="730">
        <v>65170</v>
      </c>
      <c r="P4493" s="496">
        <v>65186</v>
      </c>
      <c r="Q4493" s="491" t="s">
        <v>51</v>
      </c>
    </row>
    <row r="4494" spans="1:17">
      <c r="A4494" s="1205">
        <f t="shared" si="63"/>
        <v>3647</v>
      </c>
      <c r="B4494" s="1213" t="s">
        <v>43</v>
      </c>
      <c r="C4494" s="1146" t="s">
        <v>44</v>
      </c>
      <c r="D4494" s="1146" t="s">
        <v>45</v>
      </c>
      <c r="E4494" s="432" t="s">
        <v>5308</v>
      </c>
      <c r="F4494" s="434" t="s">
        <v>1046</v>
      </c>
      <c r="G4494" s="434">
        <v>9806249722</v>
      </c>
      <c r="I4494" s="434">
        <v>13</v>
      </c>
      <c r="J4494" s="128" t="s">
        <v>48</v>
      </c>
      <c r="K4494" s="128" t="s">
        <v>1763</v>
      </c>
      <c r="M4494" s="128" t="s">
        <v>1764</v>
      </c>
      <c r="N4494" s="730">
        <v>65170</v>
      </c>
      <c r="O4494" s="730">
        <v>65170</v>
      </c>
      <c r="P4494" s="496">
        <v>65186</v>
      </c>
      <c r="Q4494" s="491" t="s">
        <v>51</v>
      </c>
    </row>
    <row r="4495" spans="1:17">
      <c r="A4495" s="1205">
        <f t="shared" si="63"/>
        <v>3648</v>
      </c>
      <c r="B4495" s="1213" t="s">
        <v>43</v>
      </c>
      <c r="C4495" s="1146" t="s">
        <v>44</v>
      </c>
      <c r="D4495" s="1146" t="s">
        <v>45</v>
      </c>
      <c r="E4495" s="128" t="s">
        <v>5309</v>
      </c>
      <c r="F4495" s="128" t="s">
        <v>497</v>
      </c>
      <c r="G4495" s="247">
        <v>9857821628</v>
      </c>
      <c r="H4495" s="128" t="s">
        <v>5249</v>
      </c>
      <c r="I4495" s="247">
        <v>16</v>
      </c>
      <c r="J4495" s="128" t="s">
        <v>90</v>
      </c>
      <c r="K4495" s="120" t="s">
        <v>53</v>
      </c>
      <c r="M4495" s="128" t="s">
        <v>1764</v>
      </c>
      <c r="N4495" s="1310">
        <v>65173</v>
      </c>
      <c r="O4495" s="1310">
        <v>65173</v>
      </c>
      <c r="P4495" s="459">
        <v>65190</v>
      </c>
      <c r="Q4495" s="432" t="s">
        <v>51</v>
      </c>
    </row>
    <row r="4496" spans="1:17">
      <c r="A4496" s="1205">
        <f t="shared" si="63"/>
        <v>3649</v>
      </c>
      <c r="B4496" s="1213" t="s">
        <v>43</v>
      </c>
      <c r="C4496" s="1146" t="s">
        <v>44</v>
      </c>
      <c r="D4496" s="1146" t="s">
        <v>45</v>
      </c>
      <c r="E4496" s="128" t="s">
        <v>5311</v>
      </c>
      <c r="F4496" s="128" t="s">
        <v>441</v>
      </c>
      <c r="G4496" s="247">
        <v>9866740257</v>
      </c>
      <c r="H4496" s="128" t="s">
        <v>5247</v>
      </c>
      <c r="I4496" s="247">
        <v>33</v>
      </c>
      <c r="J4496" s="128" t="s">
        <v>90</v>
      </c>
      <c r="K4496" s="120" t="s">
        <v>53</v>
      </c>
      <c r="M4496" s="128" t="s">
        <v>1764</v>
      </c>
      <c r="N4496" s="1310">
        <v>65173</v>
      </c>
      <c r="O4496" s="1310">
        <v>65173</v>
      </c>
      <c r="P4496" s="459">
        <v>65190</v>
      </c>
      <c r="Q4496" s="432" t="s">
        <v>51</v>
      </c>
    </row>
    <row r="4497" spans="1:17">
      <c r="A4497" s="1205">
        <f t="shared" si="63"/>
        <v>3650</v>
      </c>
      <c r="B4497" s="1213" t="s">
        <v>43</v>
      </c>
      <c r="C4497" s="1146" t="s">
        <v>44</v>
      </c>
      <c r="D4497" s="1146" t="s">
        <v>45</v>
      </c>
      <c r="E4497" s="128" t="s">
        <v>5312</v>
      </c>
      <c r="F4497" s="128" t="s">
        <v>441</v>
      </c>
      <c r="G4497" s="247">
        <v>9847837187</v>
      </c>
      <c r="H4497" s="128" t="s">
        <v>5247</v>
      </c>
      <c r="I4497" s="247">
        <v>37</v>
      </c>
      <c r="J4497" s="128" t="s">
        <v>48</v>
      </c>
      <c r="K4497" s="120" t="s">
        <v>53</v>
      </c>
      <c r="M4497" s="128" t="s">
        <v>1764</v>
      </c>
      <c r="N4497" s="1310">
        <v>65173</v>
      </c>
      <c r="O4497" s="1310">
        <v>65173</v>
      </c>
      <c r="P4497" s="459">
        <v>65190</v>
      </c>
      <c r="Q4497" s="432" t="s">
        <v>51</v>
      </c>
    </row>
    <row r="4498" spans="1:17">
      <c r="A4498" s="1205">
        <f t="shared" si="63"/>
        <v>3651</v>
      </c>
      <c r="B4498" s="1213" t="s">
        <v>43</v>
      </c>
      <c r="C4498" s="1146" t="s">
        <v>44</v>
      </c>
      <c r="D4498" s="1146" t="s">
        <v>45</v>
      </c>
      <c r="E4498" s="128" t="s">
        <v>5313</v>
      </c>
      <c r="F4498" s="128" t="s">
        <v>491</v>
      </c>
      <c r="G4498" s="247">
        <v>9841115808</v>
      </c>
      <c r="H4498" s="128" t="s">
        <v>5247</v>
      </c>
      <c r="I4498" s="247">
        <v>38</v>
      </c>
      <c r="J4498" s="128" t="s">
        <v>48</v>
      </c>
      <c r="K4498" s="120" t="s">
        <v>53</v>
      </c>
      <c r="L4498" s="128"/>
      <c r="M4498" s="128" t="s">
        <v>1764</v>
      </c>
      <c r="N4498" s="1310">
        <v>65173</v>
      </c>
      <c r="O4498" s="1310">
        <v>65173</v>
      </c>
      <c r="P4498" s="459">
        <v>65190</v>
      </c>
      <c r="Q4498" s="432" t="s">
        <v>51</v>
      </c>
    </row>
    <row r="4499" spans="1:17">
      <c r="A4499" s="1205">
        <f t="shared" si="63"/>
        <v>3652</v>
      </c>
      <c r="B4499" s="1213" t="s">
        <v>43</v>
      </c>
      <c r="C4499" s="1146" t="s">
        <v>44</v>
      </c>
      <c r="D4499" s="1146" t="s">
        <v>45</v>
      </c>
      <c r="E4499" s="128" t="s">
        <v>5314</v>
      </c>
      <c r="F4499" s="128" t="s">
        <v>510</v>
      </c>
      <c r="G4499" s="247">
        <v>9847979837</v>
      </c>
      <c r="H4499" s="128" t="s">
        <v>5249</v>
      </c>
      <c r="I4499" s="247">
        <v>27</v>
      </c>
      <c r="J4499" s="128" t="s">
        <v>48</v>
      </c>
      <c r="K4499" s="120" t="s">
        <v>53</v>
      </c>
      <c r="L4499" s="128"/>
      <c r="M4499" s="128" t="s">
        <v>1764</v>
      </c>
      <c r="N4499" s="1310">
        <v>65174</v>
      </c>
      <c r="O4499" s="1310">
        <v>65174</v>
      </c>
      <c r="P4499" s="459">
        <v>65190</v>
      </c>
      <c r="Q4499" s="432" t="s">
        <v>51</v>
      </c>
    </row>
    <row r="4500" spans="1:17">
      <c r="A4500" s="1205">
        <f t="shared" si="63"/>
        <v>3653</v>
      </c>
      <c r="B4500" s="1213" t="s">
        <v>43</v>
      </c>
      <c r="C4500" s="1146" t="s">
        <v>44</v>
      </c>
      <c r="D4500" s="1146" t="s">
        <v>45</v>
      </c>
      <c r="E4500" s="128" t="s">
        <v>5315</v>
      </c>
      <c r="F4500" s="128" t="s">
        <v>502</v>
      </c>
      <c r="G4500" s="247">
        <v>9847830948</v>
      </c>
      <c r="H4500" s="128" t="s">
        <v>5249</v>
      </c>
      <c r="I4500" s="247">
        <v>26</v>
      </c>
      <c r="J4500" s="128" t="s">
        <v>90</v>
      </c>
      <c r="K4500" s="120" t="s">
        <v>53</v>
      </c>
      <c r="L4500" s="128"/>
      <c r="M4500" s="128" t="s">
        <v>1764</v>
      </c>
      <c r="N4500" s="1310">
        <v>65174</v>
      </c>
      <c r="O4500" s="1310">
        <v>65174</v>
      </c>
      <c r="P4500" s="459">
        <v>65190</v>
      </c>
      <c r="Q4500" s="432" t="s">
        <v>51</v>
      </c>
    </row>
    <row r="4501" spans="1:17">
      <c r="A4501" s="1205">
        <f t="shared" si="63"/>
        <v>3654</v>
      </c>
      <c r="B4501" s="1213" t="s">
        <v>43</v>
      </c>
      <c r="C4501" s="1146" t="s">
        <v>44</v>
      </c>
      <c r="D4501" s="1146" t="s">
        <v>45</v>
      </c>
      <c r="E4501" s="128" t="s">
        <v>5316</v>
      </c>
      <c r="F4501" s="128" t="s">
        <v>1204</v>
      </c>
      <c r="G4501" s="247">
        <v>9844936532</v>
      </c>
      <c r="H4501" s="128" t="s">
        <v>5249</v>
      </c>
      <c r="I4501" s="247">
        <v>25</v>
      </c>
      <c r="J4501" s="128" t="s">
        <v>90</v>
      </c>
      <c r="K4501" s="120" t="s">
        <v>53</v>
      </c>
      <c r="L4501" s="128"/>
      <c r="M4501" s="128" t="s">
        <v>1764</v>
      </c>
      <c r="N4501" s="1310">
        <v>65175</v>
      </c>
      <c r="O4501" s="1310">
        <v>65175</v>
      </c>
      <c r="P4501" s="459">
        <v>65190</v>
      </c>
      <c r="Q4501" s="432" t="s">
        <v>51</v>
      </c>
    </row>
    <row r="4502" spans="1:17">
      <c r="A4502" s="1205">
        <f t="shared" si="63"/>
        <v>3655</v>
      </c>
      <c r="B4502" s="1213" t="s">
        <v>43</v>
      </c>
      <c r="C4502" s="1146" t="s">
        <v>44</v>
      </c>
      <c r="D4502" s="1146" t="s">
        <v>45</v>
      </c>
      <c r="E4502" s="128" t="s">
        <v>5317</v>
      </c>
      <c r="F4502" s="128" t="s">
        <v>557</v>
      </c>
      <c r="G4502" s="247">
        <v>9868615608</v>
      </c>
      <c r="H4502" s="128" t="s">
        <v>5249</v>
      </c>
      <c r="I4502" s="247">
        <v>24</v>
      </c>
      <c r="J4502" s="128" t="s">
        <v>48</v>
      </c>
      <c r="K4502" s="120" t="s">
        <v>53</v>
      </c>
      <c r="L4502" s="128"/>
      <c r="M4502" s="128" t="s">
        <v>1764</v>
      </c>
      <c r="N4502" s="1310">
        <v>65175</v>
      </c>
      <c r="O4502" s="1310">
        <v>65175</v>
      </c>
      <c r="P4502" s="459">
        <v>65190</v>
      </c>
      <c r="Q4502" s="432" t="s">
        <v>51</v>
      </c>
    </row>
    <row r="4503" spans="1:17" ht="25.5">
      <c r="A4503" s="1205">
        <f t="shared" si="63"/>
        <v>3656</v>
      </c>
      <c r="B4503" s="1213" t="s">
        <v>43</v>
      </c>
      <c r="C4503" s="1146" t="s">
        <v>44</v>
      </c>
      <c r="D4503" s="1146" t="s">
        <v>45</v>
      </c>
      <c r="E4503" s="247" t="s">
        <v>5318</v>
      </c>
      <c r="F4503" s="247" t="s">
        <v>512</v>
      </c>
      <c r="G4503" s="247">
        <v>9829513021</v>
      </c>
      <c r="H4503" s="247" t="s">
        <v>5259</v>
      </c>
      <c r="I4503" s="247">
        <v>16</v>
      </c>
      <c r="J4503" s="247" t="s">
        <v>48</v>
      </c>
      <c r="K4503" s="247" t="s">
        <v>5319</v>
      </c>
      <c r="M4503" s="247" t="s">
        <v>1764</v>
      </c>
      <c r="N4503" s="1257">
        <v>65176</v>
      </c>
      <c r="O4503" s="1257">
        <v>65176</v>
      </c>
      <c r="P4503" s="459">
        <v>65190</v>
      </c>
      <c r="Q4503" s="432" t="s">
        <v>51</v>
      </c>
    </row>
    <row r="4504" spans="1:17">
      <c r="A4504" s="1205">
        <f t="shared" si="63"/>
        <v>3657</v>
      </c>
      <c r="B4504" s="1213" t="s">
        <v>43</v>
      </c>
      <c r="C4504" s="1146" t="s">
        <v>44</v>
      </c>
      <c r="D4504" s="1146" t="s">
        <v>45</v>
      </c>
      <c r="E4504" s="247" t="s">
        <v>5320</v>
      </c>
      <c r="F4504" s="247" t="s">
        <v>617</v>
      </c>
      <c r="G4504" s="247">
        <v>9844961999</v>
      </c>
      <c r="H4504" s="247" t="s">
        <v>5247</v>
      </c>
      <c r="I4504" s="247">
        <v>22</v>
      </c>
      <c r="J4504" s="247" t="s">
        <v>48</v>
      </c>
      <c r="K4504" s="247" t="s">
        <v>5321</v>
      </c>
      <c r="M4504" s="247" t="s">
        <v>1764</v>
      </c>
      <c r="N4504" s="1257">
        <v>65177</v>
      </c>
      <c r="O4504" s="1257">
        <v>65177</v>
      </c>
      <c r="P4504" s="541">
        <v>65198</v>
      </c>
      <c r="Q4504" s="533" t="s">
        <v>51</v>
      </c>
    </row>
    <row r="4505" spans="1:17" ht="25.5">
      <c r="A4505" s="1205">
        <f t="shared" si="63"/>
        <v>3658</v>
      </c>
      <c r="B4505" s="1213" t="s">
        <v>43</v>
      </c>
      <c r="C4505" s="1146" t="s">
        <v>44</v>
      </c>
      <c r="D4505" s="1146" t="s">
        <v>45</v>
      </c>
      <c r="E4505" s="247" t="s">
        <v>5324</v>
      </c>
      <c r="F4505" s="247" t="s">
        <v>124</v>
      </c>
      <c r="G4505" s="247">
        <v>9810951136</v>
      </c>
      <c r="H4505" s="247" t="s">
        <v>5247</v>
      </c>
      <c r="I4505" s="247">
        <v>49</v>
      </c>
      <c r="J4505" s="247" t="s">
        <v>90</v>
      </c>
      <c r="K4505" s="247" t="s">
        <v>5322</v>
      </c>
      <c r="M4505" s="247" t="s">
        <v>1764</v>
      </c>
      <c r="N4505" s="1257">
        <v>65177</v>
      </c>
      <c r="O4505" s="1257">
        <v>65177</v>
      </c>
      <c r="P4505" s="541">
        <v>65198</v>
      </c>
      <c r="Q4505" s="533" t="s">
        <v>51</v>
      </c>
    </row>
    <row r="4506" spans="1:17">
      <c r="A4506" s="1205">
        <f t="shared" si="63"/>
        <v>3659</v>
      </c>
      <c r="B4506" s="1213" t="s">
        <v>43</v>
      </c>
      <c r="C4506" s="1146" t="s">
        <v>44</v>
      </c>
      <c r="D4506" s="1146" t="s">
        <v>45</v>
      </c>
      <c r="E4506" s="247" t="s">
        <v>5323</v>
      </c>
      <c r="F4506" s="247" t="s">
        <v>491</v>
      </c>
      <c r="G4506" s="247">
        <v>9841984343</v>
      </c>
      <c r="H4506" s="247" t="s">
        <v>5247</v>
      </c>
      <c r="I4506" s="247">
        <v>64</v>
      </c>
      <c r="J4506" s="247" t="s">
        <v>48</v>
      </c>
      <c r="K4506" s="247" t="s">
        <v>2649</v>
      </c>
      <c r="M4506" s="247" t="s">
        <v>1764</v>
      </c>
      <c r="N4506" s="1257">
        <v>65179</v>
      </c>
      <c r="O4506" s="1257">
        <v>65179</v>
      </c>
      <c r="P4506" s="541">
        <v>65198</v>
      </c>
      <c r="Q4506" s="533" t="s">
        <v>51</v>
      </c>
    </row>
    <row r="4507" spans="1:17">
      <c r="A4507" s="1205">
        <f t="shared" si="63"/>
        <v>3660</v>
      </c>
      <c r="B4507" s="1213" t="s">
        <v>43</v>
      </c>
      <c r="C4507" s="1146" t="s">
        <v>44</v>
      </c>
      <c r="D4507" s="1146" t="s">
        <v>45</v>
      </c>
      <c r="E4507" s="432" t="s">
        <v>5325</v>
      </c>
      <c r="F4507" s="434" t="s">
        <v>730</v>
      </c>
      <c r="G4507" s="434">
        <v>9847847446</v>
      </c>
      <c r="I4507" s="434">
        <v>46</v>
      </c>
      <c r="J4507" s="247" t="s">
        <v>48</v>
      </c>
      <c r="K4507" s="247" t="s">
        <v>5326</v>
      </c>
      <c r="M4507" s="247" t="s">
        <v>1764</v>
      </c>
      <c r="N4507" s="1465">
        <v>65179</v>
      </c>
      <c r="O4507" s="1465">
        <v>65179</v>
      </c>
      <c r="P4507" s="541">
        <v>65198</v>
      </c>
      <c r="Q4507" s="533" t="s">
        <v>51</v>
      </c>
    </row>
    <row r="4508" spans="1:17">
      <c r="A4508" s="1205">
        <f t="shared" si="63"/>
        <v>3661</v>
      </c>
      <c r="B4508" s="1213" t="s">
        <v>43</v>
      </c>
      <c r="C4508" s="1146" t="s">
        <v>44</v>
      </c>
      <c r="D4508" s="1146" t="s">
        <v>45</v>
      </c>
      <c r="E4508" s="432" t="s">
        <v>5327</v>
      </c>
      <c r="F4508" s="434" t="s">
        <v>502</v>
      </c>
      <c r="G4508" s="434">
        <v>9822572133</v>
      </c>
      <c r="I4508" s="434">
        <v>24</v>
      </c>
      <c r="J4508" s="247" t="s">
        <v>48</v>
      </c>
      <c r="K4508" s="1466" t="s">
        <v>5328</v>
      </c>
      <c r="M4508" s="247" t="s">
        <v>1764</v>
      </c>
      <c r="N4508" s="1465">
        <v>65179</v>
      </c>
      <c r="O4508" s="1465">
        <v>65179</v>
      </c>
      <c r="P4508" s="541">
        <v>65198</v>
      </c>
      <c r="Q4508" s="533" t="s">
        <v>51</v>
      </c>
    </row>
    <row r="4509" spans="1:17" ht="25.5">
      <c r="A4509" s="1205">
        <f t="shared" si="63"/>
        <v>3662</v>
      </c>
      <c r="B4509" s="1213" t="s">
        <v>43</v>
      </c>
      <c r="C4509" s="1146" t="s">
        <v>44</v>
      </c>
      <c r="D4509" s="1146" t="s">
        <v>45</v>
      </c>
      <c r="E4509" s="128" t="s">
        <v>5329</v>
      </c>
      <c r="F4509" s="128" t="s">
        <v>730</v>
      </c>
      <c r="G4509" s="247">
        <v>9847847446</v>
      </c>
      <c r="H4509" s="128" t="s">
        <v>5249</v>
      </c>
      <c r="I4509" s="247">
        <v>46</v>
      </c>
      <c r="J4509" s="128" t="s">
        <v>48</v>
      </c>
      <c r="K4509" s="128" t="s">
        <v>5330</v>
      </c>
      <c r="L4509" s="128"/>
      <c r="M4509" s="128" t="s">
        <v>1764</v>
      </c>
      <c r="N4509" s="1310">
        <v>65179</v>
      </c>
      <c r="O4509" s="1310">
        <v>65179</v>
      </c>
      <c r="P4509" s="541">
        <v>65198</v>
      </c>
      <c r="Q4509" s="533" t="s">
        <v>51</v>
      </c>
    </row>
    <row r="4510" spans="1:17">
      <c r="A4510" s="1205">
        <f t="shared" si="63"/>
        <v>3663</v>
      </c>
      <c r="B4510" s="1213" t="s">
        <v>43</v>
      </c>
      <c r="C4510" s="1146" t="s">
        <v>44</v>
      </c>
      <c r="D4510" s="1146" t="s">
        <v>45</v>
      </c>
      <c r="E4510" s="128" t="s">
        <v>5331</v>
      </c>
      <c r="F4510" s="128" t="s">
        <v>502</v>
      </c>
      <c r="G4510" s="247">
        <v>9844978746</v>
      </c>
      <c r="H4510" s="128" t="s">
        <v>5302</v>
      </c>
      <c r="I4510" s="247">
        <v>25</v>
      </c>
      <c r="J4510" s="128" t="s">
        <v>48</v>
      </c>
      <c r="K4510" s="128" t="s">
        <v>5332</v>
      </c>
      <c r="L4510" s="128"/>
      <c r="M4510" s="128" t="s">
        <v>1764</v>
      </c>
      <c r="N4510" s="1310">
        <v>65181</v>
      </c>
      <c r="O4510" s="1310">
        <v>65181</v>
      </c>
      <c r="P4510" s="541">
        <v>65198</v>
      </c>
      <c r="Q4510" s="533" t="s">
        <v>51</v>
      </c>
    </row>
    <row r="4511" spans="1:17">
      <c r="A4511" s="1205">
        <f t="shared" si="63"/>
        <v>3664</v>
      </c>
      <c r="B4511" s="1213" t="s">
        <v>43</v>
      </c>
      <c r="C4511" s="1146" t="s">
        <v>44</v>
      </c>
      <c r="D4511" s="1146" t="s">
        <v>45</v>
      </c>
      <c r="E4511" s="128" t="s">
        <v>5333</v>
      </c>
      <c r="F4511" s="128" t="s">
        <v>124</v>
      </c>
      <c r="G4511" s="247">
        <v>9842718963</v>
      </c>
      <c r="H4511" s="128" t="s">
        <v>5249</v>
      </c>
      <c r="I4511" s="247">
        <v>22</v>
      </c>
      <c r="J4511" s="128" t="s">
        <v>90</v>
      </c>
      <c r="K4511" s="1410" t="s">
        <v>5310</v>
      </c>
      <c r="L4511" s="128"/>
      <c r="M4511" s="128" t="s">
        <v>1764</v>
      </c>
      <c r="N4511" s="1310">
        <v>65183</v>
      </c>
      <c r="O4511" s="1310">
        <v>65183</v>
      </c>
      <c r="P4511" s="541">
        <v>65198</v>
      </c>
      <c r="Q4511" s="533" t="s">
        <v>51</v>
      </c>
    </row>
    <row r="4512" spans="1:17">
      <c r="A4512" s="1205">
        <f t="shared" si="63"/>
        <v>3665</v>
      </c>
      <c r="B4512" s="1213" t="s">
        <v>43</v>
      </c>
      <c r="C4512" s="1146" t="s">
        <v>44</v>
      </c>
      <c r="D4512" s="1146" t="s">
        <v>45</v>
      </c>
      <c r="E4512" s="1339" t="s">
        <v>5334</v>
      </c>
      <c r="F4512" s="1339" t="s">
        <v>557</v>
      </c>
      <c r="G4512" s="1321">
        <v>9847946422</v>
      </c>
      <c r="H4512" s="1339" t="s">
        <v>5249</v>
      </c>
      <c r="I4512" s="1321">
        <v>50</v>
      </c>
      <c r="J4512" s="1339" t="s">
        <v>48</v>
      </c>
      <c r="K4512" s="1467" t="s">
        <v>5310</v>
      </c>
      <c r="L4512" s="1339"/>
      <c r="M4512" s="1339" t="s">
        <v>2648</v>
      </c>
      <c r="N4512" s="1409">
        <v>65183</v>
      </c>
      <c r="O4512" s="1409">
        <v>65183</v>
      </c>
      <c r="P4512" s="1211">
        <v>65190</v>
      </c>
      <c r="Q4512" s="989" t="s">
        <v>51</v>
      </c>
    </row>
    <row r="4513" spans="1:17">
      <c r="A4513" s="1205">
        <f t="shared" si="63"/>
        <v>3666</v>
      </c>
      <c r="B4513" s="1213" t="s">
        <v>43</v>
      </c>
      <c r="C4513" s="1146" t="s">
        <v>44</v>
      </c>
      <c r="D4513" s="1146" t="s">
        <v>45</v>
      </c>
      <c r="E4513" s="128" t="s">
        <v>5335</v>
      </c>
      <c r="F4513" s="128" t="s">
        <v>617</v>
      </c>
      <c r="G4513" s="247">
        <v>9857821243</v>
      </c>
      <c r="H4513" s="128" t="s">
        <v>5249</v>
      </c>
      <c r="I4513" s="247">
        <v>15</v>
      </c>
      <c r="J4513" s="128" t="s">
        <v>48</v>
      </c>
      <c r="K4513" s="1410" t="s">
        <v>5310</v>
      </c>
      <c r="L4513" s="128"/>
      <c r="M4513" s="128" t="s">
        <v>1764</v>
      </c>
      <c r="N4513" s="1310">
        <v>65183</v>
      </c>
      <c r="O4513" s="1310">
        <v>65183</v>
      </c>
      <c r="P4513" s="541">
        <v>65198</v>
      </c>
      <c r="Q4513" s="533" t="s">
        <v>51</v>
      </c>
    </row>
    <row r="4514" spans="1:17">
      <c r="A4514" s="1205">
        <f t="shared" si="63"/>
        <v>3667</v>
      </c>
      <c r="B4514" s="1213" t="s">
        <v>43</v>
      </c>
      <c r="C4514" s="1146" t="s">
        <v>44</v>
      </c>
      <c r="D4514" s="1146" t="s">
        <v>45</v>
      </c>
      <c r="E4514" s="128" t="s">
        <v>5336</v>
      </c>
      <c r="F4514" s="128" t="s">
        <v>617</v>
      </c>
      <c r="G4514" s="247">
        <v>9857821243</v>
      </c>
      <c r="H4514" s="128" t="s">
        <v>5249</v>
      </c>
      <c r="I4514" s="247">
        <v>52</v>
      </c>
      <c r="J4514" s="128" t="s">
        <v>48</v>
      </c>
      <c r="K4514" s="1410" t="s">
        <v>5310</v>
      </c>
      <c r="L4514" s="128"/>
      <c r="M4514" s="128" t="s">
        <v>1764</v>
      </c>
      <c r="N4514" s="1310">
        <v>65183</v>
      </c>
      <c r="O4514" s="1310">
        <v>65183</v>
      </c>
      <c r="P4514" s="541">
        <v>65198</v>
      </c>
      <c r="Q4514" s="533" t="s">
        <v>51</v>
      </c>
    </row>
    <row r="4515" spans="1:17">
      <c r="A4515" s="1205">
        <f t="shared" si="63"/>
        <v>3668</v>
      </c>
      <c r="B4515" s="1213" t="s">
        <v>43</v>
      </c>
      <c r="C4515" s="1146" t="s">
        <v>44</v>
      </c>
      <c r="D4515" s="1146" t="s">
        <v>45</v>
      </c>
      <c r="E4515" s="128" t="s">
        <v>5337</v>
      </c>
      <c r="F4515" s="128" t="s">
        <v>617</v>
      </c>
      <c r="G4515" s="247">
        <v>9857821243</v>
      </c>
      <c r="H4515" s="128" t="s">
        <v>5249</v>
      </c>
      <c r="I4515" s="247">
        <v>50</v>
      </c>
      <c r="J4515" s="128" t="s">
        <v>90</v>
      </c>
      <c r="K4515" s="1410" t="s">
        <v>5310</v>
      </c>
      <c r="L4515" s="128"/>
      <c r="M4515" s="128" t="s">
        <v>1764</v>
      </c>
      <c r="N4515" s="1310">
        <v>65183</v>
      </c>
      <c r="O4515" s="1310">
        <v>65183</v>
      </c>
      <c r="P4515" s="541">
        <v>65198</v>
      </c>
      <c r="Q4515" s="533" t="s">
        <v>51</v>
      </c>
    </row>
    <row r="4516" spans="1:17">
      <c r="A4516" s="1205">
        <f t="shared" si="63"/>
        <v>3669</v>
      </c>
      <c r="B4516" s="1213" t="s">
        <v>43</v>
      </c>
      <c r="C4516" s="1146" t="s">
        <v>44</v>
      </c>
      <c r="D4516" s="1146" t="s">
        <v>45</v>
      </c>
      <c r="E4516" s="128" t="s">
        <v>5338</v>
      </c>
      <c r="F4516" s="128" t="s">
        <v>617</v>
      </c>
      <c r="G4516" s="247">
        <v>9857821243</v>
      </c>
      <c r="H4516" s="128" t="s">
        <v>5249</v>
      </c>
      <c r="I4516" s="247">
        <v>35</v>
      </c>
      <c r="J4516" s="128" t="s">
        <v>90</v>
      </c>
      <c r="K4516" s="1410" t="s">
        <v>5310</v>
      </c>
      <c r="L4516" s="128"/>
      <c r="M4516" s="128" t="s">
        <v>1764</v>
      </c>
      <c r="N4516" s="1310">
        <v>65183</v>
      </c>
      <c r="O4516" s="1310">
        <v>65183</v>
      </c>
      <c r="P4516" s="541">
        <v>65198</v>
      </c>
      <c r="Q4516" s="533" t="s">
        <v>51</v>
      </c>
    </row>
    <row r="4517" spans="1:17">
      <c r="A4517" s="1205">
        <f t="shared" si="63"/>
        <v>3670</v>
      </c>
      <c r="B4517" s="1213" t="s">
        <v>43</v>
      </c>
      <c r="C4517" s="1146" t="s">
        <v>44</v>
      </c>
      <c r="D4517" s="1146" t="s">
        <v>45</v>
      </c>
      <c r="E4517" s="128" t="s">
        <v>5342</v>
      </c>
      <c r="F4517" s="128" t="s">
        <v>441</v>
      </c>
      <c r="G4517" s="247">
        <v>9847875027</v>
      </c>
      <c r="H4517" s="128"/>
      <c r="I4517" s="247">
        <v>30</v>
      </c>
      <c r="J4517" s="128" t="s">
        <v>48</v>
      </c>
      <c r="K4517" s="1410" t="s">
        <v>1763</v>
      </c>
      <c r="L4517" s="128"/>
      <c r="M4517" s="128" t="s">
        <v>1764</v>
      </c>
      <c r="N4517" s="1310">
        <v>65184</v>
      </c>
      <c r="O4517" s="1310">
        <v>65184</v>
      </c>
      <c r="P4517" s="1289">
        <v>65203</v>
      </c>
      <c r="Q4517" s="894" t="s">
        <v>51</v>
      </c>
    </row>
    <row r="4518" spans="1:17">
      <c r="A4518" s="1205">
        <f t="shared" si="63"/>
        <v>3671</v>
      </c>
      <c r="B4518" s="1213" t="s">
        <v>43</v>
      </c>
      <c r="C4518" s="1146" t="s">
        <v>44</v>
      </c>
      <c r="D4518" s="1146" t="s">
        <v>45</v>
      </c>
      <c r="E4518" s="128" t="s">
        <v>5343</v>
      </c>
      <c r="F4518" s="128" t="s">
        <v>441</v>
      </c>
      <c r="G4518" s="247">
        <v>9847321227</v>
      </c>
      <c r="H4518" s="128"/>
      <c r="I4518" s="247">
        <v>40</v>
      </c>
      <c r="J4518" s="128" t="s">
        <v>90</v>
      </c>
      <c r="K4518" s="1410" t="s">
        <v>1763</v>
      </c>
      <c r="L4518" s="128"/>
      <c r="M4518" s="128" t="s">
        <v>1764</v>
      </c>
      <c r="N4518" s="1310">
        <v>65184</v>
      </c>
      <c r="O4518" s="1310">
        <v>65184</v>
      </c>
      <c r="P4518" s="1289">
        <v>65203</v>
      </c>
      <c r="Q4518" s="894" t="s">
        <v>51</v>
      </c>
    </row>
    <row r="4519" spans="1:17">
      <c r="A4519" s="1205">
        <f t="shared" si="63"/>
        <v>3672</v>
      </c>
      <c r="B4519" s="1213" t="s">
        <v>43</v>
      </c>
      <c r="C4519" s="1146" t="s">
        <v>44</v>
      </c>
      <c r="D4519" s="1146" t="s">
        <v>45</v>
      </c>
      <c r="E4519" s="128" t="s">
        <v>5339</v>
      </c>
      <c r="F4519" s="128" t="s">
        <v>1046</v>
      </c>
      <c r="G4519" s="247">
        <v>9847830070</v>
      </c>
      <c r="H4519" s="128" t="s">
        <v>5249</v>
      </c>
      <c r="I4519" s="247">
        <v>54</v>
      </c>
      <c r="J4519" s="128" t="s">
        <v>48</v>
      </c>
      <c r="K4519" s="128" t="s">
        <v>5301</v>
      </c>
      <c r="M4519" s="128" t="s">
        <v>1764</v>
      </c>
      <c r="N4519" s="1310">
        <v>65184</v>
      </c>
      <c r="O4519" s="1310">
        <v>65184</v>
      </c>
      <c r="P4519" s="1289">
        <v>65203</v>
      </c>
      <c r="Q4519" s="894" t="s">
        <v>51</v>
      </c>
    </row>
    <row r="4520" spans="1:17" ht="25.5">
      <c r="A4520" s="1205">
        <f t="shared" ref="A4520:A4579" si="64">A4519+1</f>
        <v>3673</v>
      </c>
      <c r="B4520" s="1213" t="s">
        <v>43</v>
      </c>
      <c r="C4520" s="1146" t="s">
        <v>44</v>
      </c>
      <c r="D4520" s="1146" t="s">
        <v>45</v>
      </c>
      <c r="E4520" s="128" t="s">
        <v>5340</v>
      </c>
      <c r="F4520" s="128" t="s">
        <v>124</v>
      </c>
      <c r="G4520" s="247">
        <v>9848956014</v>
      </c>
      <c r="H4520" s="128" t="s">
        <v>5249</v>
      </c>
      <c r="I4520" s="247">
        <v>39</v>
      </c>
      <c r="J4520" s="128" t="s">
        <v>48</v>
      </c>
      <c r="K4520" s="128" t="s">
        <v>4940</v>
      </c>
      <c r="M4520" s="128" t="s">
        <v>1764</v>
      </c>
      <c r="N4520" s="1310">
        <v>65184</v>
      </c>
      <c r="O4520" s="1310">
        <v>65184</v>
      </c>
      <c r="P4520" s="1289">
        <v>65203</v>
      </c>
      <c r="Q4520" s="894" t="s">
        <v>51</v>
      </c>
    </row>
    <row r="4521" spans="1:17" ht="25.5">
      <c r="A4521" s="1205">
        <f t="shared" si="64"/>
        <v>3674</v>
      </c>
      <c r="B4521" s="1213" t="s">
        <v>43</v>
      </c>
      <c r="C4521" s="1146" t="s">
        <v>44</v>
      </c>
      <c r="D4521" s="1146" t="s">
        <v>45</v>
      </c>
      <c r="E4521" s="128" t="s">
        <v>5344</v>
      </c>
      <c r="F4521" s="128" t="s">
        <v>491</v>
      </c>
      <c r="G4521" s="247">
        <v>9857820235</v>
      </c>
      <c r="H4521" s="128" t="s">
        <v>5259</v>
      </c>
      <c r="I4521" s="247">
        <v>32</v>
      </c>
      <c r="J4521" s="128" t="s">
        <v>48</v>
      </c>
      <c r="K4521" s="128" t="s">
        <v>1763</v>
      </c>
      <c r="L4521" s="128"/>
      <c r="M4521" s="128" t="s">
        <v>1764</v>
      </c>
      <c r="N4521" s="1310">
        <v>65184</v>
      </c>
      <c r="O4521" s="1310">
        <v>65184</v>
      </c>
      <c r="P4521" s="1289">
        <v>65203</v>
      </c>
      <c r="Q4521" s="894" t="s">
        <v>51</v>
      </c>
    </row>
    <row r="4522" spans="1:17" ht="25.5">
      <c r="A4522" s="1205">
        <f t="shared" si="64"/>
        <v>3675</v>
      </c>
      <c r="B4522" s="1213" t="s">
        <v>43</v>
      </c>
      <c r="C4522" s="1146" t="s">
        <v>44</v>
      </c>
      <c r="D4522" s="1146" t="s">
        <v>45</v>
      </c>
      <c r="E4522" s="128" t="s">
        <v>5345</v>
      </c>
      <c r="F4522" s="128" t="s">
        <v>502</v>
      </c>
      <c r="G4522" s="247">
        <v>9822871826</v>
      </c>
      <c r="H4522" s="128" t="s">
        <v>5259</v>
      </c>
      <c r="I4522" s="247">
        <v>18</v>
      </c>
      <c r="J4522" s="128" t="s">
        <v>90</v>
      </c>
      <c r="K4522" s="128" t="s">
        <v>1763</v>
      </c>
      <c r="L4522" s="128"/>
      <c r="M4522" s="128" t="s">
        <v>1764</v>
      </c>
      <c r="N4522" s="1310">
        <v>65184</v>
      </c>
      <c r="O4522" s="1310">
        <v>65184</v>
      </c>
      <c r="P4522" s="1289">
        <v>65203</v>
      </c>
      <c r="Q4522" s="894" t="s">
        <v>51</v>
      </c>
    </row>
    <row r="4523" spans="1:17">
      <c r="A4523" s="1205">
        <f t="shared" si="64"/>
        <v>3676</v>
      </c>
      <c r="B4523" s="1213" t="s">
        <v>43</v>
      </c>
      <c r="C4523" s="1146" t="s">
        <v>44</v>
      </c>
      <c r="D4523" s="1146" t="s">
        <v>45</v>
      </c>
      <c r="E4523" s="128" t="s">
        <v>5346</v>
      </c>
      <c r="F4523" s="128" t="s">
        <v>441</v>
      </c>
      <c r="G4523" s="247">
        <v>9847875027</v>
      </c>
      <c r="H4523" s="128" t="s">
        <v>5256</v>
      </c>
      <c r="I4523" s="247">
        <v>30</v>
      </c>
      <c r="J4523" s="128" t="s">
        <v>48</v>
      </c>
      <c r="K4523" s="128" t="s">
        <v>1763</v>
      </c>
      <c r="L4523" s="128"/>
      <c r="M4523" s="128" t="s">
        <v>1764</v>
      </c>
      <c r="N4523" s="1310">
        <v>65184</v>
      </c>
      <c r="O4523" s="1310">
        <v>65184</v>
      </c>
      <c r="P4523" s="1289">
        <v>65203</v>
      </c>
      <c r="Q4523" s="894" t="s">
        <v>51</v>
      </c>
    </row>
    <row r="4524" spans="1:17">
      <c r="A4524" s="1205">
        <f t="shared" si="64"/>
        <v>3677</v>
      </c>
      <c r="B4524" s="1213" t="s">
        <v>43</v>
      </c>
      <c r="C4524" s="1146" t="s">
        <v>44</v>
      </c>
      <c r="D4524" s="1146" t="s">
        <v>45</v>
      </c>
      <c r="E4524" s="128" t="s">
        <v>5347</v>
      </c>
      <c r="F4524" s="128" t="s">
        <v>488</v>
      </c>
      <c r="G4524" s="247">
        <v>9847963158</v>
      </c>
      <c r="H4524" s="128" t="s">
        <v>5256</v>
      </c>
      <c r="I4524" s="247">
        <v>84</v>
      </c>
      <c r="J4524" s="128" t="s">
        <v>90</v>
      </c>
      <c r="K4524" s="128" t="s">
        <v>1763</v>
      </c>
      <c r="L4524" s="128"/>
      <c r="M4524" s="128" t="s">
        <v>1764</v>
      </c>
      <c r="N4524" s="1310">
        <v>65185</v>
      </c>
      <c r="O4524" s="1310">
        <v>65185</v>
      </c>
      <c r="P4524" s="1289">
        <v>65203</v>
      </c>
      <c r="Q4524" s="894" t="s">
        <v>51</v>
      </c>
    </row>
    <row r="4525" spans="1:17">
      <c r="A4525" s="1205">
        <f t="shared" si="64"/>
        <v>3678</v>
      </c>
      <c r="B4525" s="1213" t="s">
        <v>43</v>
      </c>
      <c r="C4525" s="1146" t="s">
        <v>44</v>
      </c>
      <c r="D4525" s="1146" t="s">
        <v>45</v>
      </c>
      <c r="E4525" s="128" t="s">
        <v>5341</v>
      </c>
      <c r="F4525" s="128" t="s">
        <v>510</v>
      </c>
      <c r="G4525" s="247">
        <v>9844913964</v>
      </c>
      <c r="H4525" s="128" t="s">
        <v>5249</v>
      </c>
      <c r="I4525" s="247">
        <v>57</v>
      </c>
      <c r="J4525" s="128" t="s">
        <v>90</v>
      </c>
      <c r="K4525" s="1410" t="s">
        <v>5310</v>
      </c>
      <c r="L4525" s="894"/>
      <c r="M4525" s="128" t="s">
        <v>1764</v>
      </c>
      <c r="N4525" s="1310">
        <v>65186</v>
      </c>
      <c r="O4525" s="1310">
        <v>65186</v>
      </c>
      <c r="P4525" s="1289">
        <v>65203</v>
      </c>
      <c r="Q4525" s="894" t="s">
        <v>51</v>
      </c>
    </row>
    <row r="4526" spans="1:17">
      <c r="A4526" s="1205">
        <f t="shared" si="64"/>
        <v>3679</v>
      </c>
      <c r="B4526" s="1213" t="s">
        <v>43</v>
      </c>
      <c r="C4526" s="1146" t="s">
        <v>44</v>
      </c>
      <c r="D4526" s="1146" t="s">
        <v>45</v>
      </c>
      <c r="E4526" s="128" t="s">
        <v>5348</v>
      </c>
      <c r="F4526" s="128" t="s">
        <v>441</v>
      </c>
      <c r="G4526" s="247">
        <v>9841969675</v>
      </c>
      <c r="H4526" s="128" t="s">
        <v>5268</v>
      </c>
      <c r="I4526" s="247">
        <v>34</v>
      </c>
      <c r="J4526" s="128" t="s">
        <v>48</v>
      </c>
      <c r="K4526" s="128" t="s">
        <v>1763</v>
      </c>
      <c r="L4526" s="128"/>
      <c r="M4526" s="128" t="s">
        <v>1764</v>
      </c>
      <c r="N4526" s="1310">
        <v>65186</v>
      </c>
      <c r="O4526" s="1310">
        <v>65186</v>
      </c>
      <c r="P4526" s="1289">
        <v>65203</v>
      </c>
      <c r="Q4526" s="894" t="s">
        <v>51</v>
      </c>
    </row>
    <row r="4527" spans="1:17" ht="25.5">
      <c r="A4527" s="1205">
        <f t="shared" si="64"/>
        <v>3680</v>
      </c>
      <c r="B4527" s="1213" t="s">
        <v>43</v>
      </c>
      <c r="C4527" s="1146" t="s">
        <v>44</v>
      </c>
      <c r="D4527" s="1146" t="s">
        <v>45</v>
      </c>
      <c r="E4527" s="128" t="s">
        <v>5349</v>
      </c>
      <c r="F4527" s="128" t="s">
        <v>636</v>
      </c>
      <c r="G4527" s="247">
        <v>9861063391</v>
      </c>
      <c r="H4527" s="128" t="s">
        <v>5249</v>
      </c>
      <c r="I4527" s="247">
        <v>20</v>
      </c>
      <c r="J4527" s="128" t="s">
        <v>48</v>
      </c>
      <c r="K4527" s="128" t="s">
        <v>5045</v>
      </c>
      <c r="L4527" s="128"/>
      <c r="M4527" s="128" t="s">
        <v>1764</v>
      </c>
      <c r="N4527" s="1310">
        <v>65186</v>
      </c>
      <c r="O4527" s="1310">
        <v>65186</v>
      </c>
      <c r="P4527" s="1289">
        <v>65203</v>
      </c>
      <c r="Q4527" s="894" t="s">
        <v>51</v>
      </c>
    </row>
    <row r="4528" spans="1:17" ht="25.5">
      <c r="A4528" s="1205">
        <f t="shared" si="64"/>
        <v>3681</v>
      </c>
      <c r="B4528" s="1213" t="s">
        <v>43</v>
      </c>
      <c r="C4528" s="1146" t="s">
        <v>44</v>
      </c>
      <c r="D4528" s="1146" t="s">
        <v>45</v>
      </c>
      <c r="E4528" s="128" t="s">
        <v>5350</v>
      </c>
      <c r="F4528" s="128" t="s">
        <v>636</v>
      </c>
      <c r="G4528" s="247">
        <v>9822979818</v>
      </c>
      <c r="H4528" s="128" t="s">
        <v>5247</v>
      </c>
      <c r="I4528" s="247">
        <v>33</v>
      </c>
      <c r="J4528" s="128" t="s">
        <v>90</v>
      </c>
      <c r="K4528" s="128" t="s">
        <v>4940</v>
      </c>
      <c r="L4528" s="128"/>
      <c r="M4528" s="128" t="s">
        <v>1764</v>
      </c>
      <c r="N4528" s="1310">
        <v>65186</v>
      </c>
      <c r="O4528" s="1310">
        <v>65186</v>
      </c>
      <c r="P4528" s="1289">
        <v>65203</v>
      </c>
      <c r="Q4528" s="894" t="s">
        <v>51</v>
      </c>
    </row>
    <row r="4529" spans="1:18">
      <c r="A4529" s="1205">
        <f t="shared" si="64"/>
        <v>3682</v>
      </c>
      <c r="B4529" s="1213" t="s">
        <v>43</v>
      </c>
      <c r="C4529" s="1146" t="s">
        <v>44</v>
      </c>
      <c r="D4529" s="1146" t="s">
        <v>45</v>
      </c>
      <c r="E4529" s="128" t="s">
        <v>2820</v>
      </c>
      <c r="F4529" s="128" t="s">
        <v>488</v>
      </c>
      <c r="G4529" s="247">
        <v>9866636510</v>
      </c>
      <c r="H4529" s="128" t="s">
        <v>5247</v>
      </c>
      <c r="I4529" s="247">
        <v>21</v>
      </c>
      <c r="J4529" s="128" t="s">
        <v>48</v>
      </c>
      <c r="K4529" s="128" t="s">
        <v>2649</v>
      </c>
      <c r="L4529" s="128"/>
      <c r="M4529" s="128" t="s">
        <v>1764</v>
      </c>
      <c r="N4529" s="1310">
        <v>65187</v>
      </c>
      <c r="O4529" s="1310">
        <v>65187</v>
      </c>
      <c r="P4529" s="1289">
        <v>65203</v>
      </c>
      <c r="Q4529" s="894" t="s">
        <v>51</v>
      </c>
    </row>
    <row r="4530" spans="1:18">
      <c r="A4530" s="1205">
        <f t="shared" si="64"/>
        <v>3683</v>
      </c>
      <c r="B4530" s="1213" t="s">
        <v>43</v>
      </c>
      <c r="C4530" s="1146" t="s">
        <v>44</v>
      </c>
      <c r="D4530" s="1146" t="s">
        <v>45</v>
      </c>
      <c r="E4530" s="128" t="s">
        <v>5352</v>
      </c>
      <c r="F4530" s="128" t="s">
        <v>791</v>
      </c>
      <c r="G4530" s="247">
        <v>9866744112</v>
      </c>
      <c r="H4530" s="128" t="s">
        <v>5256</v>
      </c>
      <c r="I4530" s="247">
        <v>32</v>
      </c>
      <c r="J4530" s="128" t="s">
        <v>90</v>
      </c>
      <c r="K4530" s="128" t="s">
        <v>1763</v>
      </c>
      <c r="L4530" s="128"/>
      <c r="M4530" s="128" t="s">
        <v>1764</v>
      </c>
      <c r="N4530" s="1310">
        <v>65188</v>
      </c>
      <c r="O4530" s="1310">
        <v>65188</v>
      </c>
      <c r="P4530" s="1289">
        <v>65203</v>
      </c>
      <c r="Q4530" s="894" t="s">
        <v>51</v>
      </c>
      <c r="R4530" s="1315"/>
    </row>
    <row r="4531" spans="1:18">
      <c r="A4531" s="1205">
        <f t="shared" si="64"/>
        <v>3684</v>
      </c>
      <c r="B4531" s="1213" t="s">
        <v>43</v>
      </c>
      <c r="C4531" s="1146" t="s">
        <v>44</v>
      </c>
      <c r="D4531" s="1146" t="s">
        <v>45</v>
      </c>
      <c r="E4531" s="128" t="s">
        <v>5353</v>
      </c>
      <c r="F4531" s="128" t="s">
        <v>791</v>
      </c>
      <c r="G4531" s="247">
        <v>9866744112</v>
      </c>
      <c r="H4531" s="128" t="s">
        <v>5256</v>
      </c>
      <c r="I4531" s="247">
        <v>38</v>
      </c>
      <c r="J4531" s="128" t="s">
        <v>48</v>
      </c>
      <c r="K4531" s="128" t="s">
        <v>1763</v>
      </c>
      <c r="L4531" s="128"/>
      <c r="M4531" s="128" t="s">
        <v>1764</v>
      </c>
      <c r="N4531" s="1310">
        <v>65188</v>
      </c>
      <c r="O4531" s="1310">
        <v>65188</v>
      </c>
      <c r="P4531" s="1289">
        <v>65203</v>
      </c>
      <c r="Q4531" s="894" t="s">
        <v>51</v>
      </c>
      <c r="R4531" s="1315"/>
    </row>
    <row r="4532" spans="1:18">
      <c r="A4532" s="1205">
        <f t="shared" si="64"/>
        <v>3685</v>
      </c>
      <c r="B4532" s="1213" t="s">
        <v>43</v>
      </c>
      <c r="C4532" s="1146" t="s">
        <v>44</v>
      </c>
      <c r="D4532" s="1146" t="s">
        <v>45</v>
      </c>
      <c r="E4532" s="128" t="s">
        <v>5354</v>
      </c>
      <c r="F4532" s="128" t="s">
        <v>529</v>
      </c>
      <c r="G4532" s="247">
        <v>9857822508</v>
      </c>
      <c r="H4532" s="128" t="s">
        <v>5268</v>
      </c>
      <c r="I4532" s="247">
        <v>45</v>
      </c>
      <c r="J4532" s="128" t="s">
        <v>48</v>
      </c>
      <c r="K4532" s="128" t="s">
        <v>1763</v>
      </c>
      <c r="L4532" s="128"/>
      <c r="M4532" s="128" t="s">
        <v>1764</v>
      </c>
      <c r="N4532" s="1310">
        <v>65188</v>
      </c>
      <c r="O4532" s="1310">
        <v>65188</v>
      </c>
      <c r="P4532" s="1289">
        <v>65203</v>
      </c>
      <c r="Q4532" s="894" t="s">
        <v>51</v>
      </c>
      <c r="R4532" s="1315"/>
    </row>
    <row r="4533" spans="1:18" ht="25.5">
      <c r="A4533" s="1205">
        <f t="shared" si="64"/>
        <v>3686</v>
      </c>
      <c r="B4533" s="1213" t="s">
        <v>43</v>
      </c>
      <c r="C4533" s="1146" t="s">
        <v>44</v>
      </c>
      <c r="D4533" s="1146" t="s">
        <v>45</v>
      </c>
      <c r="E4533" s="128" t="s">
        <v>5355</v>
      </c>
      <c r="F4533" s="128" t="s">
        <v>1009</v>
      </c>
      <c r="G4533" s="247">
        <v>9847832659</v>
      </c>
      <c r="H4533" s="128" t="s">
        <v>5259</v>
      </c>
      <c r="I4533" s="247">
        <v>9</v>
      </c>
      <c r="J4533" s="128" t="s">
        <v>48</v>
      </c>
      <c r="K4533" s="128" t="s">
        <v>1763</v>
      </c>
      <c r="L4533" s="128"/>
      <c r="M4533" s="128" t="s">
        <v>1764</v>
      </c>
      <c r="N4533" s="1310">
        <v>65188</v>
      </c>
      <c r="O4533" s="1310">
        <v>65188</v>
      </c>
      <c r="P4533" s="1289">
        <v>65203</v>
      </c>
      <c r="Q4533" s="894" t="s">
        <v>51</v>
      </c>
      <c r="R4533" s="1315"/>
    </row>
    <row r="4534" spans="1:18">
      <c r="A4534" s="1205">
        <f t="shared" si="64"/>
        <v>3687</v>
      </c>
      <c r="B4534" s="1213" t="s">
        <v>43</v>
      </c>
      <c r="C4534" s="1146" t="s">
        <v>44</v>
      </c>
      <c r="D4534" s="1146" t="s">
        <v>45</v>
      </c>
      <c r="E4534" s="128" t="s">
        <v>5356</v>
      </c>
      <c r="F4534" s="128" t="s">
        <v>598</v>
      </c>
      <c r="G4534" s="247">
        <v>9847947467</v>
      </c>
      <c r="H4534" s="128" t="s">
        <v>5268</v>
      </c>
      <c r="I4534" s="247">
        <v>32</v>
      </c>
      <c r="J4534" s="128" t="s">
        <v>48</v>
      </c>
      <c r="K4534" s="128" t="s">
        <v>1763</v>
      </c>
      <c r="L4534" s="128"/>
      <c r="M4534" s="128" t="s">
        <v>1764</v>
      </c>
      <c r="N4534" s="1310">
        <v>65188</v>
      </c>
      <c r="O4534" s="1310">
        <v>65188</v>
      </c>
      <c r="P4534" s="1289">
        <v>65203</v>
      </c>
      <c r="Q4534" s="894" t="s">
        <v>51</v>
      </c>
      <c r="R4534" s="1315"/>
    </row>
    <row r="4535" spans="1:18" ht="25.5">
      <c r="A4535" s="1205">
        <f t="shared" si="64"/>
        <v>3688</v>
      </c>
      <c r="B4535" s="1213" t="s">
        <v>43</v>
      </c>
      <c r="C4535" s="1146" t="s">
        <v>44</v>
      </c>
      <c r="D4535" s="1146" t="s">
        <v>45</v>
      </c>
      <c r="E4535" s="128" t="s">
        <v>5351</v>
      </c>
      <c r="F4535" s="128" t="s">
        <v>502</v>
      </c>
      <c r="G4535" s="247">
        <v>9857820216</v>
      </c>
      <c r="H4535" s="128" t="s">
        <v>5247</v>
      </c>
      <c r="I4535" s="247">
        <v>49</v>
      </c>
      <c r="J4535" s="128" t="s">
        <v>48</v>
      </c>
      <c r="K4535" s="128" t="s">
        <v>5322</v>
      </c>
      <c r="L4535" s="128"/>
      <c r="M4535" s="128" t="s">
        <v>1764</v>
      </c>
      <c r="N4535" s="1310">
        <v>65190</v>
      </c>
      <c r="O4535" s="1310">
        <v>65190</v>
      </c>
      <c r="P4535" s="1252">
        <v>65208</v>
      </c>
      <c r="Q4535" s="894" t="s">
        <v>51</v>
      </c>
      <c r="R4535" s="1315"/>
    </row>
    <row r="4536" spans="1:18">
      <c r="A4536" s="1205">
        <f t="shared" si="64"/>
        <v>3689</v>
      </c>
      <c r="B4536" s="1213" t="s">
        <v>43</v>
      </c>
      <c r="C4536" s="1146" t="s">
        <v>44</v>
      </c>
      <c r="D4536" s="1146" t="s">
        <v>45</v>
      </c>
      <c r="E4536" s="128" t="s">
        <v>5357</v>
      </c>
      <c r="F4536" s="128" t="s">
        <v>491</v>
      </c>
      <c r="G4536" s="247">
        <v>9809788252</v>
      </c>
      <c r="H4536" s="128" t="s">
        <v>5249</v>
      </c>
      <c r="I4536" s="247">
        <v>20</v>
      </c>
      <c r="J4536" s="128" t="s">
        <v>48</v>
      </c>
      <c r="K4536" s="128" t="s">
        <v>4892</v>
      </c>
      <c r="M4536" s="128" t="s">
        <v>1764</v>
      </c>
      <c r="N4536" s="1310">
        <v>65193</v>
      </c>
      <c r="O4536" s="1310">
        <v>65196</v>
      </c>
      <c r="P4536" s="1252">
        <v>65208</v>
      </c>
      <c r="Q4536" s="894" t="s">
        <v>51</v>
      </c>
    </row>
    <row r="4537" spans="1:18" ht="15" customHeight="1">
      <c r="A4537" s="1205">
        <f t="shared" si="64"/>
        <v>3690</v>
      </c>
      <c r="B4537" s="1213" t="s">
        <v>43</v>
      </c>
      <c r="C4537" s="1146" t="s">
        <v>44</v>
      </c>
      <c r="D4537" s="1146" t="s">
        <v>45</v>
      </c>
      <c r="E4537" s="128" t="s">
        <v>5365</v>
      </c>
      <c r="F4537" s="128" t="s">
        <v>491</v>
      </c>
      <c r="G4537" s="247">
        <v>9844941559</v>
      </c>
      <c r="H4537" s="128"/>
      <c r="I4537" s="247">
        <v>48</v>
      </c>
      <c r="J4537" s="128" t="s">
        <v>90</v>
      </c>
      <c r="K4537" s="128" t="s">
        <v>3293</v>
      </c>
      <c r="L4537" s="894"/>
      <c r="M4537" s="128" t="s">
        <v>5366</v>
      </c>
      <c r="N4537" s="1310">
        <v>65195</v>
      </c>
      <c r="O4537" s="1310">
        <v>65195</v>
      </c>
      <c r="P4537" s="1252">
        <v>65208</v>
      </c>
      <c r="Q4537" s="894" t="s">
        <v>51</v>
      </c>
    </row>
    <row r="4538" spans="1:18" ht="25.5">
      <c r="A4538" s="1205">
        <f t="shared" si="64"/>
        <v>3691</v>
      </c>
      <c r="B4538" s="1213" t="s">
        <v>43</v>
      </c>
      <c r="C4538" s="1146" t="s">
        <v>44</v>
      </c>
      <c r="D4538" s="1146" t="s">
        <v>45</v>
      </c>
      <c r="E4538" s="128" t="s">
        <v>5367</v>
      </c>
      <c r="F4538" s="128" t="s">
        <v>491</v>
      </c>
      <c r="G4538" s="247">
        <v>9822806103</v>
      </c>
      <c r="H4538" s="128"/>
      <c r="I4538" s="247">
        <v>52</v>
      </c>
      <c r="J4538" s="128" t="s">
        <v>48</v>
      </c>
      <c r="K4538" s="128" t="s">
        <v>3293</v>
      </c>
      <c r="M4538" s="128" t="s">
        <v>5366</v>
      </c>
      <c r="N4538" s="1310">
        <v>65195</v>
      </c>
      <c r="O4538" s="1310">
        <v>65195</v>
      </c>
      <c r="P4538" s="1252">
        <v>65208</v>
      </c>
      <c r="Q4538" s="894" t="s">
        <v>51</v>
      </c>
    </row>
    <row r="4539" spans="1:18" ht="15" customHeight="1">
      <c r="A4539" s="1205">
        <f t="shared" si="64"/>
        <v>3692</v>
      </c>
      <c r="B4539" s="1213" t="s">
        <v>43</v>
      </c>
      <c r="C4539" s="1146" t="s">
        <v>44</v>
      </c>
      <c r="D4539" s="1146" t="s">
        <v>45</v>
      </c>
      <c r="E4539" s="128" t="s">
        <v>5358</v>
      </c>
      <c r="F4539" s="128" t="s">
        <v>510</v>
      </c>
      <c r="G4539" s="247">
        <v>9812888481</v>
      </c>
      <c r="H4539" s="56"/>
      <c r="I4539" s="247">
        <v>31</v>
      </c>
      <c r="J4539" s="128" t="s">
        <v>48</v>
      </c>
      <c r="K4539" s="128" t="s">
        <v>1763</v>
      </c>
      <c r="M4539" s="128" t="s">
        <v>1764</v>
      </c>
      <c r="N4539" s="64">
        <v>65197</v>
      </c>
      <c r="O4539" s="64">
        <v>65197</v>
      </c>
      <c r="P4539" s="1252">
        <v>65208</v>
      </c>
      <c r="Q4539" s="894" t="s">
        <v>51</v>
      </c>
    </row>
    <row r="4540" spans="1:18">
      <c r="A4540" s="1205">
        <f t="shared" si="64"/>
        <v>3693</v>
      </c>
      <c r="B4540" s="1213" t="s">
        <v>43</v>
      </c>
      <c r="C4540" s="1146" t="s">
        <v>44</v>
      </c>
      <c r="D4540" s="1146" t="s">
        <v>45</v>
      </c>
      <c r="E4540" s="128" t="s">
        <v>5359</v>
      </c>
      <c r="F4540" s="128" t="s">
        <v>617</v>
      </c>
      <c r="G4540" s="247">
        <v>9853853413</v>
      </c>
      <c r="H4540" s="128" t="s">
        <v>5249</v>
      </c>
      <c r="I4540" s="247">
        <v>37</v>
      </c>
      <c r="J4540" s="128" t="s">
        <v>48</v>
      </c>
      <c r="K4540" s="128" t="s">
        <v>5310</v>
      </c>
      <c r="M4540" s="128" t="s">
        <v>1764</v>
      </c>
      <c r="N4540" s="1310">
        <v>65198</v>
      </c>
      <c r="O4540" s="1310">
        <v>65198</v>
      </c>
      <c r="P4540" s="1252">
        <v>65208</v>
      </c>
      <c r="Q4540" s="894" t="s">
        <v>51</v>
      </c>
    </row>
    <row r="4541" spans="1:18">
      <c r="A4541" s="1205">
        <f t="shared" si="64"/>
        <v>3694</v>
      </c>
      <c r="B4541" s="1213" t="s">
        <v>43</v>
      </c>
      <c r="C4541" s="1146" t="s">
        <v>44</v>
      </c>
      <c r="D4541" s="1146" t="s">
        <v>45</v>
      </c>
      <c r="E4541" s="128" t="s">
        <v>5360</v>
      </c>
      <c r="F4541" s="128" t="s">
        <v>497</v>
      </c>
      <c r="G4541" s="247">
        <v>9866838317</v>
      </c>
      <c r="H4541" s="128" t="s">
        <v>5247</v>
      </c>
      <c r="I4541" s="247">
        <v>66</v>
      </c>
      <c r="J4541" s="128" t="s">
        <v>90</v>
      </c>
      <c r="K4541" s="128" t="s">
        <v>4876</v>
      </c>
      <c r="M4541" s="128" t="s">
        <v>1764</v>
      </c>
      <c r="N4541" s="1310">
        <v>65198</v>
      </c>
      <c r="O4541" s="1310">
        <v>65198</v>
      </c>
      <c r="P4541" s="1252">
        <v>65208</v>
      </c>
      <c r="Q4541" s="894" t="s">
        <v>51</v>
      </c>
    </row>
    <row r="4542" spans="1:18">
      <c r="A4542" s="1205">
        <f t="shared" si="64"/>
        <v>3695</v>
      </c>
      <c r="B4542" s="1213" t="s">
        <v>43</v>
      </c>
      <c r="C4542" s="1146" t="s">
        <v>44</v>
      </c>
      <c r="D4542" s="1146" t="s">
        <v>45</v>
      </c>
      <c r="E4542" s="128" t="s">
        <v>5361</v>
      </c>
      <c r="F4542" s="128" t="s">
        <v>1008</v>
      </c>
      <c r="G4542" s="247">
        <v>9868601750</v>
      </c>
      <c r="H4542" s="128" t="s">
        <v>5256</v>
      </c>
      <c r="I4542" s="247">
        <v>75</v>
      </c>
      <c r="J4542" s="128" t="s">
        <v>90</v>
      </c>
      <c r="K4542" s="128" t="s">
        <v>5297</v>
      </c>
      <c r="L4542" s="128"/>
      <c r="M4542" s="128" t="s">
        <v>1764</v>
      </c>
      <c r="N4542" s="1310">
        <v>65199</v>
      </c>
      <c r="O4542" s="1310">
        <v>65200</v>
      </c>
      <c r="P4542" s="459">
        <v>65212</v>
      </c>
      <c r="Q4542" s="894" t="s">
        <v>51</v>
      </c>
    </row>
    <row r="4543" spans="1:18" ht="25.5">
      <c r="A4543" s="1205">
        <f t="shared" si="64"/>
        <v>3696</v>
      </c>
      <c r="B4543" s="1213" t="s">
        <v>43</v>
      </c>
      <c r="C4543" s="1146" t="s">
        <v>44</v>
      </c>
      <c r="D4543" s="1146" t="s">
        <v>45</v>
      </c>
      <c r="E4543" s="128" t="s">
        <v>2294</v>
      </c>
      <c r="F4543" s="128" t="s">
        <v>491</v>
      </c>
      <c r="G4543" s="247">
        <v>9863117606</v>
      </c>
      <c r="H4543" s="128" t="s">
        <v>5247</v>
      </c>
      <c r="I4543" s="247">
        <v>58</v>
      </c>
      <c r="J4543" s="128" t="s">
        <v>90</v>
      </c>
      <c r="K4543" s="128" t="s">
        <v>5322</v>
      </c>
      <c r="L4543" s="128"/>
      <c r="M4543" s="128" t="s">
        <v>1764</v>
      </c>
      <c r="N4543" s="1310">
        <v>65200</v>
      </c>
      <c r="O4543" s="1310">
        <v>65200</v>
      </c>
      <c r="P4543" s="459">
        <v>65212</v>
      </c>
      <c r="Q4543" s="894" t="s">
        <v>51</v>
      </c>
    </row>
    <row r="4544" spans="1:18">
      <c r="A4544" s="1205">
        <f t="shared" si="64"/>
        <v>3697</v>
      </c>
      <c r="B4544" s="1213" t="s">
        <v>43</v>
      </c>
      <c r="C4544" s="1146" t="s">
        <v>44</v>
      </c>
      <c r="D4544" s="1146" t="s">
        <v>45</v>
      </c>
      <c r="E4544" s="128" t="s">
        <v>5362</v>
      </c>
      <c r="F4544" s="128" t="s">
        <v>1009</v>
      </c>
      <c r="G4544" s="247">
        <v>9857834731</v>
      </c>
      <c r="H4544" s="128" t="s">
        <v>5249</v>
      </c>
      <c r="I4544" s="247">
        <v>26</v>
      </c>
      <c r="J4544" s="128" t="s">
        <v>90</v>
      </c>
      <c r="K4544" s="128" t="s">
        <v>5310</v>
      </c>
      <c r="L4544" s="128"/>
      <c r="M4544" s="128" t="s">
        <v>1764</v>
      </c>
      <c r="N4544" s="1310">
        <v>65202</v>
      </c>
      <c r="O4544" s="1310">
        <v>65202</v>
      </c>
      <c r="P4544" s="459">
        <v>65212</v>
      </c>
      <c r="Q4544" s="894" t="s">
        <v>51</v>
      </c>
    </row>
    <row r="4545" spans="1:17">
      <c r="A4545" s="1205">
        <f t="shared" si="64"/>
        <v>3698</v>
      </c>
      <c r="B4545" s="1213" t="s">
        <v>43</v>
      </c>
      <c r="C4545" s="1146" t="s">
        <v>44</v>
      </c>
      <c r="D4545" s="1146" t="s">
        <v>45</v>
      </c>
      <c r="E4545" s="128" t="s">
        <v>5363</v>
      </c>
      <c r="F4545" s="128" t="s">
        <v>1009</v>
      </c>
      <c r="G4545" s="247">
        <v>9857834731</v>
      </c>
      <c r="H4545" s="128" t="s">
        <v>5249</v>
      </c>
      <c r="I4545" s="247">
        <v>33</v>
      </c>
      <c r="J4545" s="128" t="s">
        <v>48</v>
      </c>
      <c r="K4545" s="128" t="s">
        <v>5310</v>
      </c>
      <c r="L4545" s="128"/>
      <c r="M4545" s="128" t="s">
        <v>1764</v>
      </c>
      <c r="N4545" s="1310">
        <v>65202</v>
      </c>
      <c r="O4545" s="1310">
        <v>65202</v>
      </c>
      <c r="P4545" s="459">
        <v>65212</v>
      </c>
      <c r="Q4545" s="894" t="s">
        <v>51</v>
      </c>
    </row>
    <row r="4546" spans="1:17">
      <c r="A4546" s="1205">
        <f t="shared" si="64"/>
        <v>3699</v>
      </c>
      <c r="B4546" s="1213" t="s">
        <v>43</v>
      </c>
      <c r="C4546" s="1146" t="s">
        <v>44</v>
      </c>
      <c r="D4546" s="1146" t="s">
        <v>45</v>
      </c>
      <c r="E4546" s="128" t="s">
        <v>5364</v>
      </c>
      <c r="F4546" s="128" t="s">
        <v>636</v>
      </c>
      <c r="G4546" s="247">
        <v>9847824653</v>
      </c>
      <c r="H4546" s="128" t="s">
        <v>5247</v>
      </c>
      <c r="I4546" s="247">
        <v>47</v>
      </c>
      <c r="J4546" s="128" t="s">
        <v>48</v>
      </c>
      <c r="K4546" s="128" t="s">
        <v>5105</v>
      </c>
      <c r="L4546" s="128"/>
      <c r="M4546" s="128" t="s">
        <v>1764</v>
      </c>
      <c r="N4546" s="1310">
        <v>65202</v>
      </c>
      <c r="O4546" s="1310">
        <v>65202</v>
      </c>
      <c r="P4546" s="459">
        <v>65212</v>
      </c>
      <c r="Q4546" s="894" t="s">
        <v>51</v>
      </c>
    </row>
    <row r="4547" spans="1:17">
      <c r="A4547" s="1205">
        <f t="shared" si="64"/>
        <v>3700</v>
      </c>
      <c r="B4547" s="1213" t="s">
        <v>43</v>
      </c>
      <c r="C4547" s="1146" t="s">
        <v>44</v>
      </c>
      <c r="D4547" s="1146" t="s">
        <v>45</v>
      </c>
      <c r="E4547" s="432" t="s">
        <v>5369</v>
      </c>
      <c r="F4547" s="434" t="s">
        <v>124</v>
      </c>
      <c r="G4547" s="434">
        <v>9849246299</v>
      </c>
      <c r="I4547" s="434">
        <v>36</v>
      </c>
      <c r="J4547" s="128" t="s">
        <v>90</v>
      </c>
      <c r="K4547" s="434" t="s">
        <v>1763</v>
      </c>
      <c r="M4547" s="128" t="s">
        <v>1764</v>
      </c>
      <c r="N4547" s="730">
        <v>65203</v>
      </c>
      <c r="O4547" s="730">
        <v>65203</v>
      </c>
      <c r="P4547" s="459">
        <v>65213</v>
      </c>
      <c r="Q4547" s="894" t="s">
        <v>51</v>
      </c>
    </row>
    <row r="4548" spans="1:17">
      <c r="A4548" s="1205">
        <f t="shared" si="64"/>
        <v>3701</v>
      </c>
      <c r="B4548" s="1213" t="s">
        <v>43</v>
      </c>
      <c r="C4548" s="1146" t="s">
        <v>44</v>
      </c>
      <c r="D4548" s="1146" t="s">
        <v>45</v>
      </c>
      <c r="E4548" s="432" t="s">
        <v>5372</v>
      </c>
      <c r="F4548" s="434" t="s">
        <v>1046</v>
      </c>
      <c r="G4548" s="434">
        <v>9849520754</v>
      </c>
      <c r="I4548" s="434">
        <v>18</v>
      </c>
      <c r="J4548" s="128" t="s">
        <v>48</v>
      </c>
      <c r="K4548" s="434" t="s">
        <v>1763</v>
      </c>
      <c r="M4548" s="128" t="s">
        <v>1764</v>
      </c>
      <c r="N4548" s="730">
        <v>65206</v>
      </c>
      <c r="O4548" s="730">
        <v>65206</v>
      </c>
      <c r="P4548" s="459">
        <v>65221</v>
      </c>
      <c r="Q4548" s="894" t="s">
        <v>51</v>
      </c>
    </row>
    <row r="4549" spans="1:17" ht="25.5">
      <c r="A4549" s="1205">
        <f t="shared" si="64"/>
        <v>3702</v>
      </c>
      <c r="B4549" s="1213" t="s">
        <v>43</v>
      </c>
      <c r="C4549" s="1146" t="s">
        <v>44</v>
      </c>
      <c r="D4549" s="1146" t="s">
        <v>45</v>
      </c>
      <c r="E4549" s="432" t="s">
        <v>5373</v>
      </c>
      <c r="F4549" s="434" t="s">
        <v>529</v>
      </c>
      <c r="G4549" s="434">
        <v>9806657084</v>
      </c>
      <c r="I4549" s="434">
        <v>49</v>
      </c>
      <c r="J4549" s="128" t="s">
        <v>48</v>
      </c>
      <c r="K4549" s="434" t="s">
        <v>1763</v>
      </c>
      <c r="M4549" s="128" t="s">
        <v>5366</v>
      </c>
      <c r="N4549" s="730">
        <v>65206</v>
      </c>
      <c r="O4549" s="730">
        <v>65206</v>
      </c>
      <c r="P4549" s="459">
        <v>65221</v>
      </c>
      <c r="Q4549" s="894" t="s">
        <v>51</v>
      </c>
    </row>
    <row r="4550" spans="1:17">
      <c r="A4550" s="1205">
        <f t="shared" si="64"/>
        <v>3703</v>
      </c>
      <c r="B4550" s="1213" t="s">
        <v>43</v>
      </c>
      <c r="C4550" s="1146" t="s">
        <v>44</v>
      </c>
      <c r="D4550" s="1146" t="s">
        <v>45</v>
      </c>
      <c r="E4550" s="432" t="s">
        <v>5370</v>
      </c>
      <c r="F4550" s="434" t="s">
        <v>502</v>
      </c>
      <c r="G4550" s="434">
        <v>9812506535</v>
      </c>
      <c r="I4550" s="434">
        <v>76</v>
      </c>
      <c r="J4550" s="128" t="s">
        <v>48</v>
      </c>
      <c r="K4550" s="434" t="s">
        <v>5371</v>
      </c>
      <c r="M4550" s="128" t="s">
        <v>1764</v>
      </c>
      <c r="N4550" s="730">
        <v>65207</v>
      </c>
      <c r="O4550" s="730">
        <v>65207</v>
      </c>
      <c r="P4550" s="459">
        <v>65221</v>
      </c>
      <c r="Q4550" s="894" t="s">
        <v>51</v>
      </c>
    </row>
    <row r="4551" spans="1:17">
      <c r="A4551" s="1205">
        <f t="shared" si="64"/>
        <v>3704</v>
      </c>
      <c r="B4551" s="1213" t="s">
        <v>43</v>
      </c>
      <c r="C4551" s="1146" t="s">
        <v>44</v>
      </c>
      <c r="D4551" s="1146" t="s">
        <v>45</v>
      </c>
      <c r="E4551" s="432" t="s">
        <v>5374</v>
      </c>
      <c r="F4551" s="434" t="s">
        <v>491</v>
      </c>
      <c r="G4551" s="434">
        <v>9857823029</v>
      </c>
      <c r="I4551" s="434">
        <v>50</v>
      </c>
      <c r="J4551" s="128" t="s">
        <v>90</v>
      </c>
      <c r="K4551" s="434" t="s">
        <v>1763</v>
      </c>
      <c r="M4551" s="128" t="s">
        <v>1764</v>
      </c>
      <c r="N4551" s="730">
        <v>65207</v>
      </c>
      <c r="O4551" s="730">
        <v>65207</v>
      </c>
      <c r="P4551" s="459">
        <v>65221</v>
      </c>
      <c r="Q4551" s="894" t="s">
        <v>51</v>
      </c>
    </row>
    <row r="4552" spans="1:17">
      <c r="A4552" s="1205">
        <f t="shared" si="64"/>
        <v>3705</v>
      </c>
      <c r="B4552" s="1213" t="s">
        <v>43</v>
      </c>
      <c r="C4552" s="1146" t="s">
        <v>44</v>
      </c>
      <c r="D4552" s="1146" t="s">
        <v>45</v>
      </c>
      <c r="E4552" s="432" t="s">
        <v>5375</v>
      </c>
      <c r="F4552" s="434" t="s">
        <v>636</v>
      </c>
      <c r="G4552" s="434">
        <v>9847848727</v>
      </c>
      <c r="I4552" s="434">
        <v>32</v>
      </c>
      <c r="J4552" s="128" t="s">
        <v>48</v>
      </c>
      <c r="K4552" s="434" t="s">
        <v>2650</v>
      </c>
      <c r="M4552" s="128" t="s">
        <v>1764</v>
      </c>
      <c r="N4552" s="730">
        <v>65208</v>
      </c>
      <c r="O4552" s="730">
        <v>65208</v>
      </c>
      <c r="P4552" s="459">
        <v>65221</v>
      </c>
      <c r="Q4552" s="894" t="s">
        <v>51</v>
      </c>
    </row>
    <row r="4553" spans="1:17">
      <c r="A4553" s="1205">
        <f t="shared" si="64"/>
        <v>3706</v>
      </c>
      <c r="B4553" s="1213" t="s">
        <v>43</v>
      </c>
      <c r="C4553" s="1146" t="s">
        <v>44</v>
      </c>
      <c r="D4553" s="1146" t="s">
        <v>45</v>
      </c>
      <c r="E4553" s="432" t="s">
        <v>5376</v>
      </c>
      <c r="F4553" s="434" t="s">
        <v>512</v>
      </c>
      <c r="G4553" s="434">
        <v>9869950034</v>
      </c>
      <c r="I4553" s="434">
        <v>78</v>
      </c>
      <c r="J4553" s="128" t="s">
        <v>48</v>
      </c>
      <c r="K4553" s="434" t="s">
        <v>2650</v>
      </c>
      <c r="M4553" s="128" t="s">
        <v>1764</v>
      </c>
      <c r="N4553" s="730">
        <v>65211</v>
      </c>
      <c r="O4553" s="730">
        <v>65211</v>
      </c>
      <c r="P4553" s="459">
        <v>65221</v>
      </c>
      <c r="Q4553" s="894" t="s">
        <v>51</v>
      </c>
    </row>
    <row r="4554" spans="1:17">
      <c r="A4554" s="1205">
        <f t="shared" si="64"/>
        <v>3707</v>
      </c>
      <c r="B4554" s="1213" t="s">
        <v>43</v>
      </c>
      <c r="C4554" s="1146" t="s">
        <v>44</v>
      </c>
      <c r="D4554" s="1146" t="s">
        <v>45</v>
      </c>
      <c r="E4554" s="432" t="s">
        <v>5377</v>
      </c>
      <c r="F4554" s="434" t="s">
        <v>1008</v>
      </c>
      <c r="G4554" s="434">
        <v>9840317127</v>
      </c>
      <c r="I4554" s="434">
        <v>71</v>
      </c>
      <c r="J4554" s="128" t="s">
        <v>90</v>
      </c>
      <c r="K4554" s="434" t="s">
        <v>2650</v>
      </c>
      <c r="M4554" s="128" t="s">
        <v>1764</v>
      </c>
      <c r="N4554" s="730">
        <v>65211</v>
      </c>
      <c r="O4554" s="730">
        <v>65211</v>
      </c>
      <c r="P4554" s="459">
        <v>65221</v>
      </c>
      <c r="Q4554" s="894" t="s">
        <v>51</v>
      </c>
    </row>
    <row r="4555" spans="1:17">
      <c r="A4555" s="1205">
        <f t="shared" si="64"/>
        <v>3708</v>
      </c>
      <c r="B4555" s="1213" t="s">
        <v>43</v>
      </c>
      <c r="C4555" s="1146" t="s">
        <v>44</v>
      </c>
      <c r="D4555" s="1146" t="s">
        <v>45</v>
      </c>
      <c r="E4555" s="432" t="s">
        <v>5378</v>
      </c>
      <c r="F4555" s="434" t="s">
        <v>491</v>
      </c>
      <c r="G4555" s="434">
        <v>9847834530</v>
      </c>
      <c r="I4555" s="434">
        <v>48</v>
      </c>
      <c r="J4555" s="128" t="s">
        <v>90</v>
      </c>
      <c r="K4555" s="434" t="s">
        <v>1763</v>
      </c>
      <c r="M4555" s="128" t="s">
        <v>1764</v>
      </c>
      <c r="N4555" s="730">
        <v>65211</v>
      </c>
      <c r="O4555" s="730">
        <v>65211</v>
      </c>
      <c r="P4555" s="459">
        <v>65221</v>
      </c>
      <c r="Q4555" s="894" t="s">
        <v>51</v>
      </c>
    </row>
    <row r="4556" spans="1:17">
      <c r="A4556" s="1205">
        <f t="shared" si="64"/>
        <v>3709</v>
      </c>
      <c r="B4556" s="1213" t="s">
        <v>43</v>
      </c>
      <c r="C4556" s="1146" t="s">
        <v>44</v>
      </c>
      <c r="D4556" s="1146" t="s">
        <v>45</v>
      </c>
      <c r="E4556" s="432" t="s">
        <v>5379</v>
      </c>
      <c r="F4556" s="434" t="s">
        <v>441</v>
      </c>
      <c r="G4556" s="434">
        <v>9866825979</v>
      </c>
      <c r="I4556" s="434">
        <v>26</v>
      </c>
      <c r="J4556" s="128" t="s">
        <v>48</v>
      </c>
      <c r="K4556" s="434" t="s">
        <v>1763</v>
      </c>
      <c r="M4556" s="128" t="s">
        <v>1764</v>
      </c>
      <c r="N4556" s="730">
        <v>65212</v>
      </c>
      <c r="O4556" s="730">
        <v>65212</v>
      </c>
      <c r="P4556" s="459">
        <v>65222</v>
      </c>
      <c r="Q4556" s="894" t="s">
        <v>51</v>
      </c>
    </row>
    <row r="4557" spans="1:17">
      <c r="A4557" s="1205">
        <f t="shared" si="64"/>
        <v>3710</v>
      </c>
      <c r="B4557" s="1213" t="s">
        <v>43</v>
      </c>
      <c r="C4557" s="1146" t="s">
        <v>44</v>
      </c>
      <c r="D4557" s="1146" t="s">
        <v>45</v>
      </c>
      <c r="E4557" s="892" t="s">
        <v>5380</v>
      </c>
      <c r="F4557" s="1106" t="s">
        <v>529</v>
      </c>
      <c r="G4557" s="1106">
        <v>9822870827</v>
      </c>
      <c r="H4557" s="892"/>
      <c r="I4557" s="1106">
        <v>57</v>
      </c>
      <c r="J4557" s="1158" t="s">
        <v>90</v>
      </c>
      <c r="K4557" s="1106" t="s">
        <v>1763</v>
      </c>
      <c r="L4557" s="1106"/>
      <c r="M4557" s="1158" t="s">
        <v>1764</v>
      </c>
      <c r="N4557" s="1395">
        <v>65212</v>
      </c>
      <c r="O4557" s="1395">
        <v>65212</v>
      </c>
      <c r="P4557" s="459">
        <v>65222</v>
      </c>
      <c r="Q4557" s="894" t="s">
        <v>51</v>
      </c>
    </row>
    <row r="4558" spans="1:17">
      <c r="A4558" s="1205">
        <f t="shared" si="64"/>
        <v>3711</v>
      </c>
      <c r="B4558" s="1213" t="s">
        <v>43</v>
      </c>
      <c r="C4558" s="1146" t="s">
        <v>44</v>
      </c>
      <c r="D4558" s="1146" t="s">
        <v>45</v>
      </c>
      <c r="E4558" s="120" t="s">
        <v>5384</v>
      </c>
      <c r="F4558" s="120" t="s">
        <v>510</v>
      </c>
      <c r="G4558" s="150">
        <v>9822911930</v>
      </c>
      <c r="H4558" s="120"/>
      <c r="I4558" s="150">
        <v>37</v>
      </c>
      <c r="J4558" s="120" t="s">
        <v>90</v>
      </c>
      <c r="K4558" s="1106" t="s">
        <v>3293</v>
      </c>
      <c r="M4558" s="146" t="s">
        <v>54</v>
      </c>
      <c r="N4558" s="246">
        <v>65213</v>
      </c>
      <c r="O4558" s="246">
        <v>65213</v>
      </c>
      <c r="P4558" s="459">
        <v>65242</v>
      </c>
      <c r="Q4558" s="432" t="s">
        <v>51</v>
      </c>
    </row>
    <row r="4559" spans="1:17">
      <c r="A4559" s="1205">
        <f t="shared" si="64"/>
        <v>3712</v>
      </c>
      <c r="B4559" s="1213" t="s">
        <v>43</v>
      </c>
      <c r="C4559" s="1146" t="s">
        <v>44</v>
      </c>
      <c r="D4559" s="1146" t="s">
        <v>45</v>
      </c>
      <c r="E4559" s="120" t="s">
        <v>5381</v>
      </c>
      <c r="F4559" s="120" t="s">
        <v>502</v>
      </c>
      <c r="G4559" s="150">
        <v>9822870077</v>
      </c>
      <c r="H4559" s="120" t="s">
        <v>5247</v>
      </c>
      <c r="I4559" s="150">
        <v>14</v>
      </c>
      <c r="J4559" s="120" t="s">
        <v>48</v>
      </c>
      <c r="K4559" s="7" t="s">
        <v>5152</v>
      </c>
      <c r="M4559" s="1158" t="s">
        <v>1764</v>
      </c>
      <c r="N4559" s="246">
        <v>65216</v>
      </c>
      <c r="O4559" s="246">
        <v>65216</v>
      </c>
      <c r="P4559" s="1284">
        <v>65229</v>
      </c>
      <c r="Q4559" s="432" t="s">
        <v>51</v>
      </c>
    </row>
    <row r="4560" spans="1:17" ht="25.5">
      <c r="A4560" s="1205">
        <f t="shared" si="64"/>
        <v>3713</v>
      </c>
      <c r="B4560" s="1213" t="s">
        <v>43</v>
      </c>
      <c r="C4560" s="1146" t="s">
        <v>44</v>
      </c>
      <c r="D4560" s="1146" t="s">
        <v>45</v>
      </c>
      <c r="E4560" s="120" t="s">
        <v>5382</v>
      </c>
      <c r="F4560" s="120" t="s">
        <v>510</v>
      </c>
      <c r="G4560" s="145">
        <v>9868287716</v>
      </c>
      <c r="H4560" s="146" t="s">
        <v>5247</v>
      </c>
      <c r="I4560" s="145">
        <v>33</v>
      </c>
      <c r="J4560" s="146" t="s">
        <v>90</v>
      </c>
      <c r="K4560" s="146" t="s">
        <v>4940</v>
      </c>
      <c r="M4560" s="1158" t="s">
        <v>1764</v>
      </c>
      <c r="N4560" s="246">
        <v>65219</v>
      </c>
      <c r="O4560" s="246">
        <v>65219</v>
      </c>
      <c r="P4560" s="1284">
        <v>65229</v>
      </c>
      <c r="Q4560" s="432" t="s">
        <v>51</v>
      </c>
    </row>
    <row r="4561" spans="1:17" ht="25.5">
      <c r="A4561" s="1205">
        <f t="shared" si="64"/>
        <v>3714</v>
      </c>
      <c r="B4561" s="1213" t="s">
        <v>43</v>
      </c>
      <c r="C4561" s="1146" t="s">
        <v>44</v>
      </c>
      <c r="D4561" s="1146" t="s">
        <v>45</v>
      </c>
      <c r="E4561" s="120" t="s">
        <v>5383</v>
      </c>
      <c r="F4561" s="120" t="s">
        <v>1046</v>
      </c>
      <c r="G4561" s="145">
        <v>9809761731</v>
      </c>
      <c r="H4561" s="146" t="s">
        <v>5247</v>
      </c>
      <c r="I4561" s="145">
        <v>18</v>
      </c>
      <c r="J4561" s="146" t="s">
        <v>48</v>
      </c>
      <c r="K4561" s="146" t="s">
        <v>4940</v>
      </c>
      <c r="M4561" s="1158" t="s">
        <v>1764</v>
      </c>
      <c r="N4561" s="246">
        <v>65219</v>
      </c>
      <c r="O4561" s="246">
        <v>65219</v>
      </c>
      <c r="P4561" s="1284">
        <v>65229</v>
      </c>
      <c r="Q4561" s="432" t="s">
        <v>51</v>
      </c>
    </row>
    <row r="4562" spans="1:17">
      <c r="A4562" s="1205">
        <f t="shared" si="64"/>
        <v>3715</v>
      </c>
      <c r="B4562" s="1213" t="s">
        <v>43</v>
      </c>
      <c r="C4562" s="1146" t="s">
        <v>44</v>
      </c>
      <c r="D4562" s="1146" t="s">
        <v>45</v>
      </c>
      <c r="E4562" s="432" t="s">
        <v>5385</v>
      </c>
      <c r="F4562" s="434" t="s">
        <v>1046</v>
      </c>
      <c r="G4562" s="434">
        <v>9847879665</v>
      </c>
      <c r="I4562" s="434">
        <v>28</v>
      </c>
      <c r="J4562" s="146" t="s">
        <v>48</v>
      </c>
      <c r="K4562" s="434" t="s">
        <v>1763</v>
      </c>
      <c r="M4562" s="1158" t="s">
        <v>1764</v>
      </c>
      <c r="N4562" s="730">
        <v>65218</v>
      </c>
      <c r="O4562" s="730">
        <v>65218</v>
      </c>
      <c r="P4562" s="1284">
        <v>65229</v>
      </c>
      <c r="Q4562" s="432" t="s">
        <v>51</v>
      </c>
    </row>
    <row r="4563" spans="1:17">
      <c r="A4563" s="1205">
        <f t="shared" si="64"/>
        <v>3716</v>
      </c>
      <c r="B4563" s="1213" t="s">
        <v>43</v>
      </c>
      <c r="C4563" s="1146" t="s">
        <v>44</v>
      </c>
      <c r="D4563" s="1146" t="s">
        <v>45</v>
      </c>
      <c r="E4563" s="432" t="s">
        <v>5386</v>
      </c>
      <c r="F4563" s="434" t="s">
        <v>1009</v>
      </c>
      <c r="G4563" s="434">
        <v>9847947711</v>
      </c>
      <c r="I4563" s="434">
        <v>32</v>
      </c>
      <c r="J4563" s="146" t="s">
        <v>90</v>
      </c>
      <c r="K4563" s="434" t="s">
        <v>1763</v>
      </c>
      <c r="M4563" s="1158" t="s">
        <v>1764</v>
      </c>
      <c r="N4563" s="730">
        <v>65218</v>
      </c>
      <c r="O4563" s="730">
        <v>65218</v>
      </c>
      <c r="P4563" s="1284">
        <v>65229</v>
      </c>
      <c r="Q4563" s="432" t="s">
        <v>51</v>
      </c>
    </row>
    <row r="4564" spans="1:17">
      <c r="A4564" s="1205">
        <f t="shared" si="64"/>
        <v>3717</v>
      </c>
      <c r="B4564" s="1213" t="s">
        <v>43</v>
      </c>
      <c r="C4564" s="1146" t="s">
        <v>44</v>
      </c>
      <c r="D4564" s="1146" t="s">
        <v>45</v>
      </c>
      <c r="E4564" s="432" t="s">
        <v>5387</v>
      </c>
      <c r="F4564" s="434" t="s">
        <v>5388</v>
      </c>
      <c r="G4564" s="434">
        <v>9866902787</v>
      </c>
      <c r="I4564" s="434">
        <v>29</v>
      </c>
      <c r="J4564" s="146" t="s">
        <v>48</v>
      </c>
      <c r="K4564" s="434" t="s">
        <v>1763</v>
      </c>
      <c r="M4564" s="1158" t="s">
        <v>1764</v>
      </c>
      <c r="N4564" s="730">
        <v>65221</v>
      </c>
      <c r="O4564" s="730">
        <v>65221</v>
      </c>
      <c r="P4564" s="459">
        <v>65233</v>
      </c>
      <c r="Q4564" s="432" t="s">
        <v>51</v>
      </c>
    </row>
    <row r="4565" spans="1:17">
      <c r="A4565" s="1205">
        <f t="shared" si="64"/>
        <v>3718</v>
      </c>
      <c r="B4565" s="1213" t="s">
        <v>43</v>
      </c>
      <c r="C4565" s="1146" t="s">
        <v>44</v>
      </c>
      <c r="D4565" s="1146" t="s">
        <v>45</v>
      </c>
      <c r="E4565" s="892" t="s">
        <v>5389</v>
      </c>
      <c r="F4565" s="1106" t="s">
        <v>1046</v>
      </c>
      <c r="G4565" s="1106">
        <v>9822872011</v>
      </c>
      <c r="H4565" s="892"/>
      <c r="I4565" s="1106">
        <v>33</v>
      </c>
      <c r="J4565" s="933" t="s">
        <v>90</v>
      </c>
      <c r="K4565" s="1106" t="s">
        <v>1763</v>
      </c>
      <c r="L4565" s="1106"/>
      <c r="M4565" s="145" t="s">
        <v>54</v>
      </c>
      <c r="N4565" s="1395">
        <v>65221</v>
      </c>
      <c r="O4565" s="1395">
        <v>65221</v>
      </c>
      <c r="P4565" s="459">
        <v>65249</v>
      </c>
      <c r="Q4565" s="432" t="s">
        <v>51</v>
      </c>
    </row>
    <row r="4566" spans="1:17">
      <c r="A4566" s="1205">
        <f t="shared" si="64"/>
        <v>3719</v>
      </c>
      <c r="B4566" s="1213" t="s">
        <v>43</v>
      </c>
      <c r="C4566" s="1146" t="s">
        <v>44</v>
      </c>
      <c r="D4566" s="1146" t="s">
        <v>45</v>
      </c>
      <c r="E4566" s="247" t="s">
        <v>5390</v>
      </c>
      <c r="F4566" s="247" t="s">
        <v>1008</v>
      </c>
      <c r="G4566" s="247">
        <v>9861223575</v>
      </c>
      <c r="H4566" s="247" t="s">
        <v>5247</v>
      </c>
      <c r="I4566" s="247">
        <v>71</v>
      </c>
      <c r="J4566" s="247" t="s">
        <v>90</v>
      </c>
      <c r="K4566" s="247" t="s">
        <v>5310</v>
      </c>
      <c r="L4566" s="247"/>
      <c r="M4566" s="247" t="s">
        <v>1764</v>
      </c>
      <c r="N4566" s="1257">
        <v>65221</v>
      </c>
      <c r="O4566" s="1257">
        <v>65221</v>
      </c>
      <c r="P4566" s="459">
        <v>65233</v>
      </c>
      <c r="Q4566" s="432" t="s">
        <v>51</v>
      </c>
    </row>
    <row r="4567" spans="1:17">
      <c r="A4567" s="1205">
        <f t="shared" si="64"/>
        <v>3720</v>
      </c>
      <c r="B4567" s="1213" t="s">
        <v>43</v>
      </c>
      <c r="C4567" s="1146" t="s">
        <v>44</v>
      </c>
      <c r="D4567" s="1146" t="s">
        <v>45</v>
      </c>
      <c r="E4567" s="247" t="s">
        <v>5391</v>
      </c>
      <c r="F4567" s="247" t="s">
        <v>557</v>
      </c>
      <c r="G4567" s="247">
        <v>9807281726</v>
      </c>
      <c r="H4567" s="247" t="s">
        <v>5247</v>
      </c>
      <c r="I4567" s="247">
        <v>28</v>
      </c>
      <c r="J4567" s="247" t="s">
        <v>48</v>
      </c>
      <c r="K4567" s="247" t="s">
        <v>5210</v>
      </c>
      <c r="L4567" s="247"/>
      <c r="M4567" s="247" t="s">
        <v>1764</v>
      </c>
      <c r="N4567" s="1257">
        <v>65223</v>
      </c>
      <c r="O4567" s="1257">
        <v>65223</v>
      </c>
      <c r="P4567" s="459">
        <v>65233</v>
      </c>
      <c r="Q4567" s="432" t="s">
        <v>51</v>
      </c>
    </row>
    <row r="4568" spans="1:17" ht="25.5">
      <c r="A4568" s="1205">
        <f t="shared" si="64"/>
        <v>3721</v>
      </c>
      <c r="B4568" s="1213" t="s">
        <v>43</v>
      </c>
      <c r="C4568" s="1146" t="s">
        <v>44</v>
      </c>
      <c r="D4568" s="1146" t="s">
        <v>45</v>
      </c>
      <c r="E4568" s="247" t="s">
        <v>5392</v>
      </c>
      <c r="F4568" s="247" t="s">
        <v>491</v>
      </c>
      <c r="G4568" s="247">
        <v>9848083310</v>
      </c>
      <c r="H4568" s="247" t="s">
        <v>5247</v>
      </c>
      <c r="I4568" s="247">
        <v>31</v>
      </c>
      <c r="J4568" s="247" t="s">
        <v>48</v>
      </c>
      <c r="K4568" s="247" t="s">
        <v>4940</v>
      </c>
      <c r="L4568" s="247"/>
      <c r="M4568" s="247" t="s">
        <v>1764</v>
      </c>
      <c r="N4568" s="1257">
        <v>65223</v>
      </c>
      <c r="O4568" s="1257">
        <v>65223</v>
      </c>
      <c r="P4568" s="459">
        <v>65233</v>
      </c>
      <c r="Q4568" s="432" t="s">
        <v>51</v>
      </c>
    </row>
    <row r="4569" spans="1:17" ht="25.5">
      <c r="A4569" s="1205">
        <f t="shared" si="64"/>
        <v>3722</v>
      </c>
      <c r="B4569" s="1213" t="s">
        <v>43</v>
      </c>
      <c r="C4569" s="1146" t="s">
        <v>44</v>
      </c>
      <c r="D4569" s="1146" t="s">
        <v>45</v>
      </c>
      <c r="E4569" s="247" t="s">
        <v>5393</v>
      </c>
      <c r="F4569" s="247" t="s">
        <v>497</v>
      </c>
      <c r="G4569" s="247">
        <v>9806273211</v>
      </c>
      <c r="H4569" s="247" t="s">
        <v>5247</v>
      </c>
      <c r="I4569" s="247">
        <v>57</v>
      </c>
      <c r="J4569" s="247" t="s">
        <v>90</v>
      </c>
      <c r="K4569" s="247" t="s">
        <v>4940</v>
      </c>
      <c r="L4569" s="247"/>
      <c r="M4569" s="247" t="s">
        <v>1764</v>
      </c>
      <c r="N4569" s="1257">
        <v>65225</v>
      </c>
      <c r="O4569" s="1257">
        <v>65225</v>
      </c>
      <c r="P4569" s="459">
        <v>65242</v>
      </c>
      <c r="Q4569" s="432" t="s">
        <v>51</v>
      </c>
    </row>
    <row r="4570" spans="1:17" ht="25.5">
      <c r="A4570" s="1205">
        <f t="shared" si="64"/>
        <v>3723</v>
      </c>
      <c r="B4570" s="1213" t="s">
        <v>43</v>
      </c>
      <c r="C4570" s="1146" t="s">
        <v>44</v>
      </c>
      <c r="D4570" s="1146" t="s">
        <v>45</v>
      </c>
      <c r="E4570" s="247" t="s">
        <v>5394</v>
      </c>
      <c r="F4570" s="247" t="s">
        <v>491</v>
      </c>
      <c r="G4570" s="247">
        <v>9806241107</v>
      </c>
      <c r="H4570" s="247" t="s">
        <v>5247</v>
      </c>
      <c r="I4570" s="247">
        <v>35</v>
      </c>
      <c r="J4570" s="247" t="s">
        <v>48</v>
      </c>
      <c r="K4570" s="247" t="s">
        <v>4940</v>
      </c>
      <c r="L4570" s="247"/>
      <c r="M4570" s="247" t="s">
        <v>1764</v>
      </c>
      <c r="N4570" s="1257">
        <v>65228</v>
      </c>
      <c r="O4570" s="1257">
        <v>65228</v>
      </c>
      <c r="P4570" s="459">
        <v>65242</v>
      </c>
      <c r="Q4570" s="432" t="s">
        <v>51</v>
      </c>
    </row>
    <row r="4571" spans="1:17">
      <c r="A4571" s="1205">
        <f t="shared" si="64"/>
        <v>3724</v>
      </c>
      <c r="B4571" s="1213" t="s">
        <v>43</v>
      </c>
      <c r="C4571" s="1146" t="s">
        <v>44</v>
      </c>
      <c r="D4571" s="1146" t="s">
        <v>45</v>
      </c>
      <c r="E4571" s="432" t="s">
        <v>5395</v>
      </c>
      <c r="F4571" s="434" t="s">
        <v>491</v>
      </c>
      <c r="G4571" s="247">
        <v>9847941694</v>
      </c>
      <c r="H4571" s="247" t="s">
        <v>5247</v>
      </c>
      <c r="I4571" s="434">
        <v>28</v>
      </c>
      <c r="J4571" s="247" t="s">
        <v>90</v>
      </c>
      <c r="K4571" s="434" t="s">
        <v>2650</v>
      </c>
      <c r="M4571" s="247" t="s">
        <v>1764</v>
      </c>
      <c r="N4571" s="730">
        <v>65229</v>
      </c>
      <c r="O4571" s="730">
        <v>65229</v>
      </c>
      <c r="P4571" s="459">
        <v>65242</v>
      </c>
      <c r="Q4571" s="432" t="s">
        <v>51</v>
      </c>
    </row>
    <row r="4572" spans="1:17">
      <c r="A4572" s="1205">
        <f t="shared" si="64"/>
        <v>3725</v>
      </c>
      <c r="B4572" s="1213" t="s">
        <v>43</v>
      </c>
      <c r="C4572" s="1146" t="s">
        <v>44</v>
      </c>
      <c r="D4572" s="1146" t="s">
        <v>45</v>
      </c>
      <c r="E4572" s="432" t="s">
        <v>5396</v>
      </c>
      <c r="F4572" s="434" t="s">
        <v>491</v>
      </c>
      <c r="G4572" s="247">
        <v>9846688546</v>
      </c>
      <c r="H4572" s="247" t="s">
        <v>5247</v>
      </c>
      <c r="I4572" s="434">
        <v>33</v>
      </c>
      <c r="J4572" s="247" t="s">
        <v>90</v>
      </c>
      <c r="K4572" s="434" t="s">
        <v>2650</v>
      </c>
      <c r="M4572" s="247" t="s">
        <v>1764</v>
      </c>
      <c r="N4572" s="730">
        <v>65229</v>
      </c>
      <c r="O4572" s="730">
        <v>65229</v>
      </c>
      <c r="P4572" s="459">
        <v>65242</v>
      </c>
      <c r="Q4572" s="432" t="s">
        <v>51</v>
      </c>
    </row>
    <row r="4573" spans="1:17">
      <c r="A4573" s="1205">
        <f t="shared" si="64"/>
        <v>3726</v>
      </c>
      <c r="B4573" s="1213" t="s">
        <v>43</v>
      </c>
      <c r="C4573" s="1146" t="s">
        <v>44</v>
      </c>
      <c r="D4573" s="1146" t="s">
        <v>45</v>
      </c>
      <c r="E4573" s="892" t="s">
        <v>5397</v>
      </c>
      <c r="F4573" s="1106" t="s">
        <v>529</v>
      </c>
      <c r="G4573" s="1106">
        <v>9841051278</v>
      </c>
      <c r="H4573" s="1163" t="s">
        <v>5247</v>
      </c>
      <c r="I4573" s="1106">
        <v>38</v>
      </c>
      <c r="J4573" s="1163" t="s">
        <v>48</v>
      </c>
      <c r="K4573" s="1106" t="s">
        <v>1763</v>
      </c>
      <c r="L4573" s="1106"/>
      <c r="M4573" s="833" t="s">
        <v>54</v>
      </c>
      <c r="N4573" s="1395">
        <v>65230</v>
      </c>
      <c r="O4573" s="1395">
        <v>65230</v>
      </c>
      <c r="P4573" s="459">
        <v>65242</v>
      </c>
      <c r="Q4573" s="432" t="s">
        <v>51</v>
      </c>
    </row>
    <row r="4574" spans="1:17">
      <c r="A4574" s="1205">
        <f t="shared" si="64"/>
        <v>3727</v>
      </c>
      <c r="B4574" s="1213" t="s">
        <v>43</v>
      </c>
      <c r="C4574" s="1146" t="s">
        <v>44</v>
      </c>
      <c r="D4574" s="1146" t="s">
        <v>45</v>
      </c>
      <c r="E4574" s="128" t="s">
        <v>5398</v>
      </c>
      <c r="F4574" s="128" t="s">
        <v>1204</v>
      </c>
      <c r="G4574" s="247">
        <v>9863406617</v>
      </c>
      <c r="H4574" s="128" t="s">
        <v>5247</v>
      </c>
      <c r="I4574" s="247">
        <v>78</v>
      </c>
      <c r="J4574" s="128" t="s">
        <v>90</v>
      </c>
      <c r="K4574" s="128" t="s">
        <v>2649</v>
      </c>
      <c r="M4574" s="128" t="s">
        <v>1764</v>
      </c>
      <c r="N4574" s="1310">
        <v>65229</v>
      </c>
      <c r="O4574" s="1310">
        <v>65229</v>
      </c>
      <c r="P4574" s="459">
        <v>65242</v>
      </c>
      <c r="Q4574" s="432" t="s">
        <v>51</v>
      </c>
    </row>
    <row r="4575" spans="1:17">
      <c r="A4575" s="1205">
        <f t="shared" si="64"/>
        <v>3728</v>
      </c>
      <c r="B4575" s="1213" t="s">
        <v>43</v>
      </c>
      <c r="C4575" s="1146" t="s">
        <v>44</v>
      </c>
      <c r="D4575" s="1146" t="s">
        <v>45</v>
      </c>
      <c r="E4575" s="128" t="s">
        <v>5399</v>
      </c>
      <c r="F4575" s="128" t="s">
        <v>441</v>
      </c>
      <c r="G4575" s="247">
        <v>9847944302</v>
      </c>
      <c r="H4575" s="128" t="s">
        <v>5247</v>
      </c>
      <c r="I4575" s="247">
        <v>75</v>
      </c>
      <c r="J4575" s="128" t="s">
        <v>48</v>
      </c>
      <c r="K4575" s="128" t="s">
        <v>2649</v>
      </c>
      <c r="M4575" s="128" t="s">
        <v>1764</v>
      </c>
      <c r="N4575" s="1310">
        <v>65233</v>
      </c>
      <c r="O4575" s="1310">
        <v>65233</v>
      </c>
      <c r="P4575" s="459">
        <v>65249</v>
      </c>
      <c r="Q4575" s="432" t="s">
        <v>51</v>
      </c>
    </row>
    <row r="4576" spans="1:17" ht="25.5">
      <c r="A4576" s="1205">
        <f t="shared" si="64"/>
        <v>3729</v>
      </c>
      <c r="B4576" s="1213" t="s">
        <v>43</v>
      </c>
      <c r="C4576" s="1146" t="s">
        <v>44</v>
      </c>
      <c r="D4576" s="1146" t="s">
        <v>45</v>
      </c>
      <c r="E4576" s="128" t="s">
        <v>5400</v>
      </c>
      <c r="F4576" s="128" t="s">
        <v>730</v>
      </c>
      <c r="G4576" s="247">
        <v>9822820106</v>
      </c>
      <c r="H4576" s="128" t="s">
        <v>5247</v>
      </c>
      <c r="I4576" s="247">
        <v>22</v>
      </c>
      <c r="J4576" s="128" t="s">
        <v>90</v>
      </c>
      <c r="K4576" s="128" t="s">
        <v>4940</v>
      </c>
      <c r="L4576" s="894"/>
      <c r="M4576" s="128" t="s">
        <v>1764</v>
      </c>
      <c r="N4576" s="1310">
        <v>65239</v>
      </c>
      <c r="O4576" s="1310">
        <v>65239</v>
      </c>
      <c r="P4576" s="1252">
        <v>65259</v>
      </c>
      <c r="Q4576" s="432" t="s">
        <v>51</v>
      </c>
    </row>
    <row r="4577" spans="1:17">
      <c r="A4577" s="1205">
        <f t="shared" si="64"/>
        <v>3730</v>
      </c>
      <c r="B4577" s="1213" t="s">
        <v>43</v>
      </c>
      <c r="C4577" s="1146" t="s">
        <v>44</v>
      </c>
      <c r="D4577" s="1146" t="s">
        <v>45</v>
      </c>
      <c r="E4577" s="128" t="s">
        <v>2543</v>
      </c>
      <c r="F4577" s="128" t="s">
        <v>791</v>
      </c>
      <c r="G4577" s="247">
        <v>9849555341</v>
      </c>
      <c r="H4577" s="128" t="s">
        <v>5247</v>
      </c>
      <c r="I4577" s="247">
        <v>35</v>
      </c>
      <c r="J4577" s="128" t="s">
        <v>48</v>
      </c>
      <c r="K4577" s="128" t="s">
        <v>5310</v>
      </c>
      <c r="L4577" s="894"/>
      <c r="M4577" s="128" t="s">
        <v>1764</v>
      </c>
      <c r="N4577" s="1310">
        <v>65240</v>
      </c>
      <c r="O4577" s="1310">
        <v>65240</v>
      </c>
      <c r="P4577" s="1252">
        <v>65259</v>
      </c>
      <c r="Q4577" s="432" t="s">
        <v>51</v>
      </c>
    </row>
    <row r="4578" spans="1:17" ht="25.5">
      <c r="A4578" s="1205">
        <f t="shared" si="64"/>
        <v>3731</v>
      </c>
      <c r="B4578" s="1213" t="s">
        <v>43</v>
      </c>
      <c r="C4578" s="1146" t="s">
        <v>44</v>
      </c>
      <c r="D4578" s="1146" t="s">
        <v>45</v>
      </c>
      <c r="E4578" s="128" t="s">
        <v>5401</v>
      </c>
      <c r="F4578" s="128" t="s">
        <v>441</v>
      </c>
      <c r="G4578" s="247">
        <v>9857866996</v>
      </c>
      <c r="H4578" s="128" t="s">
        <v>5247</v>
      </c>
      <c r="I4578" s="247">
        <v>71</v>
      </c>
      <c r="J4578" s="128" t="s">
        <v>48</v>
      </c>
      <c r="K4578" s="128" t="s">
        <v>4940</v>
      </c>
      <c r="L4578" s="894"/>
      <c r="M4578" s="128" t="s">
        <v>1764</v>
      </c>
      <c r="N4578" s="1310">
        <v>65241</v>
      </c>
      <c r="O4578" s="1310">
        <v>65241</v>
      </c>
      <c r="P4578" s="1252">
        <v>65259</v>
      </c>
      <c r="Q4578" s="432" t="s">
        <v>51</v>
      </c>
    </row>
    <row r="4579" spans="1:17">
      <c r="A4579" s="1205">
        <f t="shared" si="64"/>
        <v>3732</v>
      </c>
      <c r="B4579" s="1213" t="s">
        <v>43</v>
      </c>
      <c r="C4579" s="1146" t="s">
        <v>44</v>
      </c>
      <c r="D4579" s="1146" t="s">
        <v>45</v>
      </c>
      <c r="E4579" s="432" t="s">
        <v>5402</v>
      </c>
      <c r="F4579" s="434" t="s">
        <v>502</v>
      </c>
      <c r="G4579" s="247">
        <v>9847945665</v>
      </c>
      <c r="I4579" s="434">
        <v>50</v>
      </c>
      <c r="J4579" s="128" t="s">
        <v>48</v>
      </c>
      <c r="K4579" s="434" t="s">
        <v>3293</v>
      </c>
      <c r="M4579" s="434" t="s">
        <v>3293</v>
      </c>
      <c r="N4579" s="730">
        <v>65245</v>
      </c>
      <c r="O4579" s="730">
        <v>65245</v>
      </c>
    </row>
  </sheetData>
  <mergeCells count="2">
    <mergeCell ref="T837:T842"/>
    <mergeCell ref="U837:U842"/>
  </mergeCells>
  <conditionalFormatting sqref="E2794:E2940">
    <cfRule type="duplicateValues" dxfId="164" priority="64"/>
  </conditionalFormatting>
  <conditionalFormatting sqref="G3698:G3737">
    <cfRule type="duplicateValues" dxfId="163" priority="58"/>
  </conditionalFormatting>
  <conditionalFormatting sqref="E4105">
    <cfRule type="duplicateValues" dxfId="162" priority="55"/>
  </conditionalFormatting>
  <conditionalFormatting sqref="E4105">
    <cfRule type="duplicateValues" dxfId="161" priority="56"/>
    <cfRule type="duplicateValues" dxfId="160" priority="57"/>
  </conditionalFormatting>
  <conditionalFormatting sqref="E4093:E4099 E4082:E4087">
    <cfRule type="duplicateValues" dxfId="159" priority="50"/>
  </conditionalFormatting>
  <conditionalFormatting sqref="E4093:E4099 E4082:E4087">
    <cfRule type="duplicateValues" dxfId="158" priority="48"/>
    <cfRule type="duplicateValues" dxfId="157" priority="49"/>
  </conditionalFormatting>
  <conditionalFormatting sqref="E4093:E4099 E4082:E4087">
    <cfRule type="duplicateValues" dxfId="156" priority="47"/>
  </conditionalFormatting>
  <conditionalFormatting sqref="E4088:E4092">
    <cfRule type="duplicateValues" dxfId="155" priority="46"/>
  </conditionalFormatting>
  <conditionalFormatting sqref="E4088:E4092">
    <cfRule type="duplicateValues" dxfId="154" priority="44"/>
    <cfRule type="duplicateValues" dxfId="153" priority="45"/>
  </conditionalFormatting>
  <conditionalFormatting sqref="E4088:E4092">
    <cfRule type="duplicateValues" dxfId="152" priority="43"/>
  </conditionalFormatting>
  <conditionalFormatting sqref="E4152:G4152">
    <cfRule type="duplicateValues" dxfId="151" priority="39"/>
  </conditionalFormatting>
  <conditionalFormatting sqref="E4152:G4152">
    <cfRule type="duplicateValues" dxfId="150" priority="40"/>
    <cfRule type="duplicateValues" dxfId="149" priority="41"/>
  </conditionalFormatting>
  <conditionalFormatting sqref="E4152:G4152">
    <cfRule type="duplicateValues" dxfId="148" priority="42"/>
  </conditionalFormatting>
  <conditionalFormatting sqref="E4155:G4155">
    <cfRule type="duplicateValues" dxfId="147" priority="31"/>
  </conditionalFormatting>
  <conditionalFormatting sqref="E4155:G4155">
    <cfRule type="duplicateValues" dxfId="146" priority="32"/>
    <cfRule type="duplicateValues" dxfId="145" priority="33"/>
  </conditionalFormatting>
  <conditionalFormatting sqref="E4155:G4155">
    <cfRule type="duplicateValues" dxfId="144" priority="34"/>
  </conditionalFormatting>
  <conditionalFormatting sqref="E4171:G4172">
    <cfRule type="duplicateValues" dxfId="143" priority="27"/>
  </conditionalFormatting>
  <conditionalFormatting sqref="E4171:G4172">
    <cfRule type="duplicateValues" dxfId="142" priority="28"/>
    <cfRule type="duplicateValues" dxfId="141" priority="29"/>
  </conditionalFormatting>
  <conditionalFormatting sqref="E4171:G4172">
    <cfRule type="duplicateValues" dxfId="140" priority="30"/>
  </conditionalFormatting>
  <conditionalFormatting sqref="E4194">
    <cfRule type="duplicateValues" dxfId="139" priority="23"/>
  </conditionalFormatting>
  <conditionalFormatting sqref="E4194">
    <cfRule type="duplicateValues" dxfId="138" priority="24"/>
    <cfRule type="duplicateValues" dxfId="137" priority="25"/>
  </conditionalFormatting>
  <conditionalFormatting sqref="E4194">
    <cfRule type="duplicateValues" dxfId="136" priority="26"/>
  </conditionalFormatting>
  <conditionalFormatting sqref="E4403:E4409">
    <cfRule type="duplicateValues" dxfId="135" priority="15"/>
  </conditionalFormatting>
  <conditionalFormatting sqref="E4403:E4409">
    <cfRule type="duplicateValues" dxfId="134" priority="16"/>
    <cfRule type="duplicateValues" dxfId="133" priority="17"/>
  </conditionalFormatting>
  <conditionalFormatting sqref="E4403:E4409">
    <cfRule type="duplicateValues" dxfId="132" priority="18"/>
  </conditionalFormatting>
  <conditionalFormatting sqref="E4403:E4409">
    <cfRule type="duplicateValues" dxfId="131" priority="13"/>
    <cfRule type="duplicateValues" dxfId="130" priority="14"/>
  </conditionalFormatting>
  <conditionalFormatting sqref="E4508">
    <cfRule type="duplicateValues" dxfId="129" priority="7"/>
  </conditionalFormatting>
  <conditionalFormatting sqref="E4508">
    <cfRule type="duplicateValues" dxfId="128" priority="8"/>
    <cfRule type="duplicateValues" dxfId="127" priority="9"/>
  </conditionalFormatting>
  <conditionalFormatting sqref="E4508">
    <cfRule type="duplicateValues" dxfId="126" priority="10"/>
  </conditionalFormatting>
  <conditionalFormatting sqref="E4508">
    <cfRule type="duplicateValues" dxfId="125" priority="11"/>
    <cfRule type="duplicateValues" dxfId="124" priority="12"/>
  </conditionalFormatting>
  <conditionalFormatting sqref="E4489:E4507 E4216:E4218 E3898:E4081 E3719:E3865 E1:E3599 E3663:E3697 E3881:E3894 E4106:E4151 E4100:E4104 E4153:E4154 E4156:E4170 E4174:E4193 E4195:E4214 E4224:E4332 E4372:E4402 E4335:E4370 E4423:E4486 E4509:E1048576">
    <cfRule type="duplicateValues" dxfId="123" priority="1997"/>
  </conditionalFormatting>
  <conditionalFormatting sqref="E4489:E4507 E4216:E4218 E3898:E4081 E3719:E3865 E1:E3697 E3881:E3894 E4106:E4151 E4100:E4104 E4153:E4154 E4156:E4170 E4174:E4193 E4195:E4214 E4224:E4332 E4372:E4402 E4335:E4370 E4423:E4486 E4509:E1048576">
    <cfRule type="duplicateValues" dxfId="122" priority="2017"/>
    <cfRule type="duplicateValues" dxfId="121" priority="2018"/>
  </conditionalFormatting>
  <conditionalFormatting sqref="E4489:E4507 E4216:E4218 E3898:E4081 E1:E3865 E3881:E3894 E4106:E4151 E4100:E4104 E4153:E4154 E4156:E4170 E4174:E4193 E4195:E4214 E4224:E4332 E4372:E4402 E4335:E4370 E4423:E4486 E4509:E1048576">
    <cfRule type="duplicateValues" dxfId="120" priority="2055"/>
  </conditionalFormatting>
  <conditionalFormatting sqref="E4489:E4507 E1:E4332 E4372:E4402 E4335:E4370 E4423:E4486 E4509:E1048576">
    <cfRule type="duplicateValues" dxfId="119" priority="2073"/>
    <cfRule type="duplicateValues" dxfId="118" priority="2074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1]!namelistsort">
                <anchor moveWithCells="1" sizeWithCells="1">
                  <from>
                    <xdr:col>18</xdr:col>
                    <xdr:colOff>95250</xdr:colOff>
                    <xdr:row>846</xdr:row>
                    <xdr:rowOff>0</xdr:rowOff>
                  </from>
                  <to>
                    <xdr:col>20</xdr:col>
                    <xdr:colOff>238125</xdr:colOff>
                    <xdr:row>849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26"/>
  <sheetViews>
    <sheetView topLeftCell="A13" workbookViewId="0">
      <selection activeCell="E7" sqref="E7"/>
    </sheetView>
  </sheetViews>
  <sheetFormatPr defaultRowHeight="15"/>
  <cols>
    <col min="1" max="1" width="4.85546875" bestFit="1" customWidth="1"/>
    <col min="2" max="2" width="10.5703125" style="1430" bestFit="1" customWidth="1"/>
    <col min="3" max="3" width="5.85546875" bestFit="1" customWidth="1"/>
    <col min="4" max="4" width="15.85546875" bestFit="1" customWidth="1"/>
    <col min="5" max="5" width="21.5703125" bestFit="1" customWidth="1"/>
    <col min="6" max="6" width="15" bestFit="1" customWidth="1"/>
    <col min="7" max="7" width="11" bestFit="1" customWidth="1"/>
    <col min="8" max="8" width="4.28515625" bestFit="1" customWidth="1"/>
    <col min="9" max="9" width="7.7109375" bestFit="1" customWidth="1"/>
    <col min="10" max="10" width="28.85546875" style="98" bestFit="1" customWidth="1"/>
    <col min="11" max="11" width="42.5703125" bestFit="1" customWidth="1"/>
    <col min="12" max="12" width="22.5703125" bestFit="1" customWidth="1"/>
    <col min="13" max="13" width="14.5703125" bestFit="1" customWidth="1"/>
  </cols>
  <sheetData>
    <row r="1" spans="1:16" s="98" customFormat="1" ht="39.75" customHeight="1">
      <c r="A1" s="2" t="s">
        <v>24</v>
      </c>
      <c r="B1" s="1431" t="s">
        <v>25</v>
      </c>
      <c r="C1" s="2" t="s">
        <v>26</v>
      </c>
      <c r="D1" s="57" t="s">
        <v>27</v>
      </c>
      <c r="E1" s="4" t="s">
        <v>28</v>
      </c>
      <c r="F1" s="5" t="s">
        <v>29</v>
      </c>
      <c r="G1" s="2" t="s">
        <v>30</v>
      </c>
      <c r="H1" s="2" t="s">
        <v>32</v>
      </c>
      <c r="I1" s="4" t="s">
        <v>33</v>
      </c>
      <c r="J1" s="203" t="s">
        <v>34</v>
      </c>
      <c r="K1" s="2" t="s">
        <v>36</v>
      </c>
      <c r="L1" s="58" t="s">
        <v>37</v>
      </c>
      <c r="M1" s="2" t="s">
        <v>38</v>
      </c>
      <c r="N1" s="7" t="s">
        <v>42</v>
      </c>
    </row>
    <row r="2" spans="1:16" ht="15.75" thickBot="1">
      <c r="A2" s="68">
        <v>1</v>
      </c>
      <c r="B2" s="1429" t="s">
        <v>524</v>
      </c>
      <c r="C2" s="94" t="s">
        <v>44</v>
      </c>
      <c r="D2" s="94" t="s">
        <v>449</v>
      </c>
      <c r="E2" s="109" t="s">
        <v>1346</v>
      </c>
      <c r="F2" s="109" t="s">
        <v>491</v>
      </c>
      <c r="G2" s="109">
        <v>9847824917</v>
      </c>
      <c r="H2" s="109">
        <v>46</v>
      </c>
      <c r="I2" s="94" t="s">
        <v>404</v>
      </c>
      <c r="J2" s="94" t="s">
        <v>709</v>
      </c>
      <c r="K2" s="95" t="s">
        <v>2647</v>
      </c>
      <c r="L2" s="66">
        <v>65197</v>
      </c>
      <c r="M2" s="66">
        <v>65197</v>
      </c>
      <c r="N2" s="65"/>
      <c r="O2" s="65"/>
      <c r="P2" s="65"/>
    </row>
    <row r="3" spans="1:16" ht="15.75" thickBot="1">
      <c r="A3" s="68">
        <f t="shared" ref="A3:A25" si="0">A2+1</f>
        <v>2</v>
      </c>
      <c r="B3" s="1429" t="s">
        <v>524</v>
      </c>
      <c r="C3" s="94" t="s">
        <v>44</v>
      </c>
      <c r="D3" s="94" t="s">
        <v>449</v>
      </c>
      <c r="E3" s="102" t="s">
        <v>1491</v>
      </c>
      <c r="F3" s="102" t="s">
        <v>491</v>
      </c>
      <c r="G3" s="65">
        <v>9857821849</v>
      </c>
      <c r="H3" s="102">
        <v>31</v>
      </c>
      <c r="I3" s="94" t="s">
        <v>404</v>
      </c>
      <c r="J3" s="94" t="s">
        <v>709</v>
      </c>
      <c r="K3" s="178" t="s">
        <v>1546</v>
      </c>
      <c r="L3" s="66">
        <v>65025</v>
      </c>
      <c r="M3" s="66">
        <v>65025</v>
      </c>
      <c r="N3" s="65"/>
      <c r="O3" s="65"/>
      <c r="P3" s="65"/>
    </row>
    <row r="4" spans="1:16" ht="15.75" thickBot="1">
      <c r="A4" s="103">
        <f t="shared" si="0"/>
        <v>3</v>
      </c>
      <c r="B4" s="1430" t="s">
        <v>524</v>
      </c>
      <c r="C4" s="104" t="s">
        <v>44</v>
      </c>
      <c r="D4" s="104" t="s">
        <v>449</v>
      </c>
      <c r="E4" s="96" t="s">
        <v>1280</v>
      </c>
      <c r="F4" s="99" t="s">
        <v>491</v>
      </c>
      <c r="G4" s="98"/>
      <c r="H4" s="99">
        <v>63</v>
      </c>
      <c r="I4" s="105" t="s">
        <v>404</v>
      </c>
      <c r="J4" s="99" t="s">
        <v>1285</v>
      </c>
      <c r="K4" s="188" t="s">
        <v>2650</v>
      </c>
      <c r="L4" s="101" t="s">
        <v>1271</v>
      </c>
      <c r="M4" s="101" t="s">
        <v>1271</v>
      </c>
      <c r="N4" s="98"/>
      <c r="O4" s="98"/>
      <c r="P4" s="98"/>
    </row>
    <row r="5" spans="1:16" ht="33.75" customHeight="1" thickBot="1">
      <c r="A5" s="68">
        <f t="shared" si="0"/>
        <v>4</v>
      </c>
      <c r="B5" s="1430" t="s">
        <v>524</v>
      </c>
      <c r="C5" s="93" t="s">
        <v>44</v>
      </c>
      <c r="D5" s="93" t="s">
        <v>449</v>
      </c>
      <c r="E5" s="107" t="s">
        <v>1323</v>
      </c>
      <c r="F5" s="108" t="s">
        <v>491</v>
      </c>
      <c r="G5" s="106">
        <v>9829811523</v>
      </c>
      <c r="H5" s="106">
        <v>46</v>
      </c>
      <c r="I5" s="93" t="s">
        <v>404</v>
      </c>
      <c r="J5" s="93" t="s">
        <v>709</v>
      </c>
      <c r="K5" s="188" t="s">
        <v>2650</v>
      </c>
      <c r="L5" s="63">
        <v>65136</v>
      </c>
      <c r="M5" s="63">
        <v>65136</v>
      </c>
    </row>
    <row r="6" spans="1:16" s="98" customFormat="1" ht="15.75" thickBot="1">
      <c r="A6" s="68">
        <f t="shared" si="0"/>
        <v>5</v>
      </c>
      <c r="B6" s="1430" t="s">
        <v>524</v>
      </c>
      <c r="C6" s="93" t="s">
        <v>44</v>
      </c>
      <c r="D6" s="93" t="s">
        <v>449</v>
      </c>
      <c r="E6" s="107" t="s">
        <v>1324</v>
      </c>
      <c r="F6" s="108" t="s">
        <v>491</v>
      </c>
      <c r="G6" s="106">
        <v>9829811528</v>
      </c>
      <c r="H6" s="106">
        <v>65</v>
      </c>
      <c r="I6" s="93" t="s">
        <v>433</v>
      </c>
      <c r="J6" s="93" t="s">
        <v>709</v>
      </c>
      <c r="K6" s="188" t="s">
        <v>2650</v>
      </c>
      <c r="L6" s="63">
        <v>65136</v>
      </c>
      <c r="M6" s="63">
        <v>65136</v>
      </c>
    </row>
    <row r="7" spans="1:16" s="65" customFormat="1" ht="26.25" thickBot="1">
      <c r="A7" s="68">
        <f t="shared" si="0"/>
        <v>6</v>
      </c>
      <c r="B7" s="1432" t="s">
        <v>43</v>
      </c>
      <c r="C7" s="174" t="s">
        <v>44</v>
      </c>
      <c r="D7" s="174" t="s">
        <v>45</v>
      </c>
      <c r="E7" s="174" t="s">
        <v>2349</v>
      </c>
      <c r="F7" s="211" t="s">
        <v>1009</v>
      </c>
      <c r="G7" s="174"/>
      <c r="H7" s="175">
        <v>42</v>
      </c>
      <c r="I7" s="174" t="s">
        <v>48</v>
      </c>
      <c r="J7" s="174" t="s">
        <v>1468</v>
      </c>
      <c r="K7" s="188" t="s">
        <v>2650</v>
      </c>
      <c r="L7" s="219">
        <v>65038</v>
      </c>
      <c r="M7" s="219">
        <v>65038</v>
      </c>
      <c r="N7" s="163"/>
      <c r="O7" s="163"/>
      <c r="P7" s="163"/>
    </row>
    <row r="8" spans="1:16" s="98" customFormat="1" ht="27" thickBot="1">
      <c r="A8" s="68">
        <f t="shared" si="0"/>
        <v>7</v>
      </c>
      <c r="B8" s="1433" t="s">
        <v>43</v>
      </c>
      <c r="C8" s="170" t="s">
        <v>44</v>
      </c>
      <c r="D8" s="170" t="s">
        <v>45</v>
      </c>
      <c r="E8" s="170" t="s">
        <v>2203</v>
      </c>
      <c r="F8" s="209" t="s">
        <v>124</v>
      </c>
      <c r="G8" s="171">
        <v>9822990011</v>
      </c>
      <c r="H8" s="171">
        <v>55</v>
      </c>
      <c r="I8" s="170" t="s">
        <v>90</v>
      </c>
      <c r="J8" s="170" t="s">
        <v>53</v>
      </c>
      <c r="K8" s="177" t="s">
        <v>2650</v>
      </c>
      <c r="L8" s="157">
        <v>65035</v>
      </c>
      <c r="M8" s="157">
        <v>65035</v>
      </c>
      <c r="N8" s="65"/>
      <c r="O8" s="65"/>
      <c r="P8" s="65"/>
    </row>
    <row r="9" spans="1:16" s="65" customFormat="1" ht="15.75" thickBot="1">
      <c r="A9" s="68">
        <f t="shared" si="0"/>
        <v>8</v>
      </c>
      <c r="B9" s="1429" t="s">
        <v>524</v>
      </c>
      <c r="C9" s="94" t="s">
        <v>44</v>
      </c>
      <c r="D9" s="94" t="s">
        <v>449</v>
      </c>
      <c r="E9" s="97" t="s">
        <v>1846</v>
      </c>
      <c r="F9" s="97" t="s">
        <v>1008</v>
      </c>
      <c r="G9" s="97">
        <v>9841095708</v>
      </c>
      <c r="H9" s="97">
        <v>34</v>
      </c>
      <c r="I9" s="97" t="s">
        <v>1762</v>
      </c>
      <c r="J9" s="184" t="s">
        <v>709</v>
      </c>
      <c r="K9" s="156" t="s">
        <v>2651</v>
      </c>
      <c r="L9" s="12">
        <v>65030</v>
      </c>
      <c r="M9" s="12">
        <v>65030</v>
      </c>
    </row>
    <row r="10" spans="1:16" s="65" customFormat="1" ht="27" thickBot="1">
      <c r="A10" s="68">
        <f t="shared" si="0"/>
        <v>9</v>
      </c>
      <c r="B10" s="1434" t="s">
        <v>43</v>
      </c>
      <c r="C10" s="170" t="s">
        <v>44</v>
      </c>
      <c r="D10" s="170" t="s">
        <v>45</v>
      </c>
      <c r="E10" s="170" t="s">
        <v>2466</v>
      </c>
      <c r="F10" s="176" t="s">
        <v>529</v>
      </c>
      <c r="G10" s="170"/>
      <c r="H10" s="171">
        <v>54</v>
      </c>
      <c r="I10" s="170" t="s">
        <v>90</v>
      </c>
      <c r="J10" s="170" t="s">
        <v>53</v>
      </c>
      <c r="K10" s="115" t="s">
        <v>2651</v>
      </c>
      <c r="L10" s="181">
        <v>65038</v>
      </c>
      <c r="M10" s="181">
        <v>65038</v>
      </c>
    </row>
    <row r="11" spans="1:16" s="163" customFormat="1" ht="27" thickBot="1">
      <c r="A11" s="68">
        <f t="shared" si="0"/>
        <v>10</v>
      </c>
      <c r="B11" s="1434" t="s">
        <v>43</v>
      </c>
      <c r="C11" s="170" t="s">
        <v>44</v>
      </c>
      <c r="D11" s="170" t="s">
        <v>45</v>
      </c>
      <c r="E11" s="183" t="s">
        <v>2799</v>
      </c>
      <c r="F11" s="220" t="s">
        <v>124</v>
      </c>
      <c r="G11" s="171">
        <v>9857823197</v>
      </c>
      <c r="H11" s="171">
        <v>49</v>
      </c>
      <c r="I11" s="172" t="s">
        <v>48</v>
      </c>
      <c r="J11" s="206" t="s">
        <v>1468</v>
      </c>
      <c r="K11" s="115" t="s">
        <v>2651</v>
      </c>
      <c r="L11" s="181">
        <v>65041</v>
      </c>
      <c r="M11" s="181">
        <v>65041</v>
      </c>
      <c r="N11" s="98"/>
      <c r="O11" s="98"/>
      <c r="P11" s="98"/>
    </row>
    <row r="12" spans="1:16" s="65" customFormat="1" ht="27" thickBot="1">
      <c r="A12" s="68">
        <f t="shared" si="0"/>
        <v>11</v>
      </c>
      <c r="B12" s="1434" t="s">
        <v>43</v>
      </c>
      <c r="C12" s="170" t="s">
        <v>44</v>
      </c>
      <c r="D12" s="170" t="s">
        <v>45</v>
      </c>
      <c r="E12" s="190" t="s">
        <v>2685</v>
      </c>
      <c r="F12" s="179" t="s">
        <v>502</v>
      </c>
      <c r="G12" s="165">
        <v>9801333986</v>
      </c>
      <c r="H12" s="165">
        <v>26</v>
      </c>
      <c r="I12" s="166" t="s">
        <v>90</v>
      </c>
      <c r="J12" s="204" t="s">
        <v>53</v>
      </c>
      <c r="K12" s="115" t="s">
        <v>2651</v>
      </c>
      <c r="L12" s="180">
        <v>65040</v>
      </c>
      <c r="M12" s="180">
        <v>65040</v>
      </c>
      <c r="N12" s="98"/>
      <c r="O12" s="98"/>
      <c r="P12" s="98"/>
    </row>
    <row r="13" spans="1:16" s="65" customFormat="1" ht="27" customHeight="1" thickBot="1">
      <c r="A13" s="68">
        <f t="shared" si="0"/>
        <v>12</v>
      </c>
      <c r="B13" s="1434" t="s">
        <v>43</v>
      </c>
      <c r="C13" s="170" t="s">
        <v>44</v>
      </c>
      <c r="D13" s="170" t="s">
        <v>45</v>
      </c>
      <c r="E13" s="179" t="s">
        <v>2719</v>
      </c>
      <c r="F13" s="179" t="s">
        <v>502</v>
      </c>
      <c r="G13" s="166"/>
      <c r="H13" s="165">
        <v>32</v>
      </c>
      <c r="I13" s="166" t="s">
        <v>90</v>
      </c>
      <c r="J13" s="207"/>
      <c r="K13" s="115" t="s">
        <v>54</v>
      </c>
      <c r="L13" s="186">
        <v>65040</v>
      </c>
      <c r="M13" s="158">
        <v>65040</v>
      </c>
      <c r="N13" s="98"/>
      <c r="O13" s="98"/>
      <c r="P13" s="98"/>
    </row>
    <row r="14" spans="1:16" s="65" customFormat="1" ht="28.5" customHeight="1" thickBot="1">
      <c r="A14" s="68">
        <f t="shared" si="0"/>
        <v>13</v>
      </c>
      <c r="B14" s="1435" t="s">
        <v>43</v>
      </c>
      <c r="C14" s="166" t="s">
        <v>44</v>
      </c>
      <c r="D14" s="166" t="s">
        <v>45</v>
      </c>
      <c r="E14" s="179" t="s">
        <v>2744</v>
      </c>
      <c r="F14" s="179" t="s">
        <v>502</v>
      </c>
      <c r="G14" s="166"/>
      <c r="H14" s="165">
        <v>37</v>
      </c>
      <c r="I14" s="166" t="s">
        <v>48</v>
      </c>
      <c r="J14" s="207"/>
      <c r="K14" s="177" t="s">
        <v>54</v>
      </c>
      <c r="L14" s="186">
        <v>65040</v>
      </c>
      <c r="M14" s="186">
        <v>65040</v>
      </c>
      <c r="N14" s="98"/>
      <c r="O14" s="98"/>
      <c r="P14" s="98"/>
    </row>
    <row r="15" spans="1:16" s="65" customFormat="1">
      <c r="A15" s="68">
        <f t="shared" si="0"/>
        <v>14</v>
      </c>
      <c r="B15" s="1429" t="s">
        <v>43</v>
      </c>
      <c r="C15" s="94" t="s">
        <v>44</v>
      </c>
      <c r="D15" s="94" t="s">
        <v>45</v>
      </c>
      <c r="E15" s="172" t="s">
        <v>1967</v>
      </c>
      <c r="F15" s="172" t="s">
        <v>491</v>
      </c>
      <c r="G15" s="173">
        <v>9868630238</v>
      </c>
      <c r="H15" s="173">
        <v>38</v>
      </c>
      <c r="I15" s="172" t="s">
        <v>48</v>
      </c>
      <c r="J15" s="206" t="s">
        <v>1480</v>
      </c>
      <c r="K15" s="115" t="s">
        <v>262</v>
      </c>
      <c r="L15" s="158">
        <v>65032</v>
      </c>
      <c r="N15" s="62"/>
    </row>
    <row r="16" spans="1:16" s="65" customFormat="1">
      <c r="A16" s="68">
        <f t="shared" si="0"/>
        <v>15</v>
      </c>
      <c r="B16" s="1430" t="s">
        <v>524</v>
      </c>
      <c r="C16" s="104" t="s">
        <v>44</v>
      </c>
      <c r="D16" s="104" t="s">
        <v>449</v>
      </c>
      <c r="E16" s="208" t="s">
        <v>1277</v>
      </c>
      <c r="F16" s="210" t="s">
        <v>488</v>
      </c>
      <c r="G16" s="202"/>
      <c r="H16" s="99">
        <v>27</v>
      </c>
      <c r="I16" s="212" t="s">
        <v>433</v>
      </c>
      <c r="J16" s="215" t="s">
        <v>613</v>
      </c>
      <c r="K16" s="115" t="s">
        <v>262</v>
      </c>
      <c r="L16" s="101" t="s">
        <v>1271</v>
      </c>
      <c r="M16" s="101" t="s">
        <v>1271</v>
      </c>
      <c r="N16" s="98"/>
      <c r="O16" s="98"/>
      <c r="P16" s="98"/>
    </row>
    <row r="17" spans="1:16" s="65" customFormat="1" ht="15.75" thickBot="1">
      <c r="A17" s="68">
        <f t="shared" si="0"/>
        <v>16</v>
      </c>
      <c r="B17" s="1430" t="s">
        <v>524</v>
      </c>
      <c r="C17" s="104" t="s">
        <v>44</v>
      </c>
      <c r="D17" s="104" t="s">
        <v>449</v>
      </c>
      <c r="E17" s="142" t="s">
        <v>1278</v>
      </c>
      <c r="F17" s="140" t="s">
        <v>488</v>
      </c>
      <c r="G17" s="56"/>
      <c r="H17" s="140">
        <v>57</v>
      </c>
      <c r="I17" s="212" t="s">
        <v>433</v>
      </c>
      <c r="J17" s="215" t="s">
        <v>613</v>
      </c>
      <c r="K17" s="115" t="s">
        <v>262</v>
      </c>
      <c r="L17" s="101" t="s">
        <v>1271</v>
      </c>
      <c r="M17" s="101" t="s">
        <v>1271</v>
      </c>
      <c r="N17" s="98"/>
      <c r="O17" s="98"/>
      <c r="P17" s="98"/>
    </row>
    <row r="18" spans="1:16" s="65" customFormat="1" ht="15.75" thickBot="1">
      <c r="A18" s="68">
        <f t="shared" si="0"/>
        <v>17</v>
      </c>
      <c r="B18" s="1430" t="s">
        <v>524</v>
      </c>
      <c r="C18" s="104" t="s">
        <v>44</v>
      </c>
      <c r="D18" s="104" t="s">
        <v>449</v>
      </c>
      <c r="E18" s="192" t="s">
        <v>1281</v>
      </c>
      <c r="F18" s="192" t="s">
        <v>636</v>
      </c>
      <c r="G18" s="122"/>
      <c r="H18" s="192">
        <v>37</v>
      </c>
      <c r="I18" s="213" t="s">
        <v>404</v>
      </c>
      <c r="J18" s="216" t="s">
        <v>1245</v>
      </c>
      <c r="K18" s="177" t="s">
        <v>262</v>
      </c>
      <c r="L18" s="101" t="s">
        <v>1271</v>
      </c>
      <c r="M18" s="101" t="s">
        <v>1271</v>
      </c>
      <c r="N18" s="98"/>
      <c r="O18" s="98"/>
      <c r="P18" s="98"/>
    </row>
    <row r="19" spans="1:16" s="65" customFormat="1" ht="15.75" thickBot="1">
      <c r="A19" s="68">
        <f t="shared" si="0"/>
        <v>18</v>
      </c>
      <c r="B19" s="1430" t="s">
        <v>524</v>
      </c>
      <c r="C19" s="93" t="s">
        <v>44</v>
      </c>
      <c r="D19" s="93" t="s">
        <v>449</v>
      </c>
      <c r="E19" s="192" t="s">
        <v>1307</v>
      </c>
      <c r="F19" s="192" t="s">
        <v>636</v>
      </c>
      <c r="G19" s="122"/>
      <c r="H19" s="192">
        <v>32</v>
      </c>
      <c r="I19" s="113" t="s">
        <v>404</v>
      </c>
      <c r="J19" s="217" t="s">
        <v>1308</v>
      </c>
      <c r="K19" s="177" t="s">
        <v>262</v>
      </c>
      <c r="L19" s="101" t="s">
        <v>1283</v>
      </c>
      <c r="M19" s="101" t="s">
        <v>1283</v>
      </c>
      <c r="N19" s="98"/>
      <c r="O19" s="98"/>
      <c r="P19" s="98"/>
    </row>
    <row r="20" spans="1:16" s="98" customFormat="1" ht="20.25" customHeight="1" thickBot="1">
      <c r="A20" s="68">
        <f t="shared" si="0"/>
        <v>19</v>
      </c>
      <c r="B20" s="1430" t="s">
        <v>524</v>
      </c>
      <c r="C20" s="94" t="s">
        <v>44</v>
      </c>
      <c r="D20" s="94" t="s">
        <v>449</v>
      </c>
      <c r="E20" s="118" t="s">
        <v>1368</v>
      </c>
      <c r="F20" s="118" t="s">
        <v>636</v>
      </c>
      <c r="G20" s="164"/>
      <c r="H20" s="118">
        <v>39</v>
      </c>
      <c r="I20" s="178" t="s">
        <v>404</v>
      </c>
      <c r="J20" s="214" t="s">
        <v>1245</v>
      </c>
      <c r="K20" s="177" t="s">
        <v>262</v>
      </c>
      <c r="L20" s="66">
        <v>65197</v>
      </c>
      <c r="M20" s="66">
        <v>65197</v>
      </c>
      <c r="N20" s="65"/>
      <c r="O20" s="65"/>
      <c r="P20" s="65"/>
    </row>
    <row r="21" spans="1:16" ht="20.25" customHeight="1" thickBot="1">
      <c r="A21" s="68">
        <f t="shared" si="0"/>
        <v>20</v>
      </c>
      <c r="B21" s="1430" t="s">
        <v>43</v>
      </c>
      <c r="C21" s="170" t="s">
        <v>44</v>
      </c>
      <c r="D21" s="170" t="s">
        <v>45</v>
      </c>
      <c r="E21" s="166" t="s">
        <v>2378</v>
      </c>
      <c r="F21" s="176" t="s">
        <v>491</v>
      </c>
      <c r="G21" s="165">
        <v>9843663492</v>
      </c>
      <c r="H21" s="165">
        <v>66</v>
      </c>
      <c r="I21" s="166" t="s">
        <v>90</v>
      </c>
      <c r="J21" s="204" t="s">
        <v>345</v>
      </c>
      <c r="K21" s="177" t="s">
        <v>262</v>
      </c>
      <c r="L21" s="180">
        <v>65038</v>
      </c>
      <c r="M21" s="180">
        <v>65038</v>
      </c>
      <c r="N21" s="65"/>
      <c r="O21" s="65"/>
      <c r="P21" s="65"/>
    </row>
    <row r="22" spans="1:16" ht="27" thickBot="1">
      <c r="A22" s="68">
        <f t="shared" si="0"/>
        <v>21</v>
      </c>
      <c r="B22" s="1430" t="s">
        <v>43</v>
      </c>
      <c r="C22" s="170" t="s">
        <v>44</v>
      </c>
      <c r="D22" s="170" t="s">
        <v>45</v>
      </c>
      <c r="E22" s="166" t="s">
        <v>2489</v>
      </c>
      <c r="F22" s="176" t="s">
        <v>502</v>
      </c>
      <c r="G22" s="165">
        <v>9843663492</v>
      </c>
      <c r="H22" s="165">
        <v>65</v>
      </c>
      <c r="I22" s="166" t="s">
        <v>48</v>
      </c>
      <c r="J22" s="204" t="s">
        <v>345</v>
      </c>
      <c r="K22" s="177" t="s">
        <v>262</v>
      </c>
      <c r="L22" s="180">
        <v>65038</v>
      </c>
      <c r="M22" s="180">
        <v>65038</v>
      </c>
      <c r="N22" s="65"/>
      <c r="O22" s="65"/>
      <c r="P22" s="65"/>
    </row>
    <row r="23" spans="1:16" ht="16.5" thickBot="1">
      <c r="A23" s="68">
        <f t="shared" si="0"/>
        <v>22</v>
      </c>
      <c r="B23" s="1430" t="s">
        <v>43</v>
      </c>
      <c r="C23" s="94" t="s">
        <v>44</v>
      </c>
      <c r="D23" s="94" t="s">
        <v>45</v>
      </c>
      <c r="E23" s="166" t="s">
        <v>2035</v>
      </c>
      <c r="F23" s="166" t="s">
        <v>491</v>
      </c>
      <c r="G23" s="166"/>
      <c r="H23" s="165">
        <v>42</v>
      </c>
      <c r="I23" s="166" t="s">
        <v>48</v>
      </c>
      <c r="J23" s="204" t="s">
        <v>53</v>
      </c>
      <c r="K23" s="166" t="s">
        <v>1706</v>
      </c>
      <c r="L23" s="167">
        <v>65033</v>
      </c>
      <c r="M23" s="167">
        <v>65033</v>
      </c>
      <c r="N23" s="65"/>
      <c r="O23" s="170"/>
      <c r="P23" s="65"/>
    </row>
    <row r="24" spans="1:16" ht="26.25" thickBot="1">
      <c r="A24" s="68">
        <f t="shared" si="0"/>
        <v>23</v>
      </c>
      <c r="B24" s="1430" t="s">
        <v>43</v>
      </c>
      <c r="C24" s="174" t="s">
        <v>44</v>
      </c>
      <c r="D24" s="174" t="s">
        <v>45</v>
      </c>
      <c r="E24" s="169" t="s">
        <v>2105</v>
      </c>
      <c r="F24" s="187" t="s">
        <v>502</v>
      </c>
      <c r="G24" s="169">
        <v>9847890758</v>
      </c>
      <c r="H24" s="168">
        <v>37</v>
      </c>
      <c r="I24" s="169" t="s">
        <v>90</v>
      </c>
      <c r="J24" s="205" t="s">
        <v>1706</v>
      </c>
      <c r="K24" s="166" t="s">
        <v>1706</v>
      </c>
      <c r="L24" s="218">
        <v>65033</v>
      </c>
      <c r="M24" s="218">
        <v>65033</v>
      </c>
      <c r="N24" s="163"/>
      <c r="O24" s="174"/>
      <c r="P24" s="163"/>
    </row>
    <row r="25" spans="1:16" ht="25.5">
      <c r="A25" s="68">
        <f t="shared" si="0"/>
        <v>24</v>
      </c>
      <c r="B25" s="1430" t="s">
        <v>43</v>
      </c>
      <c r="C25" s="174" t="s">
        <v>44</v>
      </c>
      <c r="D25" s="174" t="s">
        <v>45</v>
      </c>
      <c r="E25" s="635" t="s">
        <v>3792</v>
      </c>
      <c r="F25" s="689" t="s">
        <v>415</v>
      </c>
      <c r="G25" s="635">
        <v>9809895470</v>
      </c>
      <c r="H25" s="634">
        <v>27</v>
      </c>
      <c r="I25" s="635" t="s">
        <v>90</v>
      </c>
      <c r="J25" s="635" t="s">
        <v>1459</v>
      </c>
      <c r="K25" s="635" t="s">
        <v>1459</v>
      </c>
      <c r="L25" s="690">
        <v>65049</v>
      </c>
      <c r="M25" s="690">
        <v>65049</v>
      </c>
    </row>
    <row r="26" spans="1:16" ht="25.5">
      <c r="D26" s="635" t="s">
        <v>45</v>
      </c>
      <c r="E26" s="831" t="s">
        <v>4043</v>
      </c>
      <c r="F26" s="807" t="s">
        <v>510</v>
      </c>
      <c r="G26" s="807">
        <v>9843982201</v>
      </c>
      <c r="H26" s="807">
        <v>35</v>
      </c>
      <c r="I26" s="807" t="s">
        <v>90</v>
      </c>
      <c r="J26" s="807" t="s">
        <v>1468</v>
      </c>
      <c r="K26" s="832" t="s">
        <v>4276</v>
      </c>
      <c r="L26" s="834">
        <v>65052</v>
      </c>
      <c r="M26" s="834">
        <v>65052</v>
      </c>
    </row>
  </sheetData>
  <sortState ref="A2:P28">
    <sortCondition ref="K2:K28"/>
  </sortState>
  <conditionalFormatting sqref="E26">
    <cfRule type="duplicateValues" dxfId="117" priority="1"/>
  </conditionalFormatting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V1048573"/>
  <sheetViews>
    <sheetView topLeftCell="C163" zoomScale="80" zoomScaleNormal="80" workbookViewId="0">
      <selection activeCell="O180" sqref="O180:P181"/>
    </sheetView>
  </sheetViews>
  <sheetFormatPr defaultRowHeight="15"/>
  <cols>
    <col min="1" max="1" width="6.42578125" style="100" bestFit="1" customWidth="1"/>
    <col min="2" max="2" width="7.28515625" style="49" bestFit="1" customWidth="1"/>
    <col min="3" max="3" width="5.85546875" style="93" bestFit="1" customWidth="1"/>
    <col min="4" max="4" width="10.7109375" style="49" bestFit="1" customWidth="1"/>
    <col min="5" max="5" width="29.42578125" style="93" bestFit="1" customWidth="1"/>
    <col min="6" max="6" width="11.5703125" style="49" bestFit="1" customWidth="1"/>
    <col min="7" max="7" width="5.85546875" style="93" bestFit="1" customWidth="1"/>
    <col min="8" max="8" width="17.85546875" style="49" bestFit="1" customWidth="1"/>
    <col min="9" max="9" width="4.85546875" style="93" bestFit="1" customWidth="1"/>
    <col min="10" max="10" width="6.5703125" style="49" bestFit="1" customWidth="1"/>
    <col min="11" max="11" width="33.42578125" style="49" bestFit="1" customWidth="1"/>
    <col min="12" max="12" width="28.42578125" style="880" bestFit="1" customWidth="1"/>
    <col min="13" max="13" width="8.7109375" style="49" bestFit="1" customWidth="1"/>
    <col min="14" max="14" width="10.5703125" style="1232" bestFit="1" customWidth="1"/>
    <col min="15" max="15" width="15.85546875" style="1234" bestFit="1" customWidth="1"/>
    <col min="16" max="16" width="12.140625" style="49" bestFit="1" customWidth="1"/>
    <col min="17" max="17" width="30" style="49" bestFit="1" customWidth="1"/>
    <col min="18" max="18" width="23.42578125" style="49" bestFit="1" customWidth="1"/>
    <col min="19" max="19" width="12" style="49" bestFit="1" customWidth="1"/>
    <col min="20" max="20" width="10.85546875" style="49" customWidth="1"/>
    <col min="21" max="16384" width="9.140625" style="49"/>
  </cols>
  <sheetData>
    <row r="1" spans="1:20">
      <c r="A1" s="1619" t="s">
        <v>3437</v>
      </c>
      <c r="B1" s="1620" t="s">
        <v>26</v>
      </c>
      <c r="C1" s="1622" t="s">
        <v>3579</v>
      </c>
      <c r="D1" s="1620" t="s">
        <v>3438</v>
      </c>
      <c r="E1" s="1621" t="s">
        <v>28</v>
      </c>
      <c r="F1" s="1620" t="s">
        <v>3439</v>
      </c>
      <c r="G1" s="1620"/>
      <c r="H1" s="1626" t="s">
        <v>2007</v>
      </c>
      <c r="I1" s="1621" t="s">
        <v>32</v>
      </c>
      <c r="J1" s="1620" t="s">
        <v>33</v>
      </c>
      <c r="K1" s="1620" t="s">
        <v>3440</v>
      </c>
      <c r="L1" s="1624" t="s">
        <v>3441</v>
      </c>
      <c r="M1" s="1620" t="s">
        <v>38</v>
      </c>
      <c r="N1" s="1620"/>
      <c r="O1" s="1625" t="s">
        <v>3442</v>
      </c>
      <c r="P1" s="1627" t="s">
        <v>3443</v>
      </c>
      <c r="Q1" s="1628"/>
      <c r="R1" s="1620" t="s">
        <v>42</v>
      </c>
      <c r="S1" s="1620"/>
      <c r="T1" s="1618" t="s">
        <v>4645</v>
      </c>
    </row>
    <row r="2" spans="1:20" ht="30">
      <c r="A2" s="1619"/>
      <c r="B2" s="1620"/>
      <c r="C2" s="1623"/>
      <c r="D2" s="1620"/>
      <c r="E2" s="1621"/>
      <c r="F2" s="843" t="s">
        <v>3444</v>
      </c>
      <c r="G2" s="953" t="s">
        <v>3445</v>
      </c>
      <c r="H2" s="1626"/>
      <c r="I2" s="1621"/>
      <c r="J2" s="1620"/>
      <c r="K2" s="1620"/>
      <c r="L2" s="1624"/>
      <c r="M2" s="843" t="s">
        <v>3447</v>
      </c>
      <c r="N2" s="1227" t="s">
        <v>3448</v>
      </c>
      <c r="O2" s="1625"/>
      <c r="P2" s="843" t="s">
        <v>3576</v>
      </c>
      <c r="Q2" s="843" t="s">
        <v>3577</v>
      </c>
      <c r="R2" s="844" t="s">
        <v>3449</v>
      </c>
      <c r="S2" s="844" t="s">
        <v>3446</v>
      </c>
      <c r="T2" s="1618"/>
    </row>
    <row r="3" spans="1:20" ht="17.25">
      <c r="A3" s="927">
        <f>A2+1</f>
        <v>1</v>
      </c>
      <c r="B3" s="297" t="s">
        <v>44</v>
      </c>
      <c r="C3" s="266">
        <v>31</v>
      </c>
      <c r="D3" s="297" t="s">
        <v>3450</v>
      </c>
      <c r="E3" s="266" t="s">
        <v>3547</v>
      </c>
      <c r="F3" s="297" t="s">
        <v>3464</v>
      </c>
      <c r="G3" s="956">
        <v>9</v>
      </c>
      <c r="H3" s="962">
        <v>9829508247</v>
      </c>
      <c r="I3" s="956">
        <v>37</v>
      </c>
      <c r="J3" s="297" t="s">
        <v>48</v>
      </c>
      <c r="K3" s="297" t="s">
        <v>3465</v>
      </c>
      <c r="L3" s="111"/>
      <c r="M3" s="847">
        <v>0.38541666666666669</v>
      </c>
      <c r="N3" s="845">
        <v>65046</v>
      </c>
      <c r="O3" s="874">
        <v>65046</v>
      </c>
      <c r="P3" s="290" t="s">
        <v>1222</v>
      </c>
      <c r="Q3" s="297"/>
      <c r="R3" s="297" t="s">
        <v>3514</v>
      </c>
      <c r="S3" s="297" t="s">
        <v>3495</v>
      </c>
      <c r="T3" s="47">
        <f>(O3-N3)+1</f>
        <v>1</v>
      </c>
    </row>
    <row r="4" spans="1:20" ht="17.25">
      <c r="A4" s="927">
        <f t="shared" ref="A4:A35" si="0">A3+1</f>
        <v>2</v>
      </c>
      <c r="B4" s="297" t="s">
        <v>44</v>
      </c>
      <c r="C4" s="266">
        <v>20</v>
      </c>
      <c r="D4" s="297" t="s">
        <v>3450</v>
      </c>
      <c r="E4" s="266" t="s">
        <v>3537</v>
      </c>
      <c r="F4" s="297"/>
      <c r="G4" s="956">
        <v>9</v>
      </c>
      <c r="H4" s="962">
        <v>9857820623</v>
      </c>
      <c r="I4" s="956">
        <v>39</v>
      </c>
      <c r="J4" s="297" t="s">
        <v>48</v>
      </c>
      <c r="K4" s="297" t="s">
        <v>3471</v>
      </c>
      <c r="L4" s="874">
        <v>65045</v>
      </c>
      <c r="M4" s="846">
        <v>0.52083333333333337</v>
      </c>
      <c r="N4" s="845">
        <v>65045</v>
      </c>
      <c r="O4" s="874">
        <v>65046</v>
      </c>
      <c r="P4" s="290" t="s">
        <v>1222</v>
      </c>
      <c r="Q4" s="297"/>
      <c r="R4" s="297" t="s">
        <v>3475</v>
      </c>
      <c r="S4" s="297" t="s">
        <v>3476</v>
      </c>
      <c r="T4" s="47">
        <f t="shared" ref="T4:T35" si="1">(O4-N4)+1</f>
        <v>2</v>
      </c>
    </row>
    <row r="5" spans="1:20" ht="17.25">
      <c r="A5" s="927">
        <f t="shared" si="0"/>
        <v>3</v>
      </c>
      <c r="B5" s="297" t="s">
        <v>44</v>
      </c>
      <c r="C5" s="266">
        <v>38</v>
      </c>
      <c r="D5" s="297" t="s">
        <v>3450</v>
      </c>
      <c r="E5" s="266" t="s">
        <v>3553</v>
      </c>
      <c r="F5" s="297"/>
      <c r="G5" s="956">
        <v>16</v>
      </c>
      <c r="H5" s="962">
        <v>9829518244</v>
      </c>
      <c r="I5" s="956">
        <v>78</v>
      </c>
      <c r="J5" s="297" t="s">
        <v>48</v>
      </c>
      <c r="K5" s="297" t="s">
        <v>3574</v>
      </c>
      <c r="L5" s="295">
        <v>65045</v>
      </c>
      <c r="M5" s="297"/>
      <c r="N5" s="845">
        <v>65045</v>
      </c>
      <c r="O5" s="874">
        <v>65047</v>
      </c>
      <c r="P5" s="290" t="s">
        <v>1222</v>
      </c>
      <c r="Q5" s="297"/>
      <c r="R5" s="297" t="s">
        <v>3566</v>
      </c>
      <c r="S5" s="297"/>
      <c r="T5" s="47">
        <f t="shared" si="1"/>
        <v>3</v>
      </c>
    </row>
    <row r="6" spans="1:20" ht="17.25">
      <c r="A6" s="927">
        <f t="shared" si="0"/>
        <v>4</v>
      </c>
      <c r="B6" s="297" t="s">
        <v>44</v>
      </c>
      <c r="C6" s="266">
        <v>14</v>
      </c>
      <c r="D6" s="297" t="s">
        <v>3450</v>
      </c>
      <c r="E6" s="266" t="s">
        <v>3533</v>
      </c>
      <c r="F6" s="297"/>
      <c r="G6" s="956">
        <v>7</v>
      </c>
      <c r="H6" s="962">
        <v>9841629760</v>
      </c>
      <c r="I6" s="956">
        <v>62</v>
      </c>
      <c r="J6" s="297" t="s">
        <v>48</v>
      </c>
      <c r="K6" s="296" t="s">
        <v>3487</v>
      </c>
      <c r="L6" s="874">
        <v>65043</v>
      </c>
      <c r="M6" s="846"/>
      <c r="N6" s="845">
        <v>65044</v>
      </c>
      <c r="O6" s="874">
        <v>65044</v>
      </c>
      <c r="P6" s="290" t="s">
        <v>1222</v>
      </c>
      <c r="Q6" s="297"/>
      <c r="R6" s="297" t="s">
        <v>3462</v>
      </c>
      <c r="S6" s="297">
        <v>9841629760</v>
      </c>
      <c r="T6" s="47">
        <f t="shared" si="1"/>
        <v>1</v>
      </c>
    </row>
    <row r="7" spans="1:20" ht="17.25">
      <c r="A7" s="927">
        <f t="shared" si="0"/>
        <v>5</v>
      </c>
      <c r="B7" s="297" t="s">
        <v>44</v>
      </c>
      <c r="C7" s="266">
        <v>18</v>
      </c>
      <c r="D7" s="297" t="s">
        <v>3450</v>
      </c>
      <c r="E7" s="266" t="s">
        <v>3536</v>
      </c>
      <c r="F7" s="297" t="s">
        <v>3470</v>
      </c>
      <c r="G7" s="956">
        <v>8</v>
      </c>
      <c r="H7" s="962">
        <v>9849886031</v>
      </c>
      <c r="I7" s="956">
        <v>30</v>
      </c>
      <c r="J7" s="297" t="s">
        <v>90</v>
      </c>
      <c r="K7" s="297" t="s">
        <v>3471</v>
      </c>
      <c r="L7" s="874">
        <v>65045</v>
      </c>
      <c r="M7" s="846">
        <v>0.4375</v>
      </c>
      <c r="N7" s="845">
        <v>65045</v>
      </c>
      <c r="O7" s="874">
        <v>65045</v>
      </c>
      <c r="P7" s="290" t="s">
        <v>1222</v>
      </c>
      <c r="Q7" s="297"/>
      <c r="R7" s="297" t="s">
        <v>3472</v>
      </c>
      <c r="S7" s="297" t="s">
        <v>3454</v>
      </c>
      <c r="T7" s="47">
        <f t="shared" si="1"/>
        <v>1</v>
      </c>
    </row>
    <row r="8" spans="1:20" ht="17.25">
      <c r="A8" s="927">
        <f t="shared" si="0"/>
        <v>6</v>
      </c>
      <c r="B8" s="250" t="s">
        <v>44</v>
      </c>
      <c r="C8" s="250">
        <v>98</v>
      </c>
      <c r="D8" s="250" t="s">
        <v>3450</v>
      </c>
      <c r="E8" s="250" t="s">
        <v>4322</v>
      </c>
      <c r="F8" s="906"/>
      <c r="G8" s="250">
        <v>5</v>
      </c>
      <c r="H8" s="906">
        <v>9809794329</v>
      </c>
      <c r="I8" s="250">
        <v>56</v>
      </c>
      <c r="J8" s="250" t="s">
        <v>90</v>
      </c>
      <c r="K8" s="250" t="s">
        <v>3471</v>
      </c>
      <c r="L8" s="252">
        <v>14079</v>
      </c>
      <c r="M8" s="906"/>
      <c r="N8" s="1228">
        <v>65056</v>
      </c>
      <c r="O8" s="875">
        <v>65069</v>
      </c>
      <c r="P8" s="1058" t="s">
        <v>3486</v>
      </c>
      <c r="Q8" s="906"/>
      <c r="R8" s="250" t="s">
        <v>4323</v>
      </c>
      <c r="S8" s="906"/>
      <c r="T8" s="906">
        <f t="shared" si="1"/>
        <v>14</v>
      </c>
    </row>
    <row r="9" spans="1:20" ht="17.25">
      <c r="A9" s="927">
        <f t="shared" si="0"/>
        <v>7</v>
      </c>
      <c r="B9" s="255" t="s">
        <v>44</v>
      </c>
      <c r="C9" s="970">
        <v>50</v>
      </c>
      <c r="D9" s="255" t="s">
        <v>3450</v>
      </c>
      <c r="E9" s="250" t="s">
        <v>3753</v>
      </c>
      <c r="F9" s="255"/>
      <c r="G9" s="958">
        <v>5</v>
      </c>
      <c r="H9" s="963">
        <v>9857820623</v>
      </c>
      <c r="I9" s="250">
        <v>17</v>
      </c>
      <c r="J9" s="255" t="s">
        <v>90</v>
      </c>
      <c r="K9" s="255"/>
      <c r="L9" s="876">
        <v>65047</v>
      </c>
      <c r="M9" s="255"/>
      <c r="N9" s="848">
        <v>65049</v>
      </c>
      <c r="O9" s="875">
        <v>65049</v>
      </c>
      <c r="P9" s="255" t="s">
        <v>3486</v>
      </c>
      <c r="Q9" s="255"/>
      <c r="R9" s="255" t="s">
        <v>3757</v>
      </c>
      <c r="S9" s="255" t="s">
        <v>3759</v>
      </c>
      <c r="T9" s="47">
        <f t="shared" si="1"/>
        <v>1</v>
      </c>
    </row>
    <row r="10" spans="1:20" ht="17.25">
      <c r="A10" s="927">
        <f t="shared" si="0"/>
        <v>8</v>
      </c>
      <c r="B10" s="250" t="s">
        <v>3457</v>
      </c>
      <c r="C10" s="250">
        <v>93</v>
      </c>
      <c r="D10" s="250" t="s">
        <v>4260</v>
      </c>
      <c r="E10" s="250" t="s">
        <v>4259</v>
      </c>
      <c r="F10" s="250"/>
      <c r="G10" s="958">
        <v>3</v>
      </c>
      <c r="H10" s="906">
        <v>9826507972</v>
      </c>
      <c r="I10" s="250">
        <v>41</v>
      </c>
      <c r="J10" s="250" t="s">
        <v>48</v>
      </c>
      <c r="K10" s="250" t="s">
        <v>3471</v>
      </c>
      <c r="L10" s="252">
        <v>1578</v>
      </c>
      <c r="M10" s="250"/>
      <c r="N10" s="1228">
        <v>65054</v>
      </c>
      <c r="O10" s="875">
        <v>65063</v>
      </c>
      <c r="P10" s="1058" t="s">
        <v>3486</v>
      </c>
      <c r="Q10" s="250"/>
      <c r="R10" s="250" t="s">
        <v>4261</v>
      </c>
      <c r="S10" s="250"/>
      <c r="T10" s="47">
        <f t="shared" si="1"/>
        <v>10</v>
      </c>
    </row>
    <row r="11" spans="1:20" ht="17.25">
      <c r="A11" s="1177">
        <f t="shared" si="0"/>
        <v>9</v>
      </c>
      <c r="B11" s="255" t="s">
        <v>44</v>
      </c>
      <c r="C11" s="250">
        <v>126</v>
      </c>
      <c r="D11" s="255" t="s">
        <v>3450</v>
      </c>
      <c r="E11" s="1275" t="s">
        <v>4688</v>
      </c>
      <c r="F11" s="906"/>
      <c r="G11" s="250">
        <v>16</v>
      </c>
      <c r="H11" s="1235">
        <v>9810995764</v>
      </c>
      <c r="I11" s="250">
        <v>68</v>
      </c>
      <c r="J11" s="255" t="s">
        <v>90</v>
      </c>
      <c r="K11" s="255" t="s">
        <v>3471</v>
      </c>
      <c r="L11" s="252">
        <v>15708</v>
      </c>
      <c r="M11" s="906"/>
      <c r="N11" s="1228">
        <v>65073</v>
      </c>
      <c r="O11" s="875">
        <v>65078</v>
      </c>
      <c r="P11" s="1058" t="s">
        <v>3486</v>
      </c>
      <c r="Q11" s="906"/>
      <c r="R11" s="250" t="s">
        <v>4689</v>
      </c>
      <c r="S11" s="906"/>
      <c r="T11" s="906">
        <f t="shared" si="1"/>
        <v>6</v>
      </c>
    </row>
    <row r="12" spans="1:20" ht="34.5">
      <c r="A12" s="927">
        <f t="shared" si="0"/>
        <v>10</v>
      </c>
      <c r="B12" s="255" t="s">
        <v>44</v>
      </c>
      <c r="C12" s="250">
        <v>8</v>
      </c>
      <c r="D12" s="255" t="s">
        <v>3450</v>
      </c>
      <c r="E12" s="250" t="s">
        <v>3528</v>
      </c>
      <c r="F12" s="255" t="s">
        <v>3455</v>
      </c>
      <c r="G12" s="955">
        <v>9</v>
      </c>
      <c r="H12" s="961" t="s">
        <v>3496</v>
      </c>
      <c r="I12" s="955">
        <v>40</v>
      </c>
      <c r="J12" s="255" t="s">
        <v>48</v>
      </c>
      <c r="K12" s="255" t="s">
        <v>3465</v>
      </c>
      <c r="L12" s="875"/>
      <c r="M12" s="849">
        <v>0.66666666666666663</v>
      </c>
      <c r="N12" s="848">
        <v>65043</v>
      </c>
      <c r="O12" s="875">
        <v>65046</v>
      </c>
      <c r="P12" s="256" t="s">
        <v>3486</v>
      </c>
      <c r="Q12" s="255"/>
      <c r="R12" s="255" t="s">
        <v>3497</v>
      </c>
      <c r="S12" s="255" t="s">
        <v>3476</v>
      </c>
      <c r="T12" s="1236">
        <f t="shared" si="1"/>
        <v>4</v>
      </c>
    </row>
    <row r="13" spans="1:20" ht="17.25">
      <c r="A13" s="927">
        <f t="shared" si="0"/>
        <v>11</v>
      </c>
      <c r="B13" s="255" t="s">
        <v>44</v>
      </c>
      <c r="C13" s="250">
        <v>119</v>
      </c>
      <c r="D13" s="255" t="s">
        <v>3450</v>
      </c>
      <c r="E13" s="250" t="s">
        <v>607</v>
      </c>
      <c r="F13" s="906"/>
      <c r="G13" s="250">
        <v>13</v>
      </c>
      <c r="H13" s="906">
        <v>9840494792</v>
      </c>
      <c r="I13" s="250">
        <v>64</v>
      </c>
      <c r="J13" s="255" t="s">
        <v>48</v>
      </c>
      <c r="K13" s="255" t="s">
        <v>3465</v>
      </c>
      <c r="L13" s="252" t="s">
        <v>4579</v>
      </c>
      <c r="M13" s="906"/>
      <c r="N13" s="1228">
        <v>65064</v>
      </c>
      <c r="O13" s="875">
        <v>65072</v>
      </c>
      <c r="P13" s="1058" t="s">
        <v>3486</v>
      </c>
      <c r="Q13" s="906"/>
      <c r="R13" s="250" t="s">
        <v>4580</v>
      </c>
      <c r="S13" s="906"/>
      <c r="T13" s="906">
        <f t="shared" si="1"/>
        <v>9</v>
      </c>
    </row>
    <row r="14" spans="1:20" ht="17.25">
      <c r="A14" s="927">
        <f t="shared" si="0"/>
        <v>12</v>
      </c>
      <c r="B14" s="255" t="s">
        <v>44</v>
      </c>
      <c r="C14" s="970">
        <v>65</v>
      </c>
      <c r="D14" s="255" t="s">
        <v>3450</v>
      </c>
      <c r="E14" s="967" t="s">
        <v>3980</v>
      </c>
      <c r="F14" s="255"/>
      <c r="G14" s="958">
        <v>6</v>
      </c>
      <c r="H14" s="964">
        <v>9843668141</v>
      </c>
      <c r="I14" s="967">
        <v>67</v>
      </c>
      <c r="J14" s="255" t="s">
        <v>90</v>
      </c>
      <c r="K14" s="255" t="s">
        <v>3471</v>
      </c>
      <c r="L14" s="252">
        <v>990</v>
      </c>
      <c r="M14" s="255"/>
      <c r="N14" s="848">
        <v>65051</v>
      </c>
      <c r="O14" s="875">
        <v>65054</v>
      </c>
      <c r="P14" s="256" t="s">
        <v>3486</v>
      </c>
      <c r="Q14" s="255"/>
      <c r="R14" s="852" t="s">
        <v>3998</v>
      </c>
      <c r="S14" s="255"/>
      <c r="T14" s="47">
        <f t="shared" si="1"/>
        <v>4</v>
      </c>
    </row>
    <row r="15" spans="1:20" ht="17.25">
      <c r="A15" s="927">
        <f t="shared" si="0"/>
        <v>13</v>
      </c>
      <c r="B15" s="255" t="s">
        <v>44</v>
      </c>
      <c r="C15" s="250">
        <v>91</v>
      </c>
      <c r="D15" s="255" t="s">
        <v>3450</v>
      </c>
      <c r="E15" s="250" t="s">
        <v>4247</v>
      </c>
      <c r="F15" s="255"/>
      <c r="G15" s="955">
        <v>18</v>
      </c>
      <c r="H15" s="906">
        <v>9808328098</v>
      </c>
      <c r="I15" s="250">
        <v>37</v>
      </c>
      <c r="J15" s="255" t="s">
        <v>48</v>
      </c>
      <c r="K15" s="255" t="s">
        <v>3471</v>
      </c>
      <c r="L15" s="252">
        <v>13929</v>
      </c>
      <c r="M15" s="255"/>
      <c r="N15" s="848">
        <v>65054</v>
      </c>
      <c r="O15" s="875">
        <v>65054</v>
      </c>
      <c r="P15" s="255" t="s">
        <v>3486</v>
      </c>
      <c r="Q15" s="255"/>
      <c r="R15" s="255" t="s">
        <v>4248</v>
      </c>
      <c r="S15" s="255"/>
      <c r="T15" s="47">
        <f t="shared" si="1"/>
        <v>1</v>
      </c>
    </row>
    <row r="16" spans="1:20" ht="17.25">
      <c r="A16" s="927">
        <f t="shared" si="0"/>
        <v>14</v>
      </c>
      <c r="B16" s="255" t="s">
        <v>44</v>
      </c>
      <c r="C16" s="250">
        <v>5</v>
      </c>
      <c r="D16" s="255" t="s">
        <v>3450</v>
      </c>
      <c r="E16" s="250" t="s">
        <v>2595</v>
      </c>
      <c r="F16" s="255"/>
      <c r="G16" s="955">
        <v>6</v>
      </c>
      <c r="H16" s="960">
        <v>9849879185</v>
      </c>
      <c r="I16" s="955">
        <v>33</v>
      </c>
      <c r="J16" s="255" t="s">
        <v>90</v>
      </c>
      <c r="K16" s="255" t="s">
        <v>3487</v>
      </c>
      <c r="L16" s="875"/>
      <c r="M16" s="849"/>
      <c r="N16" s="848">
        <v>65043</v>
      </c>
      <c r="O16" s="875">
        <v>65046</v>
      </c>
      <c r="P16" s="256" t="s">
        <v>3486</v>
      </c>
      <c r="Q16" s="255"/>
      <c r="R16" s="255" t="s">
        <v>3489</v>
      </c>
      <c r="S16" s="255" t="s">
        <v>3490</v>
      </c>
      <c r="T16" s="47">
        <f t="shared" si="1"/>
        <v>4</v>
      </c>
    </row>
    <row r="17" spans="1:20" ht="17.25">
      <c r="A17" s="927">
        <f t="shared" si="0"/>
        <v>15</v>
      </c>
      <c r="B17" s="255" t="s">
        <v>44</v>
      </c>
      <c r="C17" s="970">
        <v>49</v>
      </c>
      <c r="D17" s="255" t="s">
        <v>3450</v>
      </c>
      <c r="E17" s="250" t="s">
        <v>3752</v>
      </c>
      <c r="F17" s="255"/>
      <c r="G17" s="958">
        <v>18</v>
      </c>
      <c r="H17" s="963">
        <v>9748522788</v>
      </c>
      <c r="I17" s="250">
        <v>39</v>
      </c>
      <c r="J17" s="255" t="s">
        <v>48</v>
      </c>
      <c r="K17" s="255"/>
      <c r="L17" s="876">
        <v>65047</v>
      </c>
      <c r="M17" s="255"/>
      <c r="N17" s="848">
        <v>65048</v>
      </c>
      <c r="O17" s="875">
        <v>65051</v>
      </c>
      <c r="P17" s="255" t="s">
        <v>3486</v>
      </c>
      <c r="Q17" s="255"/>
      <c r="R17" s="255" t="s">
        <v>3756</v>
      </c>
      <c r="S17" s="255" t="s">
        <v>3522</v>
      </c>
      <c r="T17" s="47">
        <f t="shared" si="1"/>
        <v>4</v>
      </c>
    </row>
    <row r="18" spans="1:20" ht="17.25">
      <c r="A18" s="927">
        <f t="shared" si="0"/>
        <v>16</v>
      </c>
      <c r="B18" s="255" t="s">
        <v>44</v>
      </c>
      <c r="C18" s="250">
        <v>114</v>
      </c>
      <c r="D18" s="255" t="s">
        <v>3450</v>
      </c>
      <c r="E18" s="250" t="s">
        <v>4482</v>
      </c>
      <c r="F18" s="906"/>
      <c r="G18" s="250">
        <v>6</v>
      </c>
      <c r="H18" s="906">
        <v>9822911127</v>
      </c>
      <c r="I18" s="250">
        <v>39</v>
      </c>
      <c r="J18" s="255" t="s">
        <v>90</v>
      </c>
      <c r="K18" s="255" t="s">
        <v>3465</v>
      </c>
      <c r="L18" s="252">
        <v>724</v>
      </c>
      <c r="M18" s="906"/>
      <c r="N18" s="1228">
        <v>65060</v>
      </c>
      <c r="O18" s="875">
        <v>65066</v>
      </c>
      <c r="P18" s="256" t="s">
        <v>3486</v>
      </c>
      <c r="Q18" s="906"/>
      <c r="R18" s="250" t="s">
        <v>4483</v>
      </c>
      <c r="S18" s="906"/>
      <c r="T18" s="47">
        <f t="shared" si="1"/>
        <v>7</v>
      </c>
    </row>
    <row r="19" spans="1:20" ht="17.25">
      <c r="A19" s="927">
        <f t="shared" si="0"/>
        <v>17</v>
      </c>
      <c r="B19" s="250" t="s">
        <v>44</v>
      </c>
      <c r="C19" s="250">
        <v>96</v>
      </c>
      <c r="D19" s="250" t="s">
        <v>4019</v>
      </c>
      <c r="E19" s="250" t="s">
        <v>4319</v>
      </c>
      <c r="F19" s="906"/>
      <c r="G19" s="250">
        <v>3</v>
      </c>
      <c r="H19" s="906">
        <v>9809876029</v>
      </c>
      <c r="I19" s="250">
        <v>46</v>
      </c>
      <c r="J19" s="250" t="s">
        <v>48</v>
      </c>
      <c r="K19" s="250" t="s">
        <v>3471</v>
      </c>
      <c r="L19" s="252">
        <v>14226</v>
      </c>
      <c r="M19" s="906"/>
      <c r="N19" s="1228">
        <v>65055</v>
      </c>
      <c r="O19" s="875">
        <v>65063</v>
      </c>
      <c r="P19" s="1058" t="s">
        <v>3486</v>
      </c>
      <c r="Q19" s="906"/>
      <c r="R19" s="250" t="s">
        <v>4320</v>
      </c>
      <c r="S19" s="906"/>
      <c r="T19" s="47">
        <f t="shared" si="1"/>
        <v>9</v>
      </c>
    </row>
    <row r="20" spans="1:20" ht="17.25">
      <c r="A20" s="927">
        <f t="shared" si="0"/>
        <v>18</v>
      </c>
      <c r="B20" s="255" t="s">
        <v>44</v>
      </c>
      <c r="C20" s="250">
        <v>33</v>
      </c>
      <c r="D20" s="255" t="s">
        <v>3450</v>
      </c>
      <c r="E20" s="250" t="s">
        <v>3548</v>
      </c>
      <c r="F20" s="255"/>
      <c r="G20" s="955">
        <v>2</v>
      </c>
      <c r="H20" s="960">
        <v>9829598093</v>
      </c>
      <c r="I20" s="955">
        <v>59</v>
      </c>
      <c r="J20" s="255" t="s">
        <v>48</v>
      </c>
      <c r="K20" s="255" t="s">
        <v>3471</v>
      </c>
      <c r="L20" s="252"/>
      <c r="M20" s="255"/>
      <c r="N20" s="848">
        <v>65046</v>
      </c>
      <c r="O20" s="875">
        <v>65048</v>
      </c>
      <c r="P20" s="255" t="s">
        <v>3486</v>
      </c>
      <c r="Q20" s="255"/>
      <c r="R20" s="255" t="s">
        <v>1292</v>
      </c>
      <c r="S20" s="255"/>
      <c r="T20" s="47">
        <f t="shared" si="1"/>
        <v>3</v>
      </c>
    </row>
    <row r="21" spans="1:20" ht="17.25">
      <c r="A21" s="927">
        <f t="shared" si="0"/>
        <v>19</v>
      </c>
      <c r="B21" s="255" t="s">
        <v>44</v>
      </c>
      <c r="C21" s="970">
        <v>80</v>
      </c>
      <c r="D21" s="255" t="s">
        <v>3450</v>
      </c>
      <c r="E21" s="250" t="s">
        <v>4105</v>
      </c>
      <c r="F21" s="255"/>
      <c r="G21" s="958">
        <v>18</v>
      </c>
      <c r="H21" s="906">
        <v>9857825291</v>
      </c>
      <c r="I21" s="968">
        <v>30</v>
      </c>
      <c r="J21" s="255" t="s">
        <v>48</v>
      </c>
      <c r="K21" s="255" t="s">
        <v>3471</v>
      </c>
      <c r="L21" s="252">
        <v>13815</v>
      </c>
      <c r="M21" s="255"/>
      <c r="N21" s="848">
        <v>65053</v>
      </c>
      <c r="O21" s="875">
        <v>65053</v>
      </c>
      <c r="P21" s="255" t="s">
        <v>3486</v>
      </c>
      <c r="Q21" s="255"/>
      <c r="R21" s="255" t="s">
        <v>4104</v>
      </c>
      <c r="S21" s="255"/>
      <c r="T21" s="47">
        <f t="shared" si="1"/>
        <v>1</v>
      </c>
    </row>
    <row r="22" spans="1:20" ht="17.25">
      <c r="A22" s="927">
        <f t="shared" si="0"/>
        <v>20</v>
      </c>
      <c r="B22" s="255" t="s">
        <v>44</v>
      </c>
      <c r="C22" s="250">
        <v>107</v>
      </c>
      <c r="D22" s="255" t="s">
        <v>3450</v>
      </c>
      <c r="E22" s="250" t="s">
        <v>4105</v>
      </c>
      <c r="F22" s="255"/>
      <c r="G22" s="250">
        <v>18</v>
      </c>
      <c r="H22" s="906">
        <v>9809720291</v>
      </c>
      <c r="I22" s="250">
        <v>30</v>
      </c>
      <c r="J22" s="255" t="s">
        <v>48</v>
      </c>
      <c r="K22" s="255" t="s">
        <v>3471</v>
      </c>
      <c r="L22" s="255">
        <v>13815</v>
      </c>
      <c r="M22" s="255"/>
      <c r="N22" s="848">
        <v>65057</v>
      </c>
      <c r="O22" s="875">
        <v>65060</v>
      </c>
      <c r="P22" s="256" t="s">
        <v>3486</v>
      </c>
      <c r="Q22" s="255"/>
      <c r="R22" s="255" t="s">
        <v>4335</v>
      </c>
      <c r="S22" s="255"/>
      <c r="T22" s="47">
        <f t="shared" si="1"/>
        <v>4</v>
      </c>
    </row>
    <row r="23" spans="1:20" ht="17.25">
      <c r="A23" s="927">
        <f t="shared" si="0"/>
        <v>21</v>
      </c>
      <c r="B23" s="255" t="s">
        <v>44</v>
      </c>
      <c r="C23" s="970">
        <v>87</v>
      </c>
      <c r="D23" s="255" t="s">
        <v>3450</v>
      </c>
      <c r="E23" s="967" t="s">
        <v>4094</v>
      </c>
      <c r="F23" s="255"/>
      <c r="G23" s="958">
        <v>8</v>
      </c>
      <c r="H23" s="964">
        <v>9801159953</v>
      </c>
      <c r="I23" s="967">
        <v>38</v>
      </c>
      <c r="J23" s="255" t="s">
        <v>48</v>
      </c>
      <c r="K23" s="255" t="s">
        <v>3471</v>
      </c>
      <c r="L23" s="252"/>
      <c r="M23" s="255"/>
      <c r="N23" s="848">
        <v>65053</v>
      </c>
      <c r="O23" s="875">
        <v>65060</v>
      </c>
      <c r="P23" s="256" t="s">
        <v>3486</v>
      </c>
      <c r="Q23" s="255"/>
      <c r="R23" s="852" t="s">
        <v>4098</v>
      </c>
      <c r="S23" s="255"/>
      <c r="T23" s="47">
        <f t="shared" si="1"/>
        <v>8</v>
      </c>
    </row>
    <row r="24" spans="1:20" ht="17.25">
      <c r="A24" s="927">
        <f t="shared" si="0"/>
        <v>22</v>
      </c>
      <c r="B24" s="255" t="s">
        <v>44</v>
      </c>
      <c r="C24" s="250">
        <v>7</v>
      </c>
      <c r="D24" s="255" t="s">
        <v>3450</v>
      </c>
      <c r="E24" s="250" t="s">
        <v>3527</v>
      </c>
      <c r="F24" s="255"/>
      <c r="G24" s="955">
        <v>8</v>
      </c>
      <c r="H24" s="960">
        <v>9847933017</v>
      </c>
      <c r="I24" s="955">
        <v>35</v>
      </c>
      <c r="J24" s="255" t="s">
        <v>48</v>
      </c>
      <c r="K24" s="850" t="s">
        <v>3471</v>
      </c>
      <c r="L24" s="875"/>
      <c r="M24" s="849">
        <v>0.45833333333333331</v>
      </c>
      <c r="N24" s="848">
        <v>65043</v>
      </c>
      <c r="O24" s="875">
        <v>65047</v>
      </c>
      <c r="P24" s="255" t="s">
        <v>3486</v>
      </c>
      <c r="Q24" s="255"/>
      <c r="R24" s="255" t="s">
        <v>3494</v>
      </c>
      <c r="S24" s="255" t="s">
        <v>3495</v>
      </c>
      <c r="T24" s="47">
        <f t="shared" si="1"/>
        <v>5</v>
      </c>
    </row>
    <row r="25" spans="1:20" ht="17.25">
      <c r="A25" s="927">
        <f t="shared" si="0"/>
        <v>23</v>
      </c>
      <c r="B25" s="255" t="s">
        <v>44</v>
      </c>
      <c r="C25" s="250">
        <v>27</v>
      </c>
      <c r="D25" s="255" t="s">
        <v>3450</v>
      </c>
      <c r="E25" s="250" t="s">
        <v>3043</v>
      </c>
      <c r="F25" s="255" t="s">
        <v>3509</v>
      </c>
      <c r="G25" s="955">
        <v>16</v>
      </c>
      <c r="H25" s="960">
        <v>9809829569</v>
      </c>
      <c r="I25" s="955">
        <v>58</v>
      </c>
      <c r="J25" s="255" t="s">
        <v>48</v>
      </c>
      <c r="K25" s="850" t="s">
        <v>3487</v>
      </c>
      <c r="L25" s="252"/>
      <c r="M25" s="255"/>
      <c r="N25" s="848">
        <v>65046</v>
      </c>
      <c r="O25" s="875">
        <v>65056</v>
      </c>
      <c r="P25" s="256" t="s">
        <v>3486</v>
      </c>
      <c r="Q25" s="255"/>
      <c r="R25" s="255" t="s">
        <v>3510</v>
      </c>
      <c r="S25" s="255" t="s">
        <v>3453</v>
      </c>
      <c r="T25" s="47">
        <f t="shared" si="1"/>
        <v>11</v>
      </c>
    </row>
    <row r="26" spans="1:20" ht="17.25">
      <c r="A26" s="927">
        <f t="shared" si="0"/>
        <v>24</v>
      </c>
      <c r="B26" s="255" t="s">
        <v>44</v>
      </c>
      <c r="C26" s="970">
        <v>70</v>
      </c>
      <c r="D26" s="255" t="s">
        <v>3450</v>
      </c>
      <c r="E26" s="967" t="s">
        <v>3981</v>
      </c>
      <c r="F26" s="255"/>
      <c r="G26" s="958">
        <v>9</v>
      </c>
      <c r="H26" s="964"/>
      <c r="I26" s="967">
        <v>40</v>
      </c>
      <c r="J26" s="255" t="s">
        <v>48</v>
      </c>
      <c r="K26" s="255"/>
      <c r="L26" s="252"/>
      <c r="M26" s="255"/>
      <c r="N26" s="848">
        <v>65051</v>
      </c>
      <c r="O26" s="875">
        <v>65057</v>
      </c>
      <c r="P26" s="256" t="s">
        <v>3486</v>
      </c>
      <c r="Q26" s="255"/>
      <c r="R26" s="852" t="s">
        <v>3999</v>
      </c>
      <c r="S26" s="255"/>
      <c r="T26" s="47">
        <f t="shared" si="1"/>
        <v>7</v>
      </c>
    </row>
    <row r="27" spans="1:20" ht="17.25">
      <c r="A27" s="927">
        <f t="shared" si="0"/>
        <v>25</v>
      </c>
      <c r="B27" s="255" t="s">
        <v>44</v>
      </c>
      <c r="C27" s="970">
        <v>52</v>
      </c>
      <c r="D27" s="255" t="s">
        <v>3450</v>
      </c>
      <c r="E27" s="250" t="s">
        <v>3755</v>
      </c>
      <c r="F27" s="255"/>
      <c r="G27" s="958">
        <v>8</v>
      </c>
      <c r="H27" s="963">
        <v>980982229</v>
      </c>
      <c r="I27" s="250">
        <v>67</v>
      </c>
      <c r="J27" s="255" t="s">
        <v>48</v>
      </c>
      <c r="K27" s="255"/>
      <c r="L27" s="876">
        <v>65048</v>
      </c>
      <c r="M27" s="255"/>
      <c r="N27" s="848">
        <v>65049</v>
      </c>
      <c r="O27" s="875">
        <v>65056</v>
      </c>
      <c r="P27" s="256" t="s">
        <v>3486</v>
      </c>
      <c r="Q27" s="255"/>
      <c r="R27" s="255" t="s">
        <v>3758</v>
      </c>
      <c r="S27" s="255"/>
      <c r="T27" s="1266">
        <f t="shared" si="1"/>
        <v>8</v>
      </c>
    </row>
    <row r="28" spans="1:20" ht="17.25">
      <c r="A28" s="1177">
        <f t="shared" si="0"/>
        <v>26</v>
      </c>
      <c r="B28" s="906" t="s">
        <v>3457</v>
      </c>
      <c r="C28" s="250">
        <v>124</v>
      </c>
      <c r="D28" s="250" t="s">
        <v>4647</v>
      </c>
      <c r="E28" s="250" t="s">
        <v>4648</v>
      </c>
      <c r="F28" s="906"/>
      <c r="G28" s="250">
        <v>5</v>
      </c>
      <c r="H28" s="906">
        <v>9843841762</v>
      </c>
      <c r="I28" s="250">
        <v>68</v>
      </c>
      <c r="J28" s="255" t="s">
        <v>90</v>
      </c>
      <c r="K28" s="255" t="s">
        <v>3465</v>
      </c>
      <c r="L28" s="252" t="s">
        <v>4649</v>
      </c>
      <c r="M28" s="906"/>
      <c r="N28" s="1228">
        <v>65069</v>
      </c>
      <c r="O28" s="875" t="s">
        <v>4753</v>
      </c>
      <c r="P28" s="1058" t="s">
        <v>3486</v>
      </c>
      <c r="Q28" s="906"/>
      <c r="R28" s="250" t="s">
        <v>4650</v>
      </c>
      <c r="S28" s="906"/>
      <c r="T28" s="906" t="e">
        <f t="shared" si="1"/>
        <v>#VALUE!</v>
      </c>
    </row>
    <row r="29" spans="1:20" ht="17.25">
      <c r="A29" s="927">
        <f t="shared" si="0"/>
        <v>27</v>
      </c>
      <c r="B29" s="255" t="s">
        <v>44</v>
      </c>
      <c r="C29" s="250">
        <v>121</v>
      </c>
      <c r="D29" s="255" t="s">
        <v>3450</v>
      </c>
      <c r="E29" s="250" t="s">
        <v>4596</v>
      </c>
      <c r="F29" s="906"/>
      <c r="G29" s="250">
        <v>12</v>
      </c>
      <c r="H29" s="906">
        <v>9866913987</v>
      </c>
      <c r="I29" s="250">
        <v>57</v>
      </c>
      <c r="J29" s="255" t="s">
        <v>48</v>
      </c>
      <c r="K29" s="255" t="s">
        <v>3465</v>
      </c>
      <c r="L29" s="252" t="s">
        <v>4597</v>
      </c>
      <c r="M29" s="906"/>
      <c r="N29" s="1228">
        <v>65066</v>
      </c>
      <c r="O29" s="875">
        <v>65072</v>
      </c>
      <c r="P29" s="1058" t="s">
        <v>3486</v>
      </c>
      <c r="Q29" s="906"/>
      <c r="R29" s="250" t="s">
        <v>4598</v>
      </c>
      <c r="S29" s="906"/>
      <c r="T29" s="906">
        <f t="shared" si="1"/>
        <v>7</v>
      </c>
    </row>
    <row r="30" spans="1:20" ht="17.25">
      <c r="A30" s="1177">
        <f t="shared" si="0"/>
        <v>28</v>
      </c>
      <c r="B30" s="906" t="s">
        <v>3457</v>
      </c>
      <c r="C30" s="250">
        <v>122</v>
      </c>
      <c r="D30" s="250" t="s">
        <v>4624</v>
      </c>
      <c r="E30" s="250" t="s">
        <v>4623</v>
      </c>
      <c r="F30" s="906"/>
      <c r="G30" s="250">
        <v>5</v>
      </c>
      <c r="H30" s="906">
        <v>9860030007</v>
      </c>
      <c r="I30" s="250">
        <v>62</v>
      </c>
      <c r="J30" s="255" t="s">
        <v>48</v>
      </c>
      <c r="K30" s="255" t="s">
        <v>3465</v>
      </c>
      <c r="L30" s="252" t="s">
        <v>4625</v>
      </c>
      <c r="M30" s="906"/>
      <c r="N30" s="1228">
        <v>65067</v>
      </c>
      <c r="O30" s="875" t="s">
        <v>4753</v>
      </c>
      <c r="P30" s="1058" t="s">
        <v>3486</v>
      </c>
      <c r="Q30" s="906"/>
      <c r="R30" s="906" t="s">
        <v>4626</v>
      </c>
      <c r="S30" s="906"/>
      <c r="T30" s="906" t="e">
        <f t="shared" si="1"/>
        <v>#VALUE!</v>
      </c>
    </row>
    <row r="31" spans="1:20" ht="17.25">
      <c r="A31" s="927">
        <f t="shared" si="0"/>
        <v>29</v>
      </c>
      <c r="B31" s="255" t="s">
        <v>44</v>
      </c>
      <c r="C31" s="250">
        <v>3</v>
      </c>
      <c r="D31" s="255" t="s">
        <v>3450</v>
      </c>
      <c r="E31" s="250" t="s">
        <v>3525</v>
      </c>
      <c r="F31" s="255" t="s">
        <v>3452</v>
      </c>
      <c r="G31" s="955">
        <v>1</v>
      </c>
      <c r="H31" s="960">
        <v>9847948200</v>
      </c>
      <c r="I31" s="955">
        <v>50</v>
      </c>
      <c r="J31" s="255" t="s">
        <v>48</v>
      </c>
      <c r="K31" s="255" t="s">
        <v>3471</v>
      </c>
      <c r="L31" s="875">
        <v>65040</v>
      </c>
      <c r="M31" s="849">
        <v>0.3576388888888889</v>
      </c>
      <c r="N31" s="848">
        <v>65043</v>
      </c>
      <c r="O31" s="875">
        <v>65046</v>
      </c>
      <c r="P31" s="256" t="s">
        <v>3486</v>
      </c>
      <c r="Q31" s="255"/>
      <c r="R31" s="255" t="s">
        <v>3485</v>
      </c>
      <c r="S31" s="255">
        <v>9847849159</v>
      </c>
      <c r="T31" s="1149">
        <f t="shared" si="1"/>
        <v>4</v>
      </c>
    </row>
    <row r="32" spans="1:20" ht="17.25">
      <c r="A32" s="927">
        <f t="shared" si="0"/>
        <v>30</v>
      </c>
      <c r="B32" s="255" t="s">
        <v>44</v>
      </c>
      <c r="C32" s="250">
        <v>39</v>
      </c>
      <c r="D32" s="255" t="s">
        <v>3459</v>
      </c>
      <c r="E32" s="250" t="s">
        <v>3554</v>
      </c>
      <c r="F32" s="255"/>
      <c r="G32" s="955">
        <v>5</v>
      </c>
      <c r="H32" s="960"/>
      <c r="I32" s="955">
        <v>32</v>
      </c>
      <c r="J32" s="255" t="s">
        <v>48</v>
      </c>
      <c r="K32" s="255"/>
      <c r="L32" s="252"/>
      <c r="M32" s="255"/>
      <c r="N32" s="848">
        <v>65046</v>
      </c>
      <c r="O32" s="875">
        <v>65049</v>
      </c>
      <c r="P32" s="255" t="s">
        <v>3486</v>
      </c>
      <c r="Q32" s="255"/>
      <c r="R32" s="255" t="s">
        <v>3567</v>
      </c>
      <c r="S32" s="255"/>
      <c r="T32" s="1236">
        <f t="shared" si="1"/>
        <v>4</v>
      </c>
    </row>
    <row r="33" spans="1:20" ht="17.25">
      <c r="A33" s="927">
        <f t="shared" si="0"/>
        <v>31</v>
      </c>
      <c r="B33" s="250" t="s">
        <v>3563</v>
      </c>
      <c r="C33" s="250">
        <v>118</v>
      </c>
      <c r="D33" s="250" t="s">
        <v>4550</v>
      </c>
      <c r="E33" s="250" t="s">
        <v>4551</v>
      </c>
      <c r="F33" s="906"/>
      <c r="G33" s="250">
        <v>4</v>
      </c>
      <c r="H33" s="906">
        <v>9868295004</v>
      </c>
      <c r="I33" s="250">
        <v>38</v>
      </c>
      <c r="J33" s="255" t="s">
        <v>48</v>
      </c>
      <c r="K33" s="250" t="s">
        <v>4552</v>
      </c>
      <c r="L33" s="252" t="s">
        <v>4553</v>
      </c>
      <c r="M33" s="250"/>
      <c r="N33" s="1229">
        <v>65063</v>
      </c>
      <c r="O33" s="875">
        <v>65072</v>
      </c>
      <c r="P33" s="1058" t="s">
        <v>3486</v>
      </c>
      <c r="Q33" s="250"/>
      <c r="R33" s="250" t="s">
        <v>4554</v>
      </c>
      <c r="S33" s="906"/>
      <c r="T33" s="906">
        <f t="shared" si="1"/>
        <v>10</v>
      </c>
    </row>
    <row r="34" spans="1:20" ht="17.25">
      <c r="A34" s="927">
        <f t="shared" si="0"/>
        <v>32</v>
      </c>
      <c r="B34" s="250" t="s">
        <v>44</v>
      </c>
      <c r="C34" s="250">
        <v>95</v>
      </c>
      <c r="D34" s="250" t="s">
        <v>3450</v>
      </c>
      <c r="E34" s="250" t="s">
        <v>4317</v>
      </c>
      <c r="F34" s="906"/>
      <c r="G34" s="250">
        <v>9</v>
      </c>
      <c r="H34" s="906">
        <v>9822883867</v>
      </c>
      <c r="I34" s="250">
        <v>46</v>
      </c>
      <c r="J34" s="250" t="s">
        <v>48</v>
      </c>
      <c r="K34" s="250" t="s">
        <v>3471</v>
      </c>
      <c r="L34" s="252">
        <v>14074</v>
      </c>
      <c r="M34" s="906"/>
      <c r="N34" s="1228">
        <v>65055</v>
      </c>
      <c r="O34" s="875">
        <v>65063</v>
      </c>
      <c r="P34" s="1058" t="s">
        <v>3486</v>
      </c>
      <c r="Q34" s="906"/>
      <c r="R34" s="250" t="s">
        <v>4318</v>
      </c>
      <c r="S34" s="1029"/>
      <c r="T34" s="1212">
        <f t="shared" si="1"/>
        <v>9</v>
      </c>
    </row>
    <row r="35" spans="1:20" ht="17.25">
      <c r="A35" s="927">
        <f t="shared" si="0"/>
        <v>33</v>
      </c>
      <c r="B35" s="255" t="s">
        <v>44</v>
      </c>
      <c r="C35" s="970">
        <v>86</v>
      </c>
      <c r="D35" s="255" t="s">
        <v>3450</v>
      </c>
      <c r="E35" s="967" t="s">
        <v>4095</v>
      </c>
      <c r="F35" s="255"/>
      <c r="G35" s="958">
        <v>12</v>
      </c>
      <c r="H35" s="964">
        <v>9857822701</v>
      </c>
      <c r="I35" s="967">
        <v>31</v>
      </c>
      <c r="J35" s="255" t="s">
        <v>48</v>
      </c>
      <c r="K35" s="255" t="s">
        <v>3465</v>
      </c>
      <c r="L35" s="907">
        <v>433</v>
      </c>
      <c r="M35" s="255"/>
      <c r="N35" s="848">
        <v>65053</v>
      </c>
      <c r="O35" s="875">
        <v>65057</v>
      </c>
      <c r="P35" s="256" t="s">
        <v>3486</v>
      </c>
      <c r="Q35" s="255"/>
      <c r="R35" s="852" t="s">
        <v>4099</v>
      </c>
      <c r="S35" s="255"/>
      <c r="T35" s="1149">
        <f t="shared" si="1"/>
        <v>5</v>
      </c>
    </row>
    <row r="36" spans="1:20" ht="17.25">
      <c r="A36" s="927">
        <f t="shared" ref="A36:A67" si="2">A35+1</f>
        <v>34</v>
      </c>
      <c r="B36" s="255" t="s">
        <v>44</v>
      </c>
      <c r="C36" s="970">
        <v>79</v>
      </c>
      <c r="D36" s="255" t="s">
        <v>3450</v>
      </c>
      <c r="E36" s="250" t="s">
        <v>4103</v>
      </c>
      <c r="F36" s="255"/>
      <c r="G36" s="958">
        <v>18</v>
      </c>
      <c r="H36" s="906">
        <v>9857825291</v>
      </c>
      <c r="I36" s="250">
        <v>37</v>
      </c>
      <c r="J36" s="255" t="s">
        <v>90</v>
      </c>
      <c r="K36" s="255" t="s">
        <v>3471</v>
      </c>
      <c r="L36" s="252">
        <v>13816</v>
      </c>
      <c r="M36" s="255"/>
      <c r="N36" s="848">
        <v>65053</v>
      </c>
      <c r="O36" s="875">
        <v>65053</v>
      </c>
      <c r="P36" s="255" t="s">
        <v>3486</v>
      </c>
      <c r="Q36" s="255"/>
      <c r="R36" s="255" t="s">
        <v>4104</v>
      </c>
      <c r="S36" s="255"/>
      <c r="T36" s="1236">
        <f t="shared" ref="T36:T67" si="3">(O36-N36)+1</f>
        <v>1</v>
      </c>
    </row>
    <row r="37" spans="1:20" ht="17.25">
      <c r="A37" s="927">
        <f t="shared" si="2"/>
        <v>35</v>
      </c>
      <c r="B37" s="255" t="s">
        <v>44</v>
      </c>
      <c r="C37" s="250">
        <v>104</v>
      </c>
      <c r="D37" s="255" t="s">
        <v>3450</v>
      </c>
      <c r="E37" s="250" t="s">
        <v>4103</v>
      </c>
      <c r="F37" s="255"/>
      <c r="G37" s="250">
        <v>18</v>
      </c>
      <c r="H37" s="906">
        <v>9857825291</v>
      </c>
      <c r="I37" s="250">
        <v>37</v>
      </c>
      <c r="J37" s="255" t="s">
        <v>90</v>
      </c>
      <c r="K37" s="255" t="s">
        <v>3471</v>
      </c>
      <c r="L37" s="255">
        <v>13816</v>
      </c>
      <c r="M37" s="255"/>
      <c r="N37" s="848">
        <v>65057</v>
      </c>
      <c r="O37" s="875">
        <v>65070</v>
      </c>
      <c r="P37" s="256" t="s">
        <v>3486</v>
      </c>
      <c r="Q37" s="255"/>
      <c r="R37" s="255" t="s">
        <v>4104</v>
      </c>
      <c r="S37" s="255"/>
      <c r="T37" s="906">
        <f t="shared" si="3"/>
        <v>14</v>
      </c>
    </row>
    <row r="38" spans="1:20" ht="17.25">
      <c r="A38" s="927">
        <f t="shared" si="2"/>
        <v>36</v>
      </c>
      <c r="B38" s="255" t="s">
        <v>44</v>
      </c>
      <c r="C38" s="970">
        <v>88</v>
      </c>
      <c r="D38" s="255" t="s">
        <v>3450</v>
      </c>
      <c r="E38" s="250" t="s">
        <v>4245</v>
      </c>
      <c r="F38" s="255"/>
      <c r="G38" s="958">
        <v>10</v>
      </c>
      <c r="H38" s="906">
        <v>983424615</v>
      </c>
      <c r="I38" s="968">
        <v>42</v>
      </c>
      <c r="J38" s="255" t="s">
        <v>48</v>
      </c>
      <c r="K38" s="255" t="s">
        <v>3471</v>
      </c>
      <c r="L38" s="907">
        <v>13284</v>
      </c>
      <c r="M38" s="255"/>
      <c r="N38" s="848">
        <v>65054</v>
      </c>
      <c r="O38" s="875">
        <v>65057</v>
      </c>
      <c r="P38" s="256" t="s">
        <v>3486</v>
      </c>
      <c r="Q38" s="255"/>
      <c r="R38" s="853" t="s">
        <v>4246</v>
      </c>
      <c r="S38" s="255"/>
      <c r="T38" s="1212">
        <f t="shared" si="3"/>
        <v>4</v>
      </c>
    </row>
    <row r="39" spans="1:20" ht="17.25">
      <c r="A39" s="927">
        <f t="shared" si="2"/>
        <v>37</v>
      </c>
      <c r="B39" s="255" t="s">
        <v>44</v>
      </c>
      <c r="C39" s="250">
        <v>58</v>
      </c>
      <c r="D39" s="255" t="s">
        <v>3450</v>
      </c>
      <c r="E39" s="967" t="s">
        <v>4265</v>
      </c>
      <c r="F39" s="255"/>
      <c r="G39" s="958">
        <v>16</v>
      </c>
      <c r="H39" s="964"/>
      <c r="I39" s="967">
        <v>27</v>
      </c>
      <c r="J39" s="255" t="s">
        <v>90</v>
      </c>
      <c r="K39" s="255"/>
      <c r="L39" s="252"/>
      <c r="M39" s="255"/>
      <c r="N39" s="848">
        <v>65050</v>
      </c>
      <c r="O39" s="875">
        <v>65055</v>
      </c>
      <c r="P39" s="256" t="s">
        <v>3486</v>
      </c>
      <c r="Q39" s="255"/>
      <c r="R39" s="852" t="s">
        <v>3993</v>
      </c>
      <c r="S39" s="255"/>
      <c r="T39" s="47">
        <f t="shared" si="3"/>
        <v>6</v>
      </c>
    </row>
    <row r="40" spans="1:20" ht="17.25">
      <c r="A40" s="927">
        <f t="shared" si="2"/>
        <v>38</v>
      </c>
      <c r="B40" s="255" t="s">
        <v>44</v>
      </c>
      <c r="C40" s="250">
        <v>105</v>
      </c>
      <c r="D40" s="255" t="s">
        <v>3450</v>
      </c>
      <c r="E40" s="250" t="s">
        <v>4241</v>
      </c>
      <c r="F40" s="255"/>
      <c r="G40" s="250">
        <v>3</v>
      </c>
      <c r="H40" s="906">
        <v>9868612836</v>
      </c>
      <c r="I40" s="250">
        <v>31</v>
      </c>
      <c r="J40" s="255" t="s">
        <v>48</v>
      </c>
      <c r="K40" s="255" t="s">
        <v>3487</v>
      </c>
      <c r="L40" s="255">
        <v>13516</v>
      </c>
      <c r="M40" s="255"/>
      <c r="N40" s="848">
        <v>65057</v>
      </c>
      <c r="O40" s="875">
        <v>65058</v>
      </c>
      <c r="P40" s="256" t="s">
        <v>3486</v>
      </c>
      <c r="Q40" s="255"/>
      <c r="R40" s="255" t="s">
        <v>4242</v>
      </c>
      <c r="S40" s="255"/>
      <c r="T40" s="1236">
        <f t="shared" si="3"/>
        <v>2</v>
      </c>
    </row>
    <row r="41" spans="1:20" ht="17.25">
      <c r="A41" s="927">
        <f t="shared" si="2"/>
        <v>39</v>
      </c>
      <c r="B41" s="255" t="s">
        <v>44</v>
      </c>
      <c r="C41" s="970">
        <v>81</v>
      </c>
      <c r="D41" s="255" t="s">
        <v>3450</v>
      </c>
      <c r="E41" s="967" t="s">
        <v>4097</v>
      </c>
      <c r="F41" s="255"/>
      <c r="G41" s="958">
        <v>5</v>
      </c>
      <c r="H41" s="964">
        <v>9847937976</v>
      </c>
      <c r="I41" s="967">
        <v>65</v>
      </c>
      <c r="J41" s="255" t="s">
        <v>48</v>
      </c>
      <c r="K41" s="255" t="s">
        <v>3471</v>
      </c>
      <c r="L41" s="252">
        <v>13528</v>
      </c>
      <c r="M41" s="255"/>
      <c r="N41" s="848">
        <v>65053</v>
      </c>
      <c r="O41" s="875">
        <v>65070</v>
      </c>
      <c r="P41" s="256" t="s">
        <v>3486</v>
      </c>
      <c r="Q41" s="255"/>
      <c r="R41" s="852" t="s">
        <v>4102</v>
      </c>
      <c r="S41" s="255"/>
      <c r="T41" s="906">
        <f t="shared" si="3"/>
        <v>18</v>
      </c>
    </row>
    <row r="42" spans="1:20" ht="17.25">
      <c r="A42" s="927">
        <f t="shared" si="2"/>
        <v>40</v>
      </c>
      <c r="B42" s="255" t="s">
        <v>44</v>
      </c>
      <c r="C42" s="250">
        <v>53</v>
      </c>
      <c r="D42" s="255" t="s">
        <v>3450</v>
      </c>
      <c r="E42" s="967" t="s">
        <v>3975</v>
      </c>
      <c r="F42" s="255"/>
      <c r="G42" s="958">
        <v>6</v>
      </c>
      <c r="H42" s="964"/>
      <c r="I42" s="967">
        <v>70</v>
      </c>
      <c r="J42" s="255" t="s">
        <v>90</v>
      </c>
      <c r="K42" s="255"/>
      <c r="L42" s="252"/>
      <c r="M42" s="255"/>
      <c r="N42" s="848">
        <v>65050</v>
      </c>
      <c r="O42" s="875">
        <v>65053</v>
      </c>
      <c r="P42" s="256" t="s">
        <v>3486</v>
      </c>
      <c r="Q42" s="255"/>
      <c r="R42" s="852" t="s">
        <v>3994</v>
      </c>
      <c r="S42" s="255"/>
      <c r="T42" s="1236">
        <f t="shared" si="3"/>
        <v>4</v>
      </c>
    </row>
    <row r="43" spans="1:20" ht="17.25">
      <c r="A43" s="927">
        <f t="shared" si="2"/>
        <v>41</v>
      </c>
      <c r="B43" s="250" t="s">
        <v>44</v>
      </c>
      <c r="C43" s="250">
        <v>94</v>
      </c>
      <c r="D43" s="250" t="s">
        <v>3450</v>
      </c>
      <c r="E43" s="250" t="s">
        <v>4262</v>
      </c>
      <c r="F43" s="250"/>
      <c r="G43" s="958">
        <v>3</v>
      </c>
      <c r="H43" s="906">
        <v>9829552940</v>
      </c>
      <c r="I43" s="250">
        <v>50</v>
      </c>
      <c r="J43" s="250" t="s">
        <v>90</v>
      </c>
      <c r="K43" s="250" t="s">
        <v>3471</v>
      </c>
      <c r="L43" s="252">
        <v>32469</v>
      </c>
      <c r="M43" s="250"/>
      <c r="N43" s="1228">
        <v>65054</v>
      </c>
      <c r="O43" s="875">
        <v>65072</v>
      </c>
      <c r="P43" s="1058" t="s">
        <v>3486</v>
      </c>
      <c r="Q43" s="250"/>
      <c r="R43" s="250" t="s">
        <v>4263</v>
      </c>
      <c r="S43" s="250"/>
      <c r="T43" s="906">
        <f t="shared" si="3"/>
        <v>19</v>
      </c>
    </row>
    <row r="44" spans="1:20" ht="17.25">
      <c r="A44" s="927">
        <f t="shared" si="2"/>
        <v>42</v>
      </c>
      <c r="B44" s="255" t="s">
        <v>44</v>
      </c>
      <c r="C44" s="250">
        <v>110</v>
      </c>
      <c r="D44" s="255" t="s">
        <v>3450</v>
      </c>
      <c r="E44" s="250" t="s">
        <v>4389</v>
      </c>
      <c r="F44" s="906"/>
      <c r="G44" s="250">
        <v>12</v>
      </c>
      <c r="H44" s="906">
        <v>9864850046</v>
      </c>
      <c r="I44" s="250">
        <v>68</v>
      </c>
      <c r="J44" s="255" t="s">
        <v>90</v>
      </c>
      <c r="K44" s="255" t="s">
        <v>3471</v>
      </c>
      <c r="L44" s="252">
        <v>14569</v>
      </c>
      <c r="M44" s="906"/>
      <c r="N44" s="1228">
        <v>65058</v>
      </c>
      <c r="O44" s="875">
        <v>65059</v>
      </c>
      <c r="P44" s="256" t="s">
        <v>3486</v>
      </c>
      <c r="Q44" s="906"/>
      <c r="R44" s="250" t="s">
        <v>4390</v>
      </c>
      <c r="S44" s="906"/>
      <c r="T44" s="47">
        <f t="shared" si="3"/>
        <v>2</v>
      </c>
    </row>
    <row r="45" spans="1:20" ht="17.25">
      <c r="A45" s="927">
        <f t="shared" si="2"/>
        <v>43</v>
      </c>
      <c r="B45" s="255" t="s">
        <v>44</v>
      </c>
      <c r="C45" s="250">
        <v>4</v>
      </c>
      <c r="D45" s="255" t="s">
        <v>3450</v>
      </c>
      <c r="E45" s="250" t="s">
        <v>2686</v>
      </c>
      <c r="F45" s="255"/>
      <c r="G45" s="955">
        <v>5</v>
      </c>
      <c r="H45" s="960">
        <v>9810947451</v>
      </c>
      <c r="I45" s="955">
        <v>26</v>
      </c>
      <c r="J45" s="255" t="s">
        <v>90</v>
      </c>
      <c r="K45" s="255" t="s">
        <v>3487</v>
      </c>
      <c r="L45" s="875">
        <v>65040</v>
      </c>
      <c r="M45" s="849"/>
      <c r="N45" s="848">
        <v>65043</v>
      </c>
      <c r="O45" s="875">
        <v>65046</v>
      </c>
      <c r="P45" s="256" t="s">
        <v>3486</v>
      </c>
      <c r="Q45" s="255"/>
      <c r="R45" s="255" t="s">
        <v>3488</v>
      </c>
      <c r="S45" s="255" t="s">
        <v>3454</v>
      </c>
      <c r="T45" s="47">
        <f t="shared" si="3"/>
        <v>4</v>
      </c>
    </row>
    <row r="46" spans="1:20" ht="17.25">
      <c r="A46" s="927">
        <f t="shared" si="2"/>
        <v>44</v>
      </c>
      <c r="B46" s="255" t="s">
        <v>44</v>
      </c>
      <c r="C46" s="250">
        <v>54</v>
      </c>
      <c r="D46" s="255" t="s">
        <v>3450</v>
      </c>
      <c r="E46" s="967" t="s">
        <v>3976</v>
      </c>
      <c r="F46" s="255"/>
      <c r="G46" s="958">
        <v>12</v>
      </c>
      <c r="H46" s="964"/>
      <c r="I46" s="967">
        <v>55</v>
      </c>
      <c r="J46" s="255" t="s">
        <v>48</v>
      </c>
      <c r="K46" s="255"/>
      <c r="L46" s="252"/>
      <c r="M46" s="255"/>
      <c r="N46" s="848">
        <v>65050</v>
      </c>
      <c r="O46" s="875">
        <v>65055</v>
      </c>
      <c r="P46" s="256" t="s">
        <v>3486</v>
      </c>
      <c r="Q46" s="255"/>
      <c r="R46" s="852" t="s">
        <v>3995</v>
      </c>
      <c r="S46" s="255"/>
      <c r="T46" s="47">
        <f t="shared" si="3"/>
        <v>6</v>
      </c>
    </row>
    <row r="47" spans="1:20" ht="17.25">
      <c r="A47" s="927">
        <f t="shared" si="2"/>
        <v>45</v>
      </c>
      <c r="B47" s="255" t="s">
        <v>44</v>
      </c>
      <c r="C47" s="250">
        <v>112</v>
      </c>
      <c r="D47" s="255" t="s">
        <v>3450</v>
      </c>
      <c r="E47" s="250" t="s">
        <v>4414</v>
      </c>
      <c r="F47" s="906"/>
      <c r="G47" s="250">
        <v>6</v>
      </c>
      <c r="H47" s="906">
        <v>984304389</v>
      </c>
      <c r="I47" s="250">
        <v>52</v>
      </c>
      <c r="J47" s="255" t="s">
        <v>90</v>
      </c>
      <c r="K47" s="255" t="s">
        <v>3471</v>
      </c>
      <c r="L47" s="252">
        <v>14663</v>
      </c>
      <c r="M47" s="906"/>
      <c r="N47" s="1228">
        <v>65059</v>
      </c>
      <c r="O47" s="875">
        <v>65067</v>
      </c>
      <c r="P47" s="256" t="s">
        <v>3486</v>
      </c>
      <c r="Q47" s="906"/>
      <c r="R47" s="250" t="s">
        <v>4627</v>
      </c>
      <c r="S47" s="906"/>
      <c r="T47" s="47">
        <f t="shared" si="3"/>
        <v>9</v>
      </c>
    </row>
    <row r="48" spans="1:20" ht="17.25">
      <c r="A48" s="927">
        <f t="shared" si="2"/>
        <v>46</v>
      </c>
      <c r="B48" s="255" t="s">
        <v>44</v>
      </c>
      <c r="C48" s="970">
        <v>77</v>
      </c>
      <c r="D48" s="255" t="s">
        <v>3450</v>
      </c>
      <c r="E48" s="250" t="s">
        <v>4089</v>
      </c>
      <c r="F48" s="255"/>
      <c r="G48" s="958">
        <v>12</v>
      </c>
      <c r="H48" s="906">
        <v>9806245039</v>
      </c>
      <c r="I48" s="968">
        <v>39</v>
      </c>
      <c r="J48" s="255" t="s">
        <v>48</v>
      </c>
      <c r="K48" s="255" t="s">
        <v>3465</v>
      </c>
      <c r="L48" s="252">
        <v>525</v>
      </c>
      <c r="M48" s="255"/>
      <c r="N48" s="848">
        <v>65052</v>
      </c>
      <c r="O48" s="875">
        <v>65063</v>
      </c>
      <c r="P48" s="256" t="s">
        <v>3486</v>
      </c>
      <c r="Q48" s="255"/>
      <c r="R48" s="853" t="s">
        <v>4090</v>
      </c>
      <c r="S48" s="255"/>
      <c r="T48" s="47">
        <f t="shared" si="3"/>
        <v>12</v>
      </c>
    </row>
    <row r="49" spans="1:20" ht="17.25">
      <c r="A49" s="927">
        <f t="shared" si="2"/>
        <v>47</v>
      </c>
      <c r="B49" s="250" t="s">
        <v>44</v>
      </c>
      <c r="C49" s="250">
        <v>97</v>
      </c>
      <c r="D49" s="250" t="s">
        <v>3450</v>
      </c>
      <c r="E49" s="250" t="s">
        <v>4523</v>
      </c>
      <c r="F49" s="906"/>
      <c r="G49" s="250">
        <v>13</v>
      </c>
      <c r="H49" s="906">
        <v>9813470974</v>
      </c>
      <c r="I49" s="250">
        <v>45</v>
      </c>
      <c r="J49" s="250" t="s">
        <v>90</v>
      </c>
      <c r="K49" s="250" t="s">
        <v>3465</v>
      </c>
      <c r="L49" s="252">
        <v>32432</v>
      </c>
      <c r="M49" s="906"/>
      <c r="N49" s="1228">
        <v>65056</v>
      </c>
      <c r="O49" s="875">
        <v>65062</v>
      </c>
      <c r="P49" s="1058" t="s">
        <v>3486</v>
      </c>
      <c r="Q49" s="906"/>
      <c r="R49" s="250" t="s">
        <v>4321</v>
      </c>
      <c r="S49" s="906"/>
      <c r="T49" s="47">
        <f t="shared" si="3"/>
        <v>7</v>
      </c>
    </row>
    <row r="50" spans="1:20" ht="17.25">
      <c r="A50" s="1177">
        <f t="shared" si="2"/>
        <v>48</v>
      </c>
      <c r="B50" s="255" t="s">
        <v>44</v>
      </c>
      <c r="C50" s="250">
        <v>129</v>
      </c>
      <c r="D50" s="255" t="s">
        <v>3450</v>
      </c>
      <c r="E50" s="250" t="s">
        <v>4756</v>
      </c>
      <c r="F50" s="906"/>
      <c r="G50" s="250">
        <v>1</v>
      </c>
      <c r="H50" s="906">
        <v>9813815245</v>
      </c>
      <c r="I50" s="250">
        <v>46</v>
      </c>
      <c r="J50" s="255" t="s">
        <v>48</v>
      </c>
      <c r="K50" s="255" t="s">
        <v>3465</v>
      </c>
      <c r="L50" s="252" t="s">
        <v>4757</v>
      </c>
      <c r="M50" s="906"/>
      <c r="N50" s="1228" t="s">
        <v>4732</v>
      </c>
      <c r="O50" s="875">
        <v>65084</v>
      </c>
      <c r="P50" s="1058" t="s">
        <v>3486</v>
      </c>
      <c r="Q50" s="906"/>
      <c r="R50" s="250" t="s">
        <v>4758</v>
      </c>
      <c r="S50" s="906"/>
      <c r="T50" s="906" t="e">
        <f t="shared" si="3"/>
        <v>#VALUE!</v>
      </c>
    </row>
    <row r="51" spans="1:20" ht="17.25">
      <c r="A51" s="927">
        <f t="shared" si="2"/>
        <v>49</v>
      </c>
      <c r="B51" s="255" t="s">
        <v>44</v>
      </c>
      <c r="C51" s="250">
        <v>40</v>
      </c>
      <c r="D51" s="255" t="s">
        <v>3450</v>
      </c>
      <c r="E51" s="250" t="s">
        <v>3555</v>
      </c>
      <c r="F51" s="255"/>
      <c r="G51" s="955">
        <v>5</v>
      </c>
      <c r="H51" s="960"/>
      <c r="I51" s="955">
        <v>75</v>
      </c>
      <c r="J51" s="255" t="s">
        <v>48</v>
      </c>
      <c r="K51" s="255"/>
      <c r="L51" s="252"/>
      <c r="M51" s="255"/>
      <c r="N51" s="848">
        <v>65046</v>
      </c>
      <c r="O51" s="875">
        <v>65051</v>
      </c>
      <c r="P51" s="255" t="s">
        <v>3486</v>
      </c>
      <c r="Q51" s="255"/>
      <c r="R51" s="255" t="s">
        <v>3568</v>
      </c>
      <c r="S51" s="255"/>
      <c r="T51" s="1212">
        <f t="shared" si="3"/>
        <v>6</v>
      </c>
    </row>
    <row r="52" spans="1:20" ht="17.25">
      <c r="A52" s="927">
        <f t="shared" si="2"/>
        <v>50</v>
      </c>
      <c r="B52" s="255" t="s">
        <v>44</v>
      </c>
      <c r="C52" s="250">
        <v>36</v>
      </c>
      <c r="D52" s="255" t="s">
        <v>3450</v>
      </c>
      <c r="E52" s="250" t="s">
        <v>3551</v>
      </c>
      <c r="F52" s="255"/>
      <c r="G52" s="955">
        <v>4</v>
      </c>
      <c r="H52" s="960">
        <v>9811413407</v>
      </c>
      <c r="I52" s="955">
        <v>38</v>
      </c>
      <c r="J52" s="255" t="s">
        <v>48</v>
      </c>
      <c r="K52" s="255" t="s">
        <v>3465</v>
      </c>
      <c r="L52" s="252">
        <v>210535076</v>
      </c>
      <c r="M52" s="255"/>
      <c r="N52" s="848">
        <v>65046</v>
      </c>
      <c r="O52" s="875">
        <v>65053</v>
      </c>
      <c r="P52" s="256" t="s">
        <v>3486</v>
      </c>
      <c r="Q52" s="255"/>
      <c r="R52" s="255" t="s">
        <v>3521</v>
      </c>
      <c r="S52" s="255" t="s">
        <v>3522</v>
      </c>
      <c r="T52" s="47">
        <f t="shared" si="3"/>
        <v>8</v>
      </c>
    </row>
    <row r="53" spans="1:20" ht="17.25">
      <c r="A53" s="927">
        <f t="shared" si="2"/>
        <v>51</v>
      </c>
      <c r="B53" s="255" t="s">
        <v>44</v>
      </c>
      <c r="C53" s="250">
        <v>26</v>
      </c>
      <c r="D53" s="255" t="s">
        <v>3450</v>
      </c>
      <c r="E53" s="250" t="s">
        <v>3543</v>
      </c>
      <c r="F53" s="255" t="s">
        <v>3507</v>
      </c>
      <c r="G53" s="955">
        <v>11</v>
      </c>
      <c r="H53" s="960">
        <v>9847855082</v>
      </c>
      <c r="I53" s="955">
        <v>44</v>
      </c>
      <c r="J53" s="255" t="s">
        <v>48</v>
      </c>
      <c r="K53" s="255" t="s">
        <v>3465</v>
      </c>
      <c r="L53" s="876">
        <v>65041</v>
      </c>
      <c r="M53" s="255"/>
      <c r="N53" s="848">
        <v>65046</v>
      </c>
      <c r="O53" s="875">
        <v>65046</v>
      </c>
      <c r="P53" s="256" t="s">
        <v>3486</v>
      </c>
      <c r="Q53" s="255"/>
      <c r="R53" s="255"/>
      <c r="S53" s="255"/>
      <c r="T53" s="1236">
        <f t="shared" si="3"/>
        <v>1</v>
      </c>
    </row>
    <row r="54" spans="1:20" ht="17.25">
      <c r="A54" s="927">
        <f t="shared" si="2"/>
        <v>52</v>
      </c>
      <c r="B54" s="255" t="s">
        <v>44</v>
      </c>
      <c r="C54" s="250">
        <v>13</v>
      </c>
      <c r="D54" s="255" t="s">
        <v>3450</v>
      </c>
      <c r="E54" s="250" t="s">
        <v>3532</v>
      </c>
      <c r="F54" s="255" t="s">
        <v>3461</v>
      </c>
      <c r="G54" s="955">
        <v>13</v>
      </c>
      <c r="H54" s="960">
        <v>9857822073</v>
      </c>
      <c r="I54" s="955">
        <v>33</v>
      </c>
      <c r="J54" s="255" t="s">
        <v>48</v>
      </c>
      <c r="K54" s="255" t="s">
        <v>3471</v>
      </c>
      <c r="L54" s="875">
        <v>65044</v>
      </c>
      <c r="M54" s="849"/>
      <c r="N54" s="848">
        <v>65044</v>
      </c>
      <c r="O54" s="875">
        <v>65046</v>
      </c>
      <c r="P54" s="255" t="s">
        <v>3486</v>
      </c>
      <c r="Q54" s="255"/>
      <c r="R54" s="255" t="s">
        <v>3503</v>
      </c>
      <c r="S54" s="255">
        <v>9844933954</v>
      </c>
      <c r="T54" s="47">
        <f t="shared" si="3"/>
        <v>3</v>
      </c>
    </row>
    <row r="55" spans="1:20" ht="17.25">
      <c r="A55" s="927">
        <f t="shared" si="2"/>
        <v>53</v>
      </c>
      <c r="B55" s="255" t="s">
        <v>44</v>
      </c>
      <c r="C55" s="250">
        <v>102</v>
      </c>
      <c r="D55" s="255" t="s">
        <v>3450</v>
      </c>
      <c r="E55" s="250" t="s">
        <v>4330</v>
      </c>
      <c r="F55" s="255"/>
      <c r="G55" s="250">
        <v>10</v>
      </c>
      <c r="H55" s="906">
        <v>9822964689</v>
      </c>
      <c r="I55" s="250">
        <v>42</v>
      </c>
      <c r="J55" s="255" t="s">
        <v>48</v>
      </c>
      <c r="K55" s="255" t="s">
        <v>3465</v>
      </c>
      <c r="L55" s="255">
        <v>44</v>
      </c>
      <c r="M55" s="255"/>
      <c r="N55" s="848">
        <v>65057</v>
      </c>
      <c r="O55" s="875">
        <v>65072</v>
      </c>
      <c r="P55" s="256" t="s">
        <v>3486</v>
      </c>
      <c r="Q55" s="255"/>
      <c r="R55" s="255" t="s">
        <v>4331</v>
      </c>
      <c r="S55" s="255"/>
      <c r="T55" s="906">
        <f t="shared" si="3"/>
        <v>16</v>
      </c>
    </row>
    <row r="56" spans="1:20" ht="17.25">
      <c r="A56" s="927">
        <f t="shared" si="2"/>
        <v>54</v>
      </c>
      <c r="B56" s="255" t="s">
        <v>44</v>
      </c>
      <c r="C56" s="250">
        <v>43</v>
      </c>
      <c r="D56" s="255" t="s">
        <v>3477</v>
      </c>
      <c r="E56" s="250" t="s">
        <v>3557</v>
      </c>
      <c r="F56" s="255"/>
      <c r="G56" s="955">
        <v>6</v>
      </c>
      <c r="H56" s="960"/>
      <c r="I56" s="250">
        <v>60</v>
      </c>
      <c r="J56" s="255" t="s">
        <v>90</v>
      </c>
      <c r="K56" s="255"/>
      <c r="L56" s="252"/>
      <c r="M56" s="255"/>
      <c r="N56" s="848">
        <v>65046</v>
      </c>
      <c r="O56" s="875">
        <v>65053</v>
      </c>
      <c r="P56" s="256" t="s">
        <v>3486</v>
      </c>
      <c r="Q56" s="255"/>
      <c r="R56" s="255" t="s">
        <v>3570</v>
      </c>
      <c r="S56" s="255"/>
      <c r="T56" s="47">
        <f t="shared" si="3"/>
        <v>8</v>
      </c>
    </row>
    <row r="57" spans="1:20" ht="17.25">
      <c r="A57" s="927">
        <f t="shared" si="2"/>
        <v>55</v>
      </c>
      <c r="B57" s="255" t="s">
        <v>44</v>
      </c>
      <c r="C57" s="250">
        <v>17</v>
      </c>
      <c r="D57" s="255" t="s">
        <v>3450</v>
      </c>
      <c r="E57" s="250" t="s">
        <v>3535</v>
      </c>
      <c r="F57" s="255" t="s">
        <v>3468</v>
      </c>
      <c r="G57" s="955">
        <v>6</v>
      </c>
      <c r="H57" s="960">
        <v>9847831032</v>
      </c>
      <c r="I57" s="955">
        <v>35</v>
      </c>
      <c r="J57" s="255" t="s">
        <v>90</v>
      </c>
      <c r="K57" s="255" t="s">
        <v>3465</v>
      </c>
      <c r="L57" s="875">
        <v>65043</v>
      </c>
      <c r="M57" s="849">
        <v>0.95833333333333337</v>
      </c>
      <c r="N57" s="848">
        <v>65044</v>
      </c>
      <c r="O57" s="875">
        <v>65049</v>
      </c>
      <c r="P57" s="255" t="s">
        <v>3486</v>
      </c>
      <c r="Q57" s="255"/>
      <c r="R57" s="255" t="s">
        <v>3469</v>
      </c>
      <c r="S57" s="255" t="s">
        <v>3454</v>
      </c>
      <c r="T57" s="47">
        <f t="shared" si="3"/>
        <v>6</v>
      </c>
    </row>
    <row r="58" spans="1:20" ht="17.25">
      <c r="A58" s="927">
        <f t="shared" si="2"/>
        <v>56</v>
      </c>
      <c r="B58" s="255" t="s">
        <v>44</v>
      </c>
      <c r="C58" s="250">
        <v>12</v>
      </c>
      <c r="D58" s="255" t="s">
        <v>3459</v>
      </c>
      <c r="E58" s="250" t="s">
        <v>1988</v>
      </c>
      <c r="F58" s="255" t="s">
        <v>3460</v>
      </c>
      <c r="G58" s="955">
        <v>3</v>
      </c>
      <c r="H58" s="960"/>
      <c r="I58" s="955">
        <v>50</v>
      </c>
      <c r="J58" s="255" t="s">
        <v>90</v>
      </c>
      <c r="K58" s="255"/>
      <c r="L58" s="875"/>
      <c r="M58" s="849">
        <v>0.70833333333333337</v>
      </c>
      <c r="N58" s="848">
        <v>65043</v>
      </c>
      <c r="O58" s="875">
        <v>65052</v>
      </c>
      <c r="P58" s="255" t="s">
        <v>3486</v>
      </c>
      <c r="Q58" s="255"/>
      <c r="R58" s="255"/>
      <c r="S58" s="255"/>
      <c r="T58" s="47">
        <f t="shared" si="3"/>
        <v>10</v>
      </c>
    </row>
    <row r="59" spans="1:20" ht="17.25">
      <c r="A59" s="927">
        <f t="shared" si="2"/>
        <v>57</v>
      </c>
      <c r="B59" s="255" t="s">
        <v>44</v>
      </c>
      <c r="C59" s="250">
        <v>42</v>
      </c>
      <c r="D59" s="255" t="s">
        <v>3450</v>
      </c>
      <c r="E59" s="250" t="s">
        <v>3226</v>
      </c>
      <c r="F59" s="255"/>
      <c r="G59" s="955">
        <v>5</v>
      </c>
      <c r="H59" s="960"/>
      <c r="I59" s="955">
        <v>34</v>
      </c>
      <c r="J59" s="255" t="s">
        <v>48</v>
      </c>
      <c r="K59" s="255"/>
      <c r="L59" s="252"/>
      <c r="M59" s="255"/>
      <c r="N59" s="848">
        <v>65046</v>
      </c>
      <c r="O59" s="875">
        <v>65051</v>
      </c>
      <c r="P59" s="255" t="s">
        <v>3486</v>
      </c>
      <c r="Q59" s="255"/>
      <c r="R59" s="255" t="s">
        <v>1391</v>
      </c>
      <c r="S59" s="255"/>
      <c r="T59" s="47">
        <f t="shared" si="3"/>
        <v>6</v>
      </c>
    </row>
    <row r="60" spans="1:20" ht="17.25">
      <c r="A60" s="927">
        <f t="shared" si="2"/>
        <v>58</v>
      </c>
      <c r="B60" s="255" t="s">
        <v>44</v>
      </c>
      <c r="C60" s="250">
        <v>21</v>
      </c>
      <c r="D60" s="255" t="s">
        <v>3477</v>
      </c>
      <c r="E60" s="250" t="s">
        <v>3538</v>
      </c>
      <c r="F60" s="255"/>
      <c r="G60" s="955">
        <v>6</v>
      </c>
      <c r="H60" s="960">
        <v>9812895299</v>
      </c>
      <c r="I60" s="955">
        <v>69</v>
      </c>
      <c r="J60" s="255" t="s">
        <v>48</v>
      </c>
      <c r="K60" s="255" t="s">
        <v>3465</v>
      </c>
      <c r="L60" s="875">
        <v>65045</v>
      </c>
      <c r="M60" s="849">
        <v>0.60416666666666663</v>
      </c>
      <c r="N60" s="848">
        <v>65045</v>
      </c>
      <c r="O60" s="875">
        <v>65045</v>
      </c>
      <c r="P60" s="256" t="s">
        <v>3486</v>
      </c>
      <c r="Q60" s="851"/>
      <c r="R60" s="255" t="s">
        <v>3478</v>
      </c>
      <c r="S60" s="255"/>
      <c r="T60" s="1212">
        <f t="shared" si="3"/>
        <v>1</v>
      </c>
    </row>
    <row r="61" spans="1:20" ht="17.25">
      <c r="A61" s="927">
        <f t="shared" si="2"/>
        <v>59</v>
      </c>
      <c r="B61" s="255" t="s">
        <v>44</v>
      </c>
      <c r="C61" s="970">
        <v>84</v>
      </c>
      <c r="D61" s="255" t="s">
        <v>3450</v>
      </c>
      <c r="E61" s="967" t="s">
        <v>4096</v>
      </c>
      <c r="F61" s="255"/>
      <c r="G61" s="958">
        <v>7</v>
      </c>
      <c r="H61" s="964">
        <v>9842728495</v>
      </c>
      <c r="I61" s="967">
        <v>62</v>
      </c>
      <c r="J61" s="255" t="s">
        <v>90</v>
      </c>
      <c r="K61" s="255" t="s">
        <v>3471</v>
      </c>
      <c r="L61" s="252">
        <v>13924</v>
      </c>
      <c r="M61" s="255"/>
      <c r="N61" s="848">
        <v>65053</v>
      </c>
      <c r="O61" s="875">
        <v>65067</v>
      </c>
      <c r="P61" s="256" t="s">
        <v>3486</v>
      </c>
      <c r="Q61" s="255"/>
      <c r="R61" s="852" t="s">
        <v>4101</v>
      </c>
      <c r="S61" s="255"/>
      <c r="T61" s="47">
        <f t="shared" si="3"/>
        <v>15</v>
      </c>
    </row>
    <row r="62" spans="1:20" ht="17.25">
      <c r="A62" s="927">
        <f t="shared" si="2"/>
        <v>60</v>
      </c>
      <c r="B62" s="255" t="s">
        <v>44</v>
      </c>
      <c r="C62" s="250">
        <v>108</v>
      </c>
      <c r="D62" s="255" t="s">
        <v>3450</v>
      </c>
      <c r="E62" s="250" t="s">
        <v>4385</v>
      </c>
      <c r="F62" s="906"/>
      <c r="G62" s="250">
        <v>6</v>
      </c>
      <c r="H62" s="906">
        <v>9806254047</v>
      </c>
      <c r="I62" s="250">
        <v>46</v>
      </c>
      <c r="J62" s="255" t="s">
        <v>90</v>
      </c>
      <c r="K62" s="255" t="s">
        <v>3465</v>
      </c>
      <c r="L62" s="252">
        <v>5255</v>
      </c>
      <c r="M62" s="906"/>
      <c r="N62" s="1228">
        <v>65058</v>
      </c>
      <c r="O62" s="875">
        <v>65066</v>
      </c>
      <c r="P62" s="256" t="s">
        <v>3486</v>
      </c>
      <c r="Q62" s="906"/>
      <c r="R62" s="250" t="s">
        <v>4386</v>
      </c>
      <c r="S62" s="906"/>
      <c r="T62" s="1236">
        <f t="shared" si="3"/>
        <v>9</v>
      </c>
    </row>
    <row r="63" spans="1:20" ht="17.25">
      <c r="A63" s="927">
        <f t="shared" si="2"/>
        <v>61</v>
      </c>
      <c r="B63" s="255" t="s">
        <v>44</v>
      </c>
      <c r="C63" s="250">
        <v>64</v>
      </c>
      <c r="D63" s="255" t="s">
        <v>3990</v>
      </c>
      <c r="E63" s="967" t="s">
        <v>3985</v>
      </c>
      <c r="F63" s="255"/>
      <c r="G63" s="958">
        <v>12</v>
      </c>
      <c r="H63" s="964"/>
      <c r="I63" s="967">
        <v>55</v>
      </c>
      <c r="J63" s="255" t="s">
        <v>48</v>
      </c>
      <c r="K63" s="255" t="s">
        <v>2651</v>
      </c>
      <c r="L63" s="252"/>
      <c r="M63" s="255"/>
      <c r="N63" s="848">
        <v>65051</v>
      </c>
      <c r="O63" s="875">
        <v>65063</v>
      </c>
      <c r="P63" s="256" t="s">
        <v>3486</v>
      </c>
      <c r="Q63" s="255"/>
      <c r="R63" s="852" t="s">
        <v>4003</v>
      </c>
      <c r="S63" s="255"/>
      <c r="T63" s="1236">
        <f t="shared" si="3"/>
        <v>13</v>
      </c>
    </row>
    <row r="64" spans="1:20" ht="17.25">
      <c r="A64" s="1177">
        <f t="shared" si="2"/>
        <v>62</v>
      </c>
      <c r="B64" s="255" t="s">
        <v>44</v>
      </c>
      <c r="C64" s="250">
        <v>116</v>
      </c>
      <c r="D64" s="250" t="s">
        <v>4019</v>
      </c>
      <c r="E64" s="250" t="s">
        <v>4486</v>
      </c>
      <c r="F64" s="906"/>
      <c r="G64" s="250"/>
      <c r="H64" s="906">
        <v>9812836104</v>
      </c>
      <c r="I64" s="250">
        <v>52</v>
      </c>
      <c r="J64" s="255" t="s">
        <v>48</v>
      </c>
      <c r="K64" s="255" t="s">
        <v>3471</v>
      </c>
      <c r="L64" s="252">
        <v>14841</v>
      </c>
      <c r="M64" s="906"/>
      <c r="N64" s="1228">
        <v>65060</v>
      </c>
      <c r="O64" s="875" t="s">
        <v>4727</v>
      </c>
      <c r="P64" s="256" t="s">
        <v>3486</v>
      </c>
      <c r="Q64" s="906"/>
      <c r="R64" s="250" t="s">
        <v>4487</v>
      </c>
      <c r="S64" s="906"/>
      <c r="T64" s="906" t="e">
        <f t="shared" si="3"/>
        <v>#VALUE!</v>
      </c>
    </row>
    <row r="65" spans="1:20" ht="17.25">
      <c r="A65" s="1177">
        <f t="shared" si="2"/>
        <v>63</v>
      </c>
      <c r="B65" s="255" t="s">
        <v>44</v>
      </c>
      <c r="C65" s="250">
        <v>115</v>
      </c>
      <c r="D65" s="250" t="s">
        <v>4019</v>
      </c>
      <c r="E65" s="250" t="s">
        <v>4484</v>
      </c>
      <c r="F65" s="906"/>
      <c r="G65" s="250">
        <v>4</v>
      </c>
      <c r="H65" s="906">
        <v>9812596991</v>
      </c>
      <c r="I65" s="250">
        <v>74</v>
      </c>
      <c r="J65" s="255" t="s">
        <v>48</v>
      </c>
      <c r="K65" s="255" t="s">
        <v>3465</v>
      </c>
      <c r="L65" s="252">
        <v>694</v>
      </c>
      <c r="M65" s="906"/>
      <c r="N65" s="1228">
        <v>65060</v>
      </c>
      <c r="O65" s="875" t="s">
        <v>4753</v>
      </c>
      <c r="P65" s="256" t="s">
        <v>3486</v>
      </c>
      <c r="Q65" s="906"/>
      <c r="R65" s="250" t="s">
        <v>4485</v>
      </c>
      <c r="S65" s="906"/>
      <c r="T65" s="906" t="e">
        <f t="shared" si="3"/>
        <v>#VALUE!</v>
      </c>
    </row>
    <row r="66" spans="1:20" ht="17.25">
      <c r="A66" s="927">
        <f t="shared" si="2"/>
        <v>64</v>
      </c>
      <c r="B66" s="255" t="s">
        <v>44</v>
      </c>
      <c r="C66" s="970">
        <v>83</v>
      </c>
      <c r="D66" s="255" t="s">
        <v>3450</v>
      </c>
      <c r="E66" s="250" t="s">
        <v>4106</v>
      </c>
      <c r="F66" s="255"/>
      <c r="G66" s="958">
        <v>12</v>
      </c>
      <c r="H66" s="906">
        <v>9847908262</v>
      </c>
      <c r="I66" s="250">
        <v>61</v>
      </c>
      <c r="J66" s="255" t="s">
        <v>48</v>
      </c>
      <c r="K66" s="255" t="s">
        <v>3465</v>
      </c>
      <c r="L66" s="252">
        <v>454</v>
      </c>
      <c r="M66" s="255"/>
      <c r="N66" s="848">
        <v>65053</v>
      </c>
      <c r="O66" s="875">
        <v>65053</v>
      </c>
      <c r="P66" s="255" t="s">
        <v>3486</v>
      </c>
      <c r="Q66" s="255"/>
      <c r="R66" s="255" t="s">
        <v>879</v>
      </c>
      <c r="S66" s="255"/>
      <c r="T66" s="47">
        <f t="shared" si="3"/>
        <v>1</v>
      </c>
    </row>
    <row r="67" spans="1:20" ht="17.25">
      <c r="A67" s="927">
        <f t="shared" si="2"/>
        <v>65</v>
      </c>
      <c r="B67" s="255" t="s">
        <v>44</v>
      </c>
      <c r="C67" s="250">
        <v>60</v>
      </c>
      <c r="D67" s="255" t="s">
        <v>3450</v>
      </c>
      <c r="E67" s="250" t="s">
        <v>507</v>
      </c>
      <c r="F67" s="255"/>
      <c r="G67" s="958">
        <v>18</v>
      </c>
      <c r="H67" s="906"/>
      <c r="I67" s="967">
        <v>32</v>
      </c>
      <c r="J67" s="255" t="s">
        <v>48</v>
      </c>
      <c r="K67" s="255"/>
      <c r="L67" s="252"/>
      <c r="M67" s="255"/>
      <c r="N67" s="848">
        <v>65050</v>
      </c>
      <c r="O67" s="875">
        <v>65051</v>
      </c>
      <c r="P67" s="255" t="s">
        <v>3486</v>
      </c>
      <c r="Q67" s="255"/>
      <c r="R67" s="255"/>
      <c r="S67" s="255"/>
      <c r="T67" s="47">
        <f t="shared" si="3"/>
        <v>2</v>
      </c>
    </row>
    <row r="68" spans="1:20" ht="17.25">
      <c r="A68" s="927">
        <f t="shared" ref="A68:A99" si="4">A67+1</f>
        <v>66</v>
      </c>
      <c r="B68" s="255" t="s">
        <v>44</v>
      </c>
      <c r="C68" s="250">
        <v>26</v>
      </c>
      <c r="D68" s="255" t="s">
        <v>3450</v>
      </c>
      <c r="E68" s="250" t="s">
        <v>3542</v>
      </c>
      <c r="F68" s="255" t="s">
        <v>3505</v>
      </c>
      <c r="G68" s="955">
        <v>13</v>
      </c>
      <c r="H68" s="960">
        <v>9869595093</v>
      </c>
      <c r="I68" s="955">
        <v>47</v>
      </c>
      <c r="J68" s="255" t="s">
        <v>48</v>
      </c>
      <c r="K68" s="255" t="s">
        <v>3465</v>
      </c>
      <c r="L68" s="876">
        <v>65044</v>
      </c>
      <c r="M68" s="255"/>
      <c r="N68" s="848">
        <v>65046</v>
      </c>
      <c r="O68" s="875">
        <v>65049</v>
      </c>
      <c r="P68" s="256" t="s">
        <v>3486</v>
      </c>
      <c r="Q68" s="255"/>
      <c r="R68" s="255" t="s">
        <v>3506</v>
      </c>
      <c r="S68" s="255">
        <v>9841981825</v>
      </c>
      <c r="T68" s="47">
        <f t="shared" ref="T68:T99" si="5">(O68-N68)+1</f>
        <v>4</v>
      </c>
    </row>
    <row r="69" spans="1:20" ht="34.5">
      <c r="A69" s="927">
        <f t="shared" si="4"/>
        <v>67</v>
      </c>
      <c r="B69" s="255" t="s">
        <v>44</v>
      </c>
      <c r="C69" s="250">
        <v>11</v>
      </c>
      <c r="D69" s="255" t="s">
        <v>3450</v>
      </c>
      <c r="E69" s="250" t="s">
        <v>3531</v>
      </c>
      <c r="F69" s="255"/>
      <c r="G69" s="955">
        <v>9</v>
      </c>
      <c r="H69" s="961" t="s">
        <v>3501</v>
      </c>
      <c r="I69" s="955">
        <v>40</v>
      </c>
      <c r="J69" s="255" t="s">
        <v>48</v>
      </c>
      <c r="K69" s="255" t="s">
        <v>812</v>
      </c>
      <c r="L69" s="875"/>
      <c r="M69" s="849">
        <v>0.66666666666666663</v>
      </c>
      <c r="N69" s="848">
        <v>65043</v>
      </c>
      <c r="O69" s="875">
        <v>65045</v>
      </c>
      <c r="P69" s="256" t="s">
        <v>3486</v>
      </c>
      <c r="Q69" s="255"/>
      <c r="R69" s="255" t="s">
        <v>3502</v>
      </c>
      <c r="S69" s="255" t="s">
        <v>3495</v>
      </c>
      <c r="T69" s="1266">
        <f t="shared" si="5"/>
        <v>3</v>
      </c>
    </row>
    <row r="70" spans="1:20" ht="17.25">
      <c r="A70" s="927">
        <f t="shared" si="4"/>
        <v>68</v>
      </c>
      <c r="B70" s="255" t="s">
        <v>44</v>
      </c>
      <c r="C70" s="250">
        <v>34</v>
      </c>
      <c r="D70" s="255" t="s">
        <v>3459</v>
      </c>
      <c r="E70" s="250" t="s">
        <v>3549</v>
      </c>
      <c r="F70" s="255" t="s">
        <v>3516</v>
      </c>
      <c r="G70" s="955">
        <v>3</v>
      </c>
      <c r="H70" s="960">
        <v>9857820767</v>
      </c>
      <c r="I70" s="955">
        <v>35</v>
      </c>
      <c r="J70" s="255" t="s">
        <v>90</v>
      </c>
      <c r="K70" s="255" t="s">
        <v>3517</v>
      </c>
      <c r="L70" s="252"/>
      <c r="M70" s="255"/>
      <c r="N70" s="848">
        <v>65046</v>
      </c>
      <c r="O70" s="875">
        <v>65047</v>
      </c>
      <c r="P70" s="255" t="s">
        <v>3486</v>
      </c>
      <c r="Q70" s="255"/>
      <c r="R70" s="255" t="s">
        <v>3519</v>
      </c>
      <c r="S70" s="255"/>
      <c r="T70" s="1236">
        <f t="shared" si="5"/>
        <v>2</v>
      </c>
    </row>
    <row r="71" spans="1:20" ht="17.25">
      <c r="A71" s="927">
        <f t="shared" si="4"/>
        <v>69</v>
      </c>
      <c r="B71" s="255" t="s">
        <v>44</v>
      </c>
      <c r="C71" s="250">
        <v>57</v>
      </c>
      <c r="D71" s="255" t="s">
        <v>3450</v>
      </c>
      <c r="E71" s="967" t="s">
        <v>3977</v>
      </c>
      <c r="F71" s="255"/>
      <c r="G71" s="958">
        <v>16</v>
      </c>
      <c r="H71" s="964"/>
      <c r="I71" s="967">
        <v>32</v>
      </c>
      <c r="J71" s="255" t="s">
        <v>48</v>
      </c>
      <c r="K71" s="255"/>
      <c r="L71" s="252"/>
      <c r="M71" s="255"/>
      <c r="N71" s="848">
        <v>65050</v>
      </c>
      <c r="O71" s="875">
        <v>65053</v>
      </c>
      <c r="P71" s="256" t="s">
        <v>3486</v>
      </c>
      <c r="Q71" s="255"/>
      <c r="R71" s="852" t="s">
        <v>3996</v>
      </c>
      <c r="S71" s="255"/>
      <c r="T71" s="1212">
        <f t="shared" si="5"/>
        <v>4</v>
      </c>
    </row>
    <row r="72" spans="1:20" ht="17.25">
      <c r="A72" s="1177">
        <f t="shared" si="4"/>
        <v>70</v>
      </c>
      <c r="B72" s="255" t="s">
        <v>44</v>
      </c>
      <c r="C72" s="250">
        <v>123</v>
      </c>
      <c r="D72" s="255" t="s">
        <v>3450</v>
      </c>
      <c r="E72" s="250" t="s">
        <v>4642</v>
      </c>
      <c r="F72" s="906"/>
      <c r="G72" s="250">
        <v>18</v>
      </c>
      <c r="H72" s="906">
        <v>9818458529</v>
      </c>
      <c r="I72" s="250">
        <v>65</v>
      </c>
      <c r="J72" s="255" t="s">
        <v>48</v>
      </c>
      <c r="K72" s="255" t="s">
        <v>3465</v>
      </c>
      <c r="L72" s="252" t="s">
        <v>4643</v>
      </c>
      <c r="M72" s="906"/>
      <c r="N72" s="1228">
        <v>65068</v>
      </c>
      <c r="O72" s="875">
        <v>65075</v>
      </c>
      <c r="P72" s="1058" t="s">
        <v>3486</v>
      </c>
      <c r="Q72" s="906"/>
      <c r="R72" s="250" t="s">
        <v>4644</v>
      </c>
      <c r="S72" s="906"/>
      <c r="T72" s="906">
        <f t="shared" si="5"/>
        <v>8</v>
      </c>
    </row>
    <row r="73" spans="1:20" ht="17.25">
      <c r="A73" s="927">
        <f t="shared" si="4"/>
        <v>71</v>
      </c>
      <c r="B73" s="255" t="s">
        <v>44</v>
      </c>
      <c r="C73" s="250">
        <v>23</v>
      </c>
      <c r="D73" s="255" t="s">
        <v>3450</v>
      </c>
      <c r="E73" s="250" t="s">
        <v>3540</v>
      </c>
      <c r="F73" s="255" t="s">
        <v>3461</v>
      </c>
      <c r="G73" s="955">
        <v>13</v>
      </c>
      <c r="H73" s="960">
        <v>9847092118</v>
      </c>
      <c r="I73" s="955">
        <v>35</v>
      </c>
      <c r="J73" s="255" t="s">
        <v>90</v>
      </c>
      <c r="K73" s="255" t="s">
        <v>3465</v>
      </c>
      <c r="L73" s="875">
        <v>65045</v>
      </c>
      <c r="M73" s="849"/>
      <c r="N73" s="848">
        <v>65045</v>
      </c>
      <c r="O73" s="875">
        <v>65049</v>
      </c>
      <c r="P73" s="256" t="s">
        <v>3486</v>
      </c>
      <c r="Q73" s="255"/>
      <c r="R73" s="255" t="s">
        <v>3480</v>
      </c>
      <c r="S73" s="255"/>
      <c r="T73" s="47">
        <f t="shared" si="5"/>
        <v>5</v>
      </c>
    </row>
    <row r="74" spans="1:20" ht="17.25">
      <c r="A74" s="927">
        <f t="shared" si="4"/>
        <v>72</v>
      </c>
      <c r="B74" s="255" t="s">
        <v>44</v>
      </c>
      <c r="C74" s="250">
        <v>15</v>
      </c>
      <c r="D74" s="255" t="s">
        <v>3450</v>
      </c>
      <c r="E74" s="250" t="s">
        <v>3580</v>
      </c>
      <c r="F74" s="255" t="s">
        <v>3463</v>
      </c>
      <c r="G74" s="955">
        <v>18</v>
      </c>
      <c r="H74" s="960">
        <v>9812822784</v>
      </c>
      <c r="I74" s="955">
        <v>40</v>
      </c>
      <c r="J74" s="255" t="s">
        <v>90</v>
      </c>
      <c r="K74" s="255"/>
      <c r="L74" s="875">
        <v>65041</v>
      </c>
      <c r="M74" s="849"/>
      <c r="N74" s="848">
        <v>65044</v>
      </c>
      <c r="O74" s="875">
        <v>65044</v>
      </c>
      <c r="P74" s="256" t="s">
        <v>3486</v>
      </c>
      <c r="Q74" s="255"/>
      <c r="R74" s="255"/>
      <c r="S74" s="255"/>
      <c r="T74" s="1266">
        <f t="shared" si="5"/>
        <v>1</v>
      </c>
    </row>
    <row r="75" spans="1:20" ht="17.25">
      <c r="A75" s="927">
        <f t="shared" si="4"/>
        <v>73</v>
      </c>
      <c r="B75" s="255" t="s">
        <v>44</v>
      </c>
      <c r="C75" s="250">
        <v>75</v>
      </c>
      <c r="D75" s="255" t="s">
        <v>3450</v>
      </c>
      <c r="E75" s="250" t="s">
        <v>4021</v>
      </c>
      <c r="F75" s="255"/>
      <c r="G75" s="958">
        <v>7</v>
      </c>
      <c r="H75" s="906">
        <v>9863408989</v>
      </c>
      <c r="I75" s="968">
        <v>66</v>
      </c>
      <c r="J75" s="255" t="s">
        <v>48</v>
      </c>
      <c r="K75" s="255" t="s">
        <v>3465</v>
      </c>
      <c r="L75" s="252" t="s">
        <v>4022</v>
      </c>
      <c r="M75" s="255"/>
      <c r="N75" s="848">
        <v>65052</v>
      </c>
      <c r="O75" s="875">
        <v>65058</v>
      </c>
      <c r="P75" s="256" t="s">
        <v>3486</v>
      </c>
      <c r="Q75" s="255"/>
      <c r="R75" s="853" t="s">
        <v>4023</v>
      </c>
      <c r="S75" s="255"/>
      <c r="T75" s="1212">
        <f t="shared" si="5"/>
        <v>7</v>
      </c>
    </row>
    <row r="76" spans="1:20" ht="17.25">
      <c r="A76" s="927">
        <f t="shared" si="4"/>
        <v>74</v>
      </c>
      <c r="B76" s="255" t="s">
        <v>44</v>
      </c>
      <c r="C76" s="250">
        <v>72</v>
      </c>
      <c r="D76" s="255" t="s">
        <v>3450</v>
      </c>
      <c r="E76" s="967" t="s">
        <v>3987</v>
      </c>
      <c r="F76" s="255"/>
      <c r="G76" s="958">
        <v>4</v>
      </c>
      <c r="H76" s="964">
        <v>9867915787</v>
      </c>
      <c r="I76" s="967">
        <v>30</v>
      </c>
      <c r="J76" s="255" t="s">
        <v>90</v>
      </c>
      <c r="K76" s="255" t="s">
        <v>3471</v>
      </c>
      <c r="L76" s="252">
        <v>1289</v>
      </c>
      <c r="M76" s="255"/>
      <c r="N76" s="848">
        <v>65051</v>
      </c>
      <c r="O76" s="875">
        <v>65054</v>
      </c>
      <c r="P76" s="256" t="s">
        <v>3486</v>
      </c>
      <c r="Q76" s="255"/>
      <c r="R76" s="852" t="s">
        <v>4005</v>
      </c>
      <c r="S76" s="255"/>
      <c r="T76" s="1212">
        <f t="shared" si="5"/>
        <v>4</v>
      </c>
    </row>
    <row r="77" spans="1:20" ht="17.25">
      <c r="A77" s="1177">
        <f t="shared" si="4"/>
        <v>75</v>
      </c>
      <c r="B77" s="255" t="s">
        <v>44</v>
      </c>
      <c r="C77" s="250">
        <v>103</v>
      </c>
      <c r="D77" s="255" t="s">
        <v>3450</v>
      </c>
      <c r="E77" s="250" t="s">
        <v>4332</v>
      </c>
      <c r="F77" s="255"/>
      <c r="G77" s="250">
        <v>2</v>
      </c>
      <c r="H77" s="906">
        <v>9857820212</v>
      </c>
      <c r="I77" s="250">
        <v>43</v>
      </c>
      <c r="J77" s="255" t="s">
        <v>48</v>
      </c>
      <c r="K77" s="255" t="s">
        <v>3471</v>
      </c>
      <c r="L77" s="255">
        <v>13816</v>
      </c>
      <c r="M77" s="255"/>
      <c r="N77" s="848">
        <v>65057</v>
      </c>
      <c r="O77" s="875" t="s">
        <v>4727</v>
      </c>
      <c r="P77" s="256" t="s">
        <v>3486</v>
      </c>
      <c r="Q77" s="255"/>
      <c r="R77" s="255" t="s">
        <v>4333</v>
      </c>
      <c r="S77" s="255"/>
      <c r="T77" s="1137" t="e">
        <f t="shared" si="5"/>
        <v>#VALUE!</v>
      </c>
    </row>
    <row r="78" spans="1:20" ht="17.25">
      <c r="A78" s="927">
        <f t="shared" si="4"/>
        <v>76</v>
      </c>
      <c r="B78" s="250" t="s">
        <v>44</v>
      </c>
      <c r="C78" s="250">
        <v>99</v>
      </c>
      <c r="D78" s="250" t="s">
        <v>3450</v>
      </c>
      <c r="E78" s="250" t="s">
        <v>4328</v>
      </c>
      <c r="F78" s="906"/>
      <c r="G78" s="250">
        <v>11</v>
      </c>
      <c r="H78" s="906">
        <v>9810915283</v>
      </c>
      <c r="I78" s="250">
        <v>57</v>
      </c>
      <c r="J78" s="250" t="s">
        <v>90</v>
      </c>
      <c r="K78" s="250" t="s">
        <v>3465</v>
      </c>
      <c r="L78" s="252">
        <v>472</v>
      </c>
      <c r="M78" s="906"/>
      <c r="N78" s="1228">
        <v>65056</v>
      </c>
      <c r="O78" s="875">
        <v>65056</v>
      </c>
      <c r="P78" s="255" t="s">
        <v>3486</v>
      </c>
      <c r="Q78" s="906"/>
      <c r="R78" s="906" t="s">
        <v>4329</v>
      </c>
      <c r="S78" s="906"/>
      <c r="T78" s="47">
        <f t="shared" si="5"/>
        <v>1</v>
      </c>
    </row>
    <row r="79" spans="1:20" ht="17.25">
      <c r="A79" s="927">
        <f t="shared" si="4"/>
        <v>77</v>
      </c>
      <c r="B79" s="255" t="s">
        <v>44</v>
      </c>
      <c r="C79" s="250">
        <v>106</v>
      </c>
      <c r="D79" s="255" t="s">
        <v>3450</v>
      </c>
      <c r="E79" s="250" t="s">
        <v>4328</v>
      </c>
      <c r="F79" s="255"/>
      <c r="G79" s="250">
        <v>6</v>
      </c>
      <c r="H79" s="906">
        <v>9857823496</v>
      </c>
      <c r="I79" s="250">
        <v>30</v>
      </c>
      <c r="J79" s="255" t="s">
        <v>90</v>
      </c>
      <c r="K79" s="255" t="s">
        <v>3471</v>
      </c>
      <c r="L79" s="255">
        <v>14412</v>
      </c>
      <c r="M79" s="255"/>
      <c r="N79" s="848">
        <v>65057</v>
      </c>
      <c r="O79" s="875">
        <v>65063</v>
      </c>
      <c r="P79" s="256" t="s">
        <v>3486</v>
      </c>
      <c r="Q79" s="255"/>
      <c r="R79" s="255" t="s">
        <v>4334</v>
      </c>
      <c r="S79" s="255"/>
      <c r="T79" s="47">
        <f t="shared" si="5"/>
        <v>7</v>
      </c>
    </row>
    <row r="80" spans="1:20" s="873" customFormat="1" ht="17.25">
      <c r="A80" s="927">
        <f t="shared" si="4"/>
        <v>78</v>
      </c>
      <c r="B80" s="255" t="s">
        <v>44</v>
      </c>
      <c r="C80" s="250">
        <v>69</v>
      </c>
      <c r="D80" s="255" t="s">
        <v>3450</v>
      </c>
      <c r="E80" s="967" t="s">
        <v>3988</v>
      </c>
      <c r="F80" s="255"/>
      <c r="G80" s="958">
        <v>7</v>
      </c>
      <c r="H80" s="964"/>
      <c r="I80" s="967">
        <v>55</v>
      </c>
      <c r="J80" s="255" t="s">
        <v>48</v>
      </c>
      <c r="K80" s="255"/>
      <c r="L80" s="252"/>
      <c r="M80" s="255"/>
      <c r="N80" s="848">
        <v>65051</v>
      </c>
      <c r="O80" s="875">
        <v>65060</v>
      </c>
      <c r="P80" s="256" t="s">
        <v>3486</v>
      </c>
      <c r="Q80" s="255"/>
      <c r="R80" s="852" t="s">
        <v>755</v>
      </c>
      <c r="S80" s="255"/>
      <c r="T80" s="1236">
        <f t="shared" si="5"/>
        <v>10</v>
      </c>
    </row>
    <row r="81" spans="1:20" s="873" customFormat="1" ht="17.25">
      <c r="A81" s="927">
        <f t="shared" si="4"/>
        <v>79</v>
      </c>
      <c r="B81" s="255" t="s">
        <v>44</v>
      </c>
      <c r="C81" s="250">
        <v>76</v>
      </c>
      <c r="D81" s="255" t="s">
        <v>3450</v>
      </c>
      <c r="E81" s="250" t="s">
        <v>4024</v>
      </c>
      <c r="F81" s="255"/>
      <c r="G81" s="958">
        <v>6</v>
      </c>
      <c r="H81" s="906">
        <v>9844820965</v>
      </c>
      <c r="I81" s="968">
        <v>29</v>
      </c>
      <c r="J81" s="255" t="s">
        <v>90</v>
      </c>
      <c r="K81" s="255" t="s">
        <v>2650</v>
      </c>
      <c r="L81" s="252">
        <v>320</v>
      </c>
      <c r="M81" s="255"/>
      <c r="N81" s="848">
        <v>65052</v>
      </c>
      <c r="O81" s="875">
        <v>65054</v>
      </c>
      <c r="P81" s="256" t="s">
        <v>3486</v>
      </c>
      <c r="Q81" s="255"/>
      <c r="R81" s="853" t="s">
        <v>4025</v>
      </c>
      <c r="S81" s="255"/>
      <c r="T81" s="47">
        <f t="shared" si="5"/>
        <v>3</v>
      </c>
    </row>
    <row r="82" spans="1:20" s="873" customFormat="1" ht="17.25">
      <c r="A82" s="1177">
        <f t="shared" si="4"/>
        <v>80</v>
      </c>
      <c r="B82" s="906" t="s">
        <v>3457</v>
      </c>
      <c r="C82" s="250">
        <v>125</v>
      </c>
      <c r="D82" s="250" t="s">
        <v>4654</v>
      </c>
      <c r="E82" s="250" t="s">
        <v>4653</v>
      </c>
      <c r="F82" s="906"/>
      <c r="G82" s="250">
        <v>6</v>
      </c>
      <c r="H82" s="906">
        <v>9818986010</v>
      </c>
      <c r="I82" s="250">
        <v>20</v>
      </c>
      <c r="J82" s="255" t="s">
        <v>90</v>
      </c>
      <c r="K82" s="255" t="s">
        <v>3465</v>
      </c>
      <c r="L82" s="252" t="s">
        <v>4655</v>
      </c>
      <c r="M82" s="906"/>
      <c r="N82" s="1228">
        <v>65070</v>
      </c>
      <c r="O82" s="875" t="s">
        <v>4727</v>
      </c>
      <c r="P82" s="1058" t="s">
        <v>3486</v>
      </c>
      <c r="Q82" s="906"/>
      <c r="R82" s="250" t="s">
        <v>4656</v>
      </c>
      <c r="S82" s="906"/>
      <c r="T82" s="906" t="e">
        <f t="shared" si="5"/>
        <v>#VALUE!</v>
      </c>
    </row>
    <row r="83" spans="1:20" ht="17.25">
      <c r="A83" s="927">
        <f t="shared" si="4"/>
        <v>81</v>
      </c>
      <c r="B83" s="255" t="s">
        <v>44</v>
      </c>
      <c r="C83" s="970">
        <v>82</v>
      </c>
      <c r="D83" s="255" t="s">
        <v>3450</v>
      </c>
      <c r="E83" s="250" t="s">
        <v>879</v>
      </c>
      <c r="F83" s="255"/>
      <c r="G83" s="958">
        <v>12</v>
      </c>
      <c r="H83" s="906">
        <v>9847908262</v>
      </c>
      <c r="I83" s="250">
        <v>56</v>
      </c>
      <c r="J83" s="255" t="s">
        <v>90</v>
      </c>
      <c r="K83" s="255" t="s">
        <v>3465</v>
      </c>
      <c r="L83" s="252">
        <v>383</v>
      </c>
      <c r="M83" s="255"/>
      <c r="N83" s="848">
        <v>65053</v>
      </c>
      <c r="O83" s="875">
        <v>65053</v>
      </c>
      <c r="P83" s="255" t="s">
        <v>3486</v>
      </c>
      <c r="Q83" s="255"/>
      <c r="R83" s="255" t="s">
        <v>4106</v>
      </c>
      <c r="S83" s="255"/>
      <c r="T83" s="1266">
        <f t="shared" si="5"/>
        <v>1</v>
      </c>
    </row>
    <row r="84" spans="1:20" ht="17.25">
      <c r="A84" s="927">
        <f t="shared" si="4"/>
        <v>82</v>
      </c>
      <c r="B84" s="850" t="s">
        <v>44</v>
      </c>
      <c r="C84" s="970">
        <v>66</v>
      </c>
      <c r="D84" s="850" t="s">
        <v>4019</v>
      </c>
      <c r="E84" s="250" t="s">
        <v>4020</v>
      </c>
      <c r="F84" s="255"/>
      <c r="G84" s="958">
        <v>6</v>
      </c>
      <c r="H84" s="906">
        <v>9857820623</v>
      </c>
      <c r="I84" s="967">
        <v>21</v>
      </c>
      <c r="J84" s="255" t="s">
        <v>48</v>
      </c>
      <c r="K84" s="255" t="s">
        <v>3471</v>
      </c>
      <c r="L84" s="876">
        <v>65049</v>
      </c>
      <c r="M84" s="255"/>
      <c r="N84" s="848">
        <v>65050</v>
      </c>
      <c r="O84" s="875">
        <v>65051</v>
      </c>
      <c r="P84" s="255" t="s">
        <v>3486</v>
      </c>
      <c r="Q84" s="255"/>
      <c r="R84" s="255"/>
      <c r="S84" s="255"/>
      <c r="T84" s="1266">
        <f t="shared" si="5"/>
        <v>2</v>
      </c>
    </row>
    <row r="85" spans="1:20" s="873" customFormat="1" ht="17.25">
      <c r="A85" s="927">
        <f t="shared" si="4"/>
        <v>83</v>
      </c>
      <c r="B85" s="255" t="s">
        <v>44</v>
      </c>
      <c r="C85" s="250">
        <v>37</v>
      </c>
      <c r="D85" s="255" t="s">
        <v>3459</v>
      </c>
      <c r="E85" s="250" t="s">
        <v>3552</v>
      </c>
      <c r="F85" s="255"/>
      <c r="G85" s="955">
        <v>3</v>
      </c>
      <c r="H85" s="960">
        <v>9847991571</v>
      </c>
      <c r="I85" s="955">
        <v>29</v>
      </c>
      <c r="J85" s="255" t="s">
        <v>48</v>
      </c>
      <c r="K85" s="255" t="s">
        <v>3471</v>
      </c>
      <c r="L85" s="252"/>
      <c r="M85" s="255"/>
      <c r="N85" s="848">
        <v>65046</v>
      </c>
      <c r="O85" s="875">
        <v>65047</v>
      </c>
      <c r="P85" s="255" t="s">
        <v>3486</v>
      </c>
      <c r="Q85" s="255"/>
      <c r="R85" s="255" t="s">
        <v>3562</v>
      </c>
      <c r="S85" s="255"/>
      <c r="T85" s="1266">
        <f t="shared" si="5"/>
        <v>2</v>
      </c>
    </row>
    <row r="86" spans="1:20" ht="17.25">
      <c r="A86" s="1177">
        <f t="shared" si="4"/>
        <v>84</v>
      </c>
      <c r="B86" s="250" t="s">
        <v>44</v>
      </c>
      <c r="C86" s="250">
        <v>117</v>
      </c>
      <c r="D86" s="250" t="s">
        <v>3477</v>
      </c>
      <c r="E86" s="250" t="s">
        <v>4547</v>
      </c>
      <c r="F86" s="906"/>
      <c r="G86" s="250">
        <v>4</v>
      </c>
      <c r="H86" s="906">
        <v>9809571700</v>
      </c>
      <c r="I86" s="250">
        <v>45</v>
      </c>
      <c r="J86" s="255" t="s">
        <v>48</v>
      </c>
      <c r="K86" s="250" t="s">
        <v>891</v>
      </c>
      <c r="L86" s="252" t="s">
        <v>4548</v>
      </c>
      <c r="M86" s="906"/>
      <c r="N86" s="1228">
        <v>65063</v>
      </c>
      <c r="O86" s="875" t="s">
        <v>4753</v>
      </c>
      <c r="P86" s="1058" t="s">
        <v>3486</v>
      </c>
      <c r="Q86" s="906"/>
      <c r="R86" s="250" t="s">
        <v>4549</v>
      </c>
      <c r="S86" s="906"/>
      <c r="T86" s="906" t="e">
        <f t="shared" si="5"/>
        <v>#VALUE!</v>
      </c>
    </row>
    <row r="87" spans="1:20" s="873" customFormat="1" ht="17.25">
      <c r="A87" s="927">
        <f t="shared" si="4"/>
        <v>85</v>
      </c>
      <c r="B87" s="255" t="s">
        <v>44</v>
      </c>
      <c r="C87" s="250">
        <v>32</v>
      </c>
      <c r="D87" s="255" t="s">
        <v>3450</v>
      </c>
      <c r="E87" s="250" t="s">
        <v>1886</v>
      </c>
      <c r="F87" s="255" t="s">
        <v>3515</v>
      </c>
      <c r="G87" s="955">
        <v>12</v>
      </c>
      <c r="H87" s="960">
        <v>9809874456</v>
      </c>
      <c r="I87" s="955">
        <v>60</v>
      </c>
      <c r="J87" s="255" t="s">
        <v>90</v>
      </c>
      <c r="K87" s="255" t="s">
        <v>3471</v>
      </c>
      <c r="L87" s="252"/>
      <c r="M87" s="255"/>
      <c r="N87" s="848">
        <v>65046</v>
      </c>
      <c r="O87" s="875">
        <v>65048</v>
      </c>
      <c r="P87" s="255" t="s">
        <v>3486</v>
      </c>
      <c r="Q87" s="255"/>
      <c r="R87" s="255" t="s">
        <v>3518</v>
      </c>
      <c r="S87" s="255"/>
      <c r="T87" s="1266">
        <f t="shared" si="5"/>
        <v>3</v>
      </c>
    </row>
    <row r="88" spans="1:20" ht="17.25">
      <c r="A88" s="927">
        <f t="shared" si="4"/>
        <v>86</v>
      </c>
      <c r="B88" s="255" t="s">
        <v>44</v>
      </c>
      <c r="C88" s="250">
        <v>113</v>
      </c>
      <c r="D88" s="255" t="s">
        <v>3450</v>
      </c>
      <c r="E88" s="250" t="s">
        <v>4447</v>
      </c>
      <c r="F88" s="255"/>
      <c r="G88" s="250">
        <v>19</v>
      </c>
      <c r="H88" s="906">
        <v>9847943536</v>
      </c>
      <c r="I88" s="250">
        <v>31</v>
      </c>
      <c r="J88" s="255" t="s">
        <v>48</v>
      </c>
      <c r="K88" s="255" t="s">
        <v>3471</v>
      </c>
      <c r="L88" s="255">
        <v>14704</v>
      </c>
      <c r="M88" s="255"/>
      <c r="N88" s="848">
        <v>65059</v>
      </c>
      <c r="O88" s="875">
        <v>65064</v>
      </c>
      <c r="P88" s="256" t="s">
        <v>3486</v>
      </c>
      <c r="Q88" s="255"/>
      <c r="R88" s="255" t="s">
        <v>4448</v>
      </c>
      <c r="S88" s="255"/>
      <c r="T88" s="1266">
        <f t="shared" si="5"/>
        <v>6</v>
      </c>
    </row>
    <row r="89" spans="1:20" s="873" customFormat="1" ht="17.25">
      <c r="A89" s="927">
        <f t="shared" si="4"/>
        <v>87</v>
      </c>
      <c r="B89" s="1223" t="s">
        <v>44</v>
      </c>
      <c r="C89" s="1222">
        <v>71</v>
      </c>
      <c r="D89" s="1223" t="s">
        <v>3450</v>
      </c>
      <c r="E89" s="1270" t="s">
        <v>3989</v>
      </c>
      <c r="F89" s="1223"/>
      <c r="G89" s="1268">
        <v>11</v>
      </c>
      <c r="H89" s="1269"/>
      <c r="I89" s="1270">
        <v>63</v>
      </c>
      <c r="J89" s="1223" t="s">
        <v>90</v>
      </c>
      <c r="K89" s="1223"/>
      <c r="L89" s="1224"/>
      <c r="M89" s="1223"/>
      <c r="N89" s="1271">
        <v>65051</v>
      </c>
      <c r="O89" s="1233">
        <v>65056</v>
      </c>
      <c r="P89" s="1272" t="s">
        <v>3486</v>
      </c>
      <c r="Q89" s="1223"/>
      <c r="R89" s="1267" t="s">
        <v>4006</v>
      </c>
      <c r="S89" s="1223"/>
      <c r="T89" s="1266">
        <f t="shared" si="5"/>
        <v>6</v>
      </c>
    </row>
    <row r="90" spans="1:20" s="909" customFormat="1" ht="17.25">
      <c r="A90" s="927">
        <f t="shared" si="4"/>
        <v>88</v>
      </c>
      <c r="B90" s="255" t="s">
        <v>44</v>
      </c>
      <c r="C90" s="970">
        <v>51</v>
      </c>
      <c r="D90" s="255" t="s">
        <v>3450</v>
      </c>
      <c r="E90" s="250" t="s">
        <v>3754</v>
      </c>
      <c r="F90" s="255"/>
      <c r="G90" s="958">
        <v>5</v>
      </c>
      <c r="H90" s="963">
        <v>9857820623</v>
      </c>
      <c r="I90" s="250">
        <v>23</v>
      </c>
      <c r="J90" s="255" t="s">
        <v>48</v>
      </c>
      <c r="K90" s="255"/>
      <c r="L90" s="876">
        <v>65047</v>
      </c>
      <c r="M90" s="255"/>
      <c r="N90" s="848">
        <v>65048</v>
      </c>
      <c r="O90" s="875">
        <v>65049</v>
      </c>
      <c r="P90" s="255" t="s">
        <v>3486</v>
      </c>
      <c r="Q90" s="255"/>
      <c r="R90" s="255" t="s">
        <v>3757</v>
      </c>
      <c r="S90" s="255" t="s">
        <v>3759</v>
      </c>
      <c r="T90" s="1266">
        <f t="shared" si="5"/>
        <v>2</v>
      </c>
    </row>
    <row r="91" spans="1:20" ht="17.25">
      <c r="A91" s="927">
        <f t="shared" si="4"/>
        <v>89</v>
      </c>
      <c r="B91" s="250" t="s">
        <v>44</v>
      </c>
      <c r="C91" s="250">
        <v>101</v>
      </c>
      <c r="D91" s="250" t="s">
        <v>3450</v>
      </c>
      <c r="E91" s="250" t="s">
        <v>4326</v>
      </c>
      <c r="F91" s="906"/>
      <c r="G91" s="250">
        <v>19</v>
      </c>
      <c r="H91" s="906">
        <v>9809807548</v>
      </c>
      <c r="I91" s="250">
        <v>30</v>
      </c>
      <c r="J91" s="250" t="s">
        <v>90</v>
      </c>
      <c r="K91" s="250" t="s">
        <v>3471</v>
      </c>
      <c r="L91" s="252">
        <v>629</v>
      </c>
      <c r="M91" s="906"/>
      <c r="N91" s="1228">
        <v>65056</v>
      </c>
      <c r="O91" s="875">
        <v>65065</v>
      </c>
      <c r="P91" s="1058" t="s">
        <v>3486</v>
      </c>
      <c r="Q91" s="906"/>
      <c r="R91" s="250" t="s">
        <v>4327</v>
      </c>
      <c r="S91" s="906"/>
      <c r="T91" s="1266">
        <f t="shared" si="5"/>
        <v>10</v>
      </c>
    </row>
    <row r="92" spans="1:20" ht="17.25">
      <c r="A92" s="927">
        <f t="shared" si="4"/>
        <v>90</v>
      </c>
      <c r="B92" s="1223" t="s">
        <v>44</v>
      </c>
      <c r="C92" s="1222">
        <v>92</v>
      </c>
      <c r="D92" s="1223" t="s">
        <v>3450</v>
      </c>
      <c r="E92" s="1222" t="s">
        <v>4249</v>
      </c>
      <c r="F92" s="1223"/>
      <c r="G92" s="1278">
        <v>18</v>
      </c>
      <c r="H92" s="1148">
        <v>9846655396</v>
      </c>
      <c r="I92" s="1222">
        <v>38</v>
      </c>
      <c r="J92" s="1223" t="s">
        <v>48</v>
      </c>
      <c r="K92" s="1223" t="s">
        <v>3471</v>
      </c>
      <c r="L92" s="1224">
        <v>13814</v>
      </c>
      <c r="M92" s="1223"/>
      <c r="N92" s="1271">
        <v>65054</v>
      </c>
      <c r="O92" s="1233">
        <v>65054</v>
      </c>
      <c r="P92" s="1223" t="s">
        <v>3486</v>
      </c>
      <c r="Q92" s="1223"/>
      <c r="R92" s="1223" t="s">
        <v>4250</v>
      </c>
      <c r="S92" s="1223"/>
      <c r="T92" s="1266">
        <f t="shared" si="5"/>
        <v>1</v>
      </c>
    </row>
    <row r="93" spans="1:20" s="873" customFormat="1" ht="17.25">
      <c r="A93" s="927">
        <f t="shared" si="4"/>
        <v>91</v>
      </c>
      <c r="B93" s="255" t="s">
        <v>44</v>
      </c>
      <c r="C93" s="250">
        <v>62</v>
      </c>
      <c r="D93" s="255" t="s">
        <v>3450</v>
      </c>
      <c r="E93" s="967" t="s">
        <v>3978</v>
      </c>
      <c r="F93" s="255"/>
      <c r="G93" s="958">
        <v>16</v>
      </c>
      <c r="H93" s="964"/>
      <c r="I93" s="967">
        <v>70</v>
      </c>
      <c r="J93" s="255" t="s">
        <v>48</v>
      </c>
      <c r="K93" s="255"/>
      <c r="L93" s="252"/>
      <c r="M93" s="255"/>
      <c r="N93" s="848">
        <v>65050</v>
      </c>
      <c r="O93" s="875">
        <v>65056</v>
      </c>
      <c r="P93" s="256" t="s">
        <v>3486</v>
      </c>
      <c r="Q93" s="255"/>
      <c r="R93" s="852" t="s">
        <v>960</v>
      </c>
      <c r="S93" s="255"/>
      <c r="T93" s="1266">
        <f t="shared" si="5"/>
        <v>7</v>
      </c>
    </row>
    <row r="94" spans="1:20" s="873" customFormat="1" ht="17.25">
      <c r="A94" s="927">
        <f t="shared" si="4"/>
        <v>92</v>
      </c>
      <c r="B94" s="255" t="s">
        <v>44</v>
      </c>
      <c r="C94" s="250">
        <v>55</v>
      </c>
      <c r="D94" s="255" t="s">
        <v>3459</v>
      </c>
      <c r="E94" s="967" t="s">
        <v>3979</v>
      </c>
      <c r="F94" s="255"/>
      <c r="G94" s="958">
        <v>3</v>
      </c>
      <c r="H94" s="964">
        <v>9847823729</v>
      </c>
      <c r="I94" s="967">
        <v>64</v>
      </c>
      <c r="J94" s="255" t="s">
        <v>90</v>
      </c>
      <c r="K94" s="255" t="s">
        <v>3465</v>
      </c>
      <c r="L94" s="252">
        <v>265</v>
      </c>
      <c r="M94" s="255"/>
      <c r="N94" s="848">
        <v>65050</v>
      </c>
      <c r="O94" s="875">
        <v>65052</v>
      </c>
      <c r="P94" s="256" t="s">
        <v>3486</v>
      </c>
      <c r="Q94" s="255"/>
      <c r="R94" s="852" t="s">
        <v>3997</v>
      </c>
      <c r="S94" s="255"/>
      <c r="T94" s="47">
        <f t="shared" si="5"/>
        <v>3</v>
      </c>
    </row>
    <row r="95" spans="1:20" s="872" customFormat="1" ht="17.25">
      <c r="A95" s="927">
        <f t="shared" si="4"/>
        <v>93</v>
      </c>
      <c r="B95" s="195" t="s">
        <v>44</v>
      </c>
      <c r="C95" s="193">
        <v>35</v>
      </c>
      <c r="D95" s="195" t="s">
        <v>3450</v>
      </c>
      <c r="E95" s="193" t="s">
        <v>3550</v>
      </c>
      <c r="F95" s="195"/>
      <c r="G95" s="954">
        <v>9</v>
      </c>
      <c r="H95" s="959">
        <v>9844768098</v>
      </c>
      <c r="I95" s="954">
        <v>41</v>
      </c>
      <c r="J95" s="195" t="s">
        <v>48</v>
      </c>
      <c r="K95" s="195" t="s">
        <v>3471</v>
      </c>
      <c r="L95" s="878"/>
      <c r="M95" s="195"/>
      <c r="N95" s="854">
        <v>65046</v>
      </c>
      <c r="O95" s="877">
        <v>65047</v>
      </c>
      <c r="P95" s="195" t="s">
        <v>3578</v>
      </c>
      <c r="Q95" s="195" t="s">
        <v>3773</v>
      </c>
      <c r="R95" s="195" t="s">
        <v>3520</v>
      </c>
      <c r="S95" s="195"/>
      <c r="T95" s="47">
        <f t="shared" si="5"/>
        <v>2</v>
      </c>
    </row>
    <row r="96" spans="1:20" s="873" customFormat="1" ht="17.25">
      <c r="A96" s="927">
        <f t="shared" si="4"/>
        <v>94</v>
      </c>
      <c r="B96" s="195" t="s">
        <v>44</v>
      </c>
      <c r="C96" s="966">
        <v>56</v>
      </c>
      <c r="D96" s="195" t="s">
        <v>3450</v>
      </c>
      <c r="E96" s="242" t="s">
        <v>3973</v>
      </c>
      <c r="F96" s="195"/>
      <c r="G96" s="957">
        <v>9</v>
      </c>
      <c r="H96" s="965"/>
      <c r="I96" s="242">
        <v>40</v>
      </c>
      <c r="J96" s="195" t="s">
        <v>48</v>
      </c>
      <c r="K96" s="195" t="s">
        <v>3465</v>
      </c>
      <c r="L96" s="878"/>
      <c r="M96" s="195"/>
      <c r="N96" s="854">
        <v>65050</v>
      </c>
      <c r="O96" s="877">
        <v>65052</v>
      </c>
      <c r="P96" s="241" t="s">
        <v>3578</v>
      </c>
      <c r="Q96" s="195" t="s">
        <v>4026</v>
      </c>
      <c r="R96" s="238" t="s">
        <v>3991</v>
      </c>
      <c r="S96" s="195"/>
      <c r="T96" s="1266">
        <f t="shared" si="5"/>
        <v>3</v>
      </c>
    </row>
    <row r="97" spans="1:20" s="873" customFormat="1" ht="17.25">
      <c r="A97" s="927">
        <f t="shared" si="4"/>
        <v>95</v>
      </c>
      <c r="B97" s="195" t="s">
        <v>44</v>
      </c>
      <c r="C97" s="966">
        <v>59</v>
      </c>
      <c r="D97" s="195" t="s">
        <v>3450</v>
      </c>
      <c r="E97" s="242" t="s">
        <v>3974</v>
      </c>
      <c r="F97" s="195"/>
      <c r="G97" s="957">
        <v>11</v>
      </c>
      <c r="H97" s="965"/>
      <c r="I97" s="242">
        <v>33</v>
      </c>
      <c r="J97" s="195" t="s">
        <v>48</v>
      </c>
      <c r="K97" s="195" t="s">
        <v>3465</v>
      </c>
      <c r="L97" s="878"/>
      <c r="M97" s="195"/>
      <c r="N97" s="854">
        <v>65050</v>
      </c>
      <c r="O97" s="877">
        <v>65052</v>
      </c>
      <c r="P97" s="241" t="s">
        <v>3578</v>
      </c>
      <c r="Q97" s="195" t="s">
        <v>4026</v>
      </c>
      <c r="R97" s="238" t="s">
        <v>3992</v>
      </c>
      <c r="S97" s="195"/>
      <c r="T97" s="47">
        <f t="shared" si="5"/>
        <v>3</v>
      </c>
    </row>
    <row r="98" spans="1:20" s="873" customFormat="1" ht="17.25">
      <c r="A98" s="927">
        <f t="shared" si="4"/>
        <v>96</v>
      </c>
      <c r="B98" s="195" t="s">
        <v>44</v>
      </c>
      <c r="C98" s="193">
        <v>19</v>
      </c>
      <c r="D98" s="195" t="s">
        <v>3450</v>
      </c>
      <c r="E98" s="193" t="s">
        <v>3581</v>
      </c>
      <c r="F98" s="195"/>
      <c r="G98" s="954">
        <v>6</v>
      </c>
      <c r="H98" s="959">
        <v>9847822488</v>
      </c>
      <c r="I98" s="954">
        <v>68</v>
      </c>
      <c r="J98" s="195" t="s">
        <v>90</v>
      </c>
      <c r="K98" s="195" t="s">
        <v>3471</v>
      </c>
      <c r="L98" s="877">
        <v>65045</v>
      </c>
      <c r="M98" s="855"/>
      <c r="N98" s="854">
        <v>65045</v>
      </c>
      <c r="O98" s="877">
        <v>65045</v>
      </c>
      <c r="P98" s="241" t="s">
        <v>3578</v>
      </c>
      <c r="Q98" s="856" t="s">
        <v>3473</v>
      </c>
      <c r="R98" s="195" t="s">
        <v>3474</v>
      </c>
      <c r="S98" s="195" t="s">
        <v>3454</v>
      </c>
      <c r="T98" s="47">
        <f t="shared" si="5"/>
        <v>1</v>
      </c>
    </row>
    <row r="99" spans="1:20" s="909" customFormat="1" ht="17.25">
      <c r="A99" s="927">
        <f t="shared" si="4"/>
        <v>97</v>
      </c>
      <c r="B99" s="193" t="s">
        <v>3457</v>
      </c>
      <c r="C99" s="193">
        <v>100</v>
      </c>
      <c r="D99" s="193" t="s">
        <v>4091</v>
      </c>
      <c r="E99" s="193" t="s">
        <v>4324</v>
      </c>
      <c r="F99" s="196"/>
      <c r="G99" s="193">
        <v>4</v>
      </c>
      <c r="H99" s="196">
        <v>9809807548</v>
      </c>
      <c r="I99" s="193">
        <v>50</v>
      </c>
      <c r="J99" s="193" t="s">
        <v>48</v>
      </c>
      <c r="K99" s="193" t="s">
        <v>3471</v>
      </c>
      <c r="L99" s="878">
        <v>14238</v>
      </c>
      <c r="M99" s="196"/>
      <c r="N99" s="1231">
        <v>65056</v>
      </c>
      <c r="O99" s="877">
        <v>65060</v>
      </c>
      <c r="P99" s="197" t="s">
        <v>3578</v>
      </c>
      <c r="Q99" s="196"/>
      <c r="R99" s="193" t="s">
        <v>4325</v>
      </c>
      <c r="S99" s="196"/>
      <c r="T99" s="47">
        <f t="shared" si="5"/>
        <v>5</v>
      </c>
    </row>
    <row r="100" spans="1:20" s="909" customFormat="1" ht="17.25">
      <c r="A100" s="927">
        <f t="shared" ref="A100:A131" si="6">A99+1</f>
        <v>98</v>
      </c>
      <c r="B100" s="195" t="s">
        <v>3457</v>
      </c>
      <c r="C100" s="193">
        <v>10</v>
      </c>
      <c r="D100" s="195" t="s">
        <v>3458</v>
      </c>
      <c r="E100" s="193" t="s">
        <v>3530</v>
      </c>
      <c r="F100" s="195" t="s">
        <v>3458</v>
      </c>
      <c r="G100" s="954">
        <v>3</v>
      </c>
      <c r="H100" s="959"/>
      <c r="I100" s="954">
        <v>32</v>
      </c>
      <c r="J100" s="195" t="s">
        <v>48</v>
      </c>
      <c r="K100" s="195"/>
      <c r="L100" s="877">
        <v>65042</v>
      </c>
      <c r="M100" s="855">
        <v>0.66666666666666663</v>
      </c>
      <c r="N100" s="854">
        <v>65043</v>
      </c>
      <c r="O100" s="877">
        <v>65045</v>
      </c>
      <c r="P100" s="241" t="s">
        <v>3578</v>
      </c>
      <c r="Q100" s="195" t="s">
        <v>3498</v>
      </c>
      <c r="R100" s="195" t="s">
        <v>3500</v>
      </c>
      <c r="S100" s="195" t="s">
        <v>3495</v>
      </c>
      <c r="T100" s="1266">
        <f t="shared" ref="T100:T131" si="7">(O100-N100)+1</f>
        <v>3</v>
      </c>
    </row>
    <row r="101" spans="1:20" s="873" customFormat="1" ht="17.25">
      <c r="A101" s="927">
        <f t="shared" si="6"/>
        <v>99</v>
      </c>
      <c r="B101" s="195" t="s">
        <v>44</v>
      </c>
      <c r="C101" s="193">
        <v>61</v>
      </c>
      <c r="D101" s="195" t="s">
        <v>3450</v>
      </c>
      <c r="E101" s="193" t="s">
        <v>4007</v>
      </c>
      <c r="F101" s="195"/>
      <c r="G101" s="957">
        <v>6</v>
      </c>
      <c r="H101" s="196"/>
      <c r="I101" s="193">
        <v>65</v>
      </c>
      <c r="J101" s="195" t="s">
        <v>48</v>
      </c>
      <c r="K101" s="195"/>
      <c r="L101" s="878"/>
      <c r="M101" s="195"/>
      <c r="N101" s="854">
        <v>65050</v>
      </c>
      <c r="O101" s="877">
        <v>65051</v>
      </c>
      <c r="P101" s="195" t="s">
        <v>3578</v>
      </c>
      <c r="Q101" s="195"/>
      <c r="R101" s="195"/>
      <c r="S101" s="195"/>
      <c r="T101" s="47">
        <f t="shared" si="7"/>
        <v>2</v>
      </c>
    </row>
    <row r="102" spans="1:20" ht="17.25">
      <c r="A102" s="927">
        <f t="shared" si="6"/>
        <v>100</v>
      </c>
      <c r="B102" s="195" t="s">
        <v>44</v>
      </c>
      <c r="C102" s="193">
        <v>16</v>
      </c>
      <c r="D102" s="195" t="s">
        <v>3450</v>
      </c>
      <c r="E102" s="193" t="s">
        <v>3534</v>
      </c>
      <c r="F102" s="195" t="s">
        <v>3464</v>
      </c>
      <c r="G102" s="954">
        <v>9</v>
      </c>
      <c r="H102" s="959">
        <v>9844925078</v>
      </c>
      <c r="I102" s="954">
        <v>70</v>
      </c>
      <c r="J102" s="195" t="s">
        <v>48</v>
      </c>
      <c r="K102" s="195" t="s">
        <v>3465</v>
      </c>
      <c r="L102" s="877">
        <v>65044</v>
      </c>
      <c r="M102" s="855"/>
      <c r="N102" s="854">
        <v>65044</v>
      </c>
      <c r="O102" s="877">
        <v>65044</v>
      </c>
      <c r="P102" s="241" t="s">
        <v>3578</v>
      </c>
      <c r="Q102" s="856" t="s">
        <v>3466</v>
      </c>
      <c r="R102" s="195" t="s">
        <v>3467</v>
      </c>
      <c r="S102" s="195" t="s">
        <v>3453</v>
      </c>
      <c r="T102" s="47">
        <f t="shared" si="7"/>
        <v>1</v>
      </c>
    </row>
    <row r="103" spans="1:20" s="873" customFormat="1" ht="17.25">
      <c r="A103" s="927">
        <f t="shared" si="6"/>
        <v>101</v>
      </c>
      <c r="B103" s="195" t="s">
        <v>44</v>
      </c>
      <c r="C103" s="966">
        <v>68</v>
      </c>
      <c r="D103" s="195" t="s">
        <v>3450</v>
      </c>
      <c r="E103" s="242" t="s">
        <v>3982</v>
      </c>
      <c r="F103" s="195"/>
      <c r="G103" s="957">
        <v>9</v>
      </c>
      <c r="H103" s="965">
        <v>9829811981</v>
      </c>
      <c r="I103" s="242">
        <v>70</v>
      </c>
      <c r="J103" s="195" t="s">
        <v>90</v>
      </c>
      <c r="K103" s="195" t="s">
        <v>3471</v>
      </c>
      <c r="L103" s="878"/>
      <c r="M103" s="195"/>
      <c r="N103" s="854">
        <v>65051</v>
      </c>
      <c r="O103" s="877">
        <v>65052</v>
      </c>
      <c r="P103" s="241" t="s">
        <v>3578</v>
      </c>
      <c r="Q103" s="195" t="s">
        <v>4026</v>
      </c>
      <c r="R103" s="238" t="s">
        <v>4000</v>
      </c>
      <c r="S103" s="195"/>
      <c r="T103" s="47">
        <f t="shared" si="7"/>
        <v>2</v>
      </c>
    </row>
    <row r="104" spans="1:20" s="1030" customFormat="1" ht="17.25">
      <c r="A104" s="927">
        <f t="shared" si="6"/>
        <v>102</v>
      </c>
      <c r="B104" s="195" t="s">
        <v>44</v>
      </c>
      <c r="C104" s="966">
        <v>89</v>
      </c>
      <c r="D104" s="195" t="s">
        <v>3450</v>
      </c>
      <c r="E104" s="193" t="s">
        <v>4243</v>
      </c>
      <c r="F104" s="195"/>
      <c r="G104" s="957">
        <v>2</v>
      </c>
      <c r="H104" s="196">
        <v>9809541309</v>
      </c>
      <c r="I104" s="969">
        <v>37</v>
      </c>
      <c r="J104" s="195" t="s">
        <v>48</v>
      </c>
      <c r="K104" s="195" t="s">
        <v>3471</v>
      </c>
      <c r="L104" s="910">
        <v>13921</v>
      </c>
      <c r="M104" s="195"/>
      <c r="N104" s="854">
        <v>65054</v>
      </c>
      <c r="O104" s="877">
        <v>65058</v>
      </c>
      <c r="P104" s="241" t="s">
        <v>3578</v>
      </c>
      <c r="Q104" s="195" t="s">
        <v>4026</v>
      </c>
      <c r="R104" s="908" t="s">
        <v>4244</v>
      </c>
      <c r="S104" s="195"/>
      <c r="T104" s="1266">
        <f t="shared" si="7"/>
        <v>5</v>
      </c>
    </row>
    <row r="105" spans="1:20" ht="17.25">
      <c r="A105" s="927">
        <f t="shared" si="6"/>
        <v>103</v>
      </c>
      <c r="B105" s="195" t="s">
        <v>44</v>
      </c>
      <c r="C105" s="193">
        <v>74</v>
      </c>
      <c r="D105" s="195" t="s">
        <v>3450</v>
      </c>
      <c r="E105" s="242" t="s">
        <v>3983</v>
      </c>
      <c r="F105" s="195"/>
      <c r="G105" s="957">
        <v>9</v>
      </c>
      <c r="H105" s="965"/>
      <c r="I105" s="242">
        <v>50</v>
      </c>
      <c r="J105" s="195" t="s">
        <v>90</v>
      </c>
      <c r="K105" s="195"/>
      <c r="L105" s="878"/>
      <c r="M105" s="195"/>
      <c r="N105" s="854">
        <v>65051</v>
      </c>
      <c r="O105" s="877">
        <v>65052</v>
      </c>
      <c r="P105" s="195" t="s">
        <v>3578</v>
      </c>
      <c r="Q105" s="195" t="s">
        <v>4026</v>
      </c>
      <c r="R105" s="238" t="s">
        <v>4001</v>
      </c>
      <c r="S105" s="195"/>
      <c r="T105" s="1212">
        <f t="shared" si="7"/>
        <v>2</v>
      </c>
    </row>
    <row r="106" spans="1:20" s="1030" customFormat="1" ht="17.25">
      <c r="A106" s="927">
        <f t="shared" si="6"/>
        <v>104</v>
      </c>
      <c r="B106" s="195" t="s">
        <v>44</v>
      </c>
      <c r="C106" s="966">
        <v>90</v>
      </c>
      <c r="D106" s="195" t="s">
        <v>3450</v>
      </c>
      <c r="E106" s="1276" t="s">
        <v>4241</v>
      </c>
      <c r="F106" s="195"/>
      <c r="G106" s="957">
        <v>3</v>
      </c>
      <c r="H106" s="196">
        <v>9868612836</v>
      </c>
      <c r="I106" s="969">
        <v>31</v>
      </c>
      <c r="J106" s="195" t="s">
        <v>48</v>
      </c>
      <c r="K106" s="857" t="s">
        <v>3487</v>
      </c>
      <c r="L106" s="878"/>
      <c r="M106" s="195"/>
      <c r="N106" s="854">
        <v>65054</v>
      </c>
      <c r="O106" s="877">
        <v>65058</v>
      </c>
      <c r="P106" s="241" t="s">
        <v>3578</v>
      </c>
      <c r="Q106" s="195" t="s">
        <v>4336</v>
      </c>
      <c r="R106" s="908" t="s">
        <v>4242</v>
      </c>
      <c r="S106" s="195"/>
      <c r="T106" s="1266">
        <f t="shared" si="7"/>
        <v>5</v>
      </c>
    </row>
    <row r="107" spans="1:20" s="873" customFormat="1" ht="17.25">
      <c r="A107" s="927">
        <f t="shared" si="6"/>
        <v>105</v>
      </c>
      <c r="B107" s="195" t="s">
        <v>44</v>
      </c>
      <c r="C107" s="193">
        <v>45</v>
      </c>
      <c r="D107" s="195" t="s">
        <v>3459</v>
      </c>
      <c r="E107" s="193" t="s">
        <v>3559</v>
      </c>
      <c r="F107" s="195" t="s">
        <v>3747</v>
      </c>
      <c r="G107" s="954">
        <v>3</v>
      </c>
      <c r="H107" s="959">
        <v>9844913745</v>
      </c>
      <c r="I107" s="193">
        <v>58</v>
      </c>
      <c r="J107" s="195" t="s">
        <v>48</v>
      </c>
      <c r="K107" s="195" t="s">
        <v>3465</v>
      </c>
      <c r="L107" s="879">
        <v>65046</v>
      </c>
      <c r="M107" s="195"/>
      <c r="N107" s="854">
        <v>65047</v>
      </c>
      <c r="O107" s="877">
        <v>65047</v>
      </c>
      <c r="P107" s="195" t="s">
        <v>3578</v>
      </c>
      <c r="Q107" s="195" t="s">
        <v>3473</v>
      </c>
      <c r="R107" s="195" t="s">
        <v>3572</v>
      </c>
      <c r="S107" s="195"/>
      <c r="T107" s="47">
        <f t="shared" si="7"/>
        <v>1</v>
      </c>
    </row>
    <row r="108" spans="1:20" s="873" customFormat="1" ht="17.25">
      <c r="A108" s="927">
        <f t="shared" si="6"/>
        <v>106</v>
      </c>
      <c r="B108" s="857" t="s">
        <v>3457</v>
      </c>
      <c r="C108" s="966">
        <v>78</v>
      </c>
      <c r="D108" s="857" t="s">
        <v>4091</v>
      </c>
      <c r="E108" s="193" t="s">
        <v>4092</v>
      </c>
      <c r="F108" s="195"/>
      <c r="G108" s="957">
        <v>4</v>
      </c>
      <c r="H108" s="196">
        <v>9843794815</v>
      </c>
      <c r="I108" s="969">
        <v>35</v>
      </c>
      <c r="J108" s="195" t="s">
        <v>48</v>
      </c>
      <c r="K108" s="195" t="s">
        <v>3465</v>
      </c>
      <c r="L108" s="878">
        <v>522</v>
      </c>
      <c r="M108" s="195"/>
      <c r="N108" s="854">
        <v>65053</v>
      </c>
      <c r="O108" s="877">
        <v>65057</v>
      </c>
      <c r="P108" s="241" t="s">
        <v>3578</v>
      </c>
      <c r="Q108" s="195" t="s">
        <v>4337</v>
      </c>
      <c r="R108" s="908" t="s">
        <v>4093</v>
      </c>
      <c r="S108" s="195"/>
      <c r="T108" s="47">
        <f t="shared" si="7"/>
        <v>5</v>
      </c>
    </row>
    <row r="109" spans="1:20" s="873" customFormat="1" ht="17.25">
      <c r="A109" s="927">
        <f t="shared" si="6"/>
        <v>107</v>
      </c>
      <c r="B109" s="195" t="s">
        <v>44</v>
      </c>
      <c r="C109" s="193">
        <v>111</v>
      </c>
      <c r="D109" s="195" t="s">
        <v>3450</v>
      </c>
      <c r="E109" s="1274" t="s">
        <v>4413</v>
      </c>
      <c r="F109" s="196"/>
      <c r="G109" s="193">
        <v>4</v>
      </c>
      <c r="H109" s="196">
        <v>9803509502</v>
      </c>
      <c r="I109" s="193">
        <v>42</v>
      </c>
      <c r="J109" s="195" t="s">
        <v>90</v>
      </c>
      <c r="K109" s="195" t="s">
        <v>3471</v>
      </c>
      <c r="L109" s="878"/>
      <c r="M109" s="196"/>
      <c r="N109" s="1231">
        <v>65059</v>
      </c>
      <c r="O109" s="877">
        <v>65060</v>
      </c>
      <c r="P109" s="241" t="s">
        <v>3578</v>
      </c>
      <c r="Q109" s="196" t="s">
        <v>4027</v>
      </c>
      <c r="R109" s="193" t="s">
        <v>4488</v>
      </c>
      <c r="S109" s="1029"/>
      <c r="T109" s="47">
        <f t="shared" si="7"/>
        <v>2</v>
      </c>
    </row>
    <row r="110" spans="1:20" s="873" customFormat="1" ht="17.25">
      <c r="A110" s="927">
        <f t="shared" si="6"/>
        <v>108</v>
      </c>
      <c r="B110" s="195" t="s">
        <v>44</v>
      </c>
      <c r="C110" s="966">
        <v>85</v>
      </c>
      <c r="D110" s="195" t="s">
        <v>3450</v>
      </c>
      <c r="E110" s="242" t="s">
        <v>900</v>
      </c>
      <c r="F110" s="195"/>
      <c r="G110" s="957">
        <v>7</v>
      </c>
      <c r="H110" s="965">
        <v>9847837572</v>
      </c>
      <c r="I110" s="242">
        <v>42</v>
      </c>
      <c r="J110" s="195" t="s">
        <v>90</v>
      </c>
      <c r="K110" s="195" t="s">
        <v>3465</v>
      </c>
      <c r="L110" s="910">
        <v>385</v>
      </c>
      <c r="M110" s="195"/>
      <c r="N110" s="854">
        <v>65053</v>
      </c>
      <c r="O110" s="877">
        <v>65056</v>
      </c>
      <c r="P110" s="241" t="s">
        <v>3578</v>
      </c>
      <c r="Q110" s="195" t="s">
        <v>4337</v>
      </c>
      <c r="R110" s="238" t="s">
        <v>4100</v>
      </c>
      <c r="S110" s="195"/>
      <c r="T110" s="1137">
        <f t="shared" si="7"/>
        <v>4</v>
      </c>
    </row>
    <row r="111" spans="1:20" s="909" customFormat="1" ht="17.25">
      <c r="A111" s="927">
        <f t="shared" si="6"/>
        <v>109</v>
      </c>
      <c r="B111" s="195" t="s">
        <v>44</v>
      </c>
      <c r="C111" s="193">
        <v>41</v>
      </c>
      <c r="D111" s="195" t="s">
        <v>3450</v>
      </c>
      <c r="E111" s="193" t="s">
        <v>3556</v>
      </c>
      <c r="F111" s="195"/>
      <c r="G111" s="954">
        <v>3</v>
      </c>
      <c r="H111" s="959">
        <v>9800589732</v>
      </c>
      <c r="I111" s="954">
        <v>65</v>
      </c>
      <c r="J111" s="195" t="s">
        <v>48</v>
      </c>
      <c r="K111" s="195" t="s">
        <v>3471</v>
      </c>
      <c r="L111" s="878"/>
      <c r="M111" s="195"/>
      <c r="N111" s="854">
        <v>65046</v>
      </c>
      <c r="O111" s="877">
        <v>65049</v>
      </c>
      <c r="P111" s="195" t="s">
        <v>3578</v>
      </c>
      <c r="Q111" s="195" t="s">
        <v>3466</v>
      </c>
      <c r="R111" s="195" t="s">
        <v>3569</v>
      </c>
      <c r="S111" s="195" t="s">
        <v>3746</v>
      </c>
      <c r="T111" s="47">
        <f t="shared" si="7"/>
        <v>4</v>
      </c>
    </row>
    <row r="112" spans="1:20" s="872" customFormat="1" ht="17.25">
      <c r="A112" s="927">
        <f t="shared" si="6"/>
        <v>110</v>
      </c>
      <c r="B112" s="929" t="s">
        <v>44</v>
      </c>
      <c r="C112" s="1259">
        <v>67</v>
      </c>
      <c r="D112" s="929" t="s">
        <v>3450</v>
      </c>
      <c r="E112" s="1262" t="s">
        <v>3984</v>
      </c>
      <c r="F112" s="929"/>
      <c r="G112" s="1254">
        <v>7</v>
      </c>
      <c r="H112" s="1261">
        <v>9809890383</v>
      </c>
      <c r="I112" s="1262">
        <v>38</v>
      </c>
      <c r="J112" s="929" t="s">
        <v>48</v>
      </c>
      <c r="K112" s="929" t="s">
        <v>3471</v>
      </c>
      <c r="L112" s="1280">
        <v>65045</v>
      </c>
      <c r="M112" s="929"/>
      <c r="N112" s="1183">
        <v>65051</v>
      </c>
      <c r="O112" s="1225">
        <v>65055</v>
      </c>
      <c r="P112" s="1041" t="s">
        <v>3578</v>
      </c>
      <c r="Q112" s="929" t="s">
        <v>4337</v>
      </c>
      <c r="R112" s="1260" t="s">
        <v>4002</v>
      </c>
      <c r="S112" s="929"/>
      <c r="T112" s="47">
        <f t="shared" si="7"/>
        <v>5</v>
      </c>
    </row>
    <row r="113" spans="1:20" s="1030" customFormat="1" ht="17.25">
      <c r="A113" s="927">
        <f t="shared" si="6"/>
        <v>111</v>
      </c>
      <c r="B113" s="195" t="s">
        <v>44</v>
      </c>
      <c r="C113" s="966">
        <v>48</v>
      </c>
      <c r="D113" s="195" t="s">
        <v>3450</v>
      </c>
      <c r="E113" s="193" t="s">
        <v>3749</v>
      </c>
      <c r="F113" s="195" t="s">
        <v>3750</v>
      </c>
      <c r="G113" s="957">
        <v>18</v>
      </c>
      <c r="H113" s="1105">
        <v>9868149291</v>
      </c>
      <c r="I113" s="966">
        <v>34</v>
      </c>
      <c r="J113" s="195" t="s">
        <v>48</v>
      </c>
      <c r="K113" s="195" t="s">
        <v>3471</v>
      </c>
      <c r="L113" s="879">
        <v>65047</v>
      </c>
      <c r="M113" s="195"/>
      <c r="N113" s="854">
        <v>65047</v>
      </c>
      <c r="O113" s="877">
        <v>65052</v>
      </c>
      <c r="P113" s="241" t="s">
        <v>3578</v>
      </c>
      <c r="Q113" s="195" t="s">
        <v>4027</v>
      </c>
      <c r="R113" s="857" t="s">
        <v>3751</v>
      </c>
      <c r="S113" s="195"/>
      <c r="T113" s="1144">
        <f t="shared" si="7"/>
        <v>6</v>
      </c>
    </row>
    <row r="114" spans="1:20" s="873" customFormat="1" ht="17.25">
      <c r="A114" s="927">
        <f t="shared" si="6"/>
        <v>112</v>
      </c>
      <c r="B114" s="929" t="s">
        <v>44</v>
      </c>
      <c r="C114" s="1259">
        <v>6</v>
      </c>
      <c r="D114" s="929" t="s">
        <v>3450</v>
      </c>
      <c r="E114" s="1259" t="s">
        <v>3526</v>
      </c>
      <c r="F114" s="929" t="s">
        <v>3491</v>
      </c>
      <c r="G114" s="1277">
        <v>7</v>
      </c>
      <c r="H114" s="1279">
        <v>9866900020</v>
      </c>
      <c r="I114" s="1277">
        <v>68</v>
      </c>
      <c r="J114" s="929" t="s">
        <v>48</v>
      </c>
      <c r="K114" s="929" t="s">
        <v>3487</v>
      </c>
      <c r="L114" s="1225">
        <v>65043</v>
      </c>
      <c r="M114" s="1281"/>
      <c r="N114" s="1183">
        <v>65043</v>
      </c>
      <c r="O114" s="1225">
        <v>65044</v>
      </c>
      <c r="P114" s="1041" t="s">
        <v>3578</v>
      </c>
      <c r="Q114" s="929" t="s">
        <v>3492</v>
      </c>
      <c r="R114" s="929" t="s">
        <v>3493</v>
      </c>
      <c r="S114" s="929" t="s">
        <v>3453</v>
      </c>
      <c r="T114" s="1149">
        <f t="shared" si="7"/>
        <v>2</v>
      </c>
    </row>
    <row r="115" spans="1:20" s="1030" customFormat="1" ht="17.25">
      <c r="A115" s="927">
        <f t="shared" si="6"/>
        <v>113</v>
      </c>
      <c r="B115" s="195" t="s">
        <v>44</v>
      </c>
      <c r="C115" s="193">
        <v>22</v>
      </c>
      <c r="D115" s="195" t="s">
        <v>3450</v>
      </c>
      <c r="E115" s="193" t="s">
        <v>3539</v>
      </c>
      <c r="F115" s="195"/>
      <c r="G115" s="954">
        <v>5</v>
      </c>
      <c r="H115" s="959">
        <v>9860389428</v>
      </c>
      <c r="I115" s="954">
        <v>47</v>
      </c>
      <c r="J115" s="195" t="s">
        <v>48</v>
      </c>
      <c r="K115" s="195" t="s">
        <v>3471</v>
      </c>
      <c r="L115" s="877">
        <v>65045</v>
      </c>
      <c r="M115" s="855"/>
      <c r="N115" s="854">
        <v>65045</v>
      </c>
      <c r="O115" s="877">
        <v>65045</v>
      </c>
      <c r="P115" s="195" t="s">
        <v>3578</v>
      </c>
      <c r="Q115" s="195" t="s">
        <v>3578</v>
      </c>
      <c r="R115" s="195" t="s">
        <v>3479</v>
      </c>
      <c r="S115" s="195"/>
      <c r="T115" s="1149">
        <f t="shared" si="7"/>
        <v>1</v>
      </c>
    </row>
    <row r="116" spans="1:20" s="873" customFormat="1" ht="17.25">
      <c r="A116" s="927">
        <f t="shared" si="6"/>
        <v>114</v>
      </c>
      <c r="B116" s="195" t="s">
        <v>3563</v>
      </c>
      <c r="C116" s="193">
        <v>46</v>
      </c>
      <c r="D116" s="195" t="s">
        <v>3564</v>
      </c>
      <c r="E116" s="193" t="s">
        <v>3560</v>
      </c>
      <c r="F116" s="195" t="s">
        <v>3748</v>
      </c>
      <c r="G116" s="954"/>
      <c r="H116" s="959">
        <v>9847824716</v>
      </c>
      <c r="I116" s="193">
        <v>60</v>
      </c>
      <c r="J116" s="195" t="s">
        <v>48</v>
      </c>
      <c r="K116" s="195" t="s">
        <v>3465</v>
      </c>
      <c r="L116" s="879">
        <v>65047</v>
      </c>
      <c r="M116" s="195"/>
      <c r="N116" s="854">
        <v>65047</v>
      </c>
      <c r="O116" s="877">
        <v>65049</v>
      </c>
      <c r="P116" s="195" t="s">
        <v>3578</v>
      </c>
      <c r="Q116" s="195" t="s">
        <v>3466</v>
      </c>
      <c r="R116" s="195" t="s">
        <v>3573</v>
      </c>
      <c r="S116" s="195"/>
      <c r="T116" s="1149">
        <f t="shared" si="7"/>
        <v>3</v>
      </c>
    </row>
    <row r="117" spans="1:20" s="1030" customFormat="1" ht="17.25">
      <c r="A117" s="927">
        <f t="shared" si="6"/>
        <v>115</v>
      </c>
      <c r="B117" s="195" t="s">
        <v>44</v>
      </c>
      <c r="C117" s="193">
        <v>73</v>
      </c>
      <c r="D117" s="195" t="s">
        <v>3450</v>
      </c>
      <c r="E117" s="242" t="s">
        <v>3986</v>
      </c>
      <c r="F117" s="195"/>
      <c r="G117" s="957">
        <v>11</v>
      </c>
      <c r="H117" s="965">
        <v>9810865861</v>
      </c>
      <c r="I117" s="242">
        <v>40</v>
      </c>
      <c r="J117" s="195" t="s">
        <v>90</v>
      </c>
      <c r="K117" s="195" t="s">
        <v>3471</v>
      </c>
      <c r="L117" s="878"/>
      <c r="M117" s="195"/>
      <c r="N117" s="854">
        <v>65051</v>
      </c>
      <c r="O117" s="877">
        <v>65052</v>
      </c>
      <c r="P117" s="241" t="s">
        <v>3578</v>
      </c>
      <c r="Q117" s="195" t="s">
        <v>2649</v>
      </c>
      <c r="R117" s="238" t="s">
        <v>4004</v>
      </c>
      <c r="S117" s="195"/>
      <c r="T117" s="1266">
        <f t="shared" si="7"/>
        <v>2</v>
      </c>
    </row>
    <row r="118" spans="1:20" s="873" customFormat="1" ht="17.25">
      <c r="A118" s="927">
        <f t="shared" si="6"/>
        <v>116</v>
      </c>
      <c r="B118" s="195" t="s">
        <v>44</v>
      </c>
      <c r="C118" s="193">
        <v>29</v>
      </c>
      <c r="D118" s="195" t="s">
        <v>3450</v>
      </c>
      <c r="E118" s="193" t="s">
        <v>3545</v>
      </c>
      <c r="F118" s="195"/>
      <c r="G118" s="954">
        <v>12</v>
      </c>
      <c r="H118" s="959">
        <v>9841126993</v>
      </c>
      <c r="I118" s="954">
        <v>26</v>
      </c>
      <c r="J118" s="195" t="s">
        <v>90</v>
      </c>
      <c r="K118" s="195" t="s">
        <v>3471</v>
      </c>
      <c r="L118" s="878" t="s">
        <v>3511</v>
      </c>
      <c r="M118" s="858">
        <v>0.375</v>
      </c>
      <c r="N118" s="854">
        <v>65046</v>
      </c>
      <c r="O118" s="877">
        <v>65051</v>
      </c>
      <c r="P118" s="241" t="s">
        <v>3578</v>
      </c>
      <c r="Q118" s="195" t="s">
        <v>4026</v>
      </c>
      <c r="R118" s="195" t="s">
        <v>4028</v>
      </c>
      <c r="S118" s="195"/>
      <c r="T118" s="1266">
        <f t="shared" si="7"/>
        <v>6</v>
      </c>
    </row>
    <row r="119" spans="1:20" s="873" customFormat="1" ht="17.25">
      <c r="A119" s="927">
        <f t="shared" si="6"/>
        <v>117</v>
      </c>
      <c r="B119" s="195" t="s">
        <v>44</v>
      </c>
      <c r="C119" s="193">
        <v>28</v>
      </c>
      <c r="D119" s="195" t="s">
        <v>3450</v>
      </c>
      <c r="E119" s="193" t="s">
        <v>3544</v>
      </c>
      <c r="F119" s="195"/>
      <c r="G119" s="954">
        <v>6</v>
      </c>
      <c r="H119" s="959">
        <v>9844924847</v>
      </c>
      <c r="I119" s="954">
        <v>84</v>
      </c>
      <c r="J119" s="195" t="s">
        <v>90</v>
      </c>
      <c r="K119" s="195" t="s">
        <v>3471</v>
      </c>
      <c r="L119" s="878"/>
      <c r="M119" s="858">
        <v>0.375</v>
      </c>
      <c r="N119" s="854">
        <v>65046</v>
      </c>
      <c r="O119" s="877">
        <v>65047</v>
      </c>
      <c r="P119" s="195" t="s">
        <v>3578</v>
      </c>
      <c r="Q119" s="195" t="s">
        <v>3773</v>
      </c>
      <c r="R119" s="195"/>
      <c r="S119" s="195"/>
      <c r="T119" s="1266">
        <f t="shared" si="7"/>
        <v>2</v>
      </c>
    </row>
    <row r="120" spans="1:20" s="873" customFormat="1" ht="17.25">
      <c r="A120" s="927">
        <f t="shared" si="6"/>
        <v>118</v>
      </c>
      <c r="B120" s="195" t="s">
        <v>44</v>
      </c>
      <c r="C120" s="193">
        <v>2</v>
      </c>
      <c r="D120" s="195" t="s">
        <v>3450</v>
      </c>
      <c r="E120" s="193" t="s">
        <v>3524</v>
      </c>
      <c r="F120" s="195" t="s">
        <v>3451</v>
      </c>
      <c r="G120" s="954">
        <v>6</v>
      </c>
      <c r="H120" s="959"/>
      <c r="I120" s="954">
        <v>35</v>
      </c>
      <c r="J120" s="195" t="s">
        <v>48</v>
      </c>
      <c r="K120" s="195" t="s">
        <v>3471</v>
      </c>
      <c r="L120" s="877"/>
      <c r="M120" s="195"/>
      <c r="N120" s="854">
        <v>65042</v>
      </c>
      <c r="O120" s="877">
        <v>65044</v>
      </c>
      <c r="P120" s="241" t="s">
        <v>3578</v>
      </c>
      <c r="Q120" s="195" t="s">
        <v>3481</v>
      </c>
      <c r="R120" s="195" t="s">
        <v>3484</v>
      </c>
      <c r="S120" s="195" t="s">
        <v>3476</v>
      </c>
      <c r="T120" s="1266">
        <f t="shared" si="7"/>
        <v>3</v>
      </c>
    </row>
    <row r="121" spans="1:20" s="872" customFormat="1" ht="17.25">
      <c r="A121" s="927">
        <f t="shared" si="6"/>
        <v>119</v>
      </c>
      <c r="B121" s="195" t="s">
        <v>44</v>
      </c>
      <c r="C121" s="193">
        <v>30</v>
      </c>
      <c r="D121" s="195" t="s">
        <v>3450</v>
      </c>
      <c r="E121" s="193" t="s">
        <v>3546</v>
      </c>
      <c r="F121" s="195" t="s">
        <v>3512</v>
      </c>
      <c r="G121" s="954">
        <v>6</v>
      </c>
      <c r="H121" s="959">
        <v>9843698969</v>
      </c>
      <c r="I121" s="954">
        <v>48</v>
      </c>
      <c r="J121" s="195" t="s">
        <v>90</v>
      </c>
      <c r="K121" s="195" t="s">
        <v>3465</v>
      </c>
      <c r="L121" s="878"/>
      <c r="M121" s="858">
        <v>0.375</v>
      </c>
      <c r="N121" s="854">
        <v>65046</v>
      </c>
      <c r="O121" s="877">
        <v>65046</v>
      </c>
      <c r="P121" s="241" t="s">
        <v>3578</v>
      </c>
      <c r="Q121" s="195" t="s">
        <v>3466</v>
      </c>
      <c r="R121" s="195" t="s">
        <v>3513</v>
      </c>
      <c r="S121" s="195"/>
      <c r="T121" s="1266">
        <f t="shared" si="7"/>
        <v>1</v>
      </c>
    </row>
    <row r="122" spans="1:20" ht="17.25">
      <c r="A122" s="927">
        <f t="shared" si="6"/>
        <v>120</v>
      </c>
      <c r="B122" s="195" t="s">
        <v>3457</v>
      </c>
      <c r="C122" s="193">
        <v>47</v>
      </c>
      <c r="D122" s="195" t="s">
        <v>3565</v>
      </c>
      <c r="E122" s="966" t="s">
        <v>3561</v>
      </c>
      <c r="F122" s="195"/>
      <c r="G122" s="954">
        <v>4</v>
      </c>
      <c r="H122" s="959">
        <v>9810939856</v>
      </c>
      <c r="I122" s="954">
        <v>44</v>
      </c>
      <c r="J122" s="195" t="s">
        <v>48</v>
      </c>
      <c r="K122" s="195"/>
      <c r="L122" s="879">
        <v>65047</v>
      </c>
      <c r="M122" s="195"/>
      <c r="N122" s="854">
        <v>65047</v>
      </c>
      <c r="O122" s="877">
        <v>65049</v>
      </c>
      <c r="P122" s="195" t="s">
        <v>3578</v>
      </c>
      <c r="Q122" s="195" t="s">
        <v>3473</v>
      </c>
      <c r="R122" s="195" t="s">
        <v>2175</v>
      </c>
      <c r="S122" s="195"/>
      <c r="T122" s="1266">
        <f t="shared" si="7"/>
        <v>3</v>
      </c>
    </row>
    <row r="123" spans="1:20" s="873" customFormat="1" ht="17.25">
      <c r="A123" s="927">
        <f t="shared" si="6"/>
        <v>121</v>
      </c>
      <c r="B123" s="195" t="s">
        <v>44</v>
      </c>
      <c r="C123" s="193">
        <v>109</v>
      </c>
      <c r="D123" s="195" t="s">
        <v>3450</v>
      </c>
      <c r="E123" s="193" t="s">
        <v>4387</v>
      </c>
      <c r="F123" s="196"/>
      <c r="G123" s="193">
        <v>13</v>
      </c>
      <c r="H123" s="196">
        <v>9843735062</v>
      </c>
      <c r="I123" s="193">
        <v>22</v>
      </c>
      <c r="J123" s="195" t="s">
        <v>90</v>
      </c>
      <c r="K123" s="195" t="s">
        <v>3465</v>
      </c>
      <c r="L123" s="878">
        <v>8799</v>
      </c>
      <c r="M123" s="196"/>
      <c r="N123" s="1231">
        <v>65058</v>
      </c>
      <c r="O123" s="877">
        <v>65060</v>
      </c>
      <c r="P123" s="241" t="s">
        <v>3578</v>
      </c>
      <c r="Q123" s="196" t="s">
        <v>4337</v>
      </c>
      <c r="R123" s="193" t="s">
        <v>4388</v>
      </c>
      <c r="S123" s="196"/>
      <c r="T123" s="1266">
        <f t="shared" si="7"/>
        <v>3</v>
      </c>
    </row>
    <row r="124" spans="1:20" s="873" customFormat="1" ht="17.25">
      <c r="A124" s="927">
        <f t="shared" si="6"/>
        <v>122</v>
      </c>
      <c r="B124" s="195" t="s">
        <v>44</v>
      </c>
      <c r="C124" s="193">
        <v>1</v>
      </c>
      <c r="D124" s="195" t="s">
        <v>3450</v>
      </c>
      <c r="E124" s="193" t="s">
        <v>3523</v>
      </c>
      <c r="F124" s="195" t="s">
        <v>3508</v>
      </c>
      <c r="G124" s="954">
        <v>8</v>
      </c>
      <c r="H124" s="959">
        <v>9809731231</v>
      </c>
      <c r="I124" s="954">
        <v>56</v>
      </c>
      <c r="J124" s="195" t="s">
        <v>48</v>
      </c>
      <c r="K124" s="195" t="s">
        <v>3471</v>
      </c>
      <c r="L124" s="877"/>
      <c r="M124" s="855"/>
      <c r="N124" s="854">
        <v>65042</v>
      </c>
      <c r="O124" s="877">
        <v>65045</v>
      </c>
      <c r="P124" s="241" t="s">
        <v>3578</v>
      </c>
      <c r="Q124" s="195" t="s">
        <v>3473</v>
      </c>
      <c r="R124" s="195" t="s">
        <v>3482</v>
      </c>
      <c r="S124" s="195" t="s">
        <v>3483</v>
      </c>
      <c r="T124" s="1266">
        <f t="shared" si="7"/>
        <v>4</v>
      </c>
    </row>
    <row r="125" spans="1:20" ht="17.25">
      <c r="A125" s="927">
        <f t="shared" si="6"/>
        <v>123</v>
      </c>
      <c r="B125" s="195" t="s">
        <v>44</v>
      </c>
      <c r="C125" s="193">
        <v>9</v>
      </c>
      <c r="D125" s="195" t="s">
        <v>3450</v>
      </c>
      <c r="E125" s="193" t="s">
        <v>3529</v>
      </c>
      <c r="F125" s="195" t="s">
        <v>3456</v>
      </c>
      <c r="G125" s="954">
        <v>8</v>
      </c>
      <c r="H125" s="959"/>
      <c r="I125" s="954">
        <v>71</v>
      </c>
      <c r="J125" s="195" t="s">
        <v>48</v>
      </c>
      <c r="K125" s="195"/>
      <c r="L125" s="877"/>
      <c r="M125" s="855">
        <v>0.66666666666666663</v>
      </c>
      <c r="N125" s="854">
        <v>65043</v>
      </c>
      <c r="O125" s="877">
        <v>65045</v>
      </c>
      <c r="P125" s="241" t="s">
        <v>3578</v>
      </c>
      <c r="Q125" s="195" t="s">
        <v>3499</v>
      </c>
      <c r="R125" s="195" t="s">
        <v>3453</v>
      </c>
      <c r="S125" s="195"/>
      <c r="T125" s="1266">
        <f t="shared" si="7"/>
        <v>3</v>
      </c>
    </row>
    <row r="126" spans="1:20" s="873" customFormat="1" ht="17.25">
      <c r="A126" s="927">
        <f t="shared" si="6"/>
        <v>124</v>
      </c>
      <c r="B126" s="195" t="s">
        <v>44</v>
      </c>
      <c r="C126" s="193">
        <v>44</v>
      </c>
      <c r="D126" s="195" t="s">
        <v>3450</v>
      </c>
      <c r="E126" s="193" t="s">
        <v>3558</v>
      </c>
      <c r="F126" s="195"/>
      <c r="G126" s="954">
        <v>7</v>
      </c>
      <c r="H126" s="959"/>
      <c r="I126" s="193">
        <v>43</v>
      </c>
      <c r="J126" s="195" t="s">
        <v>48</v>
      </c>
      <c r="K126" s="195"/>
      <c r="L126" s="878"/>
      <c r="M126" s="195"/>
      <c r="N126" s="854">
        <v>65046</v>
      </c>
      <c r="O126" s="877">
        <v>65051</v>
      </c>
      <c r="P126" s="195" t="s">
        <v>3578</v>
      </c>
      <c r="Q126" s="195" t="s">
        <v>3466</v>
      </c>
      <c r="R126" s="195" t="s">
        <v>3571</v>
      </c>
      <c r="S126" s="195"/>
      <c r="T126" s="1266">
        <f t="shared" si="7"/>
        <v>6</v>
      </c>
    </row>
    <row r="127" spans="1:20" ht="17.25">
      <c r="A127" s="927">
        <f t="shared" si="6"/>
        <v>125</v>
      </c>
      <c r="B127" s="195" t="s">
        <v>44</v>
      </c>
      <c r="C127" s="1253">
        <v>63</v>
      </c>
      <c r="D127" s="929" t="s">
        <v>3450</v>
      </c>
      <c r="E127" s="1259" t="s">
        <v>4017</v>
      </c>
      <c r="F127" s="929"/>
      <c r="G127" s="1254">
        <v>6</v>
      </c>
      <c r="H127" s="1255"/>
      <c r="I127" s="1262">
        <v>71</v>
      </c>
      <c r="J127" s="929" t="s">
        <v>48</v>
      </c>
      <c r="K127" s="929" t="s">
        <v>3471</v>
      </c>
      <c r="L127" s="1280">
        <v>65048</v>
      </c>
      <c r="M127" s="929"/>
      <c r="N127" s="1183">
        <v>65050</v>
      </c>
      <c r="O127" s="1225">
        <v>65051</v>
      </c>
      <c r="P127" s="929" t="s">
        <v>3578</v>
      </c>
      <c r="Q127" s="929"/>
      <c r="R127" s="1260" t="s">
        <v>4018</v>
      </c>
      <c r="S127" s="929"/>
      <c r="T127" s="1263">
        <f t="shared" si="7"/>
        <v>2</v>
      </c>
    </row>
    <row r="128" spans="1:20" s="873" customFormat="1" ht="17.25">
      <c r="A128" s="1177">
        <f t="shared" si="6"/>
        <v>126</v>
      </c>
      <c r="B128" s="255" t="s">
        <v>44</v>
      </c>
      <c r="C128" s="250">
        <v>24</v>
      </c>
      <c r="D128" s="255" t="s">
        <v>3450</v>
      </c>
      <c r="E128" s="250" t="s">
        <v>3541</v>
      </c>
      <c r="F128" s="255" t="s">
        <v>3504</v>
      </c>
      <c r="G128" s="955">
        <v>8</v>
      </c>
      <c r="H128" s="960">
        <v>9829508911</v>
      </c>
      <c r="I128" s="955">
        <v>58</v>
      </c>
      <c r="J128" s="255" t="s">
        <v>48</v>
      </c>
      <c r="K128" s="255" t="s">
        <v>3471</v>
      </c>
      <c r="L128" s="252"/>
      <c r="M128" s="255"/>
      <c r="N128" s="848">
        <v>65046</v>
      </c>
      <c r="O128" s="875">
        <v>65084</v>
      </c>
      <c r="P128" s="1272" t="s">
        <v>3486</v>
      </c>
      <c r="Q128" s="255"/>
      <c r="R128" s="255" t="s">
        <v>4264</v>
      </c>
      <c r="S128" s="255"/>
      <c r="T128" s="1148">
        <f t="shared" si="7"/>
        <v>39</v>
      </c>
    </row>
    <row r="129" spans="1:126" s="873" customFormat="1" ht="17.25">
      <c r="A129" s="1177">
        <f t="shared" si="6"/>
        <v>127</v>
      </c>
      <c r="B129" s="255" t="s">
        <v>44</v>
      </c>
      <c r="C129" s="250">
        <v>130</v>
      </c>
      <c r="D129" s="255" t="s">
        <v>3450</v>
      </c>
      <c r="E129" s="250" t="s">
        <v>4780</v>
      </c>
      <c r="F129" s="906"/>
      <c r="G129" s="250">
        <v>3</v>
      </c>
      <c r="H129" s="906">
        <v>9841115205</v>
      </c>
      <c r="I129" s="250">
        <v>58</v>
      </c>
      <c r="J129" s="255" t="s">
        <v>48</v>
      </c>
      <c r="K129" s="255" t="s">
        <v>3471</v>
      </c>
      <c r="L129" s="252">
        <v>15493</v>
      </c>
      <c r="M129" s="906"/>
      <c r="N129" s="1228">
        <v>65078</v>
      </c>
      <c r="O129" s="875">
        <v>65090</v>
      </c>
      <c r="P129" s="1058" t="s">
        <v>3486</v>
      </c>
      <c r="Q129" s="906"/>
      <c r="R129" s="250" t="s">
        <v>4781</v>
      </c>
      <c r="S129" s="906"/>
      <c r="T129" s="1148">
        <f t="shared" si="7"/>
        <v>13</v>
      </c>
    </row>
    <row r="130" spans="1:126" s="873" customFormat="1" ht="17.25">
      <c r="A130" s="1177">
        <f t="shared" si="6"/>
        <v>128</v>
      </c>
      <c r="B130" s="906" t="s">
        <v>3457</v>
      </c>
      <c r="C130" s="250">
        <v>131</v>
      </c>
      <c r="D130" s="250" t="s">
        <v>4091</v>
      </c>
      <c r="E130" s="250" t="s">
        <v>4791</v>
      </c>
      <c r="F130" s="906"/>
      <c r="G130" s="250">
        <v>3</v>
      </c>
      <c r="H130" s="906">
        <v>9809766004</v>
      </c>
      <c r="I130" s="250">
        <v>65</v>
      </c>
      <c r="J130" s="255" t="s">
        <v>48</v>
      </c>
      <c r="K130" s="255" t="s">
        <v>3465</v>
      </c>
      <c r="L130" s="252" t="s">
        <v>4792</v>
      </c>
      <c r="M130" s="906"/>
      <c r="N130" s="1228">
        <v>65081</v>
      </c>
      <c r="O130" s="875">
        <v>65091</v>
      </c>
      <c r="P130" s="1058" t="s">
        <v>3486</v>
      </c>
      <c r="Q130" s="906"/>
      <c r="R130" s="250" t="s">
        <v>4793</v>
      </c>
      <c r="S130" s="906"/>
      <c r="T130" s="906">
        <f t="shared" si="7"/>
        <v>11</v>
      </c>
    </row>
    <row r="131" spans="1:126" s="873" customFormat="1" ht="17.25">
      <c r="A131" s="1177">
        <f t="shared" si="6"/>
        <v>129</v>
      </c>
      <c r="B131" s="255" t="s">
        <v>44</v>
      </c>
      <c r="C131" s="250">
        <v>128</v>
      </c>
      <c r="D131" s="255" t="s">
        <v>3450</v>
      </c>
      <c r="E131" s="250" t="s">
        <v>4096</v>
      </c>
      <c r="F131" s="906"/>
      <c r="G131" s="250">
        <v>7</v>
      </c>
      <c r="H131" s="906">
        <v>9847878510</v>
      </c>
      <c r="I131" s="250">
        <v>62</v>
      </c>
      <c r="J131" s="255" t="s">
        <v>90</v>
      </c>
      <c r="K131" s="255" t="s">
        <v>3465</v>
      </c>
      <c r="L131" s="252" t="s">
        <v>4754</v>
      </c>
      <c r="M131" s="906"/>
      <c r="N131" s="1228" t="s">
        <v>4732</v>
      </c>
      <c r="O131" s="875">
        <v>65089</v>
      </c>
      <c r="P131" s="1058" t="s">
        <v>3486</v>
      </c>
      <c r="Q131" s="906"/>
      <c r="R131" s="1058" t="s">
        <v>4101</v>
      </c>
      <c r="S131" s="906"/>
      <c r="T131" s="906" t="e">
        <f t="shared" si="7"/>
        <v>#VALUE!</v>
      </c>
    </row>
    <row r="132" spans="1:126" s="873" customFormat="1" ht="17.25">
      <c r="A132" s="1177">
        <f t="shared" ref="A132:A155" si="8">A131+1</f>
        <v>130</v>
      </c>
      <c r="B132" s="255" t="s">
        <v>44</v>
      </c>
      <c r="C132" s="250">
        <v>127</v>
      </c>
      <c r="D132" s="255" t="s">
        <v>3450</v>
      </c>
      <c r="E132" s="250" t="s">
        <v>4733</v>
      </c>
      <c r="F132" s="906"/>
      <c r="G132" s="250">
        <v>7</v>
      </c>
      <c r="H132" s="906">
        <v>9866993797</v>
      </c>
      <c r="I132" s="250">
        <v>42</v>
      </c>
      <c r="J132" s="255" t="s">
        <v>90</v>
      </c>
      <c r="K132" s="250" t="s">
        <v>4552</v>
      </c>
      <c r="L132" s="252" t="s">
        <v>4734</v>
      </c>
      <c r="M132" s="906"/>
      <c r="N132" s="1228" t="s">
        <v>4727</v>
      </c>
      <c r="O132" s="875">
        <v>65090</v>
      </c>
      <c r="P132" s="1058" t="s">
        <v>3486</v>
      </c>
      <c r="Q132" s="906"/>
      <c r="R132" s="1058" t="s">
        <v>4755</v>
      </c>
      <c r="S132" s="906"/>
      <c r="T132" s="906" t="e">
        <f t="shared" ref="T132:T160" si="9">(O132-N132)+1</f>
        <v>#VALUE!</v>
      </c>
    </row>
    <row r="133" spans="1:126" s="873" customFormat="1" ht="17.25">
      <c r="A133" s="1282">
        <f t="shared" si="8"/>
        <v>131</v>
      </c>
      <c r="B133" s="1223" t="s">
        <v>44</v>
      </c>
      <c r="C133" s="1222">
        <v>120</v>
      </c>
      <c r="D133" s="1223" t="s">
        <v>3450</v>
      </c>
      <c r="E133" s="1222" t="s">
        <v>4585</v>
      </c>
      <c r="F133" s="1222"/>
      <c r="G133" s="1222">
        <v>12</v>
      </c>
      <c r="H133" s="1148">
        <v>9829811776</v>
      </c>
      <c r="I133" s="1222">
        <v>52</v>
      </c>
      <c r="J133" s="1223" t="s">
        <v>90</v>
      </c>
      <c r="K133" s="1223" t="s">
        <v>3465</v>
      </c>
      <c r="L133" s="1224" t="s">
        <v>4586</v>
      </c>
      <c r="M133" s="1148"/>
      <c r="N133" s="1230">
        <v>65066</v>
      </c>
      <c r="O133" s="1233">
        <v>65084</v>
      </c>
      <c r="P133" s="1226" t="s">
        <v>3486</v>
      </c>
      <c r="Q133" s="1148"/>
      <c r="R133" s="1222" t="s">
        <v>4587</v>
      </c>
      <c r="S133" s="1148"/>
      <c r="T133" s="1148">
        <f t="shared" si="9"/>
        <v>19</v>
      </c>
    </row>
    <row r="134" spans="1:126" s="906" customFormat="1" ht="17.25">
      <c r="A134" s="1177">
        <f t="shared" si="8"/>
        <v>132</v>
      </c>
      <c r="B134" s="255" t="s">
        <v>44</v>
      </c>
      <c r="C134" s="250">
        <v>132</v>
      </c>
      <c r="D134" s="255" t="s">
        <v>3450</v>
      </c>
      <c r="E134" s="250" t="s">
        <v>4814</v>
      </c>
      <c r="G134" s="250">
        <v>6</v>
      </c>
      <c r="H134" s="906">
        <v>9866941697</v>
      </c>
      <c r="I134" s="250">
        <v>40</v>
      </c>
      <c r="J134" s="255" t="s">
        <v>90</v>
      </c>
      <c r="K134" s="250" t="s">
        <v>2650</v>
      </c>
      <c r="L134" s="252" t="s">
        <v>4815</v>
      </c>
      <c r="N134" s="1228">
        <v>65084</v>
      </c>
      <c r="O134" s="875">
        <v>65091</v>
      </c>
      <c r="P134" s="1058" t="s">
        <v>3486</v>
      </c>
      <c r="R134" s="250" t="s">
        <v>4816</v>
      </c>
      <c r="T134" s="906">
        <f t="shared" si="9"/>
        <v>8</v>
      </c>
      <c r="U134" s="1331"/>
      <c r="V134" s="1331"/>
      <c r="W134" s="1331"/>
      <c r="X134" s="1331"/>
      <c r="Y134" s="1331"/>
      <c r="Z134" s="1331"/>
      <c r="AA134" s="1331"/>
      <c r="AB134" s="1331"/>
      <c r="AC134" s="1331"/>
      <c r="AD134" s="1331"/>
      <c r="AE134" s="1331"/>
      <c r="AF134" s="1331"/>
      <c r="AG134" s="1331"/>
      <c r="AH134" s="1331"/>
      <c r="AI134" s="1331"/>
      <c r="AJ134" s="1331"/>
      <c r="AK134" s="1331"/>
      <c r="AL134" s="1331"/>
      <c r="AM134" s="1331"/>
      <c r="AN134" s="1331"/>
      <c r="AO134" s="1331"/>
      <c r="AP134" s="1331"/>
      <c r="AQ134" s="1331"/>
      <c r="AR134" s="1331"/>
      <c r="AS134" s="1331"/>
      <c r="AT134" s="1331"/>
      <c r="AU134" s="1331"/>
      <c r="AV134" s="1331"/>
      <c r="AW134" s="1331"/>
      <c r="AX134" s="1331"/>
      <c r="AY134" s="1331"/>
      <c r="AZ134" s="1331"/>
      <c r="BA134" s="1331"/>
      <c r="BB134" s="1331"/>
      <c r="BC134" s="1331"/>
      <c r="BD134" s="1331"/>
      <c r="BE134" s="1331"/>
      <c r="BF134" s="1331"/>
      <c r="BG134" s="1331"/>
      <c r="BH134" s="1331"/>
      <c r="BI134" s="1331"/>
      <c r="BJ134" s="1331"/>
      <c r="BK134" s="1331"/>
      <c r="BL134" s="1331"/>
      <c r="BM134" s="1331"/>
      <c r="BN134" s="1331"/>
      <c r="BO134" s="1331"/>
      <c r="BP134" s="1331"/>
      <c r="BQ134" s="1331"/>
      <c r="BR134" s="1331"/>
      <c r="BS134" s="1331"/>
      <c r="BT134" s="1331"/>
      <c r="BU134" s="1331"/>
      <c r="BV134" s="1331"/>
      <c r="BW134" s="1331"/>
      <c r="BX134" s="1331"/>
      <c r="BY134" s="1331"/>
      <c r="BZ134" s="1331"/>
      <c r="CA134" s="1331"/>
      <c r="CB134" s="1331"/>
      <c r="CC134" s="1331"/>
      <c r="CD134" s="1331"/>
      <c r="CE134" s="1331"/>
      <c r="CF134" s="1331"/>
      <c r="CG134" s="1331"/>
      <c r="CH134" s="1331"/>
      <c r="CI134" s="1331"/>
      <c r="CJ134" s="1331"/>
      <c r="CK134" s="1331"/>
      <c r="CL134" s="1331"/>
      <c r="CM134" s="1331"/>
      <c r="CN134" s="1331"/>
      <c r="CO134" s="1331"/>
      <c r="CP134" s="1331"/>
      <c r="CQ134" s="1331"/>
      <c r="CR134" s="1331"/>
      <c r="CS134" s="1331"/>
      <c r="CT134" s="1331"/>
      <c r="CU134" s="1331"/>
      <c r="CV134" s="1331"/>
      <c r="CW134" s="1331"/>
      <c r="CX134" s="1331"/>
      <c r="CY134" s="1331"/>
      <c r="CZ134" s="1331"/>
      <c r="DA134" s="1331"/>
      <c r="DB134" s="1331"/>
      <c r="DC134" s="1331"/>
      <c r="DD134" s="1331"/>
      <c r="DE134" s="1331"/>
      <c r="DF134" s="1331"/>
      <c r="DG134" s="1331"/>
      <c r="DH134" s="1331"/>
      <c r="DI134" s="1331"/>
      <c r="DJ134" s="1331"/>
      <c r="DK134" s="1331"/>
      <c r="DL134" s="1331"/>
      <c r="DM134" s="1331"/>
      <c r="DN134" s="1331"/>
      <c r="DO134" s="1331"/>
      <c r="DP134" s="1331"/>
      <c r="DQ134" s="1331"/>
      <c r="DR134" s="1331"/>
      <c r="DS134" s="1331"/>
      <c r="DT134" s="1331"/>
      <c r="DU134" s="1331"/>
      <c r="DV134" s="1331"/>
    </row>
    <row r="135" spans="1:126" s="906" customFormat="1" ht="17.25">
      <c r="A135" s="1177">
        <f t="shared" si="8"/>
        <v>133</v>
      </c>
      <c r="B135" s="255" t="s">
        <v>44</v>
      </c>
      <c r="C135" s="250">
        <v>133</v>
      </c>
      <c r="D135" s="250" t="s">
        <v>4019</v>
      </c>
      <c r="E135" s="250" t="s">
        <v>4828</v>
      </c>
      <c r="G135" s="250">
        <v>7</v>
      </c>
      <c r="H135" s="906">
        <v>9808017591</v>
      </c>
      <c r="I135" s="250">
        <v>65</v>
      </c>
      <c r="J135" s="255" t="s">
        <v>48</v>
      </c>
      <c r="K135" s="255" t="s">
        <v>3465</v>
      </c>
      <c r="L135" s="252" t="s">
        <v>4829</v>
      </c>
      <c r="N135" s="1228">
        <v>65089</v>
      </c>
      <c r="O135" s="875">
        <v>65104</v>
      </c>
      <c r="P135" s="1058" t="s">
        <v>3486</v>
      </c>
      <c r="R135" s="250" t="s">
        <v>4830</v>
      </c>
      <c r="T135" s="906">
        <f t="shared" si="9"/>
        <v>16</v>
      </c>
      <c r="U135" s="1331"/>
      <c r="V135" s="1331"/>
      <c r="W135" s="1331"/>
      <c r="X135" s="1331"/>
      <c r="Y135" s="1331"/>
      <c r="Z135" s="1331"/>
      <c r="AA135" s="1331"/>
      <c r="AB135" s="1331"/>
      <c r="AC135" s="1331"/>
      <c r="AD135" s="1331"/>
      <c r="AE135" s="1331"/>
      <c r="AF135" s="1331"/>
      <c r="AG135" s="1331"/>
      <c r="AH135" s="1331"/>
      <c r="AI135" s="1331"/>
      <c r="AJ135" s="1331"/>
      <c r="AK135" s="1331"/>
      <c r="AL135" s="1331"/>
      <c r="AM135" s="1331"/>
      <c r="AN135" s="1331"/>
      <c r="AO135" s="1331"/>
      <c r="AP135" s="1331"/>
      <c r="AQ135" s="1331"/>
      <c r="AR135" s="1331"/>
      <c r="AS135" s="1331"/>
      <c r="AT135" s="1331"/>
      <c r="AU135" s="1331"/>
      <c r="AV135" s="1331"/>
      <c r="AW135" s="1331"/>
      <c r="AX135" s="1331"/>
      <c r="AY135" s="1331"/>
      <c r="AZ135" s="1331"/>
      <c r="BA135" s="1331"/>
      <c r="BB135" s="1331"/>
      <c r="BC135" s="1331"/>
      <c r="BD135" s="1331"/>
      <c r="BE135" s="1331"/>
      <c r="BF135" s="1331"/>
      <c r="BG135" s="1331"/>
      <c r="BH135" s="1331"/>
      <c r="BI135" s="1331"/>
      <c r="BJ135" s="1331"/>
      <c r="BK135" s="1331"/>
      <c r="BL135" s="1331"/>
      <c r="BM135" s="1331"/>
      <c r="BN135" s="1331"/>
      <c r="BO135" s="1331"/>
      <c r="BP135" s="1331"/>
      <c r="BQ135" s="1331"/>
      <c r="BR135" s="1331"/>
      <c r="BS135" s="1331"/>
      <c r="BT135" s="1331"/>
      <c r="BU135" s="1331"/>
      <c r="BV135" s="1331"/>
      <c r="BW135" s="1331"/>
      <c r="BX135" s="1331"/>
      <c r="BY135" s="1331"/>
      <c r="BZ135" s="1331"/>
      <c r="CA135" s="1331"/>
      <c r="CB135" s="1331"/>
      <c r="CC135" s="1331"/>
      <c r="CD135" s="1331"/>
      <c r="CE135" s="1331"/>
      <c r="CF135" s="1331"/>
      <c r="CG135" s="1331"/>
      <c r="CH135" s="1331"/>
      <c r="CI135" s="1331"/>
      <c r="CJ135" s="1331"/>
      <c r="CK135" s="1331"/>
      <c r="CL135" s="1331"/>
      <c r="CM135" s="1331"/>
      <c r="CN135" s="1331"/>
      <c r="CO135" s="1331"/>
      <c r="CP135" s="1331"/>
      <c r="CQ135" s="1331"/>
      <c r="CR135" s="1331"/>
      <c r="CS135" s="1331"/>
      <c r="CT135" s="1331"/>
      <c r="CU135" s="1331"/>
      <c r="CV135" s="1331"/>
      <c r="CW135" s="1331"/>
      <c r="CX135" s="1331"/>
      <c r="CY135" s="1331"/>
      <c r="CZ135" s="1331"/>
      <c r="DA135" s="1331"/>
      <c r="DB135" s="1331"/>
      <c r="DC135" s="1331"/>
      <c r="DD135" s="1331"/>
      <c r="DE135" s="1331"/>
      <c r="DF135" s="1331"/>
      <c r="DG135" s="1331"/>
      <c r="DH135" s="1331"/>
      <c r="DI135" s="1331"/>
      <c r="DJ135" s="1331"/>
      <c r="DK135" s="1331"/>
      <c r="DL135" s="1331"/>
      <c r="DM135" s="1331"/>
      <c r="DN135" s="1331"/>
      <c r="DO135" s="1331"/>
      <c r="DP135" s="1331"/>
      <c r="DQ135" s="1331"/>
      <c r="DR135" s="1331"/>
      <c r="DS135" s="1331"/>
      <c r="DT135" s="1331"/>
      <c r="DU135" s="1331"/>
      <c r="DV135" s="1331"/>
    </row>
    <row r="136" spans="1:126" s="906" customFormat="1" ht="17.25">
      <c r="A136" s="1177">
        <f t="shared" si="8"/>
        <v>134</v>
      </c>
      <c r="B136" s="255" t="s">
        <v>44</v>
      </c>
      <c r="C136" s="250">
        <v>134</v>
      </c>
      <c r="D136" s="255" t="s">
        <v>3450</v>
      </c>
      <c r="E136" s="250" t="s">
        <v>4831</v>
      </c>
      <c r="G136" s="250">
        <v>9</v>
      </c>
      <c r="H136" s="906">
        <v>9823351418</v>
      </c>
      <c r="I136" s="250">
        <v>71</v>
      </c>
      <c r="J136" s="255" t="s">
        <v>90</v>
      </c>
      <c r="K136" s="250" t="s">
        <v>1225</v>
      </c>
      <c r="L136" s="252" t="s">
        <v>4832</v>
      </c>
      <c r="N136" s="1228">
        <v>65090</v>
      </c>
      <c r="O136" s="875">
        <v>65104</v>
      </c>
      <c r="P136" s="1058" t="s">
        <v>3486</v>
      </c>
      <c r="R136" s="250" t="s">
        <v>4833</v>
      </c>
      <c r="T136" s="906">
        <f t="shared" si="9"/>
        <v>15</v>
      </c>
      <c r="U136" s="1331"/>
      <c r="V136" s="1331"/>
      <c r="W136" s="1331"/>
      <c r="X136" s="1331"/>
      <c r="Y136" s="1331"/>
      <c r="Z136" s="1331"/>
      <c r="AA136" s="1331"/>
      <c r="AB136" s="1331"/>
      <c r="AC136" s="1331"/>
      <c r="AD136" s="1331"/>
      <c r="AE136" s="1331"/>
      <c r="AF136" s="1331"/>
      <c r="AG136" s="1331"/>
      <c r="AH136" s="1331"/>
      <c r="AI136" s="1331"/>
      <c r="AJ136" s="1331"/>
      <c r="AK136" s="1331"/>
      <c r="AL136" s="1331"/>
      <c r="AM136" s="1331"/>
      <c r="AN136" s="1331"/>
      <c r="AO136" s="1331"/>
      <c r="AP136" s="1331"/>
      <c r="AQ136" s="1331"/>
      <c r="AR136" s="1331"/>
      <c r="AS136" s="1331"/>
      <c r="AT136" s="1331"/>
      <c r="AU136" s="1331"/>
      <c r="AV136" s="1331"/>
      <c r="AW136" s="1331"/>
      <c r="AX136" s="1331"/>
      <c r="AY136" s="1331"/>
      <c r="AZ136" s="1331"/>
      <c r="BA136" s="1331"/>
      <c r="BB136" s="1331"/>
      <c r="BC136" s="1331"/>
      <c r="BD136" s="1331"/>
      <c r="BE136" s="1331"/>
      <c r="BF136" s="1331"/>
      <c r="BG136" s="1331"/>
      <c r="BH136" s="1331"/>
      <c r="BI136" s="1331"/>
      <c r="BJ136" s="1331"/>
      <c r="BK136" s="1331"/>
      <c r="BL136" s="1331"/>
      <c r="BM136" s="1331"/>
      <c r="BN136" s="1331"/>
      <c r="BO136" s="1331"/>
      <c r="BP136" s="1331"/>
      <c r="BQ136" s="1331"/>
      <c r="BR136" s="1331"/>
      <c r="BS136" s="1331"/>
      <c r="BT136" s="1331"/>
      <c r="BU136" s="1331"/>
      <c r="BV136" s="1331"/>
      <c r="BW136" s="1331"/>
      <c r="BX136" s="1331"/>
      <c r="BY136" s="1331"/>
      <c r="BZ136" s="1331"/>
      <c r="CA136" s="1331"/>
      <c r="CB136" s="1331"/>
      <c r="CC136" s="1331"/>
      <c r="CD136" s="1331"/>
      <c r="CE136" s="1331"/>
      <c r="CF136" s="1331"/>
      <c r="CG136" s="1331"/>
      <c r="CH136" s="1331"/>
      <c r="CI136" s="1331"/>
      <c r="CJ136" s="1331"/>
      <c r="CK136" s="1331"/>
      <c r="CL136" s="1331"/>
      <c r="CM136" s="1331"/>
      <c r="CN136" s="1331"/>
      <c r="CO136" s="1331"/>
      <c r="CP136" s="1331"/>
      <c r="CQ136" s="1331"/>
      <c r="CR136" s="1331"/>
      <c r="CS136" s="1331"/>
      <c r="CT136" s="1331"/>
      <c r="CU136" s="1331"/>
      <c r="CV136" s="1331"/>
      <c r="CW136" s="1331"/>
      <c r="CX136" s="1331"/>
      <c r="CY136" s="1331"/>
      <c r="CZ136" s="1331"/>
      <c r="DA136" s="1331"/>
      <c r="DB136" s="1331"/>
      <c r="DC136" s="1331"/>
      <c r="DD136" s="1331"/>
      <c r="DE136" s="1331"/>
      <c r="DF136" s="1331"/>
      <c r="DG136" s="1331"/>
      <c r="DH136" s="1331"/>
      <c r="DI136" s="1331"/>
      <c r="DJ136" s="1331"/>
      <c r="DK136" s="1331"/>
      <c r="DL136" s="1331"/>
      <c r="DM136" s="1331"/>
      <c r="DN136" s="1331"/>
      <c r="DO136" s="1331"/>
      <c r="DP136" s="1331"/>
      <c r="DQ136" s="1331"/>
      <c r="DR136" s="1331"/>
      <c r="DS136" s="1331"/>
      <c r="DT136" s="1331"/>
      <c r="DU136" s="1331"/>
      <c r="DV136" s="1331"/>
    </row>
    <row r="137" spans="1:126" s="906" customFormat="1" ht="17.25">
      <c r="A137" s="1177">
        <f t="shared" si="8"/>
        <v>135</v>
      </c>
      <c r="B137" s="255" t="s">
        <v>44</v>
      </c>
      <c r="C137" s="250">
        <v>135</v>
      </c>
      <c r="D137" s="255" t="s">
        <v>3450</v>
      </c>
      <c r="E137" s="250" t="s">
        <v>4840</v>
      </c>
      <c r="G137" s="250">
        <v>17</v>
      </c>
      <c r="H137" s="906">
        <v>9847835635</v>
      </c>
      <c r="I137" s="250">
        <v>40</v>
      </c>
      <c r="J137" s="255" t="s">
        <v>90</v>
      </c>
      <c r="K137" s="250" t="s">
        <v>3487</v>
      </c>
      <c r="L137" s="252" t="s">
        <v>4841</v>
      </c>
      <c r="N137" s="1228">
        <v>65091</v>
      </c>
      <c r="O137" s="875">
        <v>65095</v>
      </c>
      <c r="P137" s="1058" t="s">
        <v>3486</v>
      </c>
      <c r="R137" s="250" t="s">
        <v>4842</v>
      </c>
      <c r="T137" s="906">
        <f t="shared" si="9"/>
        <v>5</v>
      </c>
      <c r="U137" s="1331"/>
      <c r="V137" s="1331"/>
      <c r="W137" s="1331"/>
      <c r="X137" s="1331"/>
      <c r="Y137" s="1331"/>
      <c r="Z137" s="1331"/>
      <c r="AA137" s="1331"/>
      <c r="AB137" s="1331"/>
      <c r="AC137" s="1331"/>
      <c r="AD137" s="1331"/>
      <c r="AE137" s="1331"/>
      <c r="AF137" s="1331"/>
      <c r="AG137" s="1331"/>
      <c r="AH137" s="1331"/>
      <c r="AI137" s="1331"/>
      <c r="AJ137" s="1331"/>
      <c r="AK137" s="1331"/>
      <c r="AL137" s="1331"/>
      <c r="AM137" s="1331"/>
      <c r="AN137" s="1331"/>
      <c r="AO137" s="1331"/>
      <c r="AP137" s="1331"/>
      <c r="AQ137" s="1331"/>
      <c r="AR137" s="1331"/>
      <c r="AS137" s="1331"/>
      <c r="AT137" s="1331"/>
      <c r="AU137" s="1331"/>
      <c r="AV137" s="1331"/>
      <c r="AW137" s="1331"/>
      <c r="AX137" s="1331"/>
      <c r="AY137" s="1331"/>
      <c r="AZ137" s="1331"/>
      <c r="BA137" s="1331"/>
      <c r="BB137" s="1331"/>
      <c r="BC137" s="1331"/>
      <c r="BD137" s="1331"/>
      <c r="BE137" s="1331"/>
      <c r="BF137" s="1331"/>
      <c r="BG137" s="1331"/>
      <c r="BH137" s="1331"/>
      <c r="BI137" s="1331"/>
      <c r="BJ137" s="1331"/>
      <c r="BK137" s="1331"/>
      <c r="BL137" s="1331"/>
      <c r="BM137" s="1331"/>
      <c r="BN137" s="1331"/>
      <c r="BO137" s="1331"/>
      <c r="BP137" s="1331"/>
      <c r="BQ137" s="1331"/>
      <c r="BR137" s="1331"/>
      <c r="BS137" s="1331"/>
      <c r="BT137" s="1331"/>
      <c r="BU137" s="1331"/>
      <c r="BV137" s="1331"/>
      <c r="BW137" s="1331"/>
      <c r="BX137" s="1331"/>
      <c r="BY137" s="1331"/>
      <c r="BZ137" s="1331"/>
      <c r="CA137" s="1331"/>
      <c r="CB137" s="1331"/>
      <c r="CC137" s="1331"/>
      <c r="CD137" s="1331"/>
      <c r="CE137" s="1331"/>
      <c r="CF137" s="1331"/>
      <c r="CG137" s="1331"/>
      <c r="CH137" s="1331"/>
      <c r="CI137" s="1331"/>
      <c r="CJ137" s="1331"/>
      <c r="CK137" s="1331"/>
      <c r="CL137" s="1331"/>
      <c r="CM137" s="1331"/>
      <c r="CN137" s="1331"/>
      <c r="CO137" s="1331"/>
      <c r="CP137" s="1331"/>
      <c r="CQ137" s="1331"/>
      <c r="CR137" s="1331"/>
      <c r="CS137" s="1331"/>
      <c r="CT137" s="1331"/>
      <c r="CU137" s="1331"/>
      <c r="CV137" s="1331"/>
      <c r="CW137" s="1331"/>
      <c r="CX137" s="1331"/>
      <c r="CY137" s="1331"/>
      <c r="CZ137" s="1331"/>
      <c r="DA137" s="1331"/>
      <c r="DB137" s="1331"/>
      <c r="DC137" s="1331"/>
      <c r="DD137" s="1331"/>
      <c r="DE137" s="1331"/>
      <c r="DF137" s="1331"/>
      <c r="DG137" s="1331"/>
      <c r="DH137" s="1331"/>
      <c r="DI137" s="1331"/>
      <c r="DJ137" s="1331"/>
      <c r="DK137" s="1331"/>
      <c r="DL137" s="1331"/>
      <c r="DM137" s="1331"/>
      <c r="DN137" s="1331"/>
      <c r="DO137" s="1331"/>
      <c r="DP137" s="1331"/>
      <c r="DQ137" s="1331"/>
      <c r="DR137" s="1331"/>
      <c r="DS137" s="1331"/>
      <c r="DT137" s="1331"/>
      <c r="DU137" s="1331"/>
      <c r="DV137" s="1331"/>
    </row>
    <row r="138" spans="1:126" s="873" customFormat="1" ht="17.25">
      <c r="A138" s="1177">
        <f t="shared" si="8"/>
        <v>136</v>
      </c>
      <c r="B138" s="255" t="s">
        <v>44</v>
      </c>
      <c r="C138" s="250">
        <v>136</v>
      </c>
      <c r="D138" s="255" t="s">
        <v>3450</v>
      </c>
      <c r="E138" s="250" t="s">
        <v>4843</v>
      </c>
      <c r="F138" s="906"/>
      <c r="G138" s="250">
        <v>8</v>
      </c>
      <c r="H138" s="906">
        <v>9866809948</v>
      </c>
      <c r="I138" s="250">
        <v>72</v>
      </c>
      <c r="J138" s="255" t="s">
        <v>48</v>
      </c>
      <c r="K138" s="250" t="s">
        <v>4844</v>
      </c>
      <c r="L138" s="252" t="s">
        <v>4845</v>
      </c>
      <c r="M138" s="906"/>
      <c r="N138" s="1228">
        <v>65091</v>
      </c>
      <c r="O138" s="875">
        <v>65104</v>
      </c>
      <c r="P138" s="1058" t="s">
        <v>3486</v>
      </c>
      <c r="Q138" s="906"/>
      <c r="R138" s="250" t="s">
        <v>4846</v>
      </c>
      <c r="S138" s="906"/>
      <c r="T138" s="906">
        <f t="shared" si="9"/>
        <v>14</v>
      </c>
    </row>
    <row r="139" spans="1:126" s="873" customFormat="1" ht="17.25">
      <c r="A139" s="1177">
        <f t="shared" si="8"/>
        <v>137</v>
      </c>
      <c r="B139" s="255" t="s">
        <v>44</v>
      </c>
      <c r="C139" s="250">
        <v>137</v>
      </c>
      <c r="D139" s="255" t="s">
        <v>3450</v>
      </c>
      <c r="E139" s="1401" t="s">
        <v>4847</v>
      </c>
      <c r="F139" s="906"/>
      <c r="G139" s="250">
        <v>8</v>
      </c>
      <c r="H139" s="906">
        <v>9866809948</v>
      </c>
      <c r="I139" s="250">
        <v>62</v>
      </c>
      <c r="J139" s="255" t="s">
        <v>90</v>
      </c>
      <c r="K139" s="250" t="s">
        <v>4844</v>
      </c>
      <c r="L139" s="252" t="s">
        <v>4848</v>
      </c>
      <c r="M139" s="906"/>
      <c r="N139" s="1228">
        <v>65091</v>
      </c>
      <c r="O139" s="875">
        <v>65104</v>
      </c>
      <c r="P139" s="1058" t="s">
        <v>3486</v>
      </c>
      <c r="Q139" s="906"/>
      <c r="R139" s="250" t="s">
        <v>4846</v>
      </c>
      <c r="S139" s="906"/>
      <c r="T139" s="906">
        <f t="shared" si="9"/>
        <v>14</v>
      </c>
    </row>
    <row r="140" spans="1:126" s="873" customFormat="1" ht="17.25">
      <c r="A140" s="1177">
        <f t="shared" si="8"/>
        <v>138</v>
      </c>
      <c r="B140" s="255" t="s">
        <v>44</v>
      </c>
      <c r="C140" s="250">
        <v>138</v>
      </c>
      <c r="D140" s="255" t="s">
        <v>3450</v>
      </c>
      <c r="E140" s="250" t="s">
        <v>4857</v>
      </c>
      <c r="F140" s="906"/>
      <c r="G140" s="250">
        <v>9</v>
      </c>
      <c r="H140" s="906">
        <v>9810949812</v>
      </c>
      <c r="I140" s="250">
        <v>38</v>
      </c>
      <c r="J140" s="255" t="s">
        <v>90</v>
      </c>
      <c r="K140" s="255" t="s">
        <v>3465</v>
      </c>
      <c r="L140" s="252" t="s">
        <v>4858</v>
      </c>
      <c r="M140" s="906"/>
      <c r="N140" s="1228">
        <v>65093</v>
      </c>
      <c r="O140" s="875">
        <v>65104</v>
      </c>
      <c r="P140" s="1058" t="s">
        <v>3486</v>
      </c>
      <c r="Q140" s="906"/>
      <c r="R140" s="250" t="s">
        <v>4859</v>
      </c>
      <c r="S140" s="906"/>
      <c r="T140" s="906">
        <f t="shared" si="9"/>
        <v>12</v>
      </c>
    </row>
    <row r="141" spans="1:126" s="873" customFormat="1" ht="17.25">
      <c r="A141" s="1177">
        <f t="shared" si="8"/>
        <v>139</v>
      </c>
      <c r="B141" s="255" t="s">
        <v>44</v>
      </c>
      <c r="C141" s="250">
        <v>139</v>
      </c>
      <c r="D141" s="250" t="s">
        <v>3477</v>
      </c>
      <c r="E141" s="250" t="s">
        <v>4860</v>
      </c>
      <c r="F141" s="906"/>
      <c r="G141" s="250">
        <v>6</v>
      </c>
      <c r="H141" s="906">
        <v>9860083886</v>
      </c>
      <c r="I141" s="250">
        <v>25</v>
      </c>
      <c r="J141" s="255" t="s">
        <v>48</v>
      </c>
      <c r="K141" s="250" t="s">
        <v>4844</v>
      </c>
      <c r="L141" s="252" t="s">
        <v>4861</v>
      </c>
      <c r="M141" s="906"/>
      <c r="N141" s="1228">
        <v>65093</v>
      </c>
      <c r="O141" s="875">
        <v>65099</v>
      </c>
      <c r="P141" s="1058" t="s">
        <v>3486</v>
      </c>
      <c r="Q141" s="906"/>
      <c r="R141" s="250" t="s">
        <v>4862</v>
      </c>
      <c r="S141" s="906"/>
      <c r="T141" s="906">
        <f t="shared" si="9"/>
        <v>7</v>
      </c>
    </row>
    <row r="142" spans="1:126" s="873" customFormat="1" ht="17.25">
      <c r="A142" s="1177">
        <f t="shared" si="8"/>
        <v>140</v>
      </c>
      <c r="B142" s="255" t="s">
        <v>44</v>
      </c>
      <c r="C142" s="250">
        <v>140</v>
      </c>
      <c r="D142" s="250" t="s">
        <v>3477</v>
      </c>
      <c r="E142" s="250" t="s">
        <v>4248</v>
      </c>
      <c r="F142" s="906"/>
      <c r="G142" s="250">
        <v>6</v>
      </c>
      <c r="H142" s="906">
        <v>9857834941</v>
      </c>
      <c r="I142" s="250">
        <v>45</v>
      </c>
      <c r="J142" s="255" t="s">
        <v>90</v>
      </c>
      <c r="K142" s="250" t="s">
        <v>4844</v>
      </c>
      <c r="L142" s="252"/>
      <c r="M142" s="906"/>
      <c r="N142" s="1228">
        <v>65093</v>
      </c>
      <c r="O142" s="875">
        <v>65104</v>
      </c>
      <c r="P142" s="1058" t="s">
        <v>3486</v>
      </c>
      <c r="Q142" s="906"/>
      <c r="R142" s="250" t="s">
        <v>4863</v>
      </c>
      <c r="S142" s="906"/>
      <c r="T142" s="906">
        <f t="shared" si="9"/>
        <v>12</v>
      </c>
    </row>
    <row r="143" spans="1:126" s="873" customFormat="1" ht="17.25">
      <c r="A143" s="1177">
        <f t="shared" si="8"/>
        <v>141</v>
      </c>
      <c r="B143" s="255" t="s">
        <v>44</v>
      </c>
      <c r="C143" s="250">
        <v>141</v>
      </c>
      <c r="D143" s="255" t="s">
        <v>3450</v>
      </c>
      <c r="E143" s="250" t="s">
        <v>4878</v>
      </c>
      <c r="F143" s="906"/>
      <c r="G143" s="250">
        <v>16</v>
      </c>
      <c r="H143" s="1402">
        <v>9866828530</v>
      </c>
      <c r="I143" s="250">
        <v>28</v>
      </c>
      <c r="J143" s="255" t="s">
        <v>90</v>
      </c>
      <c r="K143" s="250" t="s">
        <v>3487</v>
      </c>
      <c r="L143" s="252"/>
      <c r="M143" s="906"/>
      <c r="N143" s="1228">
        <v>65096</v>
      </c>
      <c r="O143" s="875">
        <v>65104</v>
      </c>
      <c r="P143" s="1058" t="s">
        <v>3486</v>
      </c>
      <c r="Q143" s="906"/>
      <c r="R143" s="250" t="s">
        <v>4884</v>
      </c>
      <c r="S143" s="906"/>
      <c r="T143" s="906">
        <f t="shared" si="9"/>
        <v>9</v>
      </c>
    </row>
    <row r="144" spans="1:126" s="1412" customFormat="1" ht="17.25">
      <c r="A144" s="1177">
        <f t="shared" si="8"/>
        <v>142</v>
      </c>
      <c r="B144" s="255" t="s">
        <v>3457</v>
      </c>
      <c r="C144" s="250">
        <v>142</v>
      </c>
      <c r="D144" s="255" t="s">
        <v>4647</v>
      </c>
      <c r="E144" s="255" t="s">
        <v>4885</v>
      </c>
      <c r="F144" s="255"/>
      <c r="G144" s="250">
        <v>7</v>
      </c>
      <c r="H144" s="1402">
        <v>9841629760</v>
      </c>
      <c r="I144" s="250">
        <v>66</v>
      </c>
      <c r="J144" s="255" t="s">
        <v>48</v>
      </c>
      <c r="K144" s="255" t="s">
        <v>4889</v>
      </c>
      <c r="L144" s="255"/>
      <c r="M144" s="255"/>
      <c r="N144" s="848">
        <v>65099</v>
      </c>
      <c r="O144" s="848">
        <v>65118</v>
      </c>
      <c r="P144" s="256" t="s">
        <v>3486</v>
      </c>
      <c r="Q144" s="255"/>
      <c r="R144" s="255" t="s">
        <v>4890</v>
      </c>
      <c r="S144" s="255"/>
      <c r="T144" s="906">
        <f t="shared" si="9"/>
        <v>20</v>
      </c>
    </row>
    <row r="145" spans="1:20" s="1412" customFormat="1" ht="17.25">
      <c r="A145" s="1177">
        <f t="shared" si="8"/>
        <v>143</v>
      </c>
      <c r="B145" s="255" t="s">
        <v>3457</v>
      </c>
      <c r="C145" s="250">
        <v>143</v>
      </c>
      <c r="D145" s="255" t="s">
        <v>4647</v>
      </c>
      <c r="E145" s="1411" t="s">
        <v>4886</v>
      </c>
      <c r="F145" s="255"/>
      <c r="G145" s="250">
        <v>7</v>
      </c>
      <c r="H145" s="1402">
        <v>9841629760</v>
      </c>
      <c r="I145" s="250">
        <v>41</v>
      </c>
      <c r="J145" s="255" t="s">
        <v>48</v>
      </c>
      <c r="K145" s="255" t="s">
        <v>4889</v>
      </c>
      <c r="L145" s="255"/>
      <c r="M145" s="255"/>
      <c r="N145" s="848">
        <v>65099</v>
      </c>
      <c r="O145" s="848">
        <v>65109</v>
      </c>
      <c r="P145" s="256" t="s">
        <v>3486</v>
      </c>
      <c r="Q145" s="255"/>
      <c r="R145" s="255" t="s">
        <v>4890</v>
      </c>
      <c r="S145" s="255"/>
      <c r="T145" s="906">
        <f t="shared" si="9"/>
        <v>11</v>
      </c>
    </row>
    <row r="146" spans="1:20" s="1412" customFormat="1" ht="17.25">
      <c r="A146" s="1177">
        <f t="shared" si="8"/>
        <v>144</v>
      </c>
      <c r="B146" s="255" t="s">
        <v>3457</v>
      </c>
      <c r="C146" s="250">
        <v>144</v>
      </c>
      <c r="D146" s="255" t="s">
        <v>4647</v>
      </c>
      <c r="E146" s="1401" t="s">
        <v>4887</v>
      </c>
      <c r="F146" s="255"/>
      <c r="G146" s="250">
        <v>7</v>
      </c>
      <c r="H146" s="1402">
        <v>9841629760</v>
      </c>
      <c r="I146" s="250">
        <v>36</v>
      </c>
      <c r="J146" s="255" t="s">
        <v>90</v>
      </c>
      <c r="K146" s="255" t="s">
        <v>4889</v>
      </c>
      <c r="L146" s="255"/>
      <c r="M146" s="255"/>
      <c r="N146" s="848">
        <v>65099</v>
      </c>
      <c r="O146" s="848">
        <v>65118</v>
      </c>
      <c r="P146" s="256" t="s">
        <v>3486</v>
      </c>
      <c r="Q146" s="255"/>
      <c r="R146" s="255" t="s">
        <v>4890</v>
      </c>
      <c r="S146" s="255"/>
      <c r="T146" s="906">
        <f t="shared" si="9"/>
        <v>20</v>
      </c>
    </row>
    <row r="147" spans="1:20" s="873" customFormat="1" ht="17.25">
      <c r="A147" s="1177">
        <f t="shared" si="8"/>
        <v>145</v>
      </c>
      <c r="B147" s="255" t="s">
        <v>44</v>
      </c>
      <c r="C147" s="250">
        <v>145</v>
      </c>
      <c r="D147" s="250" t="s">
        <v>4902</v>
      </c>
      <c r="E147" s="250" t="s">
        <v>4900</v>
      </c>
      <c r="F147" s="906"/>
      <c r="G147" s="250">
        <v>4</v>
      </c>
      <c r="H147" s="906">
        <v>9857840098</v>
      </c>
      <c r="I147" s="250">
        <v>40</v>
      </c>
      <c r="J147" s="255" t="s">
        <v>48</v>
      </c>
      <c r="K147" s="250" t="s">
        <v>4901</v>
      </c>
      <c r="L147" s="252">
        <v>1195</v>
      </c>
      <c r="M147" s="906"/>
      <c r="N147" s="1228">
        <v>65101</v>
      </c>
      <c r="O147" s="875">
        <v>65113</v>
      </c>
      <c r="P147" s="256" t="s">
        <v>3486</v>
      </c>
      <c r="Q147" s="906"/>
      <c r="R147" s="255" t="s">
        <v>4890</v>
      </c>
      <c r="S147" s="906"/>
      <c r="T147" s="906">
        <f t="shared" si="9"/>
        <v>13</v>
      </c>
    </row>
    <row r="148" spans="1:20" s="873" customFormat="1" ht="17.25">
      <c r="A148" s="1177">
        <f t="shared" si="8"/>
        <v>146</v>
      </c>
      <c r="B148" s="255" t="s">
        <v>44</v>
      </c>
      <c r="C148" s="250">
        <v>146</v>
      </c>
      <c r="D148" s="250" t="s">
        <v>4902</v>
      </c>
      <c r="E148" s="250" t="s">
        <v>4899</v>
      </c>
      <c r="F148" s="906"/>
      <c r="G148" s="250">
        <v>4</v>
      </c>
      <c r="H148" s="906">
        <v>9869279008</v>
      </c>
      <c r="I148" s="250">
        <v>35</v>
      </c>
      <c r="J148" s="255" t="s">
        <v>90</v>
      </c>
      <c r="K148" s="250" t="s">
        <v>4901</v>
      </c>
      <c r="L148" s="252">
        <v>1204</v>
      </c>
      <c r="M148" s="906"/>
      <c r="N148" s="1228">
        <v>65101</v>
      </c>
      <c r="O148" s="875">
        <v>65113</v>
      </c>
      <c r="P148" s="256" t="s">
        <v>3486</v>
      </c>
      <c r="Q148" s="906"/>
      <c r="R148" s="255" t="s">
        <v>4890</v>
      </c>
      <c r="S148" s="906"/>
      <c r="T148" s="906">
        <f t="shared" si="9"/>
        <v>13</v>
      </c>
    </row>
    <row r="149" spans="1:20" s="873" customFormat="1" ht="17.25">
      <c r="A149" s="1177">
        <f t="shared" si="8"/>
        <v>147</v>
      </c>
      <c r="B149" s="255" t="s">
        <v>44</v>
      </c>
      <c r="C149" s="250">
        <v>147</v>
      </c>
      <c r="D149" s="255" t="s">
        <v>3450</v>
      </c>
      <c r="E149" s="250" t="s">
        <v>4909</v>
      </c>
      <c r="F149" s="906"/>
      <c r="G149" s="250">
        <v>9</v>
      </c>
      <c r="H149" s="1402">
        <v>9847980062</v>
      </c>
      <c r="I149" s="250">
        <v>32</v>
      </c>
      <c r="J149" s="255" t="s">
        <v>90</v>
      </c>
      <c r="K149" s="250" t="s">
        <v>4844</v>
      </c>
      <c r="L149" s="252" t="s">
        <v>4910</v>
      </c>
      <c r="M149" s="906"/>
      <c r="N149" s="1228">
        <v>65101</v>
      </c>
      <c r="O149" s="848">
        <v>65118</v>
      </c>
      <c r="P149" s="256" t="s">
        <v>3486</v>
      </c>
      <c r="Q149" s="906"/>
      <c r="R149" s="250" t="s">
        <v>4911</v>
      </c>
      <c r="S149" s="906"/>
      <c r="T149" s="906">
        <f t="shared" si="9"/>
        <v>18</v>
      </c>
    </row>
    <row r="150" spans="1:20" s="873" customFormat="1" ht="17.25">
      <c r="A150" s="1177">
        <f t="shared" si="8"/>
        <v>148</v>
      </c>
      <c r="B150" s="255" t="s">
        <v>44</v>
      </c>
      <c r="C150" s="250">
        <v>148</v>
      </c>
      <c r="D150" s="255" t="s">
        <v>3450</v>
      </c>
      <c r="E150" s="250" t="s">
        <v>4930</v>
      </c>
      <c r="F150" s="906"/>
      <c r="G150" s="250">
        <v>8</v>
      </c>
      <c r="H150" s="1402">
        <v>9841629760</v>
      </c>
      <c r="I150" s="250">
        <v>8</v>
      </c>
      <c r="J150" s="255" t="s">
        <v>90</v>
      </c>
      <c r="K150" s="250" t="s">
        <v>4844</v>
      </c>
      <c r="L150" s="252" t="s">
        <v>4932</v>
      </c>
      <c r="M150" s="906"/>
      <c r="N150" s="1228">
        <v>65104</v>
      </c>
      <c r="O150" s="875">
        <v>65113</v>
      </c>
      <c r="P150" s="256" t="s">
        <v>3486</v>
      </c>
      <c r="Q150" s="906"/>
      <c r="R150" s="255" t="s">
        <v>4890</v>
      </c>
      <c r="S150" s="906"/>
      <c r="T150" s="906">
        <f t="shared" si="9"/>
        <v>10</v>
      </c>
    </row>
    <row r="151" spans="1:20" s="873" customFormat="1" ht="17.25">
      <c r="A151" s="1177">
        <f t="shared" si="8"/>
        <v>149</v>
      </c>
      <c r="B151" s="255" t="s">
        <v>44</v>
      </c>
      <c r="C151" s="250">
        <v>149</v>
      </c>
      <c r="D151" s="255" t="s">
        <v>3450</v>
      </c>
      <c r="E151" s="250" t="s">
        <v>4928</v>
      </c>
      <c r="F151" s="906"/>
      <c r="G151" s="250">
        <v>8</v>
      </c>
      <c r="H151" s="1402">
        <v>9841629760</v>
      </c>
      <c r="I151" s="250">
        <v>13</v>
      </c>
      <c r="J151" s="255" t="s">
        <v>48</v>
      </c>
      <c r="K151" s="250" t="s">
        <v>4844</v>
      </c>
      <c r="L151" s="252" t="s">
        <v>4933</v>
      </c>
      <c r="M151" s="906"/>
      <c r="N151" s="1228">
        <v>65104</v>
      </c>
      <c r="O151" s="875">
        <v>65113</v>
      </c>
      <c r="P151" s="256" t="s">
        <v>3486</v>
      </c>
      <c r="Q151" s="906"/>
      <c r="R151" s="255" t="s">
        <v>4890</v>
      </c>
      <c r="S151" s="906"/>
      <c r="T151" s="906">
        <f t="shared" si="9"/>
        <v>10</v>
      </c>
    </row>
    <row r="152" spans="1:20" s="873" customFormat="1" ht="17.25">
      <c r="A152" s="1177">
        <f t="shared" si="8"/>
        <v>150</v>
      </c>
      <c r="B152" s="255" t="s">
        <v>44</v>
      </c>
      <c r="C152" s="250">
        <v>150</v>
      </c>
      <c r="D152" s="255" t="s">
        <v>3450</v>
      </c>
      <c r="E152" s="250" t="s">
        <v>4931</v>
      </c>
      <c r="F152" s="906"/>
      <c r="G152" s="250">
        <v>9</v>
      </c>
      <c r="H152" s="1235">
        <v>9866917162</v>
      </c>
      <c r="I152" s="250">
        <v>61</v>
      </c>
      <c r="J152" s="255" t="s">
        <v>90</v>
      </c>
      <c r="K152" s="250" t="s">
        <v>4844</v>
      </c>
      <c r="L152" s="252" t="s">
        <v>4934</v>
      </c>
      <c r="M152" s="906"/>
      <c r="N152" s="1228">
        <v>65104</v>
      </c>
      <c r="O152" s="848">
        <v>65118</v>
      </c>
      <c r="P152" s="256" t="s">
        <v>3486</v>
      </c>
      <c r="Q152" s="906"/>
      <c r="R152" s="255" t="s">
        <v>4890</v>
      </c>
      <c r="S152" s="906"/>
      <c r="T152" s="906">
        <f t="shared" si="9"/>
        <v>15</v>
      </c>
    </row>
    <row r="153" spans="1:20" s="1423" customFormat="1" ht="17.25">
      <c r="A153" s="1417">
        <f t="shared" si="8"/>
        <v>151</v>
      </c>
      <c r="B153" s="1418" t="s">
        <v>44</v>
      </c>
      <c r="C153" s="159">
        <v>151</v>
      </c>
      <c r="D153" s="159" t="s">
        <v>4019</v>
      </c>
      <c r="E153" s="159" t="s">
        <v>4957</v>
      </c>
      <c r="F153" s="160"/>
      <c r="G153" s="159">
        <v>5</v>
      </c>
      <c r="H153" s="160">
        <v>9866744278</v>
      </c>
      <c r="I153" s="159">
        <v>50</v>
      </c>
      <c r="J153" s="1418" t="s">
        <v>48</v>
      </c>
      <c r="K153" s="159" t="s">
        <v>4844</v>
      </c>
      <c r="L153" s="1419">
        <v>131</v>
      </c>
      <c r="M153" s="160"/>
      <c r="N153" s="1420">
        <v>65112</v>
      </c>
      <c r="O153" s="1421">
        <v>65114</v>
      </c>
      <c r="P153" s="1422" t="s">
        <v>3578</v>
      </c>
      <c r="Q153" s="160" t="s">
        <v>1284</v>
      </c>
      <c r="R153" s="159" t="s">
        <v>4961</v>
      </c>
      <c r="S153" s="160"/>
      <c r="T153" s="160">
        <f t="shared" si="9"/>
        <v>3</v>
      </c>
    </row>
    <row r="154" spans="1:20" s="873" customFormat="1" ht="17.25">
      <c r="A154" s="1177">
        <f t="shared" si="8"/>
        <v>152</v>
      </c>
      <c r="B154" s="255" t="s">
        <v>44</v>
      </c>
      <c r="C154" s="250">
        <v>152</v>
      </c>
      <c r="D154" s="250" t="s">
        <v>3450</v>
      </c>
      <c r="E154" s="250" t="s">
        <v>4958</v>
      </c>
      <c r="F154" s="906"/>
      <c r="G154" s="250">
        <v>12</v>
      </c>
      <c r="H154" s="1235">
        <v>9847853868</v>
      </c>
      <c r="I154" s="250">
        <v>46</v>
      </c>
      <c r="J154" s="255" t="s">
        <v>48</v>
      </c>
      <c r="K154" s="250" t="s">
        <v>4844</v>
      </c>
      <c r="L154" s="252">
        <v>133</v>
      </c>
      <c r="M154" s="906"/>
      <c r="N154" s="1228">
        <v>65112</v>
      </c>
      <c r="O154" s="875">
        <v>65120</v>
      </c>
      <c r="P154" s="256" t="s">
        <v>3486</v>
      </c>
      <c r="Q154" s="906"/>
      <c r="R154" s="250" t="s">
        <v>4962</v>
      </c>
      <c r="S154" s="906"/>
      <c r="T154" s="906">
        <f t="shared" si="9"/>
        <v>9</v>
      </c>
    </row>
    <row r="155" spans="1:20" s="872" customFormat="1" ht="17.25">
      <c r="A155" s="1177">
        <f t="shared" si="8"/>
        <v>153</v>
      </c>
      <c r="B155" s="255" t="s">
        <v>44</v>
      </c>
      <c r="C155" s="250">
        <v>153</v>
      </c>
      <c r="D155" s="250" t="s">
        <v>3450</v>
      </c>
      <c r="E155" s="250" t="s">
        <v>4955</v>
      </c>
      <c r="F155" s="906"/>
      <c r="G155" s="250">
        <v>12</v>
      </c>
      <c r="H155" s="1235">
        <v>9847853868</v>
      </c>
      <c r="I155" s="250">
        <v>45</v>
      </c>
      <c r="J155" s="906" t="s">
        <v>90</v>
      </c>
      <c r="K155" s="250" t="s">
        <v>4844</v>
      </c>
      <c r="L155" s="252">
        <v>135</v>
      </c>
      <c r="M155" s="906"/>
      <c r="N155" s="1228">
        <v>65112</v>
      </c>
      <c r="O155" s="875">
        <v>65122</v>
      </c>
      <c r="P155" s="256" t="s">
        <v>3486</v>
      </c>
      <c r="Q155" s="906"/>
      <c r="R155" s="250" t="s">
        <v>4963</v>
      </c>
      <c r="S155" s="906"/>
      <c r="T155" s="906">
        <f t="shared" si="9"/>
        <v>11</v>
      </c>
    </row>
    <row r="156" spans="1:20" s="873" customFormat="1" ht="17.25">
      <c r="A156" s="1177">
        <f>A155+1</f>
        <v>154</v>
      </c>
      <c r="B156" s="255" t="s">
        <v>44</v>
      </c>
      <c r="C156" s="250">
        <v>154</v>
      </c>
      <c r="D156" s="250" t="s">
        <v>3477</v>
      </c>
      <c r="E156" s="250" t="s">
        <v>4956</v>
      </c>
      <c r="F156" s="906"/>
      <c r="G156" s="250">
        <v>6</v>
      </c>
      <c r="H156" s="1235">
        <v>9809810682</v>
      </c>
      <c r="I156" s="250">
        <v>40</v>
      </c>
      <c r="J156" s="906" t="s">
        <v>48</v>
      </c>
      <c r="K156" s="250" t="s">
        <v>3465</v>
      </c>
      <c r="L156" s="252" t="s">
        <v>4959</v>
      </c>
      <c r="M156" s="906"/>
      <c r="N156" s="1228">
        <v>65112</v>
      </c>
      <c r="O156" s="875">
        <v>65122</v>
      </c>
      <c r="P156" s="256" t="s">
        <v>3486</v>
      </c>
      <c r="Q156" s="906"/>
      <c r="R156" s="250" t="s">
        <v>4960</v>
      </c>
      <c r="S156" s="906"/>
      <c r="T156" s="906">
        <f t="shared" si="9"/>
        <v>11</v>
      </c>
    </row>
    <row r="157" spans="1:20" s="873" customFormat="1" ht="17.25">
      <c r="A157" s="955">
        <f>A156+1</f>
        <v>155</v>
      </c>
      <c r="B157" s="250" t="s">
        <v>44</v>
      </c>
      <c r="C157" s="250">
        <v>155</v>
      </c>
      <c r="D157" s="250" t="s">
        <v>3477</v>
      </c>
      <c r="E157" s="250" t="s">
        <v>4976</v>
      </c>
      <c r="F157" s="250"/>
      <c r="G157" s="250">
        <v>6</v>
      </c>
      <c r="H157" s="1402">
        <v>9810875074</v>
      </c>
      <c r="I157" s="250">
        <v>41</v>
      </c>
      <c r="J157" s="250" t="s">
        <v>90</v>
      </c>
      <c r="K157" s="250" t="s">
        <v>4844</v>
      </c>
      <c r="L157" s="252">
        <v>152</v>
      </c>
      <c r="M157" s="250"/>
      <c r="N157" s="1229">
        <v>65114</v>
      </c>
      <c r="O157" s="875">
        <v>65123</v>
      </c>
      <c r="P157" s="1058" t="s">
        <v>3486</v>
      </c>
      <c r="Q157" s="250"/>
      <c r="R157" s="250" t="s">
        <v>4956</v>
      </c>
      <c r="S157" s="250"/>
      <c r="T157" s="906">
        <f t="shared" si="9"/>
        <v>10</v>
      </c>
    </row>
    <row r="158" spans="1:20" s="1030" customFormat="1" ht="17.25">
      <c r="A158" s="955">
        <f>A157+1</f>
        <v>156</v>
      </c>
      <c r="B158" s="250" t="s">
        <v>44</v>
      </c>
      <c r="C158" s="250">
        <v>156</v>
      </c>
      <c r="D158" s="250" t="s">
        <v>3450</v>
      </c>
      <c r="E158" s="250" t="s">
        <v>4977</v>
      </c>
      <c r="F158" s="250"/>
      <c r="G158" s="250">
        <v>7</v>
      </c>
      <c r="H158" s="1402">
        <v>9868606036</v>
      </c>
      <c r="I158" s="250">
        <v>60</v>
      </c>
      <c r="J158" s="250" t="s">
        <v>48</v>
      </c>
      <c r="K158" s="250" t="s">
        <v>4844</v>
      </c>
      <c r="L158" s="252">
        <v>182</v>
      </c>
      <c r="M158" s="250"/>
      <c r="N158" s="1229">
        <v>65114</v>
      </c>
      <c r="O158" s="875">
        <v>65123</v>
      </c>
      <c r="P158" s="1058" t="s">
        <v>3486</v>
      </c>
      <c r="Q158" s="250"/>
      <c r="R158" s="250" t="s">
        <v>4979</v>
      </c>
      <c r="S158" s="250"/>
      <c r="T158" s="906">
        <f t="shared" si="9"/>
        <v>10</v>
      </c>
    </row>
    <row r="159" spans="1:20" s="873" customFormat="1" ht="17.25">
      <c r="A159" s="955">
        <f>A158+1</f>
        <v>157</v>
      </c>
      <c r="B159" s="250" t="s">
        <v>3563</v>
      </c>
      <c r="C159" s="250">
        <v>157</v>
      </c>
      <c r="D159" s="250" t="s">
        <v>3564</v>
      </c>
      <c r="E159" s="250" t="s">
        <v>4978</v>
      </c>
      <c r="F159" s="250"/>
      <c r="G159" s="250">
        <v>5</v>
      </c>
      <c r="H159" s="1402">
        <v>9868817099</v>
      </c>
      <c r="I159" s="250">
        <v>63</v>
      </c>
      <c r="J159" s="250" t="s">
        <v>48</v>
      </c>
      <c r="K159" s="250" t="s">
        <v>3487</v>
      </c>
      <c r="L159" s="252">
        <v>38988</v>
      </c>
      <c r="M159" s="250"/>
      <c r="N159" s="1229">
        <v>65114</v>
      </c>
      <c r="O159" s="875">
        <v>65123</v>
      </c>
      <c r="P159" s="1058" t="s">
        <v>3486</v>
      </c>
      <c r="Q159" s="250"/>
      <c r="R159" s="250" t="s">
        <v>4980</v>
      </c>
      <c r="S159" s="250"/>
      <c r="T159" s="906">
        <f t="shared" si="9"/>
        <v>10</v>
      </c>
    </row>
    <row r="160" spans="1:20" ht="17.25">
      <c r="A160" s="955">
        <v>158</v>
      </c>
      <c r="B160" s="250" t="s">
        <v>44</v>
      </c>
      <c r="C160" s="250">
        <v>158</v>
      </c>
      <c r="D160" s="250" t="s">
        <v>3450</v>
      </c>
      <c r="E160" s="250" t="s">
        <v>4999</v>
      </c>
      <c r="F160" s="906"/>
      <c r="G160" s="250">
        <v>18</v>
      </c>
      <c r="H160" s="906">
        <v>9869736911</v>
      </c>
      <c r="I160" s="250">
        <v>82</v>
      </c>
      <c r="J160" s="250" t="s">
        <v>48</v>
      </c>
      <c r="K160" s="250" t="s">
        <v>3487</v>
      </c>
      <c r="L160" s="252">
        <v>225</v>
      </c>
      <c r="M160" s="906"/>
      <c r="N160" s="1228">
        <v>65109</v>
      </c>
      <c r="O160" s="875">
        <v>65130</v>
      </c>
      <c r="P160" s="1058" t="s">
        <v>3486</v>
      </c>
      <c r="Q160" s="906"/>
      <c r="R160" s="906" t="s">
        <v>5000</v>
      </c>
      <c r="S160" s="906"/>
      <c r="T160" s="906">
        <f t="shared" si="9"/>
        <v>22</v>
      </c>
    </row>
    <row r="161" spans="1:20" s="873" customFormat="1" ht="17.25">
      <c r="A161" s="955">
        <v>159</v>
      </c>
      <c r="B161" s="250" t="s">
        <v>3563</v>
      </c>
      <c r="C161" s="250">
        <v>159</v>
      </c>
      <c r="D161" s="250" t="s">
        <v>4995</v>
      </c>
      <c r="E161" s="250" t="s">
        <v>4994</v>
      </c>
      <c r="F161" s="906"/>
      <c r="G161" s="250">
        <v>2</v>
      </c>
      <c r="H161" s="1402">
        <v>9847817346</v>
      </c>
      <c r="I161" s="250">
        <v>50</v>
      </c>
      <c r="J161" s="250" t="s">
        <v>48</v>
      </c>
      <c r="K161" s="250" t="s">
        <v>4844</v>
      </c>
      <c r="L161" s="252">
        <v>225</v>
      </c>
      <c r="M161" s="906"/>
      <c r="N161" s="1228">
        <v>65118</v>
      </c>
      <c r="O161" s="875">
        <v>65128</v>
      </c>
      <c r="P161" s="1058" t="s">
        <v>3486</v>
      </c>
      <c r="Q161" s="906"/>
      <c r="R161" s="250" t="s">
        <v>4997</v>
      </c>
      <c r="S161" s="906"/>
      <c r="T161" s="906">
        <f>(O161-N161)+1</f>
        <v>11</v>
      </c>
    </row>
    <row r="162" spans="1:20" s="873" customFormat="1" ht="17.25">
      <c r="A162" s="955">
        <v>160</v>
      </c>
      <c r="B162" s="250" t="s">
        <v>3563</v>
      </c>
      <c r="C162" s="250">
        <v>160</v>
      </c>
      <c r="D162" s="250" t="s">
        <v>4995</v>
      </c>
      <c r="E162" s="250" t="s">
        <v>4996</v>
      </c>
      <c r="F162" s="906"/>
      <c r="G162" s="250">
        <v>2</v>
      </c>
      <c r="H162" s="1402">
        <v>9847817346</v>
      </c>
      <c r="I162" s="250">
        <v>49</v>
      </c>
      <c r="J162" s="250" t="s">
        <v>90</v>
      </c>
      <c r="K162" s="250" t="s">
        <v>4844</v>
      </c>
      <c r="L162" s="252">
        <v>226</v>
      </c>
      <c r="M162" s="906"/>
      <c r="N162" s="1228">
        <v>65118</v>
      </c>
      <c r="O162" s="875">
        <v>65128</v>
      </c>
      <c r="P162" s="1058" t="s">
        <v>3486</v>
      </c>
      <c r="Q162" s="906"/>
      <c r="R162" s="250" t="s">
        <v>4997</v>
      </c>
      <c r="S162" s="906"/>
      <c r="T162" s="906">
        <f>(O162-N162)+1</f>
        <v>11</v>
      </c>
    </row>
    <row r="163" spans="1:20" s="873" customFormat="1" ht="17.25">
      <c r="A163" s="955">
        <f>A162+1</f>
        <v>161</v>
      </c>
      <c r="B163" s="250" t="s">
        <v>44</v>
      </c>
      <c r="C163" s="250">
        <v>161</v>
      </c>
      <c r="D163" s="250" t="s">
        <v>3450</v>
      </c>
      <c r="E163" s="250" t="s">
        <v>5019</v>
      </c>
      <c r="F163" s="906"/>
      <c r="G163" s="250">
        <v>7</v>
      </c>
      <c r="H163" s="906">
        <v>9823212816</v>
      </c>
      <c r="I163" s="250">
        <v>46</v>
      </c>
      <c r="J163" s="250" t="s">
        <v>48</v>
      </c>
      <c r="K163" s="250" t="s">
        <v>4844</v>
      </c>
      <c r="L163" s="252">
        <v>255</v>
      </c>
      <c r="M163" s="906"/>
      <c r="N163" s="1228">
        <v>65119</v>
      </c>
      <c r="O163" s="875">
        <v>65128</v>
      </c>
      <c r="P163" s="1058" t="s">
        <v>3486</v>
      </c>
      <c r="Q163" s="906"/>
      <c r="R163" s="250" t="s">
        <v>5020</v>
      </c>
      <c r="S163" s="906"/>
      <c r="T163" s="906">
        <f>(O163-N163)+1</f>
        <v>10</v>
      </c>
    </row>
    <row r="164" spans="1:20" s="873" customFormat="1" ht="17.25">
      <c r="A164" s="955">
        <f>A163+1</f>
        <v>162</v>
      </c>
      <c r="B164" s="250" t="s">
        <v>44</v>
      </c>
      <c r="C164" s="250">
        <v>162</v>
      </c>
      <c r="D164" s="250" t="s">
        <v>3450</v>
      </c>
      <c r="E164" s="250" t="s">
        <v>5021</v>
      </c>
      <c r="F164" s="906"/>
      <c r="G164" s="250">
        <v>7</v>
      </c>
      <c r="H164" s="906">
        <v>9823212816</v>
      </c>
      <c r="I164" s="250">
        <v>45</v>
      </c>
      <c r="J164" s="250" t="s">
        <v>90</v>
      </c>
      <c r="K164" s="250" t="s">
        <v>4844</v>
      </c>
      <c r="L164" s="252">
        <v>256</v>
      </c>
      <c r="M164" s="906"/>
      <c r="N164" s="1228">
        <v>65119</v>
      </c>
      <c r="O164" s="875">
        <v>65128</v>
      </c>
      <c r="P164" s="1058" t="s">
        <v>3486</v>
      </c>
      <c r="Q164" s="906"/>
      <c r="R164" s="250" t="s">
        <v>5022</v>
      </c>
      <c r="S164" s="906"/>
      <c r="T164" s="906">
        <f>(O164-N164)+1</f>
        <v>10</v>
      </c>
    </row>
    <row r="165" spans="1:20" s="873" customFormat="1" ht="17.25">
      <c r="A165" s="955">
        <f t="shared" ref="A165:A181" si="10">A164+1</f>
        <v>163</v>
      </c>
      <c r="B165" s="250" t="s">
        <v>44</v>
      </c>
      <c r="C165" s="250">
        <v>163</v>
      </c>
      <c r="D165" s="250" t="s">
        <v>3477</v>
      </c>
      <c r="E165" s="250" t="s">
        <v>5042</v>
      </c>
      <c r="F165" s="906"/>
      <c r="G165" s="250">
        <v>6</v>
      </c>
      <c r="H165" s="1402">
        <v>9809564478</v>
      </c>
      <c r="I165" s="250">
        <v>37</v>
      </c>
      <c r="J165" s="250" t="s">
        <v>90</v>
      </c>
      <c r="K165" s="250" t="s">
        <v>4844</v>
      </c>
      <c r="L165" s="252"/>
      <c r="M165" s="906"/>
      <c r="N165" s="1228">
        <v>65122</v>
      </c>
      <c r="O165" s="875">
        <v>65132</v>
      </c>
      <c r="P165" s="1058" t="s">
        <v>3486</v>
      </c>
      <c r="Q165" s="906"/>
      <c r="R165" s="250" t="s">
        <v>5043</v>
      </c>
      <c r="S165" s="906"/>
      <c r="T165" s="906">
        <f t="shared" ref="T165:T181" si="11">(O165-N165)+1</f>
        <v>11</v>
      </c>
    </row>
    <row r="166" spans="1:20" s="873" customFormat="1" ht="17.25">
      <c r="A166" s="955">
        <f t="shared" si="10"/>
        <v>164</v>
      </c>
      <c r="B166" s="255" t="s">
        <v>44</v>
      </c>
      <c r="C166" s="250">
        <v>164</v>
      </c>
      <c r="D166" s="250" t="s">
        <v>3477</v>
      </c>
      <c r="E166" s="250" t="s">
        <v>711</v>
      </c>
      <c r="F166" s="906"/>
      <c r="G166" s="250">
        <v>6</v>
      </c>
      <c r="H166" s="1402">
        <v>9868649624</v>
      </c>
      <c r="I166" s="250">
        <v>16</v>
      </c>
      <c r="J166" s="250" t="s">
        <v>90</v>
      </c>
      <c r="K166" s="250" t="s">
        <v>4844</v>
      </c>
      <c r="L166" s="252"/>
      <c r="M166" s="906"/>
      <c r="N166" s="1228">
        <v>65122</v>
      </c>
      <c r="O166" s="875">
        <v>65132</v>
      </c>
      <c r="P166" s="1058" t="s">
        <v>3486</v>
      </c>
      <c r="Q166" s="906"/>
      <c r="R166" s="250" t="s">
        <v>5043</v>
      </c>
      <c r="S166" s="906"/>
      <c r="T166" s="906">
        <f t="shared" si="11"/>
        <v>11</v>
      </c>
    </row>
    <row r="167" spans="1:20" s="873" customFormat="1" ht="17.25">
      <c r="A167" s="955">
        <f t="shared" si="10"/>
        <v>165</v>
      </c>
      <c r="B167" s="255" t="s">
        <v>44</v>
      </c>
      <c r="C167" s="250">
        <v>165</v>
      </c>
      <c r="D167" s="250" t="s">
        <v>3477</v>
      </c>
      <c r="E167" s="250" t="s">
        <v>5047</v>
      </c>
      <c r="F167" s="906"/>
      <c r="G167" s="250">
        <v>7</v>
      </c>
      <c r="H167" s="1402">
        <v>9810801026</v>
      </c>
      <c r="I167" s="250">
        <v>42</v>
      </c>
      <c r="J167" s="250" t="s">
        <v>48</v>
      </c>
      <c r="K167" s="250" t="s">
        <v>4844</v>
      </c>
      <c r="L167" s="252"/>
      <c r="M167" s="906"/>
      <c r="N167" s="1228">
        <v>65123</v>
      </c>
      <c r="O167" s="875" t="s">
        <v>5136</v>
      </c>
      <c r="P167" s="1058" t="s">
        <v>3486</v>
      </c>
      <c r="Q167" s="906"/>
      <c r="R167" s="250" t="s">
        <v>5048</v>
      </c>
      <c r="S167" s="906"/>
      <c r="T167" s="906" t="e">
        <f t="shared" si="11"/>
        <v>#VALUE!</v>
      </c>
    </row>
    <row r="168" spans="1:20" s="873" customFormat="1" ht="17.25">
      <c r="A168" s="955">
        <f t="shared" si="10"/>
        <v>166</v>
      </c>
      <c r="B168" s="255" t="s">
        <v>44</v>
      </c>
      <c r="C168" s="250">
        <v>166</v>
      </c>
      <c r="D168" s="250" t="s">
        <v>3450</v>
      </c>
      <c r="E168" s="250" t="s">
        <v>5049</v>
      </c>
      <c r="F168" s="906"/>
      <c r="G168" s="250">
        <v>8</v>
      </c>
      <c r="H168" s="906">
        <v>9848016583</v>
      </c>
      <c r="I168" s="250">
        <v>76</v>
      </c>
      <c r="J168" s="250" t="s">
        <v>48</v>
      </c>
      <c r="K168" s="250" t="s">
        <v>4844</v>
      </c>
      <c r="L168" s="252"/>
      <c r="M168" s="906"/>
      <c r="N168" s="1228">
        <v>65123</v>
      </c>
      <c r="O168" s="875" t="s">
        <v>5136</v>
      </c>
      <c r="P168" s="1058" t="s">
        <v>3486</v>
      </c>
      <c r="Q168" s="906"/>
      <c r="R168" s="250" t="s">
        <v>5050</v>
      </c>
      <c r="S168" s="906"/>
      <c r="T168" s="906" t="e">
        <f t="shared" si="11"/>
        <v>#VALUE!</v>
      </c>
    </row>
    <row r="169" spans="1:20" s="873" customFormat="1" ht="17.25">
      <c r="A169" s="955">
        <f t="shared" si="10"/>
        <v>167</v>
      </c>
      <c r="B169" s="255" t="s">
        <v>44</v>
      </c>
      <c r="C169" s="250">
        <v>167</v>
      </c>
      <c r="D169" s="250" t="s">
        <v>3477</v>
      </c>
      <c r="E169" s="250" t="s">
        <v>5051</v>
      </c>
      <c r="F169" s="906"/>
      <c r="G169" s="250">
        <v>7</v>
      </c>
      <c r="H169" s="1402">
        <v>9822840177</v>
      </c>
      <c r="I169" s="250">
        <v>39</v>
      </c>
      <c r="J169" s="250" t="s">
        <v>90</v>
      </c>
      <c r="K169" s="250" t="s">
        <v>4844</v>
      </c>
      <c r="L169" s="252"/>
      <c r="M169" s="906"/>
      <c r="N169" s="1228">
        <v>65123</v>
      </c>
      <c r="O169" s="875">
        <v>65132</v>
      </c>
      <c r="P169" s="1058" t="s">
        <v>3486</v>
      </c>
      <c r="Q169" s="906"/>
      <c r="R169" s="250" t="s">
        <v>5052</v>
      </c>
      <c r="S169" s="906"/>
      <c r="T169" s="906">
        <f t="shared" si="11"/>
        <v>10</v>
      </c>
    </row>
    <row r="170" spans="1:20" s="873" customFormat="1" ht="17.25">
      <c r="A170" s="955">
        <f t="shared" si="10"/>
        <v>168</v>
      </c>
      <c r="B170" s="255" t="s">
        <v>44</v>
      </c>
      <c r="C170" s="250">
        <v>168</v>
      </c>
      <c r="D170" s="250" t="s">
        <v>3450</v>
      </c>
      <c r="E170" s="250" t="s">
        <v>5055</v>
      </c>
      <c r="F170" s="906"/>
      <c r="G170" s="250">
        <v>8</v>
      </c>
      <c r="H170" s="906">
        <v>9822559856</v>
      </c>
      <c r="I170" s="250">
        <v>55</v>
      </c>
      <c r="J170" s="250" t="s">
        <v>90</v>
      </c>
      <c r="K170" s="250" t="s">
        <v>4844</v>
      </c>
      <c r="L170" s="252">
        <v>216</v>
      </c>
      <c r="M170" s="906"/>
      <c r="N170" s="1228">
        <v>65123</v>
      </c>
      <c r="O170" s="875" t="s">
        <v>5136</v>
      </c>
      <c r="P170" s="1058" t="s">
        <v>3486</v>
      </c>
      <c r="Q170" s="906"/>
      <c r="R170" s="250" t="s">
        <v>5056</v>
      </c>
      <c r="S170" s="906"/>
      <c r="T170" s="906" t="e">
        <f t="shared" si="11"/>
        <v>#VALUE!</v>
      </c>
    </row>
    <row r="171" spans="1:20" s="873" customFormat="1" ht="17.25">
      <c r="A171" s="955">
        <f t="shared" si="10"/>
        <v>169</v>
      </c>
      <c r="B171" s="255" t="s">
        <v>44</v>
      </c>
      <c r="C171" s="250">
        <v>169</v>
      </c>
      <c r="D171" s="250" t="s">
        <v>3450</v>
      </c>
      <c r="E171" s="250" t="s">
        <v>5057</v>
      </c>
      <c r="F171" s="906"/>
      <c r="G171" s="250">
        <v>8</v>
      </c>
      <c r="H171" s="906">
        <v>9860976720</v>
      </c>
      <c r="I171" s="250">
        <v>36</v>
      </c>
      <c r="J171" s="250" t="s">
        <v>48</v>
      </c>
      <c r="K171" s="250" t="s">
        <v>4844</v>
      </c>
      <c r="L171" s="252">
        <v>281</v>
      </c>
      <c r="M171" s="906"/>
      <c r="N171" s="1228">
        <v>65123</v>
      </c>
      <c r="O171" s="875" t="s">
        <v>5136</v>
      </c>
      <c r="P171" s="1058" t="s">
        <v>3486</v>
      </c>
      <c r="Q171" s="906"/>
      <c r="R171" s="250" t="s">
        <v>5058</v>
      </c>
      <c r="S171" s="906"/>
      <c r="T171" s="906" t="e">
        <f t="shared" si="11"/>
        <v>#VALUE!</v>
      </c>
    </row>
    <row r="172" spans="1:20" s="873" customFormat="1" ht="17.25">
      <c r="A172" s="955">
        <f t="shared" si="10"/>
        <v>170</v>
      </c>
      <c r="B172" s="255" t="s">
        <v>44</v>
      </c>
      <c r="C172" s="250">
        <v>170</v>
      </c>
      <c r="D172" s="250" t="s">
        <v>3450</v>
      </c>
      <c r="E172" s="250" t="s">
        <v>5066</v>
      </c>
      <c r="F172" s="906"/>
      <c r="G172" s="250">
        <v>8</v>
      </c>
      <c r="H172" s="906">
        <v>9860976720</v>
      </c>
      <c r="I172" s="250">
        <v>15</v>
      </c>
      <c r="J172" s="250" t="s">
        <v>90</v>
      </c>
      <c r="K172" s="250" t="s">
        <v>4844</v>
      </c>
      <c r="L172" s="252"/>
      <c r="M172" s="906"/>
      <c r="N172" s="1228">
        <v>65125</v>
      </c>
      <c r="O172" s="875" t="s">
        <v>5136</v>
      </c>
      <c r="P172" s="1058" t="s">
        <v>3486</v>
      </c>
      <c r="Q172" s="906"/>
      <c r="R172" s="250" t="s">
        <v>5067</v>
      </c>
      <c r="S172" s="906"/>
      <c r="T172" s="906" t="e">
        <f t="shared" si="11"/>
        <v>#VALUE!</v>
      </c>
    </row>
    <row r="173" spans="1:20" s="873" customFormat="1" ht="17.25">
      <c r="A173" s="955">
        <f t="shared" si="10"/>
        <v>171</v>
      </c>
      <c r="B173" s="255" t="s">
        <v>44</v>
      </c>
      <c r="C173" s="250">
        <v>171</v>
      </c>
      <c r="D173" s="250" t="s">
        <v>3450</v>
      </c>
      <c r="E173" s="250" t="s">
        <v>5068</v>
      </c>
      <c r="F173" s="906"/>
      <c r="G173" s="250">
        <v>8</v>
      </c>
      <c r="H173" s="906">
        <v>9806246489</v>
      </c>
      <c r="I173" s="250">
        <v>12</v>
      </c>
      <c r="J173" s="250" t="s">
        <v>48</v>
      </c>
      <c r="K173" s="250" t="s">
        <v>4844</v>
      </c>
      <c r="L173" s="252"/>
      <c r="M173" s="906"/>
      <c r="N173" s="1228">
        <v>65125</v>
      </c>
      <c r="O173" s="875" t="s">
        <v>5136</v>
      </c>
      <c r="P173" s="1058" t="s">
        <v>3486</v>
      </c>
      <c r="Q173" s="906"/>
      <c r="R173" s="250" t="s">
        <v>5067</v>
      </c>
      <c r="S173" s="906"/>
      <c r="T173" s="906" t="e">
        <f t="shared" si="11"/>
        <v>#VALUE!</v>
      </c>
    </row>
    <row r="174" spans="1:20" s="873" customFormat="1" ht="17.25">
      <c r="A174" s="955">
        <f t="shared" si="10"/>
        <v>172</v>
      </c>
      <c r="B174" s="906" t="s">
        <v>3457</v>
      </c>
      <c r="C174" s="250">
        <v>172</v>
      </c>
      <c r="D174" s="906" t="s">
        <v>4091</v>
      </c>
      <c r="E174" s="250" t="s">
        <v>5081</v>
      </c>
      <c r="F174" s="906"/>
      <c r="G174" s="250">
        <v>3</v>
      </c>
      <c r="H174" s="1402">
        <v>9822901206</v>
      </c>
      <c r="I174" s="250">
        <v>37</v>
      </c>
      <c r="J174" s="250" t="s">
        <v>90</v>
      </c>
      <c r="K174" s="250" t="s">
        <v>4844</v>
      </c>
      <c r="L174" s="252"/>
      <c r="M174" s="906"/>
      <c r="N174" s="1228">
        <v>65126</v>
      </c>
      <c r="O174" s="875" t="s">
        <v>5136</v>
      </c>
      <c r="P174" s="1058" t="s">
        <v>3486</v>
      </c>
      <c r="Q174" s="906"/>
      <c r="R174" s="250" t="s">
        <v>5082</v>
      </c>
      <c r="S174" s="906"/>
      <c r="T174" s="906" t="e">
        <f t="shared" si="11"/>
        <v>#VALUE!</v>
      </c>
    </row>
    <row r="175" spans="1:20" s="873" customFormat="1" ht="17.25">
      <c r="A175" s="955">
        <f t="shared" si="10"/>
        <v>173</v>
      </c>
      <c r="B175" s="255" t="s">
        <v>44</v>
      </c>
      <c r="C175" s="250">
        <v>173</v>
      </c>
      <c r="D175" s="250" t="s">
        <v>3450</v>
      </c>
      <c r="E175" s="250" t="s">
        <v>5088</v>
      </c>
      <c r="F175" s="906"/>
      <c r="G175" s="250">
        <v>6</v>
      </c>
      <c r="H175" s="1402">
        <v>9822845753</v>
      </c>
      <c r="I175" s="250">
        <v>77</v>
      </c>
      <c r="J175" s="250" t="s">
        <v>90</v>
      </c>
      <c r="K175" s="250" t="s">
        <v>4844</v>
      </c>
      <c r="L175" s="252"/>
      <c r="M175" s="906"/>
      <c r="N175" s="1228">
        <v>65127</v>
      </c>
      <c r="O175" s="875">
        <v>65132</v>
      </c>
      <c r="P175" s="1058" t="s">
        <v>3486</v>
      </c>
      <c r="Q175" s="906"/>
      <c r="R175" s="250" t="s">
        <v>5089</v>
      </c>
      <c r="S175" s="906"/>
      <c r="T175" s="906">
        <f t="shared" si="11"/>
        <v>6</v>
      </c>
    </row>
    <row r="176" spans="1:20" s="873" customFormat="1" ht="17.25">
      <c r="A176" s="955">
        <f t="shared" si="10"/>
        <v>174</v>
      </c>
      <c r="B176" s="255" t="s">
        <v>44</v>
      </c>
      <c r="C176" s="250">
        <v>174</v>
      </c>
      <c r="D176" s="250" t="s">
        <v>3450</v>
      </c>
      <c r="E176" s="250" t="s">
        <v>5095</v>
      </c>
      <c r="F176" s="906"/>
      <c r="G176" s="250">
        <v>9</v>
      </c>
      <c r="H176" s="1402">
        <v>9829506145</v>
      </c>
      <c r="I176" s="250">
        <v>41</v>
      </c>
      <c r="J176" s="250" t="s">
        <v>90</v>
      </c>
      <c r="K176" s="250" t="s">
        <v>4844</v>
      </c>
      <c r="L176" s="252">
        <v>527</v>
      </c>
      <c r="M176" s="906"/>
      <c r="N176" s="1228">
        <v>65128</v>
      </c>
      <c r="O176" s="875">
        <v>65138</v>
      </c>
      <c r="P176" s="1058" t="s">
        <v>3486</v>
      </c>
      <c r="Q176" s="906"/>
      <c r="R176" s="250" t="s">
        <v>5096</v>
      </c>
      <c r="S176" s="906"/>
      <c r="T176" s="906">
        <f t="shared" si="11"/>
        <v>11</v>
      </c>
    </row>
    <row r="177" spans="1:20" s="873" customFormat="1" ht="17.25">
      <c r="A177" s="955">
        <f t="shared" si="10"/>
        <v>175</v>
      </c>
      <c r="B177" s="255" t="s">
        <v>44</v>
      </c>
      <c r="C177" s="250">
        <v>175</v>
      </c>
      <c r="D177" s="250" t="s">
        <v>3477</v>
      </c>
      <c r="E177" s="250" t="s">
        <v>5113</v>
      </c>
      <c r="F177" s="906"/>
      <c r="G177" s="250">
        <v>4</v>
      </c>
      <c r="H177" s="1402">
        <v>9810822107</v>
      </c>
      <c r="I177" s="250">
        <v>30</v>
      </c>
      <c r="J177" s="250" t="s">
        <v>90</v>
      </c>
      <c r="K177" s="250" t="s">
        <v>4844</v>
      </c>
      <c r="L177" s="252"/>
      <c r="M177" s="906"/>
      <c r="N177" s="1228">
        <v>65129</v>
      </c>
      <c r="O177" s="875">
        <v>65138</v>
      </c>
      <c r="P177" s="1058" t="s">
        <v>3486</v>
      </c>
      <c r="Q177" s="906"/>
      <c r="R177" s="250" t="s">
        <v>5114</v>
      </c>
      <c r="S177" s="906"/>
      <c r="T177" s="906">
        <f t="shared" si="11"/>
        <v>10</v>
      </c>
    </row>
    <row r="178" spans="1:20" s="873" customFormat="1" ht="17.25">
      <c r="A178" s="955">
        <f t="shared" si="10"/>
        <v>176</v>
      </c>
      <c r="B178" s="255" t="s">
        <v>44</v>
      </c>
      <c r="C178" s="250">
        <v>176</v>
      </c>
      <c r="D178" s="250" t="s">
        <v>3450</v>
      </c>
      <c r="E178" s="250" t="s">
        <v>5118</v>
      </c>
      <c r="F178" s="906"/>
      <c r="G178" s="250">
        <v>11</v>
      </c>
      <c r="H178" s="1402">
        <v>980157902</v>
      </c>
      <c r="I178" s="250">
        <v>34</v>
      </c>
      <c r="J178" s="250" t="s">
        <v>48</v>
      </c>
      <c r="K178" s="250" t="s">
        <v>4844</v>
      </c>
      <c r="L178" s="252"/>
      <c r="M178" s="906"/>
      <c r="N178" s="1228">
        <v>65131</v>
      </c>
      <c r="O178" s="875">
        <v>65138</v>
      </c>
      <c r="P178" s="1058" t="s">
        <v>3486</v>
      </c>
      <c r="Q178" s="906"/>
      <c r="R178" s="250" t="s">
        <v>5120</v>
      </c>
      <c r="S178" s="906"/>
      <c r="T178" s="906">
        <f t="shared" si="11"/>
        <v>8</v>
      </c>
    </row>
    <row r="179" spans="1:20" s="873" customFormat="1" ht="17.25">
      <c r="A179" s="955">
        <f t="shared" si="10"/>
        <v>177</v>
      </c>
      <c r="B179" s="255" t="s">
        <v>44</v>
      </c>
      <c r="C179" s="250">
        <v>177</v>
      </c>
      <c r="D179" s="250" t="s">
        <v>3450</v>
      </c>
      <c r="E179" s="250" t="s">
        <v>5119</v>
      </c>
      <c r="F179" s="906"/>
      <c r="G179" s="250">
        <v>6</v>
      </c>
      <c r="H179" s="1402">
        <v>9844902298</v>
      </c>
      <c r="I179" s="250">
        <v>55</v>
      </c>
      <c r="J179" s="250" t="s">
        <v>48</v>
      </c>
      <c r="K179" s="250" t="s">
        <v>4844</v>
      </c>
      <c r="L179" s="252"/>
      <c r="M179" s="906"/>
      <c r="N179" s="1228">
        <v>65132</v>
      </c>
      <c r="O179" s="875" t="s">
        <v>5136</v>
      </c>
      <c r="P179" s="1058" t="s">
        <v>3486</v>
      </c>
      <c r="Q179" s="906"/>
      <c r="R179" s="250" t="s">
        <v>5121</v>
      </c>
      <c r="S179" s="906"/>
      <c r="T179" s="906" t="e">
        <f t="shared" si="11"/>
        <v>#VALUE!</v>
      </c>
    </row>
    <row r="180" spans="1:20" s="873" customFormat="1" ht="17.25">
      <c r="A180" s="955">
        <f t="shared" si="10"/>
        <v>178</v>
      </c>
      <c r="B180" s="255" t="s">
        <v>44</v>
      </c>
      <c r="C180" s="250">
        <v>178</v>
      </c>
      <c r="D180" s="250" t="s">
        <v>3450</v>
      </c>
      <c r="E180" s="250" t="s">
        <v>1510</v>
      </c>
      <c r="F180" s="906"/>
      <c r="G180" s="250">
        <v>15</v>
      </c>
      <c r="H180" s="1402">
        <v>9847891335</v>
      </c>
      <c r="I180" s="250">
        <v>47</v>
      </c>
      <c r="J180" s="250" t="s">
        <v>90</v>
      </c>
      <c r="K180" s="250" t="s">
        <v>4844</v>
      </c>
      <c r="L180" s="252"/>
      <c r="M180" s="906"/>
      <c r="N180" s="1228">
        <v>65132</v>
      </c>
      <c r="O180" s="875">
        <v>65138</v>
      </c>
      <c r="P180" s="1058" t="s">
        <v>3486</v>
      </c>
      <c r="Q180" s="906"/>
      <c r="R180" s="250" t="s">
        <v>5122</v>
      </c>
      <c r="S180" s="906"/>
      <c r="T180" s="906">
        <f t="shared" si="11"/>
        <v>7</v>
      </c>
    </row>
    <row r="181" spans="1:20" s="873" customFormat="1" ht="17.25">
      <c r="A181" s="955">
        <f t="shared" si="10"/>
        <v>179</v>
      </c>
      <c r="B181" s="255" t="s">
        <v>44</v>
      </c>
      <c r="C181" s="250">
        <v>179</v>
      </c>
      <c r="D181" s="250" t="s">
        <v>3450</v>
      </c>
      <c r="E181" s="250" t="s">
        <v>5141</v>
      </c>
      <c r="F181" s="906"/>
      <c r="G181" s="250">
        <v>9</v>
      </c>
      <c r="H181" s="1402">
        <v>9823598534</v>
      </c>
      <c r="I181" s="250">
        <v>40</v>
      </c>
      <c r="J181" s="250" t="s">
        <v>90</v>
      </c>
      <c r="K181" s="255" t="s">
        <v>3471</v>
      </c>
      <c r="L181" s="252">
        <v>17350</v>
      </c>
      <c r="M181" s="906"/>
      <c r="N181" s="1228" t="s">
        <v>5136</v>
      </c>
      <c r="O181" s="875">
        <v>65138</v>
      </c>
      <c r="P181" s="1058" t="s">
        <v>3486</v>
      </c>
      <c r="Q181" s="906"/>
      <c r="R181" s="250" t="s">
        <v>5142</v>
      </c>
      <c r="S181" s="906"/>
      <c r="T181" s="906" t="e">
        <f t="shared" si="11"/>
        <v>#VALUE!</v>
      </c>
    </row>
    <row r="1048573" spans="2:16">
      <c r="B1048573" s="842"/>
      <c r="D1048573" s="47"/>
      <c r="P1048573" s="47"/>
    </row>
  </sheetData>
  <sortState ref="A4:T542">
    <sortCondition ref="P3:P542"/>
    <sortCondition ref="E3:E542"/>
  </sortState>
  <mergeCells count="16">
    <mergeCell ref="T1:T2"/>
    <mergeCell ref="A1:A2"/>
    <mergeCell ref="B1:B2"/>
    <mergeCell ref="D1:D2"/>
    <mergeCell ref="E1:E2"/>
    <mergeCell ref="F1:G1"/>
    <mergeCell ref="C1:C2"/>
    <mergeCell ref="R1:S1"/>
    <mergeCell ref="L1:L2"/>
    <mergeCell ref="M1:N1"/>
    <mergeCell ref="O1:O2"/>
    <mergeCell ref="H1:H2"/>
    <mergeCell ref="I1:I2"/>
    <mergeCell ref="J1:J2"/>
    <mergeCell ref="K1:K2"/>
    <mergeCell ref="P1:Q1"/>
  </mergeCells>
  <dataValidations count="2">
    <dataValidation type="list" allowBlank="1" showInputMessage="1" showErrorMessage="1" sqref="J3:J85">
      <formula1>"पुरुष,महिला"</formula1>
    </dataValidation>
    <dataValidation type="list" allowBlank="1" showInputMessage="1" showErrorMessage="1" sqref="P1048573:P1048576 P1:P133 R129:R130">
      <formula1>"Discharged, Referred, Death, Treatment"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1]!metrosort1">
                <anchor moveWithCells="1" sizeWithCells="1">
                  <from>
                    <xdr:col>22</xdr:col>
                    <xdr:colOff>28575</xdr:colOff>
                    <xdr:row>0</xdr:row>
                    <xdr:rowOff>171450</xdr:rowOff>
                  </from>
                  <to>
                    <xdr:col>23</xdr:col>
                    <xdr:colOff>47625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1]!metrosort2">
                <anchor moveWithCells="1" sizeWithCells="1">
                  <from>
                    <xdr:col>23</xdr:col>
                    <xdr:colOff>95250</xdr:colOff>
                    <xdr:row>1</xdr:row>
                    <xdr:rowOff>38100</xdr:rowOff>
                  </from>
                  <to>
                    <xdr:col>24</xdr:col>
                    <xdr:colOff>38100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20"/>
  <sheetViews>
    <sheetView view="pageBreakPreview" topLeftCell="A7" zoomScaleNormal="100" zoomScaleSheetLayoutView="100" workbookViewId="0">
      <selection activeCell="B20" sqref="B20:G20"/>
    </sheetView>
  </sheetViews>
  <sheetFormatPr defaultRowHeight="15"/>
  <cols>
    <col min="1" max="1" width="7.7109375" style="98" bestFit="1" customWidth="1"/>
    <col min="2" max="2" width="27.7109375" customWidth="1"/>
    <col min="3" max="3" width="7.140625" bestFit="1" customWidth="1"/>
    <col min="4" max="4" width="5.7109375" customWidth="1"/>
    <col min="5" max="5" width="8.85546875" customWidth="1"/>
    <col min="6" max="6" width="6.42578125" customWidth="1"/>
    <col min="7" max="7" width="6" customWidth="1"/>
    <col min="8" max="8" width="6.42578125" customWidth="1"/>
    <col min="9" max="9" width="5.42578125" style="98" customWidth="1"/>
    <col min="10" max="10" width="4.7109375" style="98" customWidth="1"/>
    <col min="11" max="11" width="7" style="98" customWidth="1"/>
    <col min="12" max="12" width="5.7109375" customWidth="1"/>
    <col min="13" max="13" width="6.42578125" customWidth="1"/>
    <col min="14" max="14" width="6" customWidth="1"/>
    <col min="15" max="15" width="5.85546875" customWidth="1"/>
    <col min="16" max="16" width="6" customWidth="1"/>
    <col min="17" max="17" width="9.140625" customWidth="1"/>
  </cols>
  <sheetData>
    <row r="1" spans="1:17" s="98" customFormat="1" ht="54" customHeight="1">
      <c r="A1" s="1632" t="s">
        <v>4888</v>
      </c>
      <c r="B1" s="1632"/>
      <c r="C1" s="1632"/>
      <c r="D1" s="1632"/>
      <c r="E1" s="1632"/>
      <c r="F1" s="1632"/>
      <c r="G1" s="1632"/>
      <c r="H1" s="1632"/>
      <c r="I1" s="1632"/>
      <c r="J1" s="1632"/>
      <c r="K1" s="1632"/>
      <c r="L1" s="1632"/>
      <c r="M1" s="1632"/>
      <c r="N1" s="1632"/>
      <c r="O1" s="1632"/>
      <c r="P1" s="1632"/>
      <c r="Q1" s="1632"/>
    </row>
    <row r="2" spans="1:17" s="98" customFormat="1" ht="16.5" thickBot="1">
      <c r="A2" s="1136" t="s">
        <v>4651</v>
      </c>
      <c r="B2" s="319">
        <f>'death list'!B1</f>
        <v>65327</v>
      </c>
      <c r="E2" s="1633" t="s">
        <v>3770</v>
      </c>
      <c r="F2" s="1633"/>
      <c r="G2" s="1633"/>
      <c r="H2" s="1633"/>
      <c r="I2" s="1633"/>
      <c r="P2" s="314" t="s">
        <v>3771</v>
      </c>
      <c r="Q2" s="1338" t="str">
        <f>'death list'!E1</f>
        <v>४ बजे</v>
      </c>
    </row>
    <row r="3" spans="1:17" ht="18.75" thickTop="1">
      <c r="A3" s="1634" t="s">
        <v>3763</v>
      </c>
      <c r="B3" s="1634"/>
      <c r="C3" s="1518" t="s">
        <v>3436</v>
      </c>
      <c r="D3" s="1519"/>
      <c r="E3" s="1520"/>
      <c r="F3" s="1518" t="s">
        <v>3433</v>
      </c>
      <c r="G3" s="1519"/>
      <c r="H3" s="1520"/>
      <c r="I3" s="1518" t="s">
        <v>3434</v>
      </c>
      <c r="J3" s="1519"/>
      <c r="K3" s="1520"/>
      <c r="L3" s="1518" t="s">
        <v>2339</v>
      </c>
      <c r="M3" s="1519"/>
      <c r="N3" s="1520"/>
      <c r="O3" s="1518" t="s">
        <v>3772</v>
      </c>
      <c r="P3" s="1519"/>
      <c r="Q3" s="1520"/>
    </row>
    <row r="4" spans="1:17" ht="18.75" customHeight="1">
      <c r="A4" s="318" t="s">
        <v>3764</v>
      </c>
      <c r="B4" s="312" t="s">
        <v>3765</v>
      </c>
      <c r="C4" s="41" t="s">
        <v>3</v>
      </c>
      <c r="D4" s="41" t="s">
        <v>17</v>
      </c>
      <c r="E4" s="41" t="s">
        <v>20</v>
      </c>
      <c r="F4" s="41" t="s">
        <v>3</v>
      </c>
      <c r="G4" s="41" t="s">
        <v>17</v>
      </c>
      <c r="H4" s="41" t="s">
        <v>20</v>
      </c>
      <c r="I4" s="41" t="s">
        <v>3</v>
      </c>
      <c r="J4" s="41" t="s">
        <v>17</v>
      </c>
      <c r="K4" s="41" t="s">
        <v>20</v>
      </c>
      <c r="L4" s="41" t="s">
        <v>3</v>
      </c>
      <c r="M4" s="41" t="s">
        <v>17</v>
      </c>
      <c r="N4" s="41" t="s">
        <v>20</v>
      </c>
      <c r="O4" s="41" t="s">
        <v>3</v>
      </c>
      <c r="P4" s="41" t="s">
        <v>17</v>
      </c>
      <c r="Q4" s="41" t="s">
        <v>20</v>
      </c>
    </row>
    <row r="5" spans="1:17" ht="19.5">
      <c r="A5" s="313" t="s">
        <v>3766</v>
      </c>
      <c r="B5" s="316" t="s">
        <v>3760</v>
      </c>
      <c r="C5" s="33">
        <v>73</v>
      </c>
      <c r="D5" s="33">
        <v>61</v>
      </c>
      <c r="E5" s="43">
        <f>C5+D5</f>
        <v>134</v>
      </c>
      <c r="F5" s="33">
        <v>17</v>
      </c>
      <c r="G5" s="33">
        <v>10</v>
      </c>
      <c r="H5" s="43">
        <f>F5+G5</f>
        <v>27</v>
      </c>
      <c r="I5" s="43">
        <v>52</v>
      </c>
      <c r="J5" s="43">
        <v>50</v>
      </c>
      <c r="K5" s="43">
        <f>I5+J5</f>
        <v>102</v>
      </c>
      <c r="L5" s="33">
        <v>4</v>
      </c>
      <c r="M5" s="33">
        <v>1</v>
      </c>
      <c r="N5" s="43">
        <f>L5+M5</f>
        <v>5</v>
      </c>
      <c r="O5" s="33">
        <f>C5-F5-I5-L5</f>
        <v>0</v>
      </c>
      <c r="P5" s="33">
        <f t="shared" ref="O5:P12" si="0">D5-G5-J5-M5</f>
        <v>0</v>
      </c>
      <c r="Q5" s="43">
        <f>O5+P5</f>
        <v>0</v>
      </c>
    </row>
    <row r="6" spans="1:17" s="98" customFormat="1" ht="19.5">
      <c r="A6" s="313" t="s">
        <v>3766</v>
      </c>
      <c r="B6" s="316" t="s">
        <v>4029</v>
      </c>
      <c r="C6" s="33">
        <v>1</v>
      </c>
      <c r="D6" s="33">
        <v>0</v>
      </c>
      <c r="E6" s="43">
        <f t="shared" ref="E6:E12" si="1">C6+D6</f>
        <v>1</v>
      </c>
      <c r="F6" s="33">
        <v>0</v>
      </c>
      <c r="G6" s="33">
        <v>0</v>
      </c>
      <c r="H6" s="43">
        <f t="shared" ref="H6:H12" si="2">F6+G6</f>
        <v>0</v>
      </c>
      <c r="I6" s="43">
        <v>1</v>
      </c>
      <c r="J6" s="43">
        <v>0</v>
      </c>
      <c r="K6" s="43">
        <f t="shared" ref="K6:K12" si="3">I6+J6</f>
        <v>1</v>
      </c>
      <c r="L6" s="33">
        <v>0</v>
      </c>
      <c r="M6" s="33">
        <v>0</v>
      </c>
      <c r="N6" s="43">
        <f t="shared" ref="N6:N12" si="4">L6+M6</f>
        <v>0</v>
      </c>
      <c r="O6" s="33">
        <f t="shared" si="0"/>
        <v>0</v>
      </c>
      <c r="P6" s="33">
        <f t="shared" si="0"/>
        <v>0</v>
      </c>
      <c r="Q6" s="43">
        <f t="shared" ref="Q6:Q12" si="5">O6+P6</f>
        <v>0</v>
      </c>
    </row>
    <row r="7" spans="1:17" ht="19.5">
      <c r="A7" s="313" t="s">
        <v>3766</v>
      </c>
      <c r="B7" s="316" t="s">
        <v>3761</v>
      </c>
      <c r="C7" s="33">
        <v>3</v>
      </c>
      <c r="D7" s="33">
        <v>3</v>
      </c>
      <c r="E7" s="43">
        <f t="shared" si="1"/>
        <v>6</v>
      </c>
      <c r="F7" s="33">
        <v>1</v>
      </c>
      <c r="G7" s="33">
        <v>0</v>
      </c>
      <c r="H7" s="43">
        <f t="shared" si="2"/>
        <v>1</v>
      </c>
      <c r="I7" s="43">
        <v>2</v>
      </c>
      <c r="J7" s="43">
        <v>3</v>
      </c>
      <c r="K7" s="43">
        <f t="shared" si="3"/>
        <v>5</v>
      </c>
      <c r="L7" s="33">
        <v>0</v>
      </c>
      <c r="M7" s="33">
        <v>0</v>
      </c>
      <c r="N7" s="43">
        <f t="shared" si="4"/>
        <v>0</v>
      </c>
      <c r="O7" s="33">
        <f t="shared" si="0"/>
        <v>0</v>
      </c>
      <c r="P7" s="33">
        <f t="shared" si="0"/>
        <v>0</v>
      </c>
      <c r="Q7" s="43">
        <f t="shared" si="5"/>
        <v>0</v>
      </c>
    </row>
    <row r="8" spans="1:17" ht="19.5">
      <c r="A8" s="313" t="s">
        <v>3766</v>
      </c>
      <c r="B8" s="316" t="s">
        <v>3762</v>
      </c>
      <c r="C8" s="33">
        <v>5</v>
      </c>
      <c r="D8" s="33">
        <v>7</v>
      </c>
      <c r="E8" s="43">
        <f t="shared" si="1"/>
        <v>12</v>
      </c>
      <c r="F8" s="33">
        <v>0</v>
      </c>
      <c r="G8" s="33">
        <v>0</v>
      </c>
      <c r="H8" s="43">
        <f t="shared" si="2"/>
        <v>0</v>
      </c>
      <c r="I8" s="43">
        <v>5</v>
      </c>
      <c r="J8" s="43">
        <v>7</v>
      </c>
      <c r="K8" s="43">
        <f t="shared" si="3"/>
        <v>12</v>
      </c>
      <c r="L8" s="33">
        <v>0</v>
      </c>
      <c r="M8" s="33">
        <v>0</v>
      </c>
      <c r="N8" s="43">
        <f t="shared" si="4"/>
        <v>0</v>
      </c>
      <c r="O8" s="33">
        <f t="shared" si="0"/>
        <v>0</v>
      </c>
      <c r="P8" s="33">
        <f t="shared" si="0"/>
        <v>0</v>
      </c>
      <c r="Q8" s="43">
        <f t="shared" si="5"/>
        <v>0</v>
      </c>
    </row>
    <row r="9" spans="1:17" s="98" customFormat="1" ht="19.5">
      <c r="A9" s="313" t="s">
        <v>3766</v>
      </c>
      <c r="B9" s="316" t="s">
        <v>4030</v>
      </c>
      <c r="C9" s="33">
        <f>5+1</f>
        <v>6</v>
      </c>
      <c r="D9" s="33">
        <v>0</v>
      </c>
      <c r="E9" s="43">
        <f t="shared" si="1"/>
        <v>6</v>
      </c>
      <c r="F9" s="33">
        <v>1</v>
      </c>
      <c r="G9" s="33">
        <v>0</v>
      </c>
      <c r="H9" s="43">
        <f t="shared" si="2"/>
        <v>1</v>
      </c>
      <c r="I9" s="43">
        <v>5</v>
      </c>
      <c r="J9" s="43">
        <v>0</v>
      </c>
      <c r="K9" s="43">
        <f t="shared" si="3"/>
        <v>5</v>
      </c>
      <c r="L9" s="33">
        <v>0</v>
      </c>
      <c r="M9" s="33">
        <v>0</v>
      </c>
      <c r="N9" s="43">
        <f t="shared" si="4"/>
        <v>0</v>
      </c>
      <c r="O9" s="33">
        <f t="shared" si="0"/>
        <v>0</v>
      </c>
      <c r="P9" s="33">
        <f t="shared" si="0"/>
        <v>0</v>
      </c>
      <c r="Q9" s="43">
        <f t="shared" si="5"/>
        <v>0</v>
      </c>
    </row>
    <row r="10" spans="1:17" s="98" customFormat="1" ht="19.5">
      <c r="A10" s="313" t="s">
        <v>3766</v>
      </c>
      <c r="B10" s="316" t="s">
        <v>4903</v>
      </c>
      <c r="C10" s="33">
        <v>1</v>
      </c>
      <c r="D10" s="33">
        <v>1</v>
      </c>
      <c r="E10" s="43">
        <f t="shared" si="1"/>
        <v>2</v>
      </c>
      <c r="F10" s="33">
        <v>0</v>
      </c>
      <c r="G10" s="33">
        <v>0</v>
      </c>
      <c r="H10" s="43">
        <f>F10+G10</f>
        <v>0</v>
      </c>
      <c r="I10" s="43">
        <v>1</v>
      </c>
      <c r="J10" s="43">
        <v>1</v>
      </c>
      <c r="K10" s="43">
        <f t="shared" si="3"/>
        <v>2</v>
      </c>
      <c r="L10" s="33">
        <v>0</v>
      </c>
      <c r="M10" s="33">
        <v>0</v>
      </c>
      <c r="N10" s="43">
        <f t="shared" si="4"/>
        <v>0</v>
      </c>
      <c r="O10" s="33">
        <f t="shared" si="0"/>
        <v>0</v>
      </c>
      <c r="P10" s="33">
        <f t="shared" si="0"/>
        <v>0</v>
      </c>
      <c r="Q10" s="43">
        <f t="shared" si="5"/>
        <v>0</v>
      </c>
    </row>
    <row r="11" spans="1:17" ht="53.25" customHeight="1">
      <c r="A11" s="317" t="s">
        <v>3767</v>
      </c>
      <c r="B11" s="1104" t="s">
        <v>4657</v>
      </c>
      <c r="C11" s="33">
        <f>7+2</f>
        <v>9</v>
      </c>
      <c r="D11" s="33">
        <v>4</v>
      </c>
      <c r="E11" s="43">
        <f t="shared" si="1"/>
        <v>13</v>
      </c>
      <c r="F11" s="33">
        <v>4</v>
      </c>
      <c r="G11" s="33">
        <v>0</v>
      </c>
      <c r="H11" s="43">
        <f t="shared" si="2"/>
        <v>4</v>
      </c>
      <c r="I11" s="43">
        <f>4+1</f>
        <v>5</v>
      </c>
      <c r="J11" s="43">
        <v>4</v>
      </c>
      <c r="K11" s="43">
        <f t="shared" si="3"/>
        <v>9</v>
      </c>
      <c r="L11" s="33">
        <v>0</v>
      </c>
      <c r="M11" s="33">
        <v>0</v>
      </c>
      <c r="N11" s="43">
        <f t="shared" si="4"/>
        <v>0</v>
      </c>
      <c r="O11" s="33">
        <f t="shared" si="0"/>
        <v>0</v>
      </c>
      <c r="P11" s="33">
        <f t="shared" si="0"/>
        <v>0</v>
      </c>
      <c r="Q11" s="43">
        <f t="shared" si="5"/>
        <v>0</v>
      </c>
    </row>
    <row r="12" spans="1:17" ht="19.5">
      <c r="A12" s="313" t="s">
        <v>3768</v>
      </c>
      <c r="B12" s="316" t="s">
        <v>4998</v>
      </c>
      <c r="C12" s="33">
        <f>2+1+1</f>
        <v>4</v>
      </c>
      <c r="D12" s="33">
        <v>1</v>
      </c>
      <c r="E12" s="43">
        <f t="shared" si="1"/>
        <v>5</v>
      </c>
      <c r="F12" s="33">
        <v>1</v>
      </c>
      <c r="G12" s="33">
        <v>0</v>
      </c>
      <c r="H12" s="43">
        <f t="shared" si="2"/>
        <v>1</v>
      </c>
      <c r="I12" s="43">
        <v>3</v>
      </c>
      <c r="J12" s="43">
        <v>1</v>
      </c>
      <c r="K12" s="43">
        <f t="shared" si="3"/>
        <v>4</v>
      </c>
      <c r="L12" s="33">
        <v>0</v>
      </c>
      <c r="M12" s="33">
        <v>0</v>
      </c>
      <c r="N12" s="43">
        <f t="shared" si="4"/>
        <v>0</v>
      </c>
      <c r="O12" s="33">
        <f t="shared" si="0"/>
        <v>0</v>
      </c>
      <c r="P12" s="33">
        <f t="shared" si="0"/>
        <v>0</v>
      </c>
      <c r="Q12" s="43">
        <f t="shared" si="5"/>
        <v>0</v>
      </c>
    </row>
    <row r="13" spans="1:17" ht="18.75">
      <c r="A13" s="1629" t="s">
        <v>20</v>
      </c>
      <c r="B13" s="1630"/>
      <c r="C13" s="315">
        <f t="shared" ref="C13:Q13" si="6">SUM(C5:C12)</f>
        <v>102</v>
      </c>
      <c r="D13" s="315">
        <f t="shared" si="6"/>
        <v>77</v>
      </c>
      <c r="E13" s="315">
        <f>SUM(E5:E12)</f>
        <v>179</v>
      </c>
      <c r="F13" s="315">
        <f t="shared" si="6"/>
        <v>24</v>
      </c>
      <c r="G13" s="315">
        <f t="shared" si="6"/>
        <v>10</v>
      </c>
      <c r="H13" s="315">
        <f t="shared" si="6"/>
        <v>34</v>
      </c>
      <c r="I13" s="315">
        <f t="shared" si="6"/>
        <v>74</v>
      </c>
      <c r="J13" s="315">
        <f t="shared" si="6"/>
        <v>66</v>
      </c>
      <c r="K13" s="315">
        <f t="shared" si="6"/>
        <v>140</v>
      </c>
      <c r="L13" s="315">
        <f t="shared" si="6"/>
        <v>4</v>
      </c>
      <c r="M13" s="315">
        <f t="shared" si="6"/>
        <v>1</v>
      </c>
      <c r="N13" s="315">
        <f t="shared" si="6"/>
        <v>5</v>
      </c>
      <c r="O13" s="315">
        <f t="shared" si="6"/>
        <v>0</v>
      </c>
      <c r="P13" s="315">
        <f t="shared" si="6"/>
        <v>0</v>
      </c>
      <c r="Q13" s="315">
        <f t="shared" si="6"/>
        <v>0</v>
      </c>
    </row>
    <row r="15" spans="1:17" ht="22.5">
      <c r="B15" s="1631" t="s">
        <v>3769</v>
      </c>
      <c r="C15" s="1631"/>
      <c r="D15" s="1631"/>
      <c r="E15" s="1631"/>
      <c r="F15" s="1631"/>
      <c r="G15" s="1631"/>
      <c r="I15" s="815"/>
      <c r="J15" s="815"/>
      <c r="K15" s="815"/>
      <c r="L15" s="815"/>
      <c r="M15" s="815"/>
      <c r="N15" s="815"/>
      <c r="O15" s="815"/>
      <c r="P15" s="815"/>
      <c r="Q15" s="815"/>
    </row>
    <row r="16" spans="1:17" ht="19.5">
      <c r="B16" s="309" t="s">
        <v>3435</v>
      </c>
      <c r="C16" s="305">
        <f>E16+G16</f>
        <v>0</v>
      </c>
      <c r="D16" s="306" t="s">
        <v>3</v>
      </c>
      <c r="E16" s="305">
        <f>O13</f>
        <v>0</v>
      </c>
      <c r="F16" s="306" t="s">
        <v>17</v>
      </c>
      <c r="G16" s="310">
        <f>P13</f>
        <v>0</v>
      </c>
      <c r="I16" s="816"/>
      <c r="J16" s="816"/>
      <c r="K16" s="816"/>
      <c r="L16" s="816"/>
      <c r="M16" s="810"/>
      <c r="N16" s="811"/>
      <c r="O16" s="810"/>
      <c r="P16" s="811"/>
      <c r="Q16" s="812"/>
    </row>
    <row r="17" spans="2:17" ht="19.5">
      <c r="B17" s="309" t="s">
        <v>3433</v>
      </c>
      <c r="C17" s="305">
        <f>E17+G17</f>
        <v>34</v>
      </c>
      <c r="D17" s="306" t="s">
        <v>3</v>
      </c>
      <c r="E17" s="305">
        <f>F13</f>
        <v>24</v>
      </c>
      <c r="F17" s="306" t="s">
        <v>17</v>
      </c>
      <c r="G17" s="311">
        <f>G13</f>
        <v>10</v>
      </c>
      <c r="I17" s="816"/>
      <c r="J17" s="816"/>
      <c r="K17" s="816"/>
      <c r="L17" s="816"/>
      <c r="M17" s="810"/>
      <c r="N17" s="811"/>
      <c r="O17" s="810"/>
      <c r="P17" s="811"/>
      <c r="Q17" s="810"/>
    </row>
    <row r="18" spans="2:17" ht="19.5">
      <c r="B18" s="309" t="s">
        <v>3434</v>
      </c>
      <c r="C18" s="305">
        <f>E18+G18</f>
        <v>140</v>
      </c>
      <c r="D18" s="306" t="s">
        <v>3</v>
      </c>
      <c r="E18" s="305">
        <f>I13</f>
        <v>74</v>
      </c>
      <c r="F18" s="306" t="s">
        <v>17</v>
      </c>
      <c r="G18" s="311">
        <f>J13</f>
        <v>66</v>
      </c>
      <c r="I18" s="816"/>
      <c r="J18" s="816"/>
      <c r="K18" s="816"/>
      <c r="L18" s="816"/>
      <c r="M18" s="810"/>
      <c r="N18" s="811"/>
      <c r="O18" s="810"/>
      <c r="P18" s="811"/>
      <c r="Q18" s="810"/>
    </row>
    <row r="19" spans="2:17" ht="19.5">
      <c r="B19" s="309" t="s">
        <v>2339</v>
      </c>
      <c r="C19" s="305">
        <f>E19+G19</f>
        <v>5</v>
      </c>
      <c r="D19" s="306" t="s">
        <v>3</v>
      </c>
      <c r="E19" s="305">
        <f>L13</f>
        <v>4</v>
      </c>
      <c r="F19" s="306" t="s">
        <v>17</v>
      </c>
      <c r="G19" s="311">
        <f>M13</f>
        <v>1</v>
      </c>
      <c r="I19" s="816"/>
      <c r="J19" s="816"/>
      <c r="K19" s="816"/>
      <c r="L19" s="816"/>
      <c r="M19" s="810"/>
      <c r="N19" s="811"/>
      <c r="O19" s="810"/>
      <c r="P19" s="811"/>
      <c r="Q19" s="810"/>
    </row>
    <row r="20" spans="2:17" ht="19.5">
      <c r="B20" s="309" t="s">
        <v>3436</v>
      </c>
      <c r="C20" s="307">
        <f>E20+G20</f>
        <v>179</v>
      </c>
      <c r="D20" s="306" t="s">
        <v>3</v>
      </c>
      <c r="E20" s="308">
        <f>C13</f>
        <v>102</v>
      </c>
      <c r="F20" s="306" t="s">
        <v>17</v>
      </c>
      <c r="G20" s="307">
        <f>D13</f>
        <v>77</v>
      </c>
      <c r="I20" s="816"/>
      <c r="J20" s="816"/>
      <c r="K20" s="816"/>
      <c r="L20" s="816"/>
      <c r="M20" s="813"/>
      <c r="N20" s="811"/>
      <c r="O20" s="814"/>
      <c r="P20" s="811"/>
      <c r="Q20" s="813"/>
    </row>
  </sheetData>
  <mergeCells count="10">
    <mergeCell ref="A13:B13"/>
    <mergeCell ref="B15:G15"/>
    <mergeCell ref="A1:Q1"/>
    <mergeCell ref="E2:I2"/>
    <mergeCell ref="C3:E3"/>
    <mergeCell ref="F3:H3"/>
    <mergeCell ref="L3:N3"/>
    <mergeCell ref="O3:Q3"/>
    <mergeCell ref="I3:K3"/>
    <mergeCell ref="A3:B3"/>
  </mergeCells>
  <pageMargins left="0.1" right="0.11" top="0.75" bottom="0.75" header="0.3" footer="0.3"/>
  <pageSetup scale="102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110"/>
  <sheetViews>
    <sheetView view="pageBreakPreview" zoomScale="80" zoomScaleNormal="100" zoomScaleSheetLayoutView="80" workbookViewId="0">
      <selection sqref="A1:M1"/>
    </sheetView>
  </sheetViews>
  <sheetFormatPr defaultRowHeight="15"/>
  <cols>
    <col min="1" max="1" width="5.42578125" bestFit="1" customWidth="1"/>
    <col min="2" max="2" width="43.5703125" customWidth="1"/>
    <col min="3" max="3" width="7.140625" bestFit="1" customWidth="1"/>
    <col min="4" max="4" width="4.85546875" bestFit="1" customWidth="1"/>
    <col min="5" max="5" width="7.7109375" bestFit="1" customWidth="1"/>
    <col min="6" max="6" width="38" style="93" customWidth="1"/>
    <col min="7" max="7" width="27.28515625" customWidth="1"/>
    <col min="8" max="8" width="16.28515625" bestFit="1" customWidth="1"/>
    <col min="9" max="9" width="17.7109375" bestFit="1" customWidth="1"/>
    <col min="10" max="10" width="9.42578125" bestFit="1" customWidth="1"/>
    <col min="11" max="11" width="13.42578125" bestFit="1" customWidth="1"/>
    <col min="12" max="12" width="11.5703125" bestFit="1" customWidth="1"/>
    <col min="13" max="13" width="23.140625" bestFit="1" customWidth="1"/>
  </cols>
  <sheetData>
    <row r="1" spans="1:13" s="1392" customFormat="1" ht="39">
      <c r="A1" s="1022" t="s">
        <v>24</v>
      </c>
      <c r="B1" s="1021" t="s">
        <v>28</v>
      </c>
      <c r="C1" s="1022" t="s">
        <v>2495</v>
      </c>
      <c r="D1" s="1022" t="s">
        <v>32</v>
      </c>
      <c r="E1" s="1021" t="s">
        <v>33</v>
      </c>
      <c r="F1" s="1021" t="s">
        <v>34</v>
      </c>
      <c r="G1" s="1022" t="s">
        <v>4917</v>
      </c>
      <c r="H1" s="1022" t="s">
        <v>37</v>
      </c>
      <c r="I1" s="1022" t="s">
        <v>38</v>
      </c>
      <c r="J1" s="1022" t="s">
        <v>42</v>
      </c>
      <c r="K1" s="1391" t="s">
        <v>808</v>
      </c>
      <c r="L1" s="1391" t="s">
        <v>823</v>
      </c>
      <c r="M1" s="1391" t="s">
        <v>809</v>
      </c>
    </row>
    <row r="2" spans="1:13" ht="19.5">
      <c r="A2" s="1354" t="e">
        <f t="shared" ref="A2:A33" si="0">A1+1</f>
        <v>#VALUE!</v>
      </c>
      <c r="B2" s="1363" t="s">
        <v>1304</v>
      </c>
      <c r="C2" s="1356">
        <v>2</v>
      </c>
      <c r="D2" s="1354">
        <v>55</v>
      </c>
      <c r="E2" s="1362" t="s">
        <v>17</v>
      </c>
      <c r="F2" s="1352" t="s">
        <v>709</v>
      </c>
      <c r="G2" s="1352" t="s">
        <v>1305</v>
      </c>
      <c r="H2" s="1353" t="s">
        <v>1241</v>
      </c>
      <c r="I2" s="1353" t="s">
        <v>1241</v>
      </c>
      <c r="J2" s="45" t="s">
        <v>806</v>
      </c>
      <c r="K2" s="53">
        <v>65017</v>
      </c>
      <c r="L2" s="53" t="s">
        <v>1306</v>
      </c>
      <c r="M2" s="1353"/>
    </row>
    <row r="3" spans="1:13" ht="18">
      <c r="A3" s="1354" t="e">
        <f t="shared" si="0"/>
        <v>#VALUE!</v>
      </c>
      <c r="B3" s="1367" t="s">
        <v>1854</v>
      </c>
      <c r="C3" s="1356" t="s">
        <v>1999</v>
      </c>
      <c r="D3" s="1354">
        <v>32</v>
      </c>
      <c r="E3" s="1368" t="s">
        <v>1762</v>
      </c>
      <c r="F3" s="147" t="s">
        <v>709</v>
      </c>
      <c r="G3" s="227" t="s">
        <v>1764</v>
      </c>
      <c r="H3" s="1353">
        <v>65030</v>
      </c>
      <c r="I3" s="1353">
        <v>65030</v>
      </c>
      <c r="J3" s="52" t="s">
        <v>940</v>
      </c>
      <c r="K3" s="1243">
        <v>65039</v>
      </c>
      <c r="L3" s="1242" t="s">
        <v>2876</v>
      </c>
      <c r="M3" s="1372"/>
    </row>
    <row r="4" spans="1:13" ht="18">
      <c r="A4" s="1354" t="e">
        <f t="shared" si="0"/>
        <v>#VALUE!</v>
      </c>
      <c r="B4" s="989" t="s">
        <v>3910</v>
      </c>
      <c r="C4" s="1356" t="s">
        <v>1999</v>
      </c>
      <c r="D4" s="1354">
        <v>65</v>
      </c>
      <c r="E4" s="130" t="s">
        <v>48</v>
      </c>
      <c r="F4" s="659"/>
      <c r="G4" s="659" t="s">
        <v>262</v>
      </c>
      <c r="H4" s="1380">
        <v>65050</v>
      </c>
      <c r="I4" s="1335">
        <v>65050</v>
      </c>
      <c r="J4" s="989" t="s">
        <v>940</v>
      </c>
      <c r="K4" s="1211">
        <v>65051</v>
      </c>
      <c r="L4" s="52" t="s">
        <v>3911</v>
      </c>
      <c r="M4" s="147"/>
    </row>
    <row r="5" spans="1:13" ht="18">
      <c r="A5" s="1354" t="e">
        <f t="shared" si="0"/>
        <v>#VALUE!</v>
      </c>
      <c r="B5" s="137" t="s">
        <v>1819</v>
      </c>
      <c r="C5" s="1356" t="s">
        <v>2000</v>
      </c>
      <c r="D5" s="1354">
        <v>55</v>
      </c>
      <c r="E5" s="137" t="s">
        <v>1762</v>
      </c>
      <c r="F5" s="147" t="s">
        <v>1480</v>
      </c>
      <c r="G5" s="227" t="s">
        <v>1764</v>
      </c>
      <c r="H5" s="1353">
        <v>65029</v>
      </c>
      <c r="I5" s="1353">
        <v>65029</v>
      </c>
      <c r="J5" s="52" t="s">
        <v>940</v>
      </c>
      <c r="K5" s="1243">
        <v>65039</v>
      </c>
      <c r="L5" s="52" t="s">
        <v>1134</v>
      </c>
      <c r="M5" s="147"/>
    </row>
    <row r="6" spans="1:13" ht="18">
      <c r="A6" s="1354" t="e">
        <f t="shared" si="0"/>
        <v>#VALUE!</v>
      </c>
      <c r="B6" s="227" t="s">
        <v>2819</v>
      </c>
      <c r="C6" s="1356" t="s">
        <v>2001</v>
      </c>
      <c r="D6" s="1354">
        <v>55</v>
      </c>
      <c r="E6" s="130" t="s">
        <v>48</v>
      </c>
      <c r="F6" s="227" t="s">
        <v>53</v>
      </c>
      <c r="G6" s="130" t="s">
        <v>119</v>
      </c>
      <c r="H6" s="1335">
        <v>65041</v>
      </c>
      <c r="I6" s="1335">
        <v>65041</v>
      </c>
      <c r="J6" s="52" t="s">
        <v>940</v>
      </c>
      <c r="K6" s="53">
        <v>65042</v>
      </c>
      <c r="L6" s="52" t="s">
        <v>2935</v>
      </c>
      <c r="M6" s="147"/>
    </row>
    <row r="7" spans="1:13" ht="18">
      <c r="A7" s="1354" t="e">
        <f t="shared" si="0"/>
        <v>#VALUE!</v>
      </c>
      <c r="B7" s="989" t="s">
        <v>3844</v>
      </c>
      <c r="C7" s="1356" t="s">
        <v>2001</v>
      </c>
      <c r="D7" s="1354">
        <v>55</v>
      </c>
      <c r="E7" s="646" t="s">
        <v>48</v>
      </c>
      <c r="F7" s="659"/>
      <c r="G7" s="659" t="s">
        <v>3845</v>
      </c>
      <c r="H7" s="1359">
        <v>65048</v>
      </c>
      <c r="I7" s="1359">
        <v>65048</v>
      </c>
      <c r="J7" s="989" t="s">
        <v>940</v>
      </c>
      <c r="K7" s="1211">
        <v>65049</v>
      </c>
      <c r="L7" s="52"/>
      <c r="M7" s="147"/>
    </row>
    <row r="8" spans="1:13" ht="18">
      <c r="A8" s="1354" t="e">
        <f t="shared" si="0"/>
        <v>#VALUE!</v>
      </c>
      <c r="B8" s="130" t="s">
        <v>3907</v>
      </c>
      <c r="C8" s="1356" t="s">
        <v>2001</v>
      </c>
      <c r="D8" s="1354">
        <v>78</v>
      </c>
      <c r="E8" s="130" t="s">
        <v>48</v>
      </c>
      <c r="F8" s="227" t="s">
        <v>1468</v>
      </c>
      <c r="G8" s="130" t="s">
        <v>119</v>
      </c>
      <c r="H8" s="1379">
        <v>65050</v>
      </c>
      <c r="I8" s="1335">
        <v>65050</v>
      </c>
      <c r="J8" s="989" t="s">
        <v>940</v>
      </c>
      <c r="K8" s="1211">
        <v>65049</v>
      </c>
      <c r="L8" s="52"/>
      <c r="M8" s="147"/>
    </row>
    <row r="9" spans="1:13" ht="18">
      <c r="A9" s="1354" t="e">
        <f t="shared" si="0"/>
        <v>#VALUE!</v>
      </c>
      <c r="B9" s="52" t="s">
        <v>4514</v>
      </c>
      <c r="C9" s="1356" t="s">
        <v>2001</v>
      </c>
      <c r="D9" s="1354">
        <v>42</v>
      </c>
      <c r="E9" s="130" t="s">
        <v>90</v>
      </c>
      <c r="F9" s="147"/>
      <c r="G9" s="147" t="s">
        <v>4515</v>
      </c>
      <c r="H9" s="1353">
        <v>65061</v>
      </c>
      <c r="I9" s="1353">
        <v>65061</v>
      </c>
      <c r="J9" s="1185" t="s">
        <v>940</v>
      </c>
      <c r="K9" s="53">
        <v>65061</v>
      </c>
      <c r="L9" s="52" t="s">
        <v>4519</v>
      </c>
      <c r="M9" s="147"/>
    </row>
    <row r="10" spans="1:13" ht="18">
      <c r="A10" s="1354" t="e">
        <f t="shared" si="0"/>
        <v>#VALUE!</v>
      </c>
      <c r="B10" s="52" t="s">
        <v>4512</v>
      </c>
      <c r="C10" s="1356" t="s">
        <v>2001</v>
      </c>
      <c r="D10" s="1354">
        <v>37</v>
      </c>
      <c r="E10" s="646" t="s">
        <v>48</v>
      </c>
      <c r="F10" s="147"/>
      <c r="G10" s="147"/>
      <c r="H10" s="147"/>
      <c r="I10" s="147"/>
      <c r="J10" s="1185" t="s">
        <v>940</v>
      </c>
      <c r="K10" s="1188">
        <v>65061</v>
      </c>
      <c r="L10" s="52"/>
      <c r="M10" s="147"/>
    </row>
    <row r="11" spans="1:13" ht="24.75">
      <c r="A11" s="1354" t="e">
        <f t="shared" si="0"/>
        <v>#VALUE!</v>
      </c>
      <c r="B11" s="1208" t="s">
        <v>4040</v>
      </c>
      <c r="C11" s="1356" t="s">
        <v>2001</v>
      </c>
      <c r="D11" s="1354">
        <v>40</v>
      </c>
      <c r="E11" s="1208" t="s">
        <v>90</v>
      </c>
      <c r="F11" s="1203" t="s">
        <v>1480</v>
      </c>
      <c r="G11" s="1208" t="s">
        <v>54</v>
      </c>
      <c r="H11" s="1204">
        <v>65052</v>
      </c>
      <c r="I11" s="1204">
        <v>65052</v>
      </c>
      <c r="J11" s="1185" t="s">
        <v>940</v>
      </c>
      <c r="K11" s="1188">
        <v>65062</v>
      </c>
      <c r="L11" s="52" t="s">
        <v>4516</v>
      </c>
      <c r="M11" s="147"/>
    </row>
    <row r="12" spans="1:13" ht="19.5">
      <c r="A12" s="1354" t="e">
        <f t="shared" si="0"/>
        <v>#VALUE!</v>
      </c>
      <c r="B12" s="1355" t="s">
        <v>932</v>
      </c>
      <c r="C12" s="1356">
        <v>5</v>
      </c>
      <c r="D12" s="1356">
        <v>76</v>
      </c>
      <c r="E12" s="1357" t="s">
        <v>3</v>
      </c>
      <c r="F12" s="1358" t="s">
        <v>829</v>
      </c>
      <c r="G12" s="1358" t="s">
        <v>864</v>
      </c>
      <c r="H12" s="1353">
        <v>64844</v>
      </c>
      <c r="I12" s="1353">
        <v>64844</v>
      </c>
      <c r="J12" s="45" t="s">
        <v>806</v>
      </c>
      <c r="K12" s="53">
        <v>64853</v>
      </c>
      <c r="L12" s="55" t="s">
        <v>937</v>
      </c>
      <c r="M12" s="147"/>
    </row>
    <row r="13" spans="1:13" ht="19.5">
      <c r="A13" s="1354" t="e">
        <f t="shared" si="0"/>
        <v>#VALUE!</v>
      </c>
      <c r="B13" s="1355" t="s">
        <v>1111</v>
      </c>
      <c r="C13" s="1356">
        <v>5</v>
      </c>
      <c r="D13" s="1356">
        <v>60</v>
      </c>
      <c r="E13" s="59" t="s">
        <v>404</v>
      </c>
      <c r="F13" s="1352" t="s">
        <v>709</v>
      </c>
      <c r="G13" s="1358" t="s">
        <v>1112</v>
      </c>
      <c r="H13" s="1353">
        <v>64871</v>
      </c>
      <c r="I13" s="1353">
        <v>64871</v>
      </c>
      <c r="J13" s="45" t="s">
        <v>806</v>
      </c>
      <c r="K13" s="53">
        <v>64877</v>
      </c>
      <c r="L13" s="52"/>
      <c r="M13" s="147"/>
    </row>
    <row r="14" spans="1:13" ht="19.5">
      <c r="A14" s="1354" t="e">
        <f t="shared" si="0"/>
        <v>#VALUE!</v>
      </c>
      <c r="B14" s="1355" t="s">
        <v>1132</v>
      </c>
      <c r="C14" s="1356">
        <v>5</v>
      </c>
      <c r="D14" s="1356">
        <v>81</v>
      </c>
      <c r="E14" s="59" t="s">
        <v>404</v>
      </c>
      <c r="F14" s="1352" t="s">
        <v>345</v>
      </c>
      <c r="G14" s="1358" t="s">
        <v>864</v>
      </c>
      <c r="H14" s="1353">
        <v>64875</v>
      </c>
      <c r="I14" s="1353">
        <v>64875</v>
      </c>
      <c r="J14" s="45" t="s">
        <v>806</v>
      </c>
      <c r="K14" s="53">
        <v>64880</v>
      </c>
      <c r="L14" s="55" t="s">
        <v>1133</v>
      </c>
      <c r="M14" s="147">
        <v>9847822642</v>
      </c>
    </row>
    <row r="15" spans="1:13" ht="19.5">
      <c r="A15" s="1354" t="e">
        <f t="shared" si="0"/>
        <v>#VALUE!</v>
      </c>
      <c r="B15" s="1355" t="s">
        <v>1246</v>
      </c>
      <c r="C15" s="1356">
        <v>5</v>
      </c>
      <c r="D15" s="1354">
        <v>72</v>
      </c>
      <c r="E15" s="1354" t="s">
        <v>404</v>
      </c>
      <c r="F15" s="1352" t="s">
        <v>1247</v>
      </c>
      <c r="G15" s="1352" t="s">
        <v>1248</v>
      </c>
      <c r="H15" s="1353"/>
      <c r="I15" s="1353"/>
      <c r="J15" s="45" t="s">
        <v>806</v>
      </c>
      <c r="K15" s="53">
        <v>65009</v>
      </c>
      <c r="L15" s="53"/>
      <c r="M15" s="147">
        <v>9847899472</v>
      </c>
    </row>
    <row r="16" spans="1:13" ht="18">
      <c r="A16" s="1354" t="e">
        <f t="shared" si="0"/>
        <v>#VALUE!</v>
      </c>
      <c r="B16" s="139" t="s">
        <v>1668</v>
      </c>
      <c r="C16" s="1356" t="s">
        <v>2002</v>
      </c>
      <c r="D16" s="1354">
        <v>32</v>
      </c>
      <c r="E16" s="55" t="s">
        <v>404</v>
      </c>
      <c r="F16" s="147" t="s">
        <v>709</v>
      </c>
      <c r="G16" s="147" t="s">
        <v>1192</v>
      </c>
      <c r="H16" s="1353">
        <v>65028</v>
      </c>
      <c r="I16" s="1353">
        <v>65028</v>
      </c>
      <c r="J16" s="52" t="s">
        <v>806</v>
      </c>
      <c r="K16" s="53">
        <v>65029</v>
      </c>
      <c r="L16" s="52" t="s">
        <v>1765</v>
      </c>
      <c r="M16" s="147"/>
    </row>
    <row r="17" spans="1:13" ht="26.25">
      <c r="A17" s="1354" t="e">
        <f t="shared" si="0"/>
        <v>#VALUE!</v>
      </c>
      <c r="B17" s="139" t="s">
        <v>1849</v>
      </c>
      <c r="C17" s="1356" t="s">
        <v>2002</v>
      </c>
      <c r="D17" s="1354">
        <v>31</v>
      </c>
      <c r="E17" s="55" t="s">
        <v>433</v>
      </c>
      <c r="F17" s="147" t="s">
        <v>709</v>
      </c>
      <c r="G17" s="227" t="s">
        <v>54</v>
      </c>
      <c r="H17" s="1353">
        <v>65030</v>
      </c>
      <c r="I17" s="1353">
        <v>65030</v>
      </c>
      <c r="J17" s="52" t="s">
        <v>806</v>
      </c>
      <c r="K17" s="53">
        <v>65032</v>
      </c>
      <c r="L17" s="52" t="s">
        <v>2008</v>
      </c>
      <c r="M17" s="147"/>
    </row>
    <row r="18" spans="1:13" ht="26.25">
      <c r="A18" s="1354" t="e">
        <f t="shared" si="0"/>
        <v>#VALUE!</v>
      </c>
      <c r="B18" s="130" t="s">
        <v>2877</v>
      </c>
      <c r="C18" s="1356" t="s">
        <v>2002</v>
      </c>
      <c r="D18" s="1354">
        <v>67</v>
      </c>
      <c r="E18" s="130" t="s">
        <v>48</v>
      </c>
      <c r="F18" s="227" t="s">
        <v>53</v>
      </c>
      <c r="G18" s="130" t="s">
        <v>54</v>
      </c>
      <c r="H18" s="1369">
        <v>65035</v>
      </c>
      <c r="I18" s="1369">
        <v>65035</v>
      </c>
      <c r="J18" s="1370" t="s">
        <v>940</v>
      </c>
      <c r="K18" s="1371">
        <v>65040</v>
      </c>
      <c r="L18" s="52"/>
      <c r="M18" s="147"/>
    </row>
    <row r="19" spans="1:13" ht="18">
      <c r="A19" s="1354" t="e">
        <f t="shared" si="0"/>
        <v>#VALUE!</v>
      </c>
      <c r="B19" s="646" t="s">
        <v>2788</v>
      </c>
      <c r="C19" s="1356" t="s">
        <v>2002</v>
      </c>
      <c r="D19" s="1354">
        <v>46</v>
      </c>
      <c r="E19" s="646" t="s">
        <v>48</v>
      </c>
      <c r="F19" s="646" t="s">
        <v>1468</v>
      </c>
      <c r="G19" s="646" t="s">
        <v>119</v>
      </c>
      <c r="H19" s="1376">
        <v>65040</v>
      </c>
      <c r="I19" s="1376">
        <v>65040</v>
      </c>
      <c r="J19" s="989" t="s">
        <v>940</v>
      </c>
      <c r="K19" s="1211">
        <v>65048</v>
      </c>
      <c r="L19" s="52"/>
      <c r="M19" s="147"/>
    </row>
    <row r="20" spans="1:13" ht="26.25">
      <c r="A20" s="1354" t="e">
        <f t="shared" si="0"/>
        <v>#VALUE!</v>
      </c>
      <c r="B20" s="130" t="s">
        <v>4687</v>
      </c>
      <c r="C20" s="1356" t="s">
        <v>2002</v>
      </c>
      <c r="D20" s="1354">
        <v>60</v>
      </c>
      <c r="E20" s="130" t="s">
        <v>48</v>
      </c>
      <c r="F20" s="227"/>
      <c r="G20" s="130" t="s">
        <v>54</v>
      </c>
      <c r="H20" s="1369">
        <v>65073</v>
      </c>
      <c r="I20" s="1369">
        <v>65073</v>
      </c>
      <c r="J20" s="989" t="s">
        <v>940</v>
      </c>
      <c r="K20" s="1211">
        <v>65080</v>
      </c>
      <c r="L20" s="52" t="s">
        <v>4790</v>
      </c>
      <c r="M20" s="147"/>
    </row>
    <row r="21" spans="1:13" ht="19.5">
      <c r="A21" s="1354" t="e">
        <f t="shared" si="0"/>
        <v>#VALUE!</v>
      </c>
      <c r="B21" s="1355" t="s">
        <v>1025</v>
      </c>
      <c r="C21" s="1356">
        <v>6</v>
      </c>
      <c r="D21" s="1356">
        <v>56</v>
      </c>
      <c r="E21" s="59" t="s">
        <v>404</v>
      </c>
      <c r="F21" s="1352" t="s">
        <v>709</v>
      </c>
      <c r="G21" s="1358" t="s">
        <v>864</v>
      </c>
      <c r="H21" s="1353">
        <v>64855</v>
      </c>
      <c r="I21" s="1353">
        <v>64856</v>
      </c>
      <c r="J21" s="45" t="s">
        <v>806</v>
      </c>
      <c r="K21" s="53">
        <v>64866</v>
      </c>
      <c r="L21" s="55" t="s">
        <v>824</v>
      </c>
      <c r="M21" s="147"/>
    </row>
    <row r="22" spans="1:13" ht="19.5">
      <c r="A22" s="1354" t="e">
        <f t="shared" si="0"/>
        <v>#VALUE!</v>
      </c>
      <c r="B22" s="1355" t="s">
        <v>1023</v>
      </c>
      <c r="C22" s="1356">
        <v>6</v>
      </c>
      <c r="D22" s="1356">
        <v>81</v>
      </c>
      <c r="E22" s="59" t="s">
        <v>404</v>
      </c>
      <c r="F22" s="1352" t="s">
        <v>709</v>
      </c>
      <c r="G22" s="1358" t="s">
        <v>799</v>
      </c>
      <c r="H22" s="1353">
        <v>64859</v>
      </c>
      <c r="I22" s="1353">
        <v>64860</v>
      </c>
      <c r="J22" s="45" t="s">
        <v>806</v>
      </c>
      <c r="K22" s="53">
        <v>64866</v>
      </c>
      <c r="L22" s="55" t="s">
        <v>1024</v>
      </c>
      <c r="M22" s="147"/>
    </row>
    <row r="23" spans="1:13" ht="19.5">
      <c r="A23" s="1354" t="e">
        <f t="shared" si="0"/>
        <v>#VALUE!</v>
      </c>
      <c r="B23" s="1355" t="s">
        <v>1115</v>
      </c>
      <c r="C23" s="1356">
        <v>6</v>
      </c>
      <c r="D23" s="1356">
        <v>56</v>
      </c>
      <c r="E23" s="59" t="s">
        <v>404</v>
      </c>
      <c r="F23" s="1352" t="s">
        <v>345</v>
      </c>
      <c r="G23" s="1358" t="s">
        <v>864</v>
      </c>
      <c r="H23" s="1353">
        <v>64868</v>
      </c>
      <c r="I23" s="1353">
        <v>64869</v>
      </c>
      <c r="J23" s="45" t="s">
        <v>806</v>
      </c>
      <c r="K23" s="53">
        <v>64879</v>
      </c>
      <c r="L23" s="55" t="s">
        <v>1116</v>
      </c>
      <c r="M23" s="147"/>
    </row>
    <row r="24" spans="1:13" ht="19.5">
      <c r="A24" s="1354" t="e">
        <f t="shared" si="0"/>
        <v>#VALUE!</v>
      </c>
      <c r="B24" s="1355" t="s">
        <v>1173</v>
      </c>
      <c r="C24" s="1356">
        <v>6</v>
      </c>
      <c r="D24" s="1356">
        <v>70</v>
      </c>
      <c r="E24" s="1362" t="s">
        <v>17</v>
      </c>
      <c r="F24" s="1352" t="s">
        <v>345</v>
      </c>
      <c r="G24" s="1358" t="s">
        <v>864</v>
      </c>
      <c r="H24" s="1353">
        <v>64887</v>
      </c>
      <c r="I24" s="1353">
        <v>64888</v>
      </c>
      <c r="J24" s="45" t="s">
        <v>806</v>
      </c>
      <c r="K24" s="53">
        <v>64888</v>
      </c>
      <c r="L24" s="55" t="s">
        <v>1134</v>
      </c>
      <c r="M24" s="147"/>
    </row>
    <row r="25" spans="1:13" ht="19.5">
      <c r="A25" s="1354" t="e">
        <f t="shared" si="0"/>
        <v>#VALUE!</v>
      </c>
      <c r="B25" s="1355" t="s">
        <v>1227</v>
      </c>
      <c r="C25" s="1356">
        <v>6</v>
      </c>
      <c r="D25" s="1354">
        <v>46</v>
      </c>
      <c r="E25" s="1354" t="s">
        <v>404</v>
      </c>
      <c r="F25" s="1352" t="s">
        <v>1193</v>
      </c>
      <c r="G25" s="1352" t="s">
        <v>1225</v>
      </c>
      <c r="H25" s="1353">
        <v>64915</v>
      </c>
      <c r="I25" s="1353">
        <v>64916</v>
      </c>
      <c r="J25" s="45" t="s">
        <v>806</v>
      </c>
      <c r="K25" s="53">
        <v>64959</v>
      </c>
      <c r="L25" s="55" t="s">
        <v>1228</v>
      </c>
      <c r="M25" s="147" t="s">
        <v>1229</v>
      </c>
    </row>
    <row r="26" spans="1:13" ht="19.5">
      <c r="A26" s="1354" t="e">
        <f t="shared" si="0"/>
        <v>#VALUE!</v>
      </c>
      <c r="B26" s="1363" t="s">
        <v>4923</v>
      </c>
      <c r="C26" s="1356">
        <v>6</v>
      </c>
      <c r="D26" s="1354">
        <v>20</v>
      </c>
      <c r="E26" s="1362" t="s">
        <v>17</v>
      </c>
      <c r="F26" s="1352" t="s">
        <v>709</v>
      </c>
      <c r="G26" s="1352" t="s">
        <v>1339</v>
      </c>
      <c r="H26" s="1353" t="s">
        <v>1271</v>
      </c>
      <c r="I26" s="1353" t="s">
        <v>1271</v>
      </c>
      <c r="J26" s="45" t="s">
        <v>806</v>
      </c>
      <c r="K26" s="53">
        <v>65021</v>
      </c>
      <c r="L26" s="53" t="s">
        <v>1340</v>
      </c>
      <c r="M26" s="1353"/>
    </row>
    <row r="27" spans="1:13" ht="18">
      <c r="A27" s="1354" t="e">
        <f t="shared" si="0"/>
        <v>#VALUE!</v>
      </c>
      <c r="B27" s="263" t="s">
        <v>1323</v>
      </c>
      <c r="C27" s="1356" t="s">
        <v>2003</v>
      </c>
      <c r="D27" s="1354">
        <v>46</v>
      </c>
      <c r="E27" s="55" t="s">
        <v>404</v>
      </c>
      <c r="F27" s="147" t="s">
        <v>709</v>
      </c>
      <c r="G27" s="147" t="s">
        <v>1192</v>
      </c>
      <c r="H27" s="1353">
        <v>65136</v>
      </c>
      <c r="I27" s="1353">
        <v>65136</v>
      </c>
      <c r="J27" s="45" t="s">
        <v>806</v>
      </c>
      <c r="K27" s="54">
        <v>65025</v>
      </c>
      <c r="L27" s="54" t="s">
        <v>1544</v>
      </c>
      <c r="M27" s="1353"/>
    </row>
    <row r="28" spans="1:13" ht="18">
      <c r="A28" s="1354" t="e">
        <f t="shared" si="0"/>
        <v>#VALUE!</v>
      </c>
      <c r="B28" s="139" t="s">
        <v>1748</v>
      </c>
      <c r="C28" s="1356" t="s">
        <v>2003</v>
      </c>
      <c r="D28" s="1354">
        <v>37</v>
      </c>
      <c r="E28" s="55" t="s">
        <v>433</v>
      </c>
      <c r="F28" s="147" t="s">
        <v>709</v>
      </c>
      <c r="G28" s="966" t="s">
        <v>262</v>
      </c>
      <c r="H28" s="1364">
        <v>65017</v>
      </c>
      <c r="I28" s="1364">
        <v>65019</v>
      </c>
      <c r="J28" s="45" t="s">
        <v>940</v>
      </c>
      <c r="K28" s="1243">
        <v>65029</v>
      </c>
      <c r="L28" s="52" t="s">
        <v>1749</v>
      </c>
      <c r="M28" s="147"/>
    </row>
    <row r="29" spans="1:13" ht="18">
      <c r="A29" s="1354" t="e">
        <f t="shared" si="0"/>
        <v>#VALUE!</v>
      </c>
      <c r="B29" s="139" t="s">
        <v>1058</v>
      </c>
      <c r="C29" s="1356" t="s">
        <v>2003</v>
      </c>
      <c r="D29" s="1354">
        <v>57</v>
      </c>
      <c r="E29" s="55" t="s">
        <v>433</v>
      </c>
      <c r="F29" s="147" t="s">
        <v>709</v>
      </c>
      <c r="G29" s="147" t="s">
        <v>709</v>
      </c>
      <c r="H29" s="147"/>
      <c r="I29" s="147"/>
      <c r="J29" s="52" t="s">
        <v>806</v>
      </c>
      <c r="K29" s="53">
        <v>65031</v>
      </c>
      <c r="L29" s="52"/>
      <c r="M29" s="147"/>
    </row>
    <row r="30" spans="1:13" ht="18">
      <c r="A30" s="1354" t="e">
        <f t="shared" si="0"/>
        <v>#VALUE!</v>
      </c>
      <c r="B30" s="137" t="s">
        <v>2011</v>
      </c>
      <c r="C30" s="1356" t="s">
        <v>2003</v>
      </c>
      <c r="D30" s="1354">
        <v>46</v>
      </c>
      <c r="E30" s="55" t="s">
        <v>48</v>
      </c>
      <c r="F30" s="147" t="s">
        <v>345</v>
      </c>
      <c r="G30" s="227" t="s">
        <v>262</v>
      </c>
      <c r="H30" s="1353">
        <v>65029</v>
      </c>
      <c r="I30" s="1353">
        <v>65029</v>
      </c>
      <c r="J30" s="52" t="s">
        <v>806</v>
      </c>
      <c r="K30" s="53">
        <v>65033</v>
      </c>
      <c r="L30" s="52" t="s">
        <v>1544</v>
      </c>
      <c r="M30" s="147"/>
    </row>
    <row r="31" spans="1:13" ht="18">
      <c r="A31" s="1354" t="e">
        <f t="shared" si="0"/>
        <v>#VALUE!</v>
      </c>
      <c r="B31" s="139" t="s">
        <v>2144</v>
      </c>
      <c r="C31" s="1356" t="s">
        <v>2003</v>
      </c>
      <c r="D31" s="1354">
        <v>54</v>
      </c>
      <c r="E31" s="130" t="s">
        <v>48</v>
      </c>
      <c r="F31" s="227" t="s">
        <v>1480</v>
      </c>
      <c r="G31" s="147" t="s">
        <v>1192</v>
      </c>
      <c r="H31" s="1335">
        <v>65034</v>
      </c>
      <c r="I31" s="1335">
        <v>65034</v>
      </c>
      <c r="J31" s="52" t="s">
        <v>940</v>
      </c>
      <c r="K31" s="1366">
        <v>65036</v>
      </c>
      <c r="L31" s="52" t="s">
        <v>2300</v>
      </c>
      <c r="M31" s="147"/>
    </row>
    <row r="32" spans="1:13" ht="26.25">
      <c r="A32" s="1354" t="e">
        <f t="shared" si="0"/>
        <v>#VALUE!</v>
      </c>
      <c r="B32" s="182" t="s">
        <v>2882</v>
      </c>
      <c r="C32" s="1356" t="s">
        <v>2003</v>
      </c>
      <c r="D32" s="1354">
        <v>76</v>
      </c>
      <c r="E32" s="182" t="s">
        <v>48</v>
      </c>
      <c r="F32" s="789" t="s">
        <v>53</v>
      </c>
      <c r="G32" s="182" t="s">
        <v>54</v>
      </c>
      <c r="H32" s="1373">
        <v>65042</v>
      </c>
      <c r="I32" s="1373">
        <v>65042</v>
      </c>
      <c r="J32" s="52" t="s">
        <v>940</v>
      </c>
      <c r="K32" s="53">
        <v>65042</v>
      </c>
      <c r="L32" s="52" t="s">
        <v>2936</v>
      </c>
      <c r="M32" s="147"/>
    </row>
    <row r="33" spans="1:13" ht="18">
      <c r="A33" s="1354" t="e">
        <f t="shared" si="0"/>
        <v>#VALUE!</v>
      </c>
      <c r="B33" s="130" t="s">
        <v>3745</v>
      </c>
      <c r="C33" s="1356" t="s">
        <v>2003</v>
      </c>
      <c r="D33" s="1354">
        <v>53</v>
      </c>
      <c r="E33" s="130" t="s">
        <v>48</v>
      </c>
      <c r="F33" s="147"/>
      <c r="G33" s="147"/>
      <c r="H33" s="1353">
        <v>65047</v>
      </c>
      <c r="I33" s="1353">
        <v>65047</v>
      </c>
      <c r="J33" s="52" t="s">
        <v>940</v>
      </c>
      <c r="K33" s="53">
        <v>65048</v>
      </c>
      <c r="L33" s="52"/>
      <c r="M33" s="147"/>
    </row>
    <row r="34" spans="1:13" ht="18">
      <c r="A34" s="1354" t="e">
        <f t="shared" ref="A34:A68" si="1">A33+1</f>
        <v>#VALUE!</v>
      </c>
      <c r="B34" s="130" t="s">
        <v>4368</v>
      </c>
      <c r="C34" s="1356" t="s">
        <v>2003</v>
      </c>
      <c r="D34" s="1354">
        <v>65</v>
      </c>
      <c r="E34" s="130" t="s">
        <v>90</v>
      </c>
      <c r="F34" s="227" t="s">
        <v>1468</v>
      </c>
      <c r="G34" s="130" t="s">
        <v>119</v>
      </c>
      <c r="H34" s="1335">
        <v>65057</v>
      </c>
      <c r="I34" s="1335">
        <v>65057</v>
      </c>
      <c r="J34" s="989" t="s">
        <v>940</v>
      </c>
      <c r="K34" s="1211">
        <v>65065</v>
      </c>
      <c r="L34" s="52" t="s">
        <v>4594</v>
      </c>
      <c r="M34" s="147"/>
    </row>
    <row r="35" spans="1:13" ht="25.5">
      <c r="A35" s="1354" t="e">
        <f t="shared" si="1"/>
        <v>#VALUE!</v>
      </c>
      <c r="B35" s="801" t="s">
        <v>3828</v>
      </c>
      <c r="C35" s="1356" t="s">
        <v>2003</v>
      </c>
      <c r="D35" s="1354">
        <v>64</v>
      </c>
      <c r="E35" s="801" t="s">
        <v>48</v>
      </c>
      <c r="F35" s="801" t="s">
        <v>53</v>
      </c>
      <c r="G35" s="801" t="s">
        <v>54</v>
      </c>
      <c r="H35" s="1200">
        <v>65049</v>
      </c>
      <c r="I35" s="1378">
        <v>65049</v>
      </c>
      <c r="J35" s="1185" t="s">
        <v>940</v>
      </c>
      <c r="K35" s="1188">
        <v>65067</v>
      </c>
      <c r="L35" s="52" t="s">
        <v>4615</v>
      </c>
      <c r="M35" s="147"/>
    </row>
    <row r="36" spans="1:13" ht="24.75">
      <c r="A36" s="1354" t="e">
        <f t="shared" si="1"/>
        <v>#VALUE!</v>
      </c>
      <c r="B36" s="1355" t="s">
        <v>851</v>
      </c>
      <c r="C36" s="1356">
        <v>6</v>
      </c>
      <c r="D36" s="1356">
        <v>55</v>
      </c>
      <c r="E36" s="1357" t="s">
        <v>3</v>
      </c>
      <c r="F36" s="1470" t="s">
        <v>864</v>
      </c>
      <c r="G36" s="1471" t="s">
        <v>864</v>
      </c>
      <c r="H36" s="1359">
        <v>64847</v>
      </c>
      <c r="I36" s="147"/>
      <c r="J36" s="45" t="s">
        <v>806</v>
      </c>
      <c r="K36" s="53"/>
      <c r="L36" s="55"/>
      <c r="M36" s="147"/>
    </row>
    <row r="37" spans="1:13" ht="18">
      <c r="A37" s="1354" t="e">
        <f t="shared" si="1"/>
        <v>#VALUE!</v>
      </c>
      <c r="B37" s="670" t="s">
        <v>3102</v>
      </c>
      <c r="C37" s="1356" t="s">
        <v>2003</v>
      </c>
      <c r="D37" s="1354">
        <v>84</v>
      </c>
      <c r="E37" s="646" t="s">
        <v>90</v>
      </c>
      <c r="F37" s="646" t="s">
        <v>1468</v>
      </c>
      <c r="G37" s="646" t="s">
        <v>119</v>
      </c>
      <c r="H37" s="1376">
        <v>65043</v>
      </c>
      <c r="I37" s="1376">
        <v>65043</v>
      </c>
      <c r="J37" s="52" t="s">
        <v>940</v>
      </c>
      <c r="K37" s="52"/>
      <c r="L37" s="52"/>
      <c r="M37" s="147"/>
    </row>
    <row r="38" spans="1:13" ht="18">
      <c r="A38" s="1354" t="e">
        <f t="shared" si="1"/>
        <v>#VALUE!</v>
      </c>
      <c r="B38" s="1339" t="s">
        <v>5140</v>
      </c>
      <c r="C38" s="1468">
        <v>6</v>
      </c>
      <c r="D38" s="1339">
        <v>78</v>
      </c>
      <c r="E38" s="1339" t="s">
        <v>90</v>
      </c>
      <c r="F38" s="1340" t="s">
        <v>4556</v>
      </c>
      <c r="G38" s="1339" t="s">
        <v>2648</v>
      </c>
      <c r="H38" s="1409">
        <v>65126</v>
      </c>
      <c r="I38" s="1409">
        <v>65126</v>
      </c>
      <c r="J38" s="989" t="s">
        <v>940</v>
      </c>
      <c r="K38" s="1211">
        <v>65135</v>
      </c>
      <c r="L38" s="52" t="s">
        <v>5139</v>
      </c>
      <c r="M38" s="52"/>
    </row>
    <row r="39" spans="1:13" ht="18">
      <c r="A39" s="1354" t="e">
        <f t="shared" si="1"/>
        <v>#VALUE!</v>
      </c>
      <c r="B39" s="1339" t="s">
        <v>5115</v>
      </c>
      <c r="C39" s="1468">
        <v>6</v>
      </c>
      <c r="D39" s="1339">
        <v>55</v>
      </c>
      <c r="E39" s="1339" t="s">
        <v>48</v>
      </c>
      <c r="F39" s="1339" t="s">
        <v>1763</v>
      </c>
      <c r="G39" s="1339" t="s">
        <v>1225</v>
      </c>
      <c r="H39" s="1409">
        <v>65132</v>
      </c>
      <c r="I39" s="1409">
        <v>65132</v>
      </c>
      <c r="J39" s="989" t="s">
        <v>940</v>
      </c>
      <c r="K39" s="1211">
        <v>65141</v>
      </c>
      <c r="L39" s="52"/>
      <c r="M39" s="52"/>
    </row>
    <row r="40" spans="1:13" ht="19.5">
      <c r="A40" s="1354" t="e">
        <f t="shared" si="1"/>
        <v>#VALUE!</v>
      </c>
      <c r="B40" s="1355" t="s">
        <v>930</v>
      </c>
      <c r="C40" s="1356">
        <v>7</v>
      </c>
      <c r="D40" s="1356">
        <v>57</v>
      </c>
      <c r="E40" s="1357" t="s">
        <v>3</v>
      </c>
      <c r="F40" s="1352" t="s">
        <v>345</v>
      </c>
      <c r="G40" s="1358" t="s">
        <v>936</v>
      </c>
      <c r="H40" s="1353">
        <v>64836</v>
      </c>
      <c r="I40" s="147"/>
      <c r="J40" s="45" t="s">
        <v>806</v>
      </c>
      <c r="K40" s="53">
        <v>64853</v>
      </c>
      <c r="L40" s="55" t="s">
        <v>938</v>
      </c>
      <c r="M40" s="147"/>
    </row>
    <row r="41" spans="1:13" ht="19.5">
      <c r="A41" s="1354" t="e">
        <f t="shared" si="1"/>
        <v>#VALUE!</v>
      </c>
      <c r="B41" s="1355" t="s">
        <v>1078</v>
      </c>
      <c r="C41" s="1356">
        <v>7</v>
      </c>
      <c r="D41" s="1356">
        <v>77</v>
      </c>
      <c r="E41" s="1357" t="s">
        <v>17</v>
      </c>
      <c r="F41" s="1358" t="s">
        <v>829</v>
      </c>
      <c r="G41" s="1358" t="s">
        <v>864</v>
      </c>
      <c r="H41" s="1353">
        <v>64867</v>
      </c>
      <c r="I41" s="1361">
        <v>64868</v>
      </c>
      <c r="J41" s="45" t="s">
        <v>806</v>
      </c>
      <c r="K41" s="53">
        <v>64872</v>
      </c>
      <c r="L41" s="55" t="s">
        <v>1080</v>
      </c>
      <c r="M41" s="147"/>
    </row>
    <row r="42" spans="1:13" ht="19.5">
      <c r="A42" s="1354" t="e">
        <f t="shared" si="1"/>
        <v>#VALUE!</v>
      </c>
      <c r="B42" s="1355" t="s">
        <v>1223</v>
      </c>
      <c r="C42" s="1356">
        <v>7</v>
      </c>
      <c r="D42" s="1356">
        <v>66</v>
      </c>
      <c r="E42" s="59" t="s">
        <v>404</v>
      </c>
      <c r="F42" s="1352" t="s">
        <v>345</v>
      </c>
      <c r="G42" s="1352" t="s">
        <v>1225</v>
      </c>
      <c r="H42" s="1353" t="s">
        <v>1220</v>
      </c>
      <c r="I42" s="1353" t="s">
        <v>1221</v>
      </c>
      <c r="J42" s="45" t="s">
        <v>806</v>
      </c>
      <c r="K42" s="53">
        <v>64943</v>
      </c>
      <c r="L42" s="55" t="s">
        <v>1226</v>
      </c>
      <c r="M42" s="147">
        <v>98095955060</v>
      </c>
    </row>
    <row r="43" spans="1:13" ht="18">
      <c r="A43" s="1354" t="e">
        <f t="shared" si="1"/>
        <v>#VALUE!</v>
      </c>
      <c r="B43" s="139" t="s">
        <v>1568</v>
      </c>
      <c r="C43" s="1356" t="s">
        <v>2004</v>
      </c>
      <c r="D43" s="1354">
        <v>31</v>
      </c>
      <c r="E43" s="55" t="s">
        <v>48</v>
      </c>
      <c r="F43" s="147" t="s">
        <v>345</v>
      </c>
      <c r="G43" s="227" t="s">
        <v>119</v>
      </c>
      <c r="H43" s="1353">
        <v>65026</v>
      </c>
      <c r="I43" s="1353">
        <v>65026</v>
      </c>
      <c r="J43" s="45" t="s">
        <v>940</v>
      </c>
      <c r="K43" s="53">
        <v>65029</v>
      </c>
      <c r="L43" s="52" t="s">
        <v>938</v>
      </c>
      <c r="M43" s="147"/>
    </row>
    <row r="44" spans="1:13" ht="26.25">
      <c r="A44" s="1354" t="e">
        <f t="shared" si="1"/>
        <v>#VALUE!</v>
      </c>
      <c r="B44" s="139" t="s">
        <v>1750</v>
      </c>
      <c r="C44" s="1356" t="s">
        <v>2004</v>
      </c>
      <c r="D44" s="1354">
        <v>62</v>
      </c>
      <c r="E44" s="55" t="s">
        <v>48</v>
      </c>
      <c r="F44" s="147" t="s">
        <v>709</v>
      </c>
      <c r="G44" s="227" t="s">
        <v>54</v>
      </c>
      <c r="H44" s="1353">
        <v>65030</v>
      </c>
      <c r="I44" s="1353">
        <v>65030</v>
      </c>
      <c r="J44" s="55" t="s">
        <v>940</v>
      </c>
      <c r="K44" s="53">
        <v>65030</v>
      </c>
      <c r="L44" s="52" t="s">
        <v>1751</v>
      </c>
      <c r="M44" s="147"/>
    </row>
    <row r="45" spans="1:13" ht="18">
      <c r="A45" s="1354" t="e">
        <f t="shared" si="1"/>
        <v>#VALUE!</v>
      </c>
      <c r="B45" s="139" t="s">
        <v>1916</v>
      </c>
      <c r="C45" s="1356" t="s">
        <v>2004</v>
      </c>
      <c r="D45" s="1354">
        <v>69</v>
      </c>
      <c r="E45" s="55" t="s">
        <v>404</v>
      </c>
      <c r="F45" s="147" t="s">
        <v>709</v>
      </c>
      <c r="G45" s="147" t="s">
        <v>1192</v>
      </c>
      <c r="H45" s="147"/>
      <c r="I45" s="147"/>
      <c r="J45" s="52" t="s">
        <v>806</v>
      </c>
      <c r="K45" s="53">
        <v>65031</v>
      </c>
      <c r="L45" s="52"/>
      <c r="M45" s="147"/>
    </row>
    <row r="46" spans="1:13" ht="18">
      <c r="A46" s="1354" t="e">
        <f t="shared" si="1"/>
        <v>#VALUE!</v>
      </c>
      <c r="B46" s="130" t="s">
        <v>2199</v>
      </c>
      <c r="C46" s="1356" t="s">
        <v>2004</v>
      </c>
      <c r="D46" s="1354">
        <v>58</v>
      </c>
      <c r="E46" s="130" t="s">
        <v>90</v>
      </c>
      <c r="F46" s="227" t="s">
        <v>53</v>
      </c>
      <c r="G46" s="130"/>
      <c r="H46" s="1335">
        <v>65034</v>
      </c>
      <c r="I46" s="1335">
        <v>65034</v>
      </c>
      <c r="J46" s="52" t="s">
        <v>940</v>
      </c>
      <c r="K46" s="53">
        <v>65041</v>
      </c>
      <c r="L46" s="52" t="s">
        <v>2299</v>
      </c>
      <c r="M46" s="147"/>
    </row>
    <row r="47" spans="1:13" ht="26.25">
      <c r="A47" s="1354" t="e">
        <f t="shared" si="1"/>
        <v>#VALUE!</v>
      </c>
      <c r="B47" s="130" t="s">
        <v>3290</v>
      </c>
      <c r="C47" s="1356" t="s">
        <v>2004</v>
      </c>
      <c r="D47" s="1354">
        <v>62</v>
      </c>
      <c r="E47" s="130" t="s">
        <v>48</v>
      </c>
      <c r="F47" s="227" t="s">
        <v>1763</v>
      </c>
      <c r="G47" s="130" t="s">
        <v>3291</v>
      </c>
      <c r="H47" s="1353">
        <v>65044</v>
      </c>
      <c r="I47" s="1335">
        <v>65044</v>
      </c>
      <c r="J47" s="52" t="s">
        <v>940</v>
      </c>
      <c r="K47" s="53">
        <v>65044</v>
      </c>
      <c r="L47" s="52" t="s">
        <v>2008</v>
      </c>
      <c r="M47" s="147"/>
    </row>
    <row r="48" spans="1:13" ht="25.5">
      <c r="A48" s="1354" t="e">
        <f t="shared" si="1"/>
        <v>#VALUE!</v>
      </c>
      <c r="B48" s="673" t="s">
        <v>2490</v>
      </c>
      <c r="C48" s="1356" t="s">
        <v>2004</v>
      </c>
      <c r="D48" s="1354">
        <v>55</v>
      </c>
      <c r="E48" s="642" t="s">
        <v>48</v>
      </c>
      <c r="F48" s="642" t="s">
        <v>53</v>
      </c>
      <c r="G48" s="642" t="s">
        <v>54</v>
      </c>
      <c r="H48" s="1377">
        <v>65038</v>
      </c>
      <c r="I48" s="1377">
        <v>65038</v>
      </c>
      <c r="J48" s="989" t="s">
        <v>940</v>
      </c>
      <c r="K48" s="1211">
        <v>65049</v>
      </c>
      <c r="L48" s="52"/>
      <c r="M48" s="147"/>
    </row>
    <row r="49" spans="1:13" ht="18">
      <c r="A49" s="1354" t="e">
        <f t="shared" si="1"/>
        <v>#VALUE!</v>
      </c>
      <c r="B49" s="989" t="s">
        <v>4015</v>
      </c>
      <c r="C49" s="1356" t="s">
        <v>2004</v>
      </c>
      <c r="D49" s="1354">
        <v>39</v>
      </c>
      <c r="E49" s="130" t="s">
        <v>48</v>
      </c>
      <c r="F49" s="659"/>
      <c r="G49" s="130" t="s">
        <v>119</v>
      </c>
      <c r="H49" s="1335">
        <v>65051</v>
      </c>
      <c r="I49" s="1335">
        <v>65051</v>
      </c>
      <c r="J49" s="989" t="s">
        <v>940</v>
      </c>
      <c r="K49" s="1211">
        <v>65052</v>
      </c>
      <c r="L49" s="52"/>
      <c r="M49" s="147"/>
    </row>
    <row r="50" spans="1:13" ht="18">
      <c r="A50" s="1354" t="e">
        <f t="shared" si="1"/>
        <v>#VALUE!</v>
      </c>
      <c r="B50" s="800" t="s">
        <v>2423</v>
      </c>
      <c r="C50" s="1356" t="s">
        <v>2004</v>
      </c>
      <c r="D50" s="1354">
        <v>64</v>
      </c>
      <c r="E50" s="801" t="s">
        <v>48</v>
      </c>
      <c r="F50" s="801" t="s">
        <v>1480</v>
      </c>
      <c r="G50" s="801" t="s">
        <v>119</v>
      </c>
      <c r="H50" s="1200">
        <v>65038</v>
      </c>
      <c r="I50" s="1201">
        <v>65038</v>
      </c>
      <c r="J50" s="1185" t="s">
        <v>940</v>
      </c>
      <c r="K50" s="1188">
        <v>65055</v>
      </c>
      <c r="L50" s="52" t="s">
        <v>4255</v>
      </c>
      <c r="M50" s="147"/>
    </row>
    <row r="51" spans="1:13" ht="18">
      <c r="A51" s="1354" t="e">
        <f t="shared" si="1"/>
        <v>#VALUE!</v>
      </c>
      <c r="B51" s="670" t="s">
        <v>3397</v>
      </c>
      <c r="C51" s="1356" t="s">
        <v>2004</v>
      </c>
      <c r="D51" s="1354">
        <v>42</v>
      </c>
      <c r="E51" s="646" t="s">
        <v>48</v>
      </c>
      <c r="F51" s="646" t="s">
        <v>1468</v>
      </c>
      <c r="G51" s="646" t="s">
        <v>119</v>
      </c>
      <c r="H51" s="1385">
        <v>65046</v>
      </c>
      <c r="I51" s="1376">
        <v>65046</v>
      </c>
      <c r="J51" s="989" t="s">
        <v>940</v>
      </c>
      <c r="K51" s="1211">
        <v>65060</v>
      </c>
      <c r="L51" s="52" t="s">
        <v>4415</v>
      </c>
      <c r="M51" s="147"/>
    </row>
    <row r="52" spans="1:13" ht="18">
      <c r="A52" s="1354" t="e">
        <f t="shared" si="1"/>
        <v>#VALUE!</v>
      </c>
      <c r="B52" s="263" t="s">
        <v>4595</v>
      </c>
      <c r="C52" s="1356" t="s">
        <v>2004</v>
      </c>
      <c r="D52" s="1354">
        <v>62</v>
      </c>
      <c r="E52" s="1187" t="s">
        <v>453</v>
      </c>
      <c r="F52" s="147" t="s">
        <v>3465</v>
      </c>
      <c r="G52" s="130" t="s">
        <v>119</v>
      </c>
      <c r="H52" s="1189">
        <v>65064</v>
      </c>
      <c r="I52" s="1189">
        <v>65064</v>
      </c>
      <c r="J52" s="1211" t="s">
        <v>940</v>
      </c>
      <c r="K52" s="1211">
        <v>65066</v>
      </c>
      <c r="L52" s="52" t="s">
        <v>3744</v>
      </c>
      <c r="M52" s="147"/>
    </row>
    <row r="53" spans="1:13" ht="18">
      <c r="A53" s="1354" t="e">
        <f t="shared" si="1"/>
        <v>#VALUE!</v>
      </c>
      <c r="B53" s="139" t="s">
        <v>5267</v>
      </c>
      <c r="C53" s="1469">
        <v>7</v>
      </c>
      <c r="D53" s="139">
        <v>44</v>
      </c>
      <c r="E53" s="139" t="s">
        <v>48</v>
      </c>
      <c r="F53" s="139" t="s">
        <v>1763</v>
      </c>
      <c r="G53" s="139" t="s">
        <v>2648</v>
      </c>
      <c r="H53" s="1461">
        <v>65164</v>
      </c>
      <c r="I53" s="1461">
        <v>65164</v>
      </c>
      <c r="J53" s="989" t="s">
        <v>940</v>
      </c>
      <c r="K53" s="1211">
        <v>65168</v>
      </c>
      <c r="L53" s="52" t="s">
        <v>937</v>
      </c>
      <c r="M53" s="52"/>
    </row>
    <row r="54" spans="1:13" ht="18">
      <c r="A54" s="1354" t="e">
        <f t="shared" si="1"/>
        <v>#VALUE!</v>
      </c>
      <c r="B54" s="139" t="s">
        <v>2146</v>
      </c>
      <c r="C54" s="1356" t="s">
        <v>2005</v>
      </c>
      <c r="D54" s="1354">
        <v>75</v>
      </c>
      <c r="E54" s="55" t="s">
        <v>90</v>
      </c>
      <c r="F54" s="147" t="s">
        <v>53</v>
      </c>
      <c r="G54" s="147" t="s">
        <v>1192</v>
      </c>
      <c r="H54" s="147"/>
      <c r="I54" s="147"/>
      <c r="J54" s="52" t="s">
        <v>806</v>
      </c>
      <c r="K54" s="53">
        <v>65034</v>
      </c>
      <c r="L54" s="52"/>
      <c r="M54" s="147"/>
    </row>
    <row r="55" spans="1:13" ht="26.25">
      <c r="A55" s="1354" t="e">
        <f t="shared" si="1"/>
        <v>#VALUE!</v>
      </c>
      <c r="B55" s="182" t="s">
        <v>2899</v>
      </c>
      <c r="C55" s="1356" t="s">
        <v>2005</v>
      </c>
      <c r="D55" s="1354">
        <v>70</v>
      </c>
      <c r="E55" s="182" t="s">
        <v>90</v>
      </c>
      <c r="F55" s="789" t="s">
        <v>53</v>
      </c>
      <c r="G55" s="182" t="s">
        <v>54</v>
      </c>
      <c r="H55" s="1373">
        <v>65042</v>
      </c>
      <c r="I55" s="1373">
        <v>65042</v>
      </c>
      <c r="J55" s="52" t="s">
        <v>940</v>
      </c>
      <c r="K55" s="1374">
        <v>65043</v>
      </c>
      <c r="L55" s="52" t="s">
        <v>1544</v>
      </c>
      <c r="M55" s="147"/>
    </row>
    <row r="56" spans="1:13" ht="18">
      <c r="A56" s="1354" t="e">
        <f t="shared" si="1"/>
        <v>#VALUE!</v>
      </c>
      <c r="B56" s="130" t="s">
        <v>3367</v>
      </c>
      <c r="C56" s="1356" t="s">
        <v>2005</v>
      </c>
      <c r="D56" s="1354">
        <v>30</v>
      </c>
      <c r="E56" s="130" t="s">
        <v>90</v>
      </c>
      <c r="F56" s="147"/>
      <c r="G56" s="130" t="s">
        <v>119</v>
      </c>
      <c r="H56" s="1335">
        <v>65045</v>
      </c>
      <c r="I56" s="1335">
        <v>65045</v>
      </c>
      <c r="J56" s="52" t="s">
        <v>940</v>
      </c>
      <c r="K56" s="786">
        <v>65045</v>
      </c>
      <c r="L56" s="52" t="s">
        <v>3368</v>
      </c>
      <c r="M56" s="147"/>
    </row>
    <row r="57" spans="1:13" ht="18">
      <c r="A57" s="1354" t="e">
        <f t="shared" si="1"/>
        <v>#VALUE!</v>
      </c>
      <c r="B57" s="130" t="s">
        <v>4518</v>
      </c>
      <c r="C57" s="1356" t="s">
        <v>2005</v>
      </c>
      <c r="D57" s="1354">
        <v>52</v>
      </c>
      <c r="E57" s="130" t="s">
        <v>48</v>
      </c>
      <c r="F57" s="227"/>
      <c r="G57" s="130" t="s">
        <v>119</v>
      </c>
      <c r="H57" s="1335">
        <v>65062</v>
      </c>
      <c r="I57" s="1335">
        <v>65062</v>
      </c>
      <c r="J57" s="989" t="s">
        <v>940</v>
      </c>
      <c r="K57" s="1211">
        <v>65062</v>
      </c>
      <c r="L57" s="52"/>
      <c r="M57" s="147"/>
    </row>
    <row r="58" spans="1:13" ht="30">
      <c r="A58" s="1354" t="e">
        <f t="shared" si="1"/>
        <v>#VALUE!</v>
      </c>
      <c r="B58" s="1355" t="s">
        <v>827</v>
      </c>
      <c r="C58" s="1356">
        <v>9</v>
      </c>
      <c r="D58" s="1356">
        <v>48</v>
      </c>
      <c r="E58" s="1357" t="s">
        <v>3</v>
      </c>
      <c r="F58" s="1358" t="s">
        <v>818</v>
      </c>
      <c r="G58" s="1358" t="s">
        <v>799</v>
      </c>
      <c r="H58" s="1359">
        <v>64842</v>
      </c>
      <c r="I58" s="1359">
        <v>64841</v>
      </c>
      <c r="J58" s="45" t="s">
        <v>806</v>
      </c>
      <c r="K58" s="53">
        <v>64847</v>
      </c>
      <c r="L58" s="55" t="s">
        <v>831</v>
      </c>
      <c r="M58" s="1390" t="s">
        <v>832</v>
      </c>
    </row>
    <row r="59" spans="1:13" ht="19.5">
      <c r="A59" s="1354" t="e">
        <f t="shared" si="1"/>
        <v>#VALUE!</v>
      </c>
      <c r="B59" s="1355" t="s">
        <v>1053</v>
      </c>
      <c r="C59" s="1356">
        <v>9</v>
      </c>
      <c r="D59" s="1356">
        <v>68</v>
      </c>
      <c r="E59" s="59" t="s">
        <v>404</v>
      </c>
      <c r="F59" s="1358" t="s">
        <v>829</v>
      </c>
      <c r="G59" s="1358" t="s">
        <v>864</v>
      </c>
      <c r="H59" s="1353">
        <v>64867</v>
      </c>
      <c r="I59" s="1353">
        <v>64866</v>
      </c>
      <c r="J59" s="45" t="s">
        <v>806</v>
      </c>
      <c r="K59" s="53">
        <v>64869</v>
      </c>
      <c r="L59" s="55" t="s">
        <v>1054</v>
      </c>
      <c r="M59" s="147" t="s">
        <v>1055</v>
      </c>
    </row>
    <row r="60" spans="1:13" ht="26.25">
      <c r="A60" s="1354" t="e">
        <f t="shared" si="1"/>
        <v>#VALUE!</v>
      </c>
      <c r="B60" s="139" t="s">
        <v>2147</v>
      </c>
      <c r="C60" s="1356" t="s">
        <v>2006</v>
      </c>
      <c r="D60" s="1354">
        <v>45</v>
      </c>
      <c r="E60" s="55" t="s">
        <v>48</v>
      </c>
      <c r="F60" s="147" t="s">
        <v>53</v>
      </c>
      <c r="G60" s="227" t="s">
        <v>2009</v>
      </c>
      <c r="H60" s="147"/>
      <c r="I60" s="147"/>
      <c r="J60" s="52" t="s">
        <v>806</v>
      </c>
      <c r="K60" s="53">
        <v>65034</v>
      </c>
      <c r="L60" s="52"/>
      <c r="M60" s="147"/>
    </row>
    <row r="61" spans="1:13" ht="18">
      <c r="A61" s="1354" t="e">
        <f t="shared" si="1"/>
        <v>#VALUE!</v>
      </c>
      <c r="B61" s="801" t="s">
        <v>2799</v>
      </c>
      <c r="C61" s="1356" t="s">
        <v>2006</v>
      </c>
      <c r="D61" s="1354">
        <v>49</v>
      </c>
      <c r="E61" s="801" t="s">
        <v>48</v>
      </c>
      <c r="F61" s="801" t="s">
        <v>1468</v>
      </c>
      <c r="G61" s="801" t="s">
        <v>2651</v>
      </c>
      <c r="H61" s="1200">
        <v>65041</v>
      </c>
      <c r="I61" s="1201">
        <v>65041</v>
      </c>
      <c r="J61" s="1370" t="s">
        <v>940</v>
      </c>
      <c r="K61" s="1371">
        <v>65040</v>
      </c>
      <c r="L61" s="52"/>
      <c r="M61" s="147"/>
    </row>
    <row r="62" spans="1:13" ht="18">
      <c r="A62" s="1354" t="e">
        <f t="shared" si="1"/>
        <v>#VALUE!</v>
      </c>
      <c r="B62" s="130" t="s">
        <v>2938</v>
      </c>
      <c r="C62" s="1356" t="s">
        <v>2006</v>
      </c>
      <c r="D62" s="1354">
        <v>66</v>
      </c>
      <c r="E62" s="130" t="s">
        <v>48</v>
      </c>
      <c r="F62" s="227" t="s">
        <v>1480</v>
      </c>
      <c r="G62" s="1358" t="s">
        <v>820</v>
      </c>
      <c r="H62" s="1335">
        <v>65039</v>
      </c>
      <c r="I62" s="1335">
        <v>65039</v>
      </c>
      <c r="J62" s="52" t="s">
        <v>940</v>
      </c>
      <c r="K62" s="53">
        <v>65044</v>
      </c>
      <c r="L62" s="52" t="s">
        <v>2939</v>
      </c>
      <c r="M62" s="147"/>
    </row>
    <row r="63" spans="1:13" ht="26.25">
      <c r="A63" s="1354" t="e">
        <f t="shared" si="1"/>
        <v>#VALUE!</v>
      </c>
      <c r="B63" s="1367" t="s">
        <v>1802</v>
      </c>
      <c r="C63" s="1356" t="s">
        <v>2006</v>
      </c>
      <c r="D63" s="1354">
        <v>34</v>
      </c>
      <c r="E63" s="130" t="s">
        <v>90</v>
      </c>
      <c r="F63" s="1372" t="s">
        <v>709</v>
      </c>
      <c r="G63" s="789" t="s">
        <v>54</v>
      </c>
      <c r="H63" s="1361">
        <v>65029</v>
      </c>
      <c r="I63" s="1361">
        <v>65029</v>
      </c>
      <c r="J63" s="1242" t="s">
        <v>940</v>
      </c>
      <c r="K63" s="1243">
        <v>65045</v>
      </c>
      <c r="L63" s="52" t="s">
        <v>3371</v>
      </c>
      <c r="M63" s="147"/>
    </row>
    <row r="64" spans="1:13" ht="18">
      <c r="A64" s="1354" t="e">
        <f t="shared" si="1"/>
        <v>#VALUE!</v>
      </c>
      <c r="B64" s="130" t="s">
        <v>3199</v>
      </c>
      <c r="C64" s="1356" t="s">
        <v>2006</v>
      </c>
      <c r="D64" s="1354">
        <v>37</v>
      </c>
      <c r="E64" s="130" t="s">
        <v>48</v>
      </c>
      <c r="F64" s="227" t="s">
        <v>1468</v>
      </c>
      <c r="G64" s="130" t="s">
        <v>119</v>
      </c>
      <c r="H64" s="1335">
        <v>65044</v>
      </c>
      <c r="I64" s="1335">
        <v>65044</v>
      </c>
      <c r="J64" s="52" t="s">
        <v>940</v>
      </c>
      <c r="K64" s="53">
        <v>65046</v>
      </c>
      <c r="L64" s="52" t="s">
        <v>3370</v>
      </c>
      <c r="M64" s="147"/>
    </row>
    <row r="65" spans="1:13" ht="18">
      <c r="A65" s="1354" t="e">
        <f t="shared" si="1"/>
        <v>#VALUE!</v>
      </c>
      <c r="B65" s="130" t="s">
        <v>3176</v>
      </c>
      <c r="C65" s="1356" t="s">
        <v>2006</v>
      </c>
      <c r="D65" s="1354">
        <v>38</v>
      </c>
      <c r="E65" s="130" t="s">
        <v>48</v>
      </c>
      <c r="F65" s="227" t="s">
        <v>1480</v>
      </c>
      <c r="G65" s="130" t="s">
        <v>119</v>
      </c>
      <c r="H65" s="1335">
        <v>65044</v>
      </c>
      <c r="I65" s="1335">
        <v>65044</v>
      </c>
      <c r="J65" s="707" t="s">
        <v>940</v>
      </c>
      <c r="K65" s="1375">
        <v>65046</v>
      </c>
      <c r="L65" s="707" t="s">
        <v>3374</v>
      </c>
      <c r="M65" s="147"/>
    </row>
    <row r="66" spans="1:13" ht="18">
      <c r="A66" s="1354" t="e">
        <f t="shared" si="1"/>
        <v>#VALUE!</v>
      </c>
      <c r="B66" s="989" t="s">
        <v>4016</v>
      </c>
      <c r="C66" s="1356" t="s">
        <v>2006</v>
      </c>
      <c r="D66" s="1354">
        <v>65</v>
      </c>
      <c r="E66" s="130" t="s">
        <v>90</v>
      </c>
      <c r="F66" s="659"/>
      <c r="G66" s="130" t="s">
        <v>119</v>
      </c>
      <c r="H66" s="1335">
        <v>65051</v>
      </c>
      <c r="I66" s="1335">
        <v>65051</v>
      </c>
      <c r="J66" s="989" t="s">
        <v>940</v>
      </c>
      <c r="K66" s="1211">
        <v>65052</v>
      </c>
      <c r="L66" s="52" t="s">
        <v>824</v>
      </c>
      <c r="M66" s="147"/>
    </row>
    <row r="67" spans="1:13" ht="18">
      <c r="A67" s="1354" t="e">
        <f t="shared" si="1"/>
        <v>#VALUE!</v>
      </c>
      <c r="B67" s="243" t="s">
        <v>1614</v>
      </c>
      <c r="C67" s="1356" t="s">
        <v>2006</v>
      </c>
      <c r="D67" s="1354">
        <v>51</v>
      </c>
      <c r="E67" s="1187" t="s">
        <v>90</v>
      </c>
      <c r="F67" s="1187" t="s">
        <v>1193</v>
      </c>
      <c r="G67" s="1187" t="s">
        <v>1192</v>
      </c>
      <c r="H67" s="1384">
        <v>65028</v>
      </c>
      <c r="I67" s="1189">
        <v>65028</v>
      </c>
      <c r="J67" s="1188" t="s">
        <v>940</v>
      </c>
      <c r="K67" s="1188">
        <v>65053</v>
      </c>
      <c r="L67" s="52" t="s">
        <v>1133</v>
      </c>
      <c r="M67" s="147"/>
    </row>
    <row r="68" spans="1:13" ht="31.5">
      <c r="A68" s="1354" t="e">
        <f t="shared" si="1"/>
        <v>#VALUE!</v>
      </c>
      <c r="B68" s="800" t="s">
        <v>3720</v>
      </c>
      <c r="C68" s="1356" t="s">
        <v>2006</v>
      </c>
      <c r="D68" s="1354">
        <v>50</v>
      </c>
      <c r="E68" s="801" t="s">
        <v>90</v>
      </c>
      <c r="F68" s="801" t="s">
        <v>1468</v>
      </c>
      <c r="G68" s="1378" t="s">
        <v>4449</v>
      </c>
      <c r="H68" s="1200">
        <v>65048</v>
      </c>
      <c r="I68" s="1201">
        <v>65048</v>
      </c>
      <c r="J68" s="989" t="s">
        <v>940</v>
      </c>
      <c r="K68" s="1211">
        <v>65063</v>
      </c>
      <c r="L68" s="989" t="s">
        <v>4521</v>
      </c>
      <c r="M68" s="147"/>
    </row>
    <row r="69" spans="1:13" ht="19.5">
      <c r="A69" s="1354">
        <v>1</v>
      </c>
      <c r="B69" s="1355" t="s">
        <v>802</v>
      </c>
      <c r="C69" s="1356">
        <v>10</v>
      </c>
      <c r="D69" s="1356">
        <v>38</v>
      </c>
      <c r="E69" s="1357" t="s">
        <v>3</v>
      </c>
      <c r="F69" s="1358" t="s">
        <v>804</v>
      </c>
      <c r="G69" s="1358"/>
      <c r="H69" s="659"/>
      <c r="I69" s="659"/>
      <c r="J69" s="45" t="s">
        <v>806</v>
      </c>
      <c r="K69" s="53">
        <v>64809</v>
      </c>
      <c r="L69" s="54"/>
      <c r="M69" s="659"/>
    </row>
    <row r="70" spans="1:13" ht="19.5">
      <c r="A70" s="1354">
        <f t="shared" ref="A70:A110" si="2">A69+1</f>
        <v>2</v>
      </c>
      <c r="B70" s="1355" t="s">
        <v>931</v>
      </c>
      <c r="C70" s="1356">
        <v>10</v>
      </c>
      <c r="D70" s="1356">
        <v>20</v>
      </c>
      <c r="E70" s="1357" t="s">
        <v>17</v>
      </c>
      <c r="F70" s="1358" t="s">
        <v>864</v>
      </c>
      <c r="G70" s="1358" t="s">
        <v>864</v>
      </c>
      <c r="H70" s="1353">
        <v>64849</v>
      </c>
      <c r="I70" s="1353">
        <v>64847</v>
      </c>
      <c r="J70" s="45" t="s">
        <v>806</v>
      </c>
      <c r="K70" s="53">
        <v>64852</v>
      </c>
      <c r="L70" s="55" t="s">
        <v>939</v>
      </c>
      <c r="M70" s="147"/>
    </row>
    <row r="71" spans="1:13" ht="18">
      <c r="A71" s="1354">
        <f t="shared" si="2"/>
        <v>3</v>
      </c>
      <c r="B71" s="263" t="s">
        <v>1494</v>
      </c>
      <c r="C71" s="1356" t="s">
        <v>1989</v>
      </c>
      <c r="D71" s="1354">
        <v>42</v>
      </c>
      <c r="E71" s="55" t="s">
        <v>433</v>
      </c>
      <c r="F71" s="147" t="s">
        <v>709</v>
      </c>
      <c r="G71" s="147" t="s">
        <v>1192</v>
      </c>
      <c r="H71" s="1353">
        <v>65025</v>
      </c>
      <c r="I71" s="1353">
        <v>65025</v>
      </c>
      <c r="J71" s="45" t="s">
        <v>806</v>
      </c>
      <c r="K71" s="54">
        <v>65026</v>
      </c>
      <c r="L71" s="54" t="s">
        <v>1545</v>
      </c>
      <c r="M71" s="1353"/>
    </row>
    <row r="72" spans="1:13" ht="18">
      <c r="A72" s="1354">
        <f t="shared" si="2"/>
        <v>4</v>
      </c>
      <c r="B72" s="130" t="s">
        <v>3372</v>
      </c>
      <c r="C72" s="1356" t="s">
        <v>1989</v>
      </c>
      <c r="D72" s="1354">
        <v>45</v>
      </c>
      <c r="E72" s="130" t="s">
        <v>90</v>
      </c>
      <c r="F72" s="147"/>
      <c r="G72" s="130" t="s">
        <v>2651</v>
      </c>
      <c r="H72" s="1353">
        <v>65046</v>
      </c>
      <c r="I72" s="1353">
        <v>65046</v>
      </c>
      <c r="J72" s="52" t="s">
        <v>940</v>
      </c>
      <c r="K72" s="53">
        <v>65046</v>
      </c>
      <c r="L72" s="52" t="s">
        <v>3373</v>
      </c>
      <c r="M72" s="147"/>
    </row>
    <row r="73" spans="1:13" ht="25.5">
      <c r="A73" s="1354">
        <f t="shared" si="2"/>
        <v>5</v>
      </c>
      <c r="B73" s="989" t="s">
        <v>3843</v>
      </c>
      <c r="C73" s="1356" t="s">
        <v>1989</v>
      </c>
      <c r="D73" s="1354">
        <v>62</v>
      </c>
      <c r="E73" s="646" t="s">
        <v>90</v>
      </c>
      <c r="F73" s="659"/>
      <c r="G73" s="642" t="s">
        <v>54</v>
      </c>
      <c r="H73" s="1359">
        <v>65027</v>
      </c>
      <c r="I73" s="1359">
        <v>65027</v>
      </c>
      <c r="J73" s="989" t="s">
        <v>940</v>
      </c>
      <c r="K73" s="1211">
        <v>65049</v>
      </c>
      <c r="L73" s="52"/>
      <c r="M73" s="147"/>
    </row>
    <row r="74" spans="1:13" ht="18">
      <c r="A74" s="1354">
        <f t="shared" si="2"/>
        <v>6</v>
      </c>
      <c r="B74" s="673" t="s">
        <v>4012</v>
      </c>
      <c r="C74" s="1356" t="s">
        <v>1989</v>
      </c>
      <c r="D74" s="1354">
        <v>56</v>
      </c>
      <c r="E74" s="642" t="s">
        <v>48</v>
      </c>
      <c r="F74" s="642" t="s">
        <v>53</v>
      </c>
      <c r="G74" s="642" t="s">
        <v>2648</v>
      </c>
      <c r="H74" s="1381">
        <v>65039</v>
      </c>
      <c r="I74" s="1377">
        <v>65039</v>
      </c>
      <c r="J74" s="1382" t="s">
        <v>940</v>
      </c>
      <c r="K74" s="1383">
        <v>65051</v>
      </c>
      <c r="L74" s="52"/>
      <c r="M74" s="147"/>
    </row>
    <row r="75" spans="1:13" ht="18">
      <c r="A75" s="1354">
        <f t="shared" si="2"/>
        <v>7</v>
      </c>
      <c r="B75" s="670" t="s">
        <v>3031</v>
      </c>
      <c r="C75" s="1356" t="s">
        <v>1989</v>
      </c>
      <c r="D75" s="1354">
        <v>52</v>
      </c>
      <c r="E75" s="646" t="s">
        <v>48</v>
      </c>
      <c r="F75" s="646" t="s">
        <v>1468</v>
      </c>
      <c r="G75" s="646" t="s">
        <v>262</v>
      </c>
      <c r="H75" s="1385">
        <v>65043</v>
      </c>
      <c r="I75" s="1376">
        <v>65043</v>
      </c>
      <c r="J75" s="989" t="s">
        <v>940</v>
      </c>
      <c r="K75" s="1211">
        <v>65054</v>
      </c>
      <c r="L75" s="52" t="s">
        <v>4277</v>
      </c>
      <c r="M75" s="147"/>
    </row>
    <row r="76" spans="1:13" ht="19.5">
      <c r="A76" s="1354">
        <f t="shared" si="2"/>
        <v>8</v>
      </c>
      <c r="B76" s="1355" t="s">
        <v>1131</v>
      </c>
      <c r="C76" s="1356">
        <v>11</v>
      </c>
      <c r="D76" s="1356">
        <v>45</v>
      </c>
      <c r="E76" s="59" t="s">
        <v>404</v>
      </c>
      <c r="F76" s="1352" t="s">
        <v>345</v>
      </c>
      <c r="G76" s="1358" t="s">
        <v>864</v>
      </c>
      <c r="H76" s="1353">
        <v>64865</v>
      </c>
      <c r="I76" s="1353">
        <v>64866</v>
      </c>
      <c r="J76" s="45" t="s">
        <v>806</v>
      </c>
      <c r="K76" s="53">
        <v>64880</v>
      </c>
      <c r="L76" s="55" t="s">
        <v>1134</v>
      </c>
      <c r="M76" s="147">
        <v>9863222375</v>
      </c>
    </row>
    <row r="77" spans="1:13" ht="18">
      <c r="A77" s="1354">
        <f t="shared" si="2"/>
        <v>9</v>
      </c>
      <c r="B77" s="182" t="s">
        <v>3861</v>
      </c>
      <c r="C77" s="1356" t="s">
        <v>1990</v>
      </c>
      <c r="D77" s="1354">
        <v>52</v>
      </c>
      <c r="E77" s="182" t="s">
        <v>48</v>
      </c>
      <c r="F77" s="789" t="s">
        <v>345</v>
      </c>
      <c r="G77" s="182" t="s">
        <v>262</v>
      </c>
      <c r="H77" s="1386">
        <v>65050</v>
      </c>
      <c r="I77" s="1387">
        <v>65050</v>
      </c>
      <c r="J77" s="1382" t="s">
        <v>940</v>
      </c>
      <c r="K77" s="1383">
        <v>65059</v>
      </c>
      <c r="L77" s="52" t="s">
        <v>2297</v>
      </c>
      <c r="M77" s="147"/>
    </row>
    <row r="78" spans="1:13" ht="26.25">
      <c r="A78" s="1354">
        <f t="shared" si="2"/>
        <v>10</v>
      </c>
      <c r="B78" s="139" t="s">
        <v>1988</v>
      </c>
      <c r="C78" s="1356" t="s">
        <v>1991</v>
      </c>
      <c r="D78" s="1354">
        <v>70</v>
      </c>
      <c r="E78" s="55" t="s">
        <v>433</v>
      </c>
      <c r="F78" s="147" t="s">
        <v>709</v>
      </c>
      <c r="G78" s="227" t="s">
        <v>54</v>
      </c>
      <c r="H78" s="147"/>
      <c r="I78" s="147"/>
      <c r="J78" s="52" t="s">
        <v>806</v>
      </c>
      <c r="K78" s="53">
        <v>65032</v>
      </c>
      <c r="L78" s="52"/>
      <c r="M78" s="147"/>
    </row>
    <row r="79" spans="1:13" ht="26.25">
      <c r="A79" s="1354">
        <f t="shared" si="2"/>
        <v>11</v>
      </c>
      <c r="B79" s="139" t="s">
        <v>1569</v>
      </c>
      <c r="C79" s="1356" t="s">
        <v>1991</v>
      </c>
      <c r="D79" s="1354">
        <v>46</v>
      </c>
      <c r="E79" s="55" t="s">
        <v>90</v>
      </c>
      <c r="F79" s="147" t="s">
        <v>53</v>
      </c>
      <c r="G79" s="227" t="s">
        <v>2009</v>
      </c>
      <c r="H79" s="1353">
        <v>65027</v>
      </c>
      <c r="I79" s="1353">
        <v>65027</v>
      </c>
      <c r="J79" s="52" t="s">
        <v>806</v>
      </c>
      <c r="K79" s="53">
        <v>65033</v>
      </c>
      <c r="L79" s="52" t="s">
        <v>2010</v>
      </c>
      <c r="M79" s="147"/>
    </row>
    <row r="80" spans="1:13" ht="18">
      <c r="A80" s="1354">
        <f t="shared" si="2"/>
        <v>12</v>
      </c>
      <c r="B80" s="130" t="s">
        <v>1866</v>
      </c>
      <c r="C80" s="1356" t="s">
        <v>1991</v>
      </c>
      <c r="D80" s="1354">
        <v>27</v>
      </c>
      <c r="E80" s="130" t="s">
        <v>48</v>
      </c>
      <c r="F80" s="227" t="s">
        <v>53</v>
      </c>
      <c r="G80" s="227" t="s">
        <v>1764</v>
      </c>
      <c r="H80" s="1335">
        <v>65031</v>
      </c>
      <c r="I80" s="1353">
        <v>65044</v>
      </c>
      <c r="J80" s="52" t="s">
        <v>940</v>
      </c>
      <c r="K80" s="1374">
        <v>65043</v>
      </c>
      <c r="L80" s="52" t="s">
        <v>2008</v>
      </c>
      <c r="M80" s="147"/>
    </row>
    <row r="81" spans="1:13" ht="18">
      <c r="A81" s="1354">
        <f t="shared" si="2"/>
        <v>13</v>
      </c>
      <c r="B81" s="130" t="s">
        <v>3295</v>
      </c>
      <c r="C81" s="1356" t="s">
        <v>1991</v>
      </c>
      <c r="D81" s="1354">
        <v>62</v>
      </c>
      <c r="E81" s="130" t="s">
        <v>48</v>
      </c>
      <c r="F81" s="147"/>
      <c r="G81" s="130" t="s">
        <v>3293</v>
      </c>
      <c r="H81" s="1353">
        <v>65044</v>
      </c>
      <c r="I81" s="1353">
        <v>65044</v>
      </c>
      <c r="J81" s="52" t="s">
        <v>940</v>
      </c>
      <c r="K81" s="53">
        <v>65044</v>
      </c>
      <c r="L81" s="52" t="s">
        <v>1134</v>
      </c>
      <c r="M81" s="147"/>
    </row>
    <row r="82" spans="1:13" ht="18">
      <c r="A82" s="1354">
        <f t="shared" si="2"/>
        <v>14</v>
      </c>
      <c r="B82" s="673" t="s">
        <v>2406</v>
      </c>
      <c r="C82" s="1356" t="s">
        <v>1991</v>
      </c>
      <c r="D82" s="1354">
        <v>78</v>
      </c>
      <c r="E82" s="642" t="s">
        <v>48</v>
      </c>
      <c r="F82" s="642" t="s">
        <v>1480</v>
      </c>
      <c r="G82" s="642" t="s">
        <v>4013</v>
      </c>
      <c r="H82" s="1381">
        <v>65038</v>
      </c>
      <c r="I82" s="1377">
        <v>65038</v>
      </c>
      <c r="J82" s="1382" t="s">
        <v>940</v>
      </c>
      <c r="K82" s="1383">
        <v>65052</v>
      </c>
      <c r="L82" s="52" t="s">
        <v>4014</v>
      </c>
      <c r="M82" s="147"/>
    </row>
    <row r="83" spans="1:13" ht="18">
      <c r="A83" s="1354">
        <f t="shared" si="2"/>
        <v>15</v>
      </c>
      <c r="B83" s="646" t="s">
        <v>3841</v>
      </c>
      <c r="C83" s="1356" t="s">
        <v>1991</v>
      </c>
      <c r="D83" s="1354">
        <v>73</v>
      </c>
      <c r="E83" s="646" t="s">
        <v>48</v>
      </c>
      <c r="F83" s="646" t="s">
        <v>1468</v>
      </c>
      <c r="G83" s="646" t="s">
        <v>119</v>
      </c>
      <c r="H83" s="1385">
        <v>65049</v>
      </c>
      <c r="I83" s="1376">
        <v>65049</v>
      </c>
      <c r="J83" s="989" t="s">
        <v>940</v>
      </c>
      <c r="K83" s="1211">
        <v>65053</v>
      </c>
      <c r="L83" s="52" t="s">
        <v>3432</v>
      </c>
      <c r="M83" s="147"/>
    </row>
    <row r="84" spans="1:13" ht="26.25">
      <c r="A84" s="1354">
        <f t="shared" si="2"/>
        <v>16</v>
      </c>
      <c r="B84" s="1239" t="s">
        <v>4401</v>
      </c>
      <c r="C84" s="1356" t="s">
        <v>1991</v>
      </c>
      <c r="D84" s="1354">
        <v>68</v>
      </c>
      <c r="E84" s="1239" t="s">
        <v>90</v>
      </c>
      <c r="F84" s="1246" t="s">
        <v>1468</v>
      </c>
      <c r="G84" s="1239" t="s">
        <v>54</v>
      </c>
      <c r="H84" s="1247">
        <v>65058</v>
      </c>
      <c r="I84" s="1247">
        <v>65058</v>
      </c>
      <c r="J84" s="1185" t="s">
        <v>940</v>
      </c>
      <c r="K84" s="1188">
        <v>65061</v>
      </c>
      <c r="L84" s="52" t="s">
        <v>4481</v>
      </c>
      <c r="M84" s="147"/>
    </row>
    <row r="85" spans="1:13" ht="26.25">
      <c r="A85" s="1354">
        <f t="shared" si="2"/>
        <v>17</v>
      </c>
      <c r="B85" s="1239" t="s">
        <v>4437</v>
      </c>
      <c r="C85" s="1356" t="s">
        <v>1991</v>
      </c>
      <c r="D85" s="1354">
        <v>52</v>
      </c>
      <c r="E85" s="1239" t="s">
        <v>90</v>
      </c>
      <c r="F85" s="1246" t="s">
        <v>53</v>
      </c>
      <c r="G85" s="1239" t="s">
        <v>54</v>
      </c>
      <c r="H85" s="1247">
        <v>65059</v>
      </c>
      <c r="I85" s="1247">
        <v>65059</v>
      </c>
      <c r="J85" s="1185" t="s">
        <v>940</v>
      </c>
      <c r="K85" s="1188">
        <v>65063</v>
      </c>
      <c r="L85" s="52" t="s">
        <v>4522</v>
      </c>
      <c r="M85" s="147"/>
    </row>
    <row r="86" spans="1:13" ht="26.25">
      <c r="A86" s="1354">
        <f t="shared" si="2"/>
        <v>18</v>
      </c>
      <c r="B86" s="130" t="s">
        <v>4408</v>
      </c>
      <c r="C86" s="1356" t="s">
        <v>1992</v>
      </c>
      <c r="D86" s="1354">
        <v>22</v>
      </c>
      <c r="E86" s="130" t="s">
        <v>90</v>
      </c>
      <c r="F86" s="227" t="s">
        <v>1480</v>
      </c>
      <c r="G86" s="1239" t="s">
        <v>54</v>
      </c>
      <c r="H86" s="1335">
        <v>65058</v>
      </c>
      <c r="I86" s="1335">
        <v>65058</v>
      </c>
      <c r="J86" s="989" t="s">
        <v>940</v>
      </c>
      <c r="K86" s="1211">
        <v>65060</v>
      </c>
      <c r="L86" s="52" t="s">
        <v>1134</v>
      </c>
      <c r="M86" s="147"/>
    </row>
    <row r="87" spans="1:13" ht="18">
      <c r="A87" s="1354">
        <f t="shared" si="2"/>
        <v>19</v>
      </c>
      <c r="B87" s="130" t="s">
        <v>3640</v>
      </c>
      <c r="C87" s="1356" t="s">
        <v>1993</v>
      </c>
      <c r="D87" s="1354">
        <v>55</v>
      </c>
      <c r="E87" s="130" t="s">
        <v>48</v>
      </c>
      <c r="F87" s="227" t="s">
        <v>53</v>
      </c>
      <c r="G87" s="1335" t="s">
        <v>119</v>
      </c>
      <c r="H87" s="1335">
        <v>65047</v>
      </c>
      <c r="I87" s="1335"/>
      <c r="J87" s="52" t="s">
        <v>940</v>
      </c>
      <c r="K87" s="53">
        <v>65048</v>
      </c>
      <c r="L87" s="707" t="s">
        <v>3744</v>
      </c>
      <c r="M87" s="147"/>
    </row>
    <row r="88" spans="1:13" ht="25.5">
      <c r="A88" s="1354">
        <f t="shared" si="2"/>
        <v>20</v>
      </c>
      <c r="B88" s="670" t="s">
        <v>3662</v>
      </c>
      <c r="C88" s="1356" t="s">
        <v>1993</v>
      </c>
      <c r="D88" s="1354">
        <v>30</v>
      </c>
      <c r="E88" s="646" t="s">
        <v>90</v>
      </c>
      <c r="F88" s="646" t="s">
        <v>1480</v>
      </c>
      <c r="G88" s="642" t="s">
        <v>2009</v>
      </c>
      <c r="H88" s="1385">
        <v>65047</v>
      </c>
      <c r="I88" s="1376">
        <v>65047</v>
      </c>
      <c r="J88" s="989" t="s">
        <v>940</v>
      </c>
      <c r="K88" s="1211">
        <v>65055</v>
      </c>
      <c r="L88" s="52"/>
      <c r="M88" s="147"/>
    </row>
    <row r="89" spans="1:13" ht="18">
      <c r="A89" s="1354">
        <f t="shared" si="2"/>
        <v>21</v>
      </c>
      <c r="B89" s="130" t="s">
        <v>4251</v>
      </c>
      <c r="C89" s="1356" t="s">
        <v>1993</v>
      </c>
      <c r="D89" s="1354">
        <v>30</v>
      </c>
      <c r="E89" s="130" t="s">
        <v>90</v>
      </c>
      <c r="F89" s="227" t="s">
        <v>1459</v>
      </c>
      <c r="G89" s="227" t="s">
        <v>2336</v>
      </c>
      <c r="H89" s="1335">
        <v>65054</v>
      </c>
      <c r="I89" s="1335">
        <v>65054</v>
      </c>
      <c r="J89" s="989" t="s">
        <v>940</v>
      </c>
      <c r="K89" s="1211">
        <v>65057</v>
      </c>
      <c r="L89" s="52"/>
      <c r="M89" s="147"/>
    </row>
    <row r="90" spans="1:13" ht="18">
      <c r="A90" s="1354">
        <f t="shared" si="2"/>
        <v>22</v>
      </c>
      <c r="B90" s="802" t="s">
        <v>4082</v>
      </c>
      <c r="C90" s="1356" t="s">
        <v>1993</v>
      </c>
      <c r="D90" s="1354">
        <v>24</v>
      </c>
      <c r="E90" s="802" t="s">
        <v>90</v>
      </c>
      <c r="F90" s="1394" t="s">
        <v>262</v>
      </c>
      <c r="G90" s="802" t="s">
        <v>262</v>
      </c>
      <c r="H90" s="1388">
        <v>65052</v>
      </c>
      <c r="I90" s="1388">
        <v>65052</v>
      </c>
      <c r="J90" s="989" t="s">
        <v>940</v>
      </c>
      <c r="K90" s="1211">
        <v>65062</v>
      </c>
      <c r="L90" s="52" t="s">
        <v>4520</v>
      </c>
      <c r="M90" s="147"/>
    </row>
    <row r="91" spans="1:13" ht="18">
      <c r="A91" s="1354">
        <f t="shared" si="2"/>
        <v>23</v>
      </c>
      <c r="B91" s="1367" t="s">
        <v>2298</v>
      </c>
      <c r="C91" s="1356" t="s">
        <v>1994</v>
      </c>
      <c r="D91" s="1354">
        <v>75</v>
      </c>
      <c r="E91" s="130" t="s">
        <v>90</v>
      </c>
      <c r="F91" s="147" t="s">
        <v>53</v>
      </c>
      <c r="G91" s="147" t="s">
        <v>1338</v>
      </c>
      <c r="H91" s="1335"/>
      <c r="I91" s="1335"/>
      <c r="J91" s="52" t="s">
        <v>940</v>
      </c>
      <c r="K91" s="53">
        <v>65036</v>
      </c>
      <c r="L91" s="52" t="s">
        <v>2299</v>
      </c>
      <c r="M91" s="147"/>
    </row>
    <row r="92" spans="1:13" ht="18">
      <c r="A92" s="1354">
        <f t="shared" si="2"/>
        <v>24</v>
      </c>
      <c r="B92" s="1339" t="s">
        <v>5090</v>
      </c>
      <c r="C92" s="1468">
        <v>15</v>
      </c>
      <c r="D92" s="1339">
        <v>45</v>
      </c>
      <c r="E92" s="1339" t="s">
        <v>48</v>
      </c>
      <c r="F92" s="1340" t="s">
        <v>4556</v>
      </c>
      <c r="G92" s="1339" t="s">
        <v>1764</v>
      </c>
      <c r="H92" s="1409">
        <v>65127</v>
      </c>
      <c r="I92" s="1409">
        <v>65127</v>
      </c>
      <c r="J92" s="659" t="s">
        <v>940</v>
      </c>
      <c r="K92" s="1329" t="s">
        <v>5143</v>
      </c>
      <c r="L92" s="52"/>
      <c r="M92" s="52"/>
    </row>
    <row r="93" spans="1:13" ht="19.5">
      <c r="A93" s="1354">
        <f t="shared" si="2"/>
        <v>25</v>
      </c>
      <c r="B93" s="1355" t="s">
        <v>1129</v>
      </c>
      <c r="C93" s="1356">
        <v>16</v>
      </c>
      <c r="D93" s="1356">
        <v>26</v>
      </c>
      <c r="E93" s="59" t="s">
        <v>404</v>
      </c>
      <c r="F93" s="1352" t="s">
        <v>345</v>
      </c>
      <c r="G93" s="1358" t="s">
        <v>864</v>
      </c>
      <c r="H93" s="1353">
        <v>64871</v>
      </c>
      <c r="I93" s="1353">
        <v>64872</v>
      </c>
      <c r="J93" s="45" t="s">
        <v>806</v>
      </c>
      <c r="K93" s="53">
        <v>64881</v>
      </c>
      <c r="L93" s="55" t="s">
        <v>1130</v>
      </c>
      <c r="M93" s="147">
        <v>9857878780</v>
      </c>
    </row>
    <row r="94" spans="1:13" ht="26.25">
      <c r="A94" s="1354">
        <f t="shared" si="2"/>
        <v>26</v>
      </c>
      <c r="B94" s="707" t="s">
        <v>3553</v>
      </c>
      <c r="C94" s="1356" t="s">
        <v>1995</v>
      </c>
      <c r="D94" s="1354">
        <v>78</v>
      </c>
      <c r="E94" s="130" t="s">
        <v>48</v>
      </c>
      <c r="F94" s="227" t="s">
        <v>1763</v>
      </c>
      <c r="G94" s="130" t="s">
        <v>3291</v>
      </c>
      <c r="H94" s="1353">
        <v>65045</v>
      </c>
      <c r="I94" s="1353">
        <v>65045</v>
      </c>
      <c r="J94" s="707" t="s">
        <v>940</v>
      </c>
      <c r="K94" s="1375">
        <v>65017</v>
      </c>
      <c r="L94" s="707" t="s">
        <v>3575</v>
      </c>
      <c r="M94" s="147"/>
    </row>
    <row r="95" spans="1:13" ht="18">
      <c r="A95" s="1354">
        <f t="shared" si="2"/>
        <v>27</v>
      </c>
      <c r="B95" s="130" t="s">
        <v>2937</v>
      </c>
      <c r="C95" s="1356" t="s">
        <v>1995</v>
      </c>
      <c r="D95" s="1354">
        <v>36</v>
      </c>
      <c r="E95" s="130" t="s">
        <v>48</v>
      </c>
      <c r="F95" s="227"/>
      <c r="G95" s="130" t="s">
        <v>119</v>
      </c>
      <c r="H95" s="1335">
        <v>65042</v>
      </c>
      <c r="I95" s="1335">
        <v>65042</v>
      </c>
      <c r="J95" s="52" t="s">
        <v>940</v>
      </c>
      <c r="K95" s="53">
        <v>65042</v>
      </c>
      <c r="L95" s="52" t="s">
        <v>2300</v>
      </c>
      <c r="M95" s="147"/>
    </row>
    <row r="96" spans="1:13" ht="18">
      <c r="A96" s="1354">
        <f t="shared" si="2"/>
        <v>28</v>
      </c>
      <c r="B96" s="52" t="s">
        <v>4517</v>
      </c>
      <c r="C96" s="1356" t="s">
        <v>1995</v>
      </c>
      <c r="D96" s="1354">
        <v>83</v>
      </c>
      <c r="E96" s="646" t="s">
        <v>48</v>
      </c>
      <c r="F96" s="147"/>
      <c r="G96" s="52" t="s">
        <v>4513</v>
      </c>
      <c r="H96" s="1353">
        <v>65061</v>
      </c>
      <c r="I96" s="1353">
        <v>65061</v>
      </c>
      <c r="J96" s="1185" t="s">
        <v>940</v>
      </c>
      <c r="K96" s="53">
        <v>65062</v>
      </c>
      <c r="L96" s="52" t="s">
        <v>3373</v>
      </c>
      <c r="M96" s="147"/>
    </row>
    <row r="97" spans="1:13" ht="19.5">
      <c r="A97" s="1354">
        <f t="shared" si="2"/>
        <v>29</v>
      </c>
      <c r="B97" s="1355" t="s">
        <v>1146</v>
      </c>
      <c r="C97" s="1356">
        <v>17</v>
      </c>
      <c r="D97" s="1356">
        <v>80</v>
      </c>
      <c r="E97" s="59" t="s">
        <v>404</v>
      </c>
      <c r="F97" s="1393" t="s">
        <v>1147</v>
      </c>
      <c r="G97" s="1358" t="s">
        <v>864</v>
      </c>
      <c r="H97" s="1353">
        <v>64879</v>
      </c>
      <c r="I97" s="1353">
        <v>64879</v>
      </c>
      <c r="J97" s="45" t="s">
        <v>806</v>
      </c>
      <c r="K97" s="53">
        <v>64885</v>
      </c>
      <c r="L97" s="55" t="s">
        <v>1024</v>
      </c>
      <c r="M97" s="147"/>
    </row>
    <row r="98" spans="1:13" ht="18">
      <c r="A98" s="1354">
        <f t="shared" si="2"/>
        <v>30</v>
      </c>
      <c r="B98" s="139" t="s">
        <v>2219</v>
      </c>
      <c r="C98" s="1356" t="s">
        <v>1996</v>
      </c>
      <c r="D98" s="1354">
        <v>41</v>
      </c>
      <c r="E98" s="1365" t="s">
        <v>48</v>
      </c>
      <c r="F98" s="227" t="s">
        <v>53</v>
      </c>
      <c r="G98" s="130" t="s">
        <v>119</v>
      </c>
      <c r="H98" s="1335">
        <v>65036</v>
      </c>
      <c r="I98" s="227"/>
      <c r="J98" s="52" t="s">
        <v>940</v>
      </c>
      <c r="K98" s="53">
        <v>65036</v>
      </c>
      <c r="L98" s="52" t="s">
        <v>2297</v>
      </c>
      <c r="M98" s="147"/>
    </row>
    <row r="99" spans="1:13" ht="18">
      <c r="A99" s="1354">
        <f t="shared" si="2"/>
        <v>31</v>
      </c>
      <c r="B99" s="130" t="s">
        <v>2273</v>
      </c>
      <c r="C99" s="1356" t="s">
        <v>1996</v>
      </c>
      <c r="D99" s="1354">
        <v>55</v>
      </c>
      <c r="E99" s="130" t="s">
        <v>90</v>
      </c>
      <c r="F99" s="227" t="s">
        <v>53</v>
      </c>
      <c r="G99" s="130" t="s">
        <v>119</v>
      </c>
      <c r="H99" s="1335">
        <v>65036</v>
      </c>
      <c r="I99" s="147"/>
      <c r="J99" s="52" t="s">
        <v>940</v>
      </c>
      <c r="K99" s="1366">
        <v>65042</v>
      </c>
      <c r="L99" s="52"/>
      <c r="M99" s="147"/>
    </row>
    <row r="100" spans="1:13" ht="18">
      <c r="A100" s="1354">
        <f t="shared" si="2"/>
        <v>32</v>
      </c>
      <c r="B100" s="130" t="s">
        <v>1581</v>
      </c>
      <c r="C100" s="1356" t="s">
        <v>1996</v>
      </c>
      <c r="D100" s="1354">
        <v>78</v>
      </c>
      <c r="E100" s="130" t="s">
        <v>48</v>
      </c>
      <c r="F100" s="147"/>
      <c r="G100" s="130" t="s">
        <v>119</v>
      </c>
      <c r="H100" s="1353">
        <v>65043</v>
      </c>
      <c r="I100" s="1353">
        <v>65043</v>
      </c>
      <c r="J100" s="52" t="s">
        <v>940</v>
      </c>
      <c r="K100" s="53">
        <v>65044</v>
      </c>
      <c r="L100" s="52" t="s">
        <v>2300</v>
      </c>
      <c r="M100" s="147"/>
    </row>
    <row r="101" spans="1:13" ht="19.5">
      <c r="A101" s="1354">
        <f t="shared" si="2"/>
        <v>33</v>
      </c>
      <c r="B101" s="1355" t="s">
        <v>810</v>
      </c>
      <c r="C101" s="1356">
        <v>18</v>
      </c>
      <c r="D101" s="1356">
        <v>53</v>
      </c>
      <c r="E101" s="1357" t="s">
        <v>3</v>
      </c>
      <c r="F101" s="1358" t="s">
        <v>811</v>
      </c>
      <c r="G101" s="1358" t="s">
        <v>813</v>
      </c>
      <c r="H101" s="659"/>
      <c r="I101" s="659"/>
      <c r="J101" s="45" t="s">
        <v>806</v>
      </c>
      <c r="K101" s="53">
        <v>64838</v>
      </c>
      <c r="L101" s="54" t="s">
        <v>824</v>
      </c>
      <c r="M101" s="659">
        <v>9857864693</v>
      </c>
    </row>
    <row r="102" spans="1:13" ht="30">
      <c r="A102" s="1354">
        <f t="shared" si="2"/>
        <v>34</v>
      </c>
      <c r="B102" s="1355" t="s">
        <v>817</v>
      </c>
      <c r="C102" s="1356">
        <v>18</v>
      </c>
      <c r="D102" s="1356">
        <v>70</v>
      </c>
      <c r="E102" s="1357" t="s">
        <v>3</v>
      </c>
      <c r="F102" s="1358" t="s">
        <v>829</v>
      </c>
      <c r="G102" s="1358" t="s">
        <v>820</v>
      </c>
      <c r="H102" s="1359">
        <v>64845</v>
      </c>
      <c r="I102" s="1359">
        <v>64846</v>
      </c>
      <c r="J102" s="45" t="s">
        <v>806</v>
      </c>
      <c r="K102" s="53">
        <v>64846</v>
      </c>
      <c r="L102" s="1360" t="s">
        <v>825</v>
      </c>
      <c r="M102" s="1390" t="s">
        <v>826</v>
      </c>
    </row>
    <row r="103" spans="1:13" ht="19.5">
      <c r="A103" s="1354">
        <f t="shared" si="2"/>
        <v>35</v>
      </c>
      <c r="B103" s="1355" t="s">
        <v>1139</v>
      </c>
      <c r="C103" s="1356">
        <v>18</v>
      </c>
      <c r="D103" s="1356">
        <v>73</v>
      </c>
      <c r="E103" s="59" t="s">
        <v>404</v>
      </c>
      <c r="F103" s="1358" t="s">
        <v>829</v>
      </c>
      <c r="G103" s="1358" t="s">
        <v>864</v>
      </c>
      <c r="H103" s="1353">
        <v>64877</v>
      </c>
      <c r="I103" s="1353">
        <v>64877</v>
      </c>
      <c r="J103" s="45" t="s">
        <v>806</v>
      </c>
      <c r="K103" s="53">
        <v>64882</v>
      </c>
      <c r="L103" s="55" t="s">
        <v>1138</v>
      </c>
      <c r="M103" s="147">
        <v>9847845457</v>
      </c>
    </row>
    <row r="104" spans="1:13" ht="18">
      <c r="A104" s="1354">
        <f t="shared" si="2"/>
        <v>36</v>
      </c>
      <c r="B104" s="130" t="s">
        <v>3429</v>
      </c>
      <c r="C104" s="1356" t="s">
        <v>1997</v>
      </c>
      <c r="D104" s="1354">
        <v>51</v>
      </c>
      <c r="E104" s="130" t="s">
        <v>90</v>
      </c>
      <c r="F104" s="227" t="s">
        <v>1480</v>
      </c>
      <c r="G104" s="130" t="s">
        <v>119</v>
      </c>
      <c r="H104" s="1335">
        <v>65046</v>
      </c>
      <c r="I104" s="1335">
        <v>65046</v>
      </c>
      <c r="J104" s="707" t="s">
        <v>940</v>
      </c>
      <c r="K104" s="1375">
        <v>65017</v>
      </c>
      <c r="L104" s="707" t="s">
        <v>3432</v>
      </c>
      <c r="M104" s="147"/>
    </row>
    <row r="105" spans="1:13" ht="18">
      <c r="A105" s="1354">
        <f t="shared" si="2"/>
        <v>37</v>
      </c>
      <c r="B105" s="800" t="s">
        <v>2201</v>
      </c>
      <c r="C105" s="1356" t="s">
        <v>1997</v>
      </c>
      <c r="D105" s="1354">
        <v>56</v>
      </c>
      <c r="E105" s="801" t="s">
        <v>48</v>
      </c>
      <c r="F105" s="801" t="s">
        <v>53</v>
      </c>
      <c r="G105" s="801" t="s">
        <v>119</v>
      </c>
      <c r="H105" s="1378">
        <v>65035</v>
      </c>
      <c r="I105" s="1378">
        <v>65035</v>
      </c>
      <c r="J105" s="989" t="s">
        <v>940</v>
      </c>
      <c r="K105" s="1211">
        <v>65049</v>
      </c>
      <c r="L105" s="52"/>
      <c r="M105" s="147"/>
    </row>
    <row r="106" spans="1:13" ht="18">
      <c r="A106" s="1354">
        <f t="shared" si="2"/>
        <v>38</v>
      </c>
      <c r="B106" s="801" t="s">
        <v>2823</v>
      </c>
      <c r="C106" s="1356" t="s">
        <v>1997</v>
      </c>
      <c r="D106" s="1354">
        <v>55</v>
      </c>
      <c r="E106" s="801" t="s">
        <v>48</v>
      </c>
      <c r="F106" s="801" t="s">
        <v>1468</v>
      </c>
      <c r="G106" s="801" t="s">
        <v>262</v>
      </c>
      <c r="H106" s="1200">
        <v>65041</v>
      </c>
      <c r="I106" s="1201">
        <v>65041</v>
      </c>
      <c r="J106" s="1185" t="s">
        <v>940</v>
      </c>
      <c r="K106" s="1188">
        <v>65057</v>
      </c>
      <c r="L106" s="52"/>
      <c r="M106" s="147"/>
    </row>
    <row r="107" spans="1:13" s="51" customFormat="1" ht="18">
      <c r="A107" s="1354">
        <f t="shared" si="2"/>
        <v>39</v>
      </c>
      <c r="B107" s="1239" t="s">
        <v>4434</v>
      </c>
      <c r="C107" s="1356" t="s">
        <v>1997</v>
      </c>
      <c r="D107" s="1354">
        <v>54</v>
      </c>
      <c r="E107" s="1239" t="s">
        <v>48</v>
      </c>
      <c r="F107" s="1246" t="s">
        <v>1468</v>
      </c>
      <c r="G107" s="1239" t="s">
        <v>2648</v>
      </c>
      <c r="H107" s="1389">
        <v>65059</v>
      </c>
      <c r="I107" s="1389">
        <v>65059</v>
      </c>
      <c r="J107" s="1185" t="s">
        <v>940</v>
      </c>
      <c r="K107" s="1188">
        <v>65091</v>
      </c>
      <c r="L107" s="52" t="s">
        <v>4836</v>
      </c>
      <c r="M107" s="147"/>
    </row>
    <row r="108" spans="1:13" s="51" customFormat="1" ht="18">
      <c r="A108" s="1354">
        <f t="shared" si="2"/>
        <v>40</v>
      </c>
      <c r="B108" s="1368" t="s">
        <v>2148</v>
      </c>
      <c r="C108" s="1356" t="s">
        <v>1998</v>
      </c>
      <c r="D108" s="1354">
        <v>45</v>
      </c>
      <c r="E108" s="130" t="s">
        <v>48</v>
      </c>
      <c r="F108" s="1372" t="s">
        <v>709</v>
      </c>
      <c r="G108" s="147" t="s">
        <v>1192</v>
      </c>
      <c r="H108" s="1335">
        <v>65034</v>
      </c>
      <c r="I108" s="1335">
        <v>65034</v>
      </c>
      <c r="J108" s="52" t="s">
        <v>940</v>
      </c>
      <c r="K108" s="1366">
        <v>65042</v>
      </c>
      <c r="L108" s="52" t="s">
        <v>1749</v>
      </c>
      <c r="M108" s="147"/>
    </row>
    <row r="109" spans="1:13" s="51" customFormat="1" ht="18">
      <c r="A109" s="1354">
        <f t="shared" si="2"/>
        <v>41</v>
      </c>
      <c r="B109" s="1368" t="s">
        <v>2161</v>
      </c>
      <c r="C109" s="1356" t="s">
        <v>1998</v>
      </c>
      <c r="D109" s="1354">
        <v>49</v>
      </c>
      <c r="E109" s="130" t="s">
        <v>90</v>
      </c>
      <c r="F109" s="1372" t="s">
        <v>709</v>
      </c>
      <c r="G109" s="147" t="s">
        <v>1192</v>
      </c>
      <c r="H109" s="1335">
        <v>65034</v>
      </c>
      <c r="I109" s="1335">
        <v>65034</v>
      </c>
      <c r="J109" s="52" t="s">
        <v>940</v>
      </c>
      <c r="K109" s="53">
        <v>65044</v>
      </c>
      <c r="L109" s="52" t="s">
        <v>3294</v>
      </c>
      <c r="M109" s="147"/>
    </row>
    <row r="110" spans="1:13" s="51" customFormat="1" ht="18">
      <c r="A110" s="1354">
        <f t="shared" si="2"/>
        <v>42</v>
      </c>
      <c r="B110" s="646" t="s">
        <v>3836</v>
      </c>
      <c r="C110" s="1356" t="s">
        <v>1998</v>
      </c>
      <c r="D110" s="1354">
        <v>78</v>
      </c>
      <c r="E110" s="646" t="s">
        <v>48</v>
      </c>
      <c r="F110" s="646" t="s">
        <v>1468</v>
      </c>
      <c r="G110" s="646" t="s">
        <v>119</v>
      </c>
      <c r="H110" s="1376">
        <v>65049</v>
      </c>
      <c r="I110" s="1376">
        <v>65049</v>
      </c>
      <c r="J110" s="989" t="s">
        <v>940</v>
      </c>
      <c r="K110" s="1211">
        <v>65050</v>
      </c>
      <c r="L110" s="52"/>
      <c r="M110" s="147"/>
    </row>
  </sheetData>
  <sortState ref="A2:M110">
    <sortCondition ref="C2:C110"/>
  </sortState>
  <conditionalFormatting sqref="B58">
    <cfRule type="duplicateValues" dxfId="116" priority="101"/>
  </conditionalFormatting>
  <conditionalFormatting sqref="B59">
    <cfRule type="duplicateValues" dxfId="115" priority="100"/>
  </conditionalFormatting>
  <conditionalFormatting sqref="B62">
    <cfRule type="duplicateValues" dxfId="114" priority="99"/>
  </conditionalFormatting>
  <conditionalFormatting sqref="B65">
    <cfRule type="duplicateValues" dxfId="113" priority="98"/>
  </conditionalFormatting>
  <conditionalFormatting sqref="B85">
    <cfRule type="duplicateValues" dxfId="112" priority="97"/>
  </conditionalFormatting>
  <conditionalFormatting sqref="B85">
    <cfRule type="duplicateValues" dxfId="111" priority="96"/>
  </conditionalFormatting>
  <conditionalFormatting sqref="B86">
    <cfRule type="duplicateValues" dxfId="110" priority="95"/>
  </conditionalFormatting>
  <conditionalFormatting sqref="B86">
    <cfRule type="duplicateValues" dxfId="109" priority="93"/>
    <cfRule type="duplicateValues" dxfId="108" priority="94"/>
  </conditionalFormatting>
  <conditionalFormatting sqref="B87">
    <cfRule type="duplicateValues" dxfId="107" priority="92"/>
  </conditionalFormatting>
  <conditionalFormatting sqref="B87">
    <cfRule type="duplicateValues" dxfId="106" priority="90"/>
    <cfRule type="duplicateValues" dxfId="105" priority="91"/>
  </conditionalFormatting>
  <conditionalFormatting sqref="B88">
    <cfRule type="duplicateValues" dxfId="104" priority="89"/>
  </conditionalFormatting>
  <conditionalFormatting sqref="B88">
    <cfRule type="duplicateValues" dxfId="103" priority="87"/>
    <cfRule type="duplicateValues" dxfId="102" priority="88"/>
  </conditionalFormatting>
  <conditionalFormatting sqref="B88">
    <cfRule type="duplicateValues" dxfId="101" priority="86"/>
  </conditionalFormatting>
  <conditionalFormatting sqref="B89">
    <cfRule type="duplicateValues" dxfId="100" priority="85"/>
  </conditionalFormatting>
  <conditionalFormatting sqref="B89">
    <cfRule type="duplicateValues" dxfId="99" priority="83"/>
    <cfRule type="duplicateValues" dxfId="98" priority="84"/>
  </conditionalFormatting>
  <conditionalFormatting sqref="B89">
    <cfRule type="duplicateValues" dxfId="97" priority="82"/>
  </conditionalFormatting>
  <conditionalFormatting sqref="B90">
    <cfRule type="duplicateValues" dxfId="96" priority="81"/>
  </conditionalFormatting>
  <conditionalFormatting sqref="B90">
    <cfRule type="duplicateValues" dxfId="95" priority="79"/>
    <cfRule type="duplicateValues" dxfId="94" priority="80"/>
  </conditionalFormatting>
  <conditionalFormatting sqref="B90">
    <cfRule type="duplicateValues" dxfId="93" priority="78"/>
  </conditionalFormatting>
  <conditionalFormatting sqref="B91">
    <cfRule type="duplicateValues" dxfId="92" priority="77"/>
  </conditionalFormatting>
  <conditionalFormatting sqref="B91">
    <cfRule type="duplicateValues" dxfId="91" priority="75"/>
    <cfRule type="duplicateValues" dxfId="90" priority="76"/>
  </conditionalFormatting>
  <conditionalFormatting sqref="B91">
    <cfRule type="duplicateValues" dxfId="89" priority="74"/>
  </conditionalFormatting>
  <conditionalFormatting sqref="B92">
    <cfRule type="duplicateValues" dxfId="88" priority="73"/>
  </conditionalFormatting>
  <conditionalFormatting sqref="B92">
    <cfRule type="duplicateValues" dxfId="87" priority="71"/>
    <cfRule type="duplicateValues" dxfId="86" priority="72"/>
  </conditionalFormatting>
  <conditionalFormatting sqref="B92">
    <cfRule type="duplicateValues" dxfId="85" priority="70"/>
  </conditionalFormatting>
  <conditionalFormatting sqref="B93">
    <cfRule type="duplicateValues" dxfId="84" priority="69"/>
  </conditionalFormatting>
  <conditionalFormatting sqref="B93">
    <cfRule type="duplicateValues" dxfId="83" priority="67"/>
    <cfRule type="duplicateValues" dxfId="82" priority="68"/>
  </conditionalFormatting>
  <conditionalFormatting sqref="B93">
    <cfRule type="duplicateValues" dxfId="81" priority="66"/>
  </conditionalFormatting>
  <conditionalFormatting sqref="B95">
    <cfRule type="duplicateValues" dxfId="80" priority="65"/>
  </conditionalFormatting>
  <conditionalFormatting sqref="B95">
    <cfRule type="duplicateValues" dxfId="79" priority="63"/>
    <cfRule type="duplicateValues" dxfId="78" priority="64"/>
  </conditionalFormatting>
  <conditionalFormatting sqref="B95">
    <cfRule type="duplicateValues" dxfId="77" priority="62"/>
  </conditionalFormatting>
  <conditionalFormatting sqref="B98">
    <cfRule type="duplicateValues" dxfId="76" priority="61"/>
  </conditionalFormatting>
  <conditionalFormatting sqref="B98">
    <cfRule type="duplicateValues" dxfId="75" priority="59"/>
    <cfRule type="duplicateValues" dxfId="74" priority="60"/>
  </conditionalFormatting>
  <conditionalFormatting sqref="B98">
    <cfRule type="duplicateValues" dxfId="73" priority="58"/>
  </conditionalFormatting>
  <conditionalFormatting sqref="B99">
    <cfRule type="duplicateValues" dxfId="72" priority="57"/>
  </conditionalFormatting>
  <conditionalFormatting sqref="B99">
    <cfRule type="duplicateValues" dxfId="71" priority="55"/>
    <cfRule type="duplicateValues" dxfId="70" priority="56"/>
  </conditionalFormatting>
  <conditionalFormatting sqref="B99">
    <cfRule type="duplicateValues" dxfId="69" priority="54"/>
  </conditionalFormatting>
  <conditionalFormatting sqref="B100">
    <cfRule type="duplicateValues" dxfId="68" priority="53"/>
  </conditionalFormatting>
  <conditionalFormatting sqref="B100">
    <cfRule type="duplicateValues" dxfId="67" priority="51"/>
    <cfRule type="duplicateValues" dxfId="66" priority="52"/>
  </conditionalFormatting>
  <conditionalFormatting sqref="B100">
    <cfRule type="duplicateValues" dxfId="65" priority="50"/>
  </conditionalFormatting>
  <conditionalFormatting sqref="B101">
    <cfRule type="duplicateValues" dxfId="64" priority="49"/>
  </conditionalFormatting>
  <conditionalFormatting sqref="B101">
    <cfRule type="duplicateValues" dxfId="63" priority="47"/>
    <cfRule type="duplicateValues" dxfId="62" priority="48"/>
  </conditionalFormatting>
  <conditionalFormatting sqref="B101">
    <cfRule type="duplicateValues" dxfId="61" priority="46"/>
  </conditionalFormatting>
  <conditionalFormatting sqref="B102">
    <cfRule type="duplicateValues" dxfId="60" priority="45"/>
  </conditionalFormatting>
  <conditionalFormatting sqref="B102">
    <cfRule type="duplicateValues" dxfId="59" priority="43"/>
    <cfRule type="duplicateValues" dxfId="58" priority="44"/>
  </conditionalFormatting>
  <conditionalFormatting sqref="B102">
    <cfRule type="duplicateValues" dxfId="57" priority="42"/>
  </conditionalFormatting>
  <conditionalFormatting sqref="B103">
    <cfRule type="duplicateValues" dxfId="56" priority="41"/>
  </conditionalFormatting>
  <conditionalFormatting sqref="B103">
    <cfRule type="duplicateValues" dxfId="55" priority="39"/>
    <cfRule type="duplicateValues" dxfId="54" priority="40"/>
  </conditionalFormatting>
  <conditionalFormatting sqref="B103">
    <cfRule type="duplicateValues" dxfId="53" priority="38"/>
  </conditionalFormatting>
  <conditionalFormatting sqref="B104">
    <cfRule type="duplicateValues" dxfId="52" priority="37"/>
  </conditionalFormatting>
  <conditionalFormatting sqref="B104">
    <cfRule type="duplicateValues" dxfId="51" priority="35"/>
    <cfRule type="duplicateValues" dxfId="50" priority="36"/>
  </conditionalFormatting>
  <conditionalFormatting sqref="B104">
    <cfRule type="duplicateValues" dxfId="49" priority="34"/>
  </conditionalFormatting>
  <conditionalFormatting sqref="B105">
    <cfRule type="duplicateValues" dxfId="48" priority="33"/>
  </conditionalFormatting>
  <conditionalFormatting sqref="B105">
    <cfRule type="duplicateValues" dxfId="47" priority="31"/>
    <cfRule type="duplicateValues" dxfId="46" priority="32"/>
  </conditionalFormatting>
  <conditionalFormatting sqref="B105">
    <cfRule type="duplicateValues" dxfId="45" priority="30"/>
  </conditionalFormatting>
  <conditionalFormatting sqref="B106">
    <cfRule type="duplicateValues" dxfId="44" priority="26"/>
  </conditionalFormatting>
  <conditionalFormatting sqref="B106">
    <cfRule type="duplicateValues" dxfId="43" priority="27"/>
    <cfRule type="duplicateValues" dxfId="42" priority="28"/>
  </conditionalFormatting>
  <conditionalFormatting sqref="B106">
    <cfRule type="duplicateValues" dxfId="41" priority="29"/>
  </conditionalFormatting>
  <conditionalFormatting sqref="B1:B106 B111:B1048576">
    <cfRule type="duplicateValues" dxfId="40" priority="25"/>
  </conditionalFormatting>
  <conditionalFormatting sqref="B107">
    <cfRule type="duplicateValues" dxfId="39" priority="21"/>
  </conditionalFormatting>
  <conditionalFormatting sqref="B107">
    <cfRule type="duplicateValues" dxfId="38" priority="22"/>
    <cfRule type="duplicateValues" dxfId="37" priority="23"/>
  </conditionalFormatting>
  <conditionalFormatting sqref="B107">
    <cfRule type="duplicateValues" dxfId="36" priority="24"/>
  </conditionalFormatting>
  <conditionalFormatting sqref="B107">
    <cfRule type="duplicateValues" dxfId="35" priority="19"/>
    <cfRule type="duplicateValues" dxfId="34" priority="20"/>
  </conditionalFormatting>
  <conditionalFormatting sqref="B109">
    <cfRule type="duplicateValues" dxfId="33" priority="15"/>
  </conditionalFormatting>
  <conditionalFormatting sqref="B109">
    <cfRule type="duplicateValues" dxfId="32" priority="16"/>
    <cfRule type="duplicateValues" dxfId="31" priority="17"/>
  </conditionalFormatting>
  <conditionalFormatting sqref="B109">
    <cfRule type="duplicateValues" dxfId="30" priority="18"/>
  </conditionalFormatting>
  <conditionalFormatting sqref="B109">
    <cfRule type="duplicateValues" dxfId="29" priority="13"/>
    <cfRule type="duplicateValues" dxfId="28" priority="14"/>
  </conditionalFormatting>
  <conditionalFormatting sqref="B110">
    <cfRule type="duplicateValues" dxfId="27" priority="9"/>
  </conditionalFormatting>
  <conditionalFormatting sqref="B110">
    <cfRule type="duplicateValues" dxfId="26" priority="10"/>
    <cfRule type="duplicateValues" dxfId="25" priority="11"/>
  </conditionalFormatting>
  <conditionalFormatting sqref="B110">
    <cfRule type="duplicateValues" dxfId="24" priority="12"/>
  </conditionalFormatting>
  <conditionalFormatting sqref="B110">
    <cfRule type="duplicateValues" dxfId="23" priority="7"/>
    <cfRule type="duplicateValues" dxfId="22" priority="8"/>
  </conditionalFormatting>
  <conditionalFormatting sqref="B108">
    <cfRule type="duplicateValues" dxfId="21" priority="3"/>
  </conditionalFormatting>
  <conditionalFormatting sqref="B108">
    <cfRule type="duplicateValues" dxfId="20" priority="4"/>
    <cfRule type="duplicateValues" dxfId="19" priority="5"/>
  </conditionalFormatting>
  <conditionalFormatting sqref="B108">
    <cfRule type="duplicateValues" dxfId="18" priority="6"/>
  </conditionalFormatting>
  <conditionalFormatting sqref="B108">
    <cfRule type="duplicateValues" dxfId="17" priority="1"/>
    <cfRule type="duplicateValues" dxfId="16" priority="2"/>
  </conditionalFormatting>
  <pageMargins left="0.17" right="0.17" top="0.28000000000000003" bottom="0.17" header="0.3" footer="0.3"/>
  <pageSetup scale="6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3:M21"/>
  <sheetViews>
    <sheetView zoomScaleNormal="100" workbookViewId="0">
      <selection activeCell="D4" sqref="D4"/>
    </sheetView>
  </sheetViews>
  <sheetFormatPr defaultRowHeight="15"/>
  <cols>
    <col min="1" max="1" width="9.28515625" bestFit="1" customWidth="1"/>
    <col min="2" max="2" width="20.5703125" customWidth="1"/>
    <col min="3" max="3" width="9.28515625" bestFit="1" customWidth="1"/>
    <col min="4" max="4" width="4.85546875" bestFit="1" customWidth="1"/>
    <col min="6" max="6" width="28.140625" bestFit="1" customWidth="1"/>
    <col min="7" max="7" width="21.140625" customWidth="1"/>
    <col min="8" max="9" width="11.140625" bestFit="1" customWidth="1"/>
    <col min="10" max="10" width="10.5703125" bestFit="1" customWidth="1"/>
    <col min="11" max="11" width="10.42578125" bestFit="1" customWidth="1"/>
    <col min="12" max="12" width="16" customWidth="1"/>
    <col min="13" max="13" width="11.28515625" customWidth="1"/>
  </cols>
  <sheetData>
    <row r="3" spans="1:13" ht="51">
      <c r="A3" s="1022" t="s">
        <v>24</v>
      </c>
      <c r="B3" s="1021" t="s">
        <v>28</v>
      </c>
      <c r="C3" s="1022" t="s">
        <v>2495</v>
      </c>
      <c r="D3" s="1022" t="s">
        <v>32</v>
      </c>
      <c r="E3" s="1021" t="s">
        <v>33</v>
      </c>
      <c r="F3" s="1021" t="s">
        <v>34</v>
      </c>
      <c r="G3" s="1022" t="s">
        <v>4917</v>
      </c>
      <c r="H3" s="1022" t="s">
        <v>37</v>
      </c>
      <c r="I3" s="1022" t="s">
        <v>38</v>
      </c>
      <c r="J3" s="1022" t="s">
        <v>42</v>
      </c>
      <c r="K3" s="1391" t="s">
        <v>808</v>
      </c>
      <c r="L3" s="1391" t="s">
        <v>823</v>
      </c>
      <c r="M3" s="1391" t="s">
        <v>809</v>
      </c>
    </row>
    <row r="4" spans="1:13" ht="18">
      <c r="A4" s="1354">
        <v>1</v>
      </c>
      <c r="B4" s="1367" t="s">
        <v>2298</v>
      </c>
      <c r="C4" s="1356" t="s">
        <v>1994</v>
      </c>
      <c r="D4" s="1339">
        <v>75</v>
      </c>
      <c r="E4" s="130" t="s">
        <v>90</v>
      </c>
      <c r="F4" s="147" t="s">
        <v>53</v>
      </c>
      <c r="G4" s="147" t="s">
        <v>1338</v>
      </c>
      <c r="H4" s="1335"/>
      <c r="I4" s="1335"/>
      <c r="J4" s="52" t="s">
        <v>940</v>
      </c>
      <c r="K4" s="53">
        <v>65036</v>
      </c>
      <c r="L4" s="52" t="s">
        <v>2299</v>
      </c>
      <c r="M4" s="147"/>
    </row>
    <row r="5" spans="1:13" ht="18">
      <c r="A5" s="1354">
        <f>A4+1</f>
        <v>2</v>
      </c>
      <c r="B5" s="1339" t="s">
        <v>5090</v>
      </c>
      <c r="C5" s="1468">
        <v>15</v>
      </c>
      <c r="D5" s="1339">
        <v>45</v>
      </c>
      <c r="E5" s="1339" t="s">
        <v>48</v>
      </c>
      <c r="F5" s="1340" t="s">
        <v>4556</v>
      </c>
      <c r="G5" s="1339" t="s">
        <v>1764</v>
      </c>
      <c r="H5" s="1409">
        <v>65127</v>
      </c>
      <c r="I5" s="1409">
        <v>65127</v>
      </c>
      <c r="J5" s="659" t="s">
        <v>940</v>
      </c>
      <c r="K5" s="1329" t="s">
        <v>5143</v>
      </c>
      <c r="L5" s="52"/>
      <c r="M5" s="52"/>
    </row>
    <row r="19" spans="10:10">
      <c r="J19" s="1457"/>
    </row>
    <row r="20" spans="10:10">
      <c r="J20" s="1457"/>
    </row>
    <row r="21" spans="10:10">
      <c r="J21" s="1457"/>
    </row>
  </sheetData>
  <conditionalFormatting sqref="B4">
    <cfRule type="duplicateValues" dxfId="15" priority="10"/>
  </conditionalFormatting>
  <conditionalFormatting sqref="B4">
    <cfRule type="duplicateValues" dxfId="14" priority="8"/>
    <cfRule type="duplicateValues" dxfId="13" priority="9"/>
  </conditionalFormatting>
  <conditionalFormatting sqref="B4">
    <cfRule type="duplicateValues" dxfId="12" priority="7"/>
  </conditionalFormatting>
  <conditionalFormatting sqref="B5">
    <cfRule type="duplicateValues" dxfId="11" priority="6"/>
  </conditionalFormatting>
  <conditionalFormatting sqref="B5">
    <cfRule type="duplicateValues" dxfId="10" priority="4"/>
    <cfRule type="duplicateValues" dxfId="9" priority="5"/>
  </conditionalFormatting>
  <conditionalFormatting sqref="B5">
    <cfRule type="duplicateValues" dxfId="8" priority="3"/>
  </conditionalFormatting>
  <conditionalFormatting sqref="B4:B5">
    <cfRule type="duplicateValues" dxfId="7" priority="2"/>
  </conditionalFormatting>
  <conditionalFormatting sqref="B3">
    <cfRule type="duplicateValues" dxfId="6" priority="1"/>
  </conditionalFormatting>
  <pageMargins left="0.7" right="0.7" top="0.75" bottom="0.75" header="0.3" footer="0.3"/>
  <pageSetup scale="70" orientation="landscape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5"/>
  <sheetViews>
    <sheetView topLeftCell="A17" workbookViewId="0">
      <selection sqref="A1:K25"/>
    </sheetView>
  </sheetViews>
  <sheetFormatPr defaultRowHeight="15"/>
  <cols>
    <col min="1" max="1" width="23.140625" bestFit="1" customWidth="1"/>
    <col min="3" max="3" width="11" bestFit="1" customWidth="1"/>
    <col min="4" max="4" width="10" bestFit="1" customWidth="1"/>
    <col min="9" max="10" width="21.28515625" customWidth="1"/>
  </cols>
  <sheetData>
    <row r="1" spans="1:11">
      <c r="A1" s="432" t="s">
        <v>5419</v>
      </c>
      <c r="B1" s="434">
        <v>2</v>
      </c>
      <c r="C1" s="434">
        <v>9857821266</v>
      </c>
      <c r="D1" s="432"/>
      <c r="E1" s="434">
        <v>38</v>
      </c>
      <c r="F1" s="128" t="s">
        <v>48</v>
      </c>
      <c r="G1" s="434" t="s">
        <v>5405</v>
      </c>
      <c r="H1" s="434"/>
      <c r="I1" s="128" t="s">
        <v>1764</v>
      </c>
      <c r="J1" s="730">
        <v>65277</v>
      </c>
      <c r="K1" s="730">
        <v>65277</v>
      </c>
    </row>
    <row r="2" spans="1:11">
      <c r="A2" s="432" t="s">
        <v>5414</v>
      </c>
      <c r="B2" s="434">
        <v>2</v>
      </c>
      <c r="C2" s="434">
        <v>9868635567</v>
      </c>
      <c r="D2" s="432"/>
      <c r="E2" s="434">
        <v>28</v>
      </c>
      <c r="F2" s="128" t="s">
        <v>90</v>
      </c>
      <c r="G2" s="434" t="s">
        <v>5405</v>
      </c>
      <c r="H2" s="434"/>
      <c r="I2" s="128" t="s">
        <v>1764</v>
      </c>
      <c r="J2" s="730">
        <v>65277</v>
      </c>
      <c r="K2" s="730">
        <v>65277</v>
      </c>
    </row>
    <row r="3" spans="1:11">
      <c r="A3" s="432" t="s">
        <v>5427</v>
      </c>
      <c r="B3" s="434">
        <v>3</v>
      </c>
      <c r="C3" s="434"/>
      <c r="D3" s="432"/>
      <c r="E3" s="434">
        <v>18</v>
      </c>
      <c r="F3" s="128" t="s">
        <v>90</v>
      </c>
      <c r="G3" s="434" t="s">
        <v>5405</v>
      </c>
      <c r="H3" s="434"/>
      <c r="I3" s="128" t="s">
        <v>1764</v>
      </c>
      <c r="J3" s="730">
        <v>65278</v>
      </c>
      <c r="K3" s="730">
        <v>65278</v>
      </c>
    </row>
    <row r="4" spans="1:11">
      <c r="A4" s="432" t="s">
        <v>5428</v>
      </c>
      <c r="B4" s="434">
        <v>3</v>
      </c>
      <c r="C4" s="434"/>
      <c r="D4" s="432"/>
      <c r="E4" s="434">
        <v>16</v>
      </c>
      <c r="F4" s="128" t="s">
        <v>90</v>
      </c>
      <c r="G4" s="434" t="s">
        <v>5405</v>
      </c>
      <c r="H4" s="434"/>
      <c r="I4" s="128" t="s">
        <v>1764</v>
      </c>
      <c r="J4" s="730">
        <v>65278</v>
      </c>
      <c r="K4" s="730">
        <v>65278</v>
      </c>
    </row>
    <row r="5" spans="1:11">
      <c r="A5" s="432" t="s">
        <v>1320</v>
      </c>
      <c r="B5" s="434">
        <v>5</v>
      </c>
      <c r="C5" s="434"/>
      <c r="D5" s="432" t="s">
        <v>5430</v>
      </c>
      <c r="E5" s="434">
        <v>54</v>
      </c>
      <c r="F5" s="128" t="s">
        <v>48</v>
      </c>
      <c r="G5" s="434" t="s">
        <v>5405</v>
      </c>
      <c r="H5" s="434"/>
      <c r="I5" s="128" t="s">
        <v>1764</v>
      </c>
      <c r="J5" s="730">
        <v>65278</v>
      </c>
      <c r="K5" s="730">
        <v>65278</v>
      </c>
    </row>
    <row r="6" spans="1:11">
      <c r="A6" s="432" t="s">
        <v>5413</v>
      </c>
      <c r="B6" s="434">
        <v>5</v>
      </c>
      <c r="C6" s="434">
        <v>9847992830</v>
      </c>
      <c r="D6" s="432"/>
      <c r="E6" s="434">
        <v>44</v>
      </c>
      <c r="F6" s="128" t="s">
        <v>90</v>
      </c>
      <c r="G6" s="434" t="s">
        <v>5405</v>
      </c>
      <c r="H6" s="434"/>
      <c r="I6" s="128" t="s">
        <v>1764</v>
      </c>
      <c r="J6" s="730">
        <v>65277</v>
      </c>
      <c r="K6" s="730">
        <v>65277</v>
      </c>
    </row>
    <row r="7" spans="1:11">
      <c r="A7" s="432" t="s">
        <v>1591</v>
      </c>
      <c r="B7" s="434">
        <v>6</v>
      </c>
      <c r="C7" s="434">
        <v>9847198198</v>
      </c>
      <c r="D7" s="432" t="s">
        <v>5406</v>
      </c>
      <c r="E7" s="434">
        <v>32</v>
      </c>
      <c r="F7" s="128" t="s">
        <v>48</v>
      </c>
      <c r="G7" s="434" t="s">
        <v>5405</v>
      </c>
      <c r="H7" s="434"/>
      <c r="I7" s="434" t="s">
        <v>5407</v>
      </c>
      <c r="J7" s="730">
        <v>65276</v>
      </c>
      <c r="K7" s="730">
        <v>65276</v>
      </c>
    </row>
    <row r="8" spans="1:11">
      <c r="A8" s="432" t="s">
        <v>5420</v>
      </c>
      <c r="B8" s="434">
        <v>6</v>
      </c>
      <c r="C8" s="434"/>
      <c r="D8" s="432" t="s">
        <v>5430</v>
      </c>
      <c r="E8" s="434">
        <v>34</v>
      </c>
      <c r="F8" s="128" t="s">
        <v>48</v>
      </c>
      <c r="G8" s="434" t="s">
        <v>5405</v>
      </c>
      <c r="H8" s="434"/>
      <c r="I8" s="128" t="s">
        <v>1764</v>
      </c>
      <c r="J8" s="730">
        <v>65278</v>
      </c>
      <c r="K8" s="730">
        <v>65278</v>
      </c>
    </row>
    <row r="9" spans="1:11">
      <c r="A9" s="432" t="s">
        <v>5423</v>
      </c>
      <c r="B9" s="434">
        <v>6</v>
      </c>
      <c r="C9" s="434"/>
      <c r="D9" s="432" t="s">
        <v>5431</v>
      </c>
      <c r="E9" s="434">
        <v>37</v>
      </c>
      <c r="F9" s="128" t="s">
        <v>48</v>
      </c>
      <c r="G9" s="434" t="s">
        <v>5405</v>
      </c>
      <c r="H9" s="434"/>
      <c r="I9" s="128" t="s">
        <v>1764</v>
      </c>
      <c r="J9" s="730">
        <v>65278</v>
      </c>
      <c r="K9" s="730">
        <v>65278</v>
      </c>
    </row>
    <row r="10" spans="1:11">
      <c r="A10" s="432" t="s">
        <v>5404</v>
      </c>
      <c r="B10" s="434">
        <v>6</v>
      </c>
      <c r="C10" s="434">
        <v>9857820425</v>
      </c>
      <c r="D10" s="432"/>
      <c r="E10" s="434">
        <v>46</v>
      </c>
      <c r="F10" s="128" t="s">
        <v>90</v>
      </c>
      <c r="G10" s="434" t="s">
        <v>5405</v>
      </c>
      <c r="H10" s="434"/>
      <c r="I10" s="128" t="s">
        <v>1764</v>
      </c>
      <c r="J10" s="730">
        <v>65276</v>
      </c>
      <c r="K10" s="730">
        <v>65276</v>
      </c>
    </row>
    <row r="11" spans="1:11">
      <c r="A11" s="432" t="s">
        <v>5429</v>
      </c>
      <c r="B11" s="434">
        <v>7</v>
      </c>
      <c r="C11" s="434"/>
      <c r="D11" s="432"/>
      <c r="E11" s="434">
        <v>20</v>
      </c>
      <c r="F11" s="128" t="s">
        <v>48</v>
      </c>
      <c r="G11" s="434" t="s">
        <v>5405</v>
      </c>
      <c r="H11" s="434"/>
      <c r="I11" s="128" t="s">
        <v>1764</v>
      </c>
      <c r="J11" s="730">
        <v>65278</v>
      </c>
      <c r="K11" s="730">
        <v>65278</v>
      </c>
    </row>
    <row r="12" spans="1:11">
      <c r="A12" s="432" t="s">
        <v>5412</v>
      </c>
      <c r="B12" s="434">
        <v>7</v>
      </c>
      <c r="C12" s="434">
        <v>9847945010</v>
      </c>
      <c r="D12" s="432"/>
      <c r="E12" s="434">
        <v>32</v>
      </c>
      <c r="F12" s="128" t="s">
        <v>90</v>
      </c>
      <c r="G12" s="434" t="s">
        <v>5405</v>
      </c>
      <c r="H12" s="434"/>
      <c r="I12" s="128" t="s">
        <v>1764</v>
      </c>
      <c r="J12" s="730">
        <v>65277</v>
      </c>
      <c r="K12" s="730">
        <v>65277</v>
      </c>
    </row>
    <row r="13" spans="1:11">
      <c r="A13" s="432" t="s">
        <v>5408</v>
      </c>
      <c r="B13" s="434">
        <v>8</v>
      </c>
      <c r="C13" s="434"/>
      <c r="D13" s="432"/>
      <c r="E13" s="434">
        <v>51</v>
      </c>
      <c r="F13" s="128" t="s">
        <v>48</v>
      </c>
      <c r="G13" s="434" t="s">
        <v>5405</v>
      </c>
      <c r="H13" s="434"/>
      <c r="I13" s="128" t="s">
        <v>1764</v>
      </c>
      <c r="J13" s="730">
        <v>65276</v>
      </c>
      <c r="K13" s="730">
        <v>65276</v>
      </c>
    </row>
    <row r="14" spans="1:11">
      <c r="A14" s="432" t="s">
        <v>5411</v>
      </c>
      <c r="B14" s="1171">
        <v>8</v>
      </c>
      <c r="C14" s="434">
        <v>9857820345</v>
      </c>
      <c r="D14" s="432"/>
      <c r="E14" s="434">
        <v>47</v>
      </c>
      <c r="F14" s="128" t="s">
        <v>48</v>
      </c>
      <c r="G14" s="434" t="s">
        <v>5405</v>
      </c>
      <c r="H14" s="434"/>
      <c r="I14" s="128" t="s">
        <v>1764</v>
      </c>
      <c r="J14" s="730">
        <v>65276</v>
      </c>
      <c r="K14" s="730">
        <v>65276</v>
      </c>
    </row>
    <row r="15" spans="1:11">
      <c r="A15" s="432" t="s">
        <v>5417</v>
      </c>
      <c r="B15" s="434">
        <v>8</v>
      </c>
      <c r="C15" s="434">
        <v>9847907024</v>
      </c>
      <c r="D15" s="432"/>
      <c r="E15" s="434">
        <v>47</v>
      </c>
      <c r="F15" s="128" t="s">
        <v>48</v>
      </c>
      <c r="G15" s="434" t="s">
        <v>5405</v>
      </c>
      <c r="H15" s="434"/>
      <c r="I15" s="128" t="s">
        <v>1764</v>
      </c>
      <c r="J15" s="730">
        <v>65277</v>
      </c>
      <c r="K15" s="730">
        <v>65277</v>
      </c>
    </row>
    <row r="16" spans="1:11">
      <c r="A16" s="432" t="s">
        <v>5418</v>
      </c>
      <c r="B16" s="1285">
        <v>8</v>
      </c>
      <c r="C16" s="434">
        <v>9858082893</v>
      </c>
      <c r="D16" s="432"/>
      <c r="E16" s="434">
        <v>15</v>
      </c>
      <c r="F16" s="128" t="s">
        <v>48</v>
      </c>
      <c r="G16" s="434" t="s">
        <v>5405</v>
      </c>
      <c r="H16" s="434"/>
      <c r="I16" s="128" t="s">
        <v>1764</v>
      </c>
      <c r="J16" s="730">
        <v>65277</v>
      </c>
      <c r="K16" s="730">
        <v>65277</v>
      </c>
    </row>
    <row r="17" spans="1:11">
      <c r="A17" s="432" t="s">
        <v>5421</v>
      </c>
      <c r="B17" s="434">
        <v>8</v>
      </c>
      <c r="C17" s="434"/>
      <c r="D17" s="432" t="s">
        <v>5430</v>
      </c>
      <c r="E17" s="434">
        <v>27</v>
      </c>
      <c r="F17" s="128" t="s">
        <v>48</v>
      </c>
      <c r="G17" s="434" t="s">
        <v>5405</v>
      </c>
      <c r="H17" s="434"/>
      <c r="I17" s="128" t="s">
        <v>1764</v>
      </c>
      <c r="J17" s="730">
        <v>65278</v>
      </c>
      <c r="K17" s="730">
        <v>65278</v>
      </c>
    </row>
    <row r="18" spans="1:11">
      <c r="A18" s="432" t="s">
        <v>5422</v>
      </c>
      <c r="B18" s="434">
        <v>8</v>
      </c>
      <c r="C18" s="434"/>
      <c r="D18" s="432" t="s">
        <v>5430</v>
      </c>
      <c r="E18" s="434">
        <v>51</v>
      </c>
      <c r="F18" s="128" t="s">
        <v>48</v>
      </c>
      <c r="G18" s="434" t="s">
        <v>5405</v>
      </c>
      <c r="H18" s="434"/>
      <c r="I18" s="128" t="s">
        <v>1764</v>
      </c>
      <c r="J18" s="730">
        <v>65278</v>
      </c>
      <c r="K18" s="730">
        <v>65278</v>
      </c>
    </row>
    <row r="19" spans="1:11">
      <c r="A19" s="432" t="s">
        <v>5426</v>
      </c>
      <c r="B19" s="434">
        <v>8</v>
      </c>
      <c r="C19" s="434"/>
      <c r="D19" s="432"/>
      <c r="E19" s="434">
        <v>30</v>
      </c>
      <c r="F19" s="128" t="s">
        <v>48</v>
      </c>
      <c r="G19" s="434" t="s">
        <v>5405</v>
      </c>
      <c r="H19" s="434"/>
      <c r="I19" s="128" t="s">
        <v>1764</v>
      </c>
      <c r="J19" s="730">
        <v>65278</v>
      </c>
      <c r="K19" s="730">
        <v>65278</v>
      </c>
    </row>
    <row r="20" spans="1:11">
      <c r="A20" s="432" t="s">
        <v>5416</v>
      </c>
      <c r="B20" s="434">
        <v>8</v>
      </c>
      <c r="C20" s="434">
        <v>9810347479</v>
      </c>
      <c r="D20" s="432"/>
      <c r="E20" s="434">
        <v>15</v>
      </c>
      <c r="F20" s="128" t="s">
        <v>90</v>
      </c>
      <c r="G20" s="434" t="s">
        <v>5405</v>
      </c>
      <c r="H20" s="434"/>
      <c r="I20" s="128" t="s">
        <v>1764</v>
      </c>
      <c r="J20" s="730">
        <v>65277</v>
      </c>
      <c r="K20" s="730">
        <v>65277</v>
      </c>
    </row>
    <row r="21" spans="1:11">
      <c r="A21" s="432" t="s">
        <v>5424</v>
      </c>
      <c r="B21" s="434">
        <v>8</v>
      </c>
      <c r="C21" s="434"/>
      <c r="D21" s="432"/>
      <c r="E21" s="434">
        <v>14</v>
      </c>
      <c r="F21" s="128" t="s">
        <v>90</v>
      </c>
      <c r="G21" s="434" t="s">
        <v>5405</v>
      </c>
      <c r="H21" s="434"/>
      <c r="I21" s="128" t="s">
        <v>1764</v>
      </c>
      <c r="J21" s="730">
        <v>65278</v>
      </c>
      <c r="K21" s="730">
        <v>65278</v>
      </c>
    </row>
    <row r="22" spans="1:11">
      <c r="A22" s="432" t="s">
        <v>5425</v>
      </c>
      <c r="B22" s="434">
        <v>8</v>
      </c>
      <c r="C22" s="434"/>
      <c r="D22" s="432"/>
      <c r="E22" s="434">
        <v>19</v>
      </c>
      <c r="F22" s="128" t="s">
        <v>90</v>
      </c>
      <c r="G22" s="434" t="s">
        <v>5405</v>
      </c>
      <c r="H22" s="434"/>
      <c r="I22" s="128" t="s">
        <v>1764</v>
      </c>
      <c r="J22" s="730">
        <v>65278</v>
      </c>
      <c r="K22" s="730">
        <v>65278</v>
      </c>
    </row>
    <row r="23" spans="1:11">
      <c r="A23" s="432" t="s">
        <v>5410</v>
      </c>
      <c r="B23" s="434">
        <v>11</v>
      </c>
      <c r="C23" s="434">
        <v>9866397344</v>
      </c>
      <c r="D23" s="432"/>
      <c r="E23" s="434">
        <v>17</v>
      </c>
      <c r="F23" s="128" t="s">
        <v>48</v>
      </c>
      <c r="G23" s="434" t="s">
        <v>5405</v>
      </c>
      <c r="H23" s="434"/>
      <c r="I23" s="128" t="s">
        <v>1764</v>
      </c>
      <c r="J23" s="730">
        <v>65276</v>
      </c>
      <c r="K23" s="730">
        <v>65276</v>
      </c>
    </row>
    <row r="24" spans="1:11">
      <c r="A24" s="432" t="s">
        <v>5409</v>
      </c>
      <c r="B24" s="434">
        <v>17</v>
      </c>
      <c r="C24" s="434">
        <v>9866397344</v>
      </c>
      <c r="D24" s="432"/>
      <c r="E24" s="434">
        <v>17</v>
      </c>
      <c r="F24" s="128" t="s">
        <v>48</v>
      </c>
      <c r="G24" s="434" t="s">
        <v>5405</v>
      </c>
      <c r="H24" s="434"/>
      <c r="I24" s="128" t="s">
        <v>1764</v>
      </c>
      <c r="J24" s="730">
        <v>65276</v>
      </c>
      <c r="K24" s="730">
        <v>65276</v>
      </c>
    </row>
    <row r="25" spans="1:11">
      <c r="A25" s="432" t="s">
        <v>5415</v>
      </c>
      <c r="B25" s="434">
        <v>18</v>
      </c>
      <c r="C25" s="434">
        <v>9848034154</v>
      </c>
      <c r="D25" s="432"/>
      <c r="E25" s="434">
        <v>41</v>
      </c>
      <c r="F25" s="128" t="s">
        <v>90</v>
      </c>
      <c r="G25" s="434" t="s">
        <v>5405</v>
      </c>
      <c r="H25" s="434"/>
      <c r="I25" s="128" t="s">
        <v>1764</v>
      </c>
      <c r="J25" s="730">
        <v>65277</v>
      </c>
      <c r="K25" s="730">
        <v>65277</v>
      </c>
    </row>
  </sheetData>
  <sortState ref="A1:K25">
    <sortCondition ref="B1:B25"/>
    <sortCondition ref="F1:F25"/>
  </sortState>
  <conditionalFormatting sqref="A7:A25 A1:A5">
    <cfRule type="duplicateValues" dxfId="5" priority="1"/>
  </conditionalFormatting>
  <conditionalFormatting sqref="A7:A25 A1:A5">
    <cfRule type="duplicateValues" dxfId="4" priority="2"/>
    <cfRule type="duplicateValues" dxfId="3" priority="3"/>
  </conditionalFormatting>
  <conditionalFormatting sqref="A7:A25 A1:A5">
    <cfRule type="duplicateValues" dxfId="2" priority="4"/>
  </conditionalFormatting>
  <conditionalFormatting sqref="A7:A25 A1:A5">
    <cfRule type="duplicateValues" dxfId="1" priority="5"/>
    <cfRule type="duplicateValues" dxfId="0" priority="6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daily report</vt:lpstr>
      <vt:lpstr>3rd wave namelist</vt:lpstr>
      <vt:lpstr>workout sheet</vt:lpstr>
      <vt:lpstr>death list</vt:lpstr>
      <vt:lpstr>beljhundi isolation</vt:lpstr>
      <vt:lpstr>active cases</vt:lpstr>
      <vt:lpstr>1st and 2nd wave</vt:lpstr>
      <vt:lpstr>other isolation</vt:lpstr>
      <vt:lpstr>metro hospital</vt:lpstr>
      <vt:lpstr>metro report</vt:lpstr>
      <vt:lpstr>Sheet2</vt:lpstr>
      <vt:lpstr>Sheet1</vt:lpstr>
      <vt:lpstr>Sheet3</vt:lpstr>
      <vt:lpstr>'active cases'!Print_Area</vt:lpstr>
      <vt:lpstr>'beljhundi isolation'!Print_Area</vt:lpstr>
      <vt:lpstr>'daily report'!Print_Area</vt:lpstr>
      <vt:lpstr>'death list'!Print_Area</vt:lpstr>
      <vt:lpstr>'metro report'!Print_Area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Sagar</dc:creator>
  <cp:lastModifiedBy>Windows User</cp:lastModifiedBy>
  <cp:lastPrinted>2022-02-20T08:37:08Z</cp:lastPrinted>
  <dcterms:created xsi:type="dcterms:W3CDTF">2020-10-29T14:39:16Z</dcterms:created>
  <dcterms:modified xsi:type="dcterms:W3CDTF">2022-02-20T08:37:27Z</dcterms:modified>
</cp:coreProperties>
</file>